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2023-07-24 tdl leakiness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28" i="1" l="1"/>
  <c r="AM228" i="1"/>
  <c r="AL228" i="1"/>
  <c r="AK228" i="1"/>
  <c r="AJ228" i="1"/>
  <c r="AH228" i="1"/>
  <c r="L228" i="1" s="1"/>
  <c r="Z228" i="1"/>
  <c r="Y228" i="1"/>
  <c r="X228" i="1"/>
  <c r="T228" i="1"/>
  <c r="Q228" i="1"/>
  <c r="O228" i="1"/>
  <c r="AN227" i="1"/>
  <c r="T227" i="1" s="1"/>
  <c r="AM227" i="1"/>
  <c r="AL227" i="1" s="1"/>
  <c r="AK227" i="1"/>
  <c r="AJ227" i="1"/>
  <c r="AH227" i="1"/>
  <c r="L227" i="1" s="1"/>
  <c r="Z227" i="1"/>
  <c r="Y227" i="1"/>
  <c r="X227" i="1"/>
  <c r="Q227" i="1"/>
  <c r="O227" i="1"/>
  <c r="AN226" i="1"/>
  <c r="AM226" i="1"/>
  <c r="AK226" i="1"/>
  <c r="AJ226" i="1"/>
  <c r="AH226" i="1"/>
  <c r="J226" i="1" s="1"/>
  <c r="I226" i="1" s="1"/>
  <c r="Z226" i="1"/>
  <c r="Y226" i="1"/>
  <c r="X226" i="1"/>
  <c r="Q226" i="1"/>
  <c r="O226" i="1"/>
  <c r="L226" i="1"/>
  <c r="K226" i="1"/>
  <c r="AN225" i="1"/>
  <c r="AM225" i="1"/>
  <c r="AK225" i="1"/>
  <c r="AL225" i="1" s="1"/>
  <c r="AJ225" i="1"/>
  <c r="AH225" i="1" s="1"/>
  <c r="AI225" i="1" s="1"/>
  <c r="Z225" i="1"/>
  <c r="Y225" i="1"/>
  <c r="X225" i="1" s="1"/>
  <c r="Q225" i="1"/>
  <c r="AN224" i="1"/>
  <c r="AM224" i="1"/>
  <c r="AK224" i="1"/>
  <c r="AL224" i="1" s="1"/>
  <c r="AJ224" i="1"/>
  <c r="AH224" i="1"/>
  <c r="L224" i="1" s="1"/>
  <c r="Z224" i="1"/>
  <c r="Y224" i="1"/>
  <c r="X224" i="1"/>
  <c r="Q224" i="1"/>
  <c r="O224" i="1"/>
  <c r="AN223" i="1"/>
  <c r="AM223" i="1"/>
  <c r="AK223" i="1"/>
  <c r="AL223" i="1" s="1"/>
  <c r="AJ223" i="1"/>
  <c r="AH223" i="1"/>
  <c r="L223" i="1" s="1"/>
  <c r="Z223" i="1"/>
  <c r="Y223" i="1"/>
  <c r="X223" i="1"/>
  <c r="Q223" i="1"/>
  <c r="O223" i="1"/>
  <c r="AN222" i="1"/>
  <c r="AM222" i="1"/>
  <c r="AK222" i="1"/>
  <c r="AJ222" i="1"/>
  <c r="AI222" i="1"/>
  <c r="AH222" i="1"/>
  <c r="J222" i="1" s="1"/>
  <c r="I222" i="1" s="1"/>
  <c r="Z222" i="1"/>
  <c r="Y222" i="1"/>
  <c r="X222" i="1" s="1"/>
  <c r="Q222" i="1"/>
  <c r="O222" i="1"/>
  <c r="L222" i="1"/>
  <c r="K222" i="1"/>
  <c r="AN221" i="1"/>
  <c r="AM221" i="1"/>
  <c r="AK221" i="1"/>
  <c r="AL221" i="1" s="1"/>
  <c r="AJ221" i="1"/>
  <c r="AH221" i="1" s="1"/>
  <c r="AI221" i="1" s="1"/>
  <c r="Z221" i="1"/>
  <c r="Y221" i="1"/>
  <c r="X221" i="1" s="1"/>
  <c r="Q221" i="1"/>
  <c r="AN220" i="1"/>
  <c r="AM220" i="1"/>
  <c r="AK220" i="1"/>
  <c r="AL220" i="1" s="1"/>
  <c r="AJ220" i="1"/>
  <c r="AH220" i="1"/>
  <c r="L220" i="1" s="1"/>
  <c r="Z220" i="1"/>
  <c r="Y220" i="1"/>
  <c r="X220" i="1"/>
  <c r="Q220" i="1"/>
  <c r="O220" i="1"/>
  <c r="AN219" i="1"/>
  <c r="AM219" i="1"/>
  <c r="AK219" i="1"/>
  <c r="AL219" i="1" s="1"/>
  <c r="AJ219" i="1"/>
  <c r="AH219" i="1"/>
  <c r="L219" i="1" s="1"/>
  <c r="Z219" i="1"/>
  <c r="Y219" i="1"/>
  <c r="X219" i="1"/>
  <c r="Q219" i="1"/>
  <c r="O219" i="1"/>
  <c r="AN218" i="1"/>
  <c r="AM218" i="1"/>
  <c r="AK218" i="1"/>
  <c r="AJ218" i="1"/>
  <c r="AI218" i="1"/>
  <c r="AH218" i="1"/>
  <c r="J218" i="1" s="1"/>
  <c r="I218" i="1" s="1"/>
  <c r="Z218" i="1"/>
  <c r="Y218" i="1"/>
  <c r="X218" i="1" s="1"/>
  <c r="Q218" i="1"/>
  <c r="O218" i="1"/>
  <c r="L218" i="1"/>
  <c r="K218" i="1"/>
  <c r="AN217" i="1"/>
  <c r="AM217" i="1"/>
  <c r="AK217" i="1"/>
  <c r="AL217" i="1" s="1"/>
  <c r="AJ217" i="1"/>
  <c r="AH217" i="1" s="1"/>
  <c r="AI217" i="1" s="1"/>
  <c r="Z217" i="1"/>
  <c r="Y217" i="1"/>
  <c r="X217" i="1" s="1"/>
  <c r="Q217" i="1"/>
  <c r="AN216" i="1"/>
  <c r="AM216" i="1"/>
  <c r="AK216" i="1"/>
  <c r="AJ216" i="1"/>
  <c r="AH216" i="1"/>
  <c r="L216" i="1" s="1"/>
  <c r="Z216" i="1"/>
  <c r="Y216" i="1"/>
  <c r="X216" i="1"/>
  <c r="Q216" i="1"/>
  <c r="O216" i="1"/>
  <c r="K216" i="1"/>
  <c r="AN215" i="1"/>
  <c r="AM215" i="1"/>
  <c r="AK215" i="1"/>
  <c r="AJ215" i="1"/>
  <c r="AI215" i="1"/>
  <c r="AH215" i="1"/>
  <c r="L215" i="1" s="1"/>
  <c r="Z215" i="1"/>
  <c r="Y215" i="1"/>
  <c r="X215" i="1" s="1"/>
  <c r="Q215" i="1"/>
  <c r="O215" i="1"/>
  <c r="K215" i="1"/>
  <c r="AN214" i="1"/>
  <c r="AM214" i="1"/>
  <c r="AK214" i="1"/>
  <c r="AJ214" i="1"/>
  <c r="AI214" i="1"/>
  <c r="AH214" i="1"/>
  <c r="J214" i="1" s="1"/>
  <c r="I214" i="1" s="1"/>
  <c r="Z214" i="1"/>
  <c r="Y214" i="1"/>
  <c r="X214" i="1" s="1"/>
  <c r="Q214" i="1"/>
  <c r="O214" i="1"/>
  <c r="L214" i="1"/>
  <c r="K214" i="1"/>
  <c r="AN213" i="1"/>
  <c r="AM213" i="1"/>
  <c r="AK213" i="1"/>
  <c r="AL213" i="1" s="1"/>
  <c r="AJ213" i="1"/>
  <c r="AH213" i="1" s="1"/>
  <c r="AI213" i="1" s="1"/>
  <c r="Z213" i="1"/>
  <c r="Y213" i="1"/>
  <c r="X213" i="1" s="1"/>
  <c r="Q213" i="1"/>
  <c r="AN212" i="1"/>
  <c r="AM212" i="1"/>
  <c r="AK212" i="1"/>
  <c r="AJ212" i="1"/>
  <c r="AH212" i="1"/>
  <c r="Z212" i="1"/>
  <c r="Y212" i="1"/>
  <c r="X212" i="1"/>
  <c r="Q212" i="1"/>
  <c r="AN211" i="1"/>
  <c r="AM211" i="1"/>
  <c r="AK211" i="1"/>
  <c r="AL211" i="1" s="1"/>
  <c r="AJ211" i="1"/>
  <c r="AI211" i="1"/>
  <c r="AH211" i="1"/>
  <c r="L211" i="1" s="1"/>
  <c r="Z211" i="1"/>
  <c r="Y211" i="1"/>
  <c r="X211" i="1" s="1"/>
  <c r="Q211" i="1"/>
  <c r="O211" i="1"/>
  <c r="K211" i="1"/>
  <c r="AN210" i="1"/>
  <c r="AM210" i="1"/>
  <c r="AL210" i="1"/>
  <c r="AK210" i="1"/>
  <c r="AJ210" i="1"/>
  <c r="AI210" i="1"/>
  <c r="AH210" i="1"/>
  <c r="J210" i="1" s="1"/>
  <c r="I210" i="1" s="1"/>
  <c r="AB210" i="1"/>
  <c r="Z210" i="1"/>
  <c r="Y210" i="1"/>
  <c r="X210" i="1" s="1"/>
  <c r="T210" i="1"/>
  <c r="Q210" i="1"/>
  <c r="O210" i="1"/>
  <c r="L210" i="1"/>
  <c r="K210" i="1"/>
  <c r="AN209" i="1"/>
  <c r="AM209" i="1"/>
  <c r="AK209" i="1"/>
  <c r="AJ209" i="1"/>
  <c r="AH209" i="1" s="1"/>
  <c r="AI209" i="1"/>
  <c r="Z209" i="1"/>
  <c r="Y209" i="1"/>
  <c r="X209" i="1" s="1"/>
  <c r="Q209" i="1"/>
  <c r="K209" i="1"/>
  <c r="AN208" i="1"/>
  <c r="AM208" i="1"/>
  <c r="AK208" i="1"/>
  <c r="AJ208" i="1"/>
  <c r="AH208" i="1"/>
  <c r="Z208" i="1"/>
  <c r="Y208" i="1"/>
  <c r="X208" i="1" s="1"/>
  <c r="Q208" i="1"/>
  <c r="K208" i="1"/>
  <c r="AN207" i="1"/>
  <c r="AM207" i="1"/>
  <c r="AK207" i="1"/>
  <c r="AJ207" i="1"/>
  <c r="AI207" i="1"/>
  <c r="AH207" i="1"/>
  <c r="L207" i="1" s="1"/>
  <c r="Z207" i="1"/>
  <c r="Y207" i="1"/>
  <c r="X207" i="1" s="1"/>
  <c r="Q207" i="1"/>
  <c r="O207" i="1"/>
  <c r="K207" i="1"/>
  <c r="AN206" i="1"/>
  <c r="AM206" i="1"/>
  <c r="AL206" i="1"/>
  <c r="AK206" i="1"/>
  <c r="AJ206" i="1"/>
  <c r="AI206" i="1"/>
  <c r="AH206" i="1"/>
  <c r="J206" i="1" s="1"/>
  <c r="AA206" i="1"/>
  <c r="Z206" i="1"/>
  <c r="Y206" i="1"/>
  <c r="X206" i="1" s="1"/>
  <c r="W206" i="1"/>
  <c r="T206" i="1"/>
  <c r="U206" i="1" s="1"/>
  <c r="V206" i="1" s="1"/>
  <c r="AD206" i="1" s="1"/>
  <c r="Q206" i="1"/>
  <c r="AC206" i="1" s="1"/>
  <c r="O206" i="1"/>
  <c r="L206" i="1"/>
  <c r="K206" i="1"/>
  <c r="I206" i="1"/>
  <c r="AN205" i="1"/>
  <c r="AM205" i="1"/>
  <c r="AK205" i="1"/>
  <c r="AJ205" i="1"/>
  <c r="AH205" i="1" s="1"/>
  <c r="Z205" i="1"/>
  <c r="Y205" i="1"/>
  <c r="Q205" i="1"/>
  <c r="AN204" i="1"/>
  <c r="AM204" i="1"/>
  <c r="AK204" i="1"/>
  <c r="AJ204" i="1"/>
  <c r="AI204" i="1"/>
  <c r="AH204" i="1"/>
  <c r="Z204" i="1"/>
  <c r="Y204" i="1"/>
  <c r="X204" i="1" s="1"/>
  <c r="Q204" i="1"/>
  <c r="O204" i="1"/>
  <c r="K204" i="1"/>
  <c r="AN203" i="1"/>
  <c r="AM203" i="1"/>
  <c r="AK203" i="1"/>
  <c r="AJ203" i="1"/>
  <c r="AI203" i="1"/>
  <c r="AH203" i="1"/>
  <c r="L203" i="1" s="1"/>
  <c r="Z203" i="1"/>
  <c r="Y203" i="1"/>
  <c r="X203" i="1" s="1"/>
  <c r="Q203" i="1"/>
  <c r="O203" i="1"/>
  <c r="K203" i="1"/>
  <c r="AN202" i="1"/>
  <c r="AM202" i="1"/>
  <c r="AK202" i="1"/>
  <c r="AL202" i="1" s="1"/>
  <c r="AJ202" i="1"/>
  <c r="AI202" i="1"/>
  <c r="AH202" i="1"/>
  <c r="J202" i="1" s="1"/>
  <c r="Z202" i="1"/>
  <c r="Y202" i="1"/>
  <c r="X202" i="1" s="1"/>
  <c r="T202" i="1"/>
  <c r="Q202" i="1"/>
  <c r="O202" i="1"/>
  <c r="L202" i="1"/>
  <c r="K202" i="1"/>
  <c r="I202" i="1"/>
  <c r="AN201" i="1"/>
  <c r="AM201" i="1"/>
  <c r="AL201" i="1"/>
  <c r="AK201" i="1"/>
  <c r="T201" i="1" s="1"/>
  <c r="AJ201" i="1"/>
  <c r="AH201" i="1" s="1"/>
  <c r="K201" i="1" s="1"/>
  <c r="AI201" i="1"/>
  <c r="Z201" i="1"/>
  <c r="Y201" i="1"/>
  <c r="Q201" i="1"/>
  <c r="O201" i="1"/>
  <c r="L201" i="1"/>
  <c r="J201" i="1"/>
  <c r="I201" i="1"/>
  <c r="AN200" i="1"/>
  <c r="AM200" i="1"/>
  <c r="AL200" i="1"/>
  <c r="AK200" i="1"/>
  <c r="T200" i="1" s="1"/>
  <c r="AJ200" i="1"/>
  <c r="AH200" i="1" s="1"/>
  <c r="Z200" i="1"/>
  <c r="Y200" i="1"/>
  <c r="X200" i="1" s="1"/>
  <c r="Q200" i="1"/>
  <c r="K200" i="1"/>
  <c r="AN199" i="1"/>
  <c r="AM199" i="1"/>
  <c r="AL199" i="1"/>
  <c r="AK199" i="1"/>
  <c r="AJ199" i="1"/>
  <c r="AI199" i="1"/>
  <c r="AH199" i="1"/>
  <c r="J199" i="1" s="1"/>
  <c r="Z199" i="1"/>
  <c r="Y199" i="1"/>
  <c r="X199" i="1" s="1"/>
  <c r="T199" i="1"/>
  <c r="Q199" i="1"/>
  <c r="O199" i="1"/>
  <c r="L199" i="1"/>
  <c r="K199" i="1"/>
  <c r="I199" i="1"/>
  <c r="AN198" i="1"/>
  <c r="AM198" i="1"/>
  <c r="AK198" i="1"/>
  <c r="AL198" i="1" s="1"/>
  <c r="AJ198" i="1"/>
  <c r="AH198" i="1" s="1"/>
  <c r="Z198" i="1"/>
  <c r="Y198" i="1"/>
  <c r="Q198" i="1"/>
  <c r="O198" i="1"/>
  <c r="J198" i="1"/>
  <c r="I198" i="1" s="1"/>
  <c r="AN197" i="1"/>
  <c r="AM197" i="1"/>
  <c r="AK197" i="1"/>
  <c r="AJ197" i="1"/>
  <c r="AH197" i="1"/>
  <c r="Z197" i="1"/>
  <c r="Y197" i="1"/>
  <c r="X197" i="1"/>
  <c r="Q197" i="1"/>
  <c r="K197" i="1"/>
  <c r="AN196" i="1"/>
  <c r="AM196" i="1"/>
  <c r="AK196" i="1"/>
  <c r="AJ196" i="1"/>
  <c r="AH196" i="1" s="1"/>
  <c r="AI196" i="1" s="1"/>
  <c r="Z196" i="1"/>
  <c r="Y196" i="1"/>
  <c r="X196" i="1" s="1"/>
  <c r="Q196" i="1"/>
  <c r="K196" i="1"/>
  <c r="AN195" i="1"/>
  <c r="AM195" i="1"/>
  <c r="AL195" i="1"/>
  <c r="AK195" i="1"/>
  <c r="AJ195" i="1"/>
  <c r="AI195" i="1"/>
  <c r="AH195" i="1"/>
  <c r="J195" i="1" s="1"/>
  <c r="Z195" i="1"/>
  <c r="Y195" i="1"/>
  <c r="X195" i="1" s="1"/>
  <c r="T195" i="1"/>
  <c r="Q195" i="1"/>
  <c r="O195" i="1"/>
  <c r="L195" i="1"/>
  <c r="K195" i="1"/>
  <c r="I195" i="1"/>
  <c r="AN194" i="1"/>
  <c r="AM194" i="1"/>
  <c r="AK194" i="1"/>
  <c r="AL194" i="1" s="1"/>
  <c r="AJ194" i="1"/>
  <c r="AH194" i="1" s="1"/>
  <c r="Z194" i="1"/>
  <c r="Y194" i="1"/>
  <c r="X194" i="1" s="1"/>
  <c r="Q194" i="1"/>
  <c r="O194" i="1"/>
  <c r="J194" i="1"/>
  <c r="I194" i="1" s="1"/>
  <c r="AN193" i="1"/>
  <c r="AM193" i="1"/>
  <c r="AK193" i="1"/>
  <c r="AJ193" i="1"/>
  <c r="AH193" i="1"/>
  <c r="Z193" i="1"/>
  <c r="Y193" i="1"/>
  <c r="X193" i="1"/>
  <c r="Q193" i="1"/>
  <c r="K193" i="1"/>
  <c r="AN192" i="1"/>
  <c r="AM192" i="1"/>
  <c r="AK192" i="1"/>
  <c r="AJ192" i="1"/>
  <c r="AH192" i="1" s="1"/>
  <c r="AI192" i="1"/>
  <c r="Z192" i="1"/>
  <c r="Y192" i="1"/>
  <c r="X192" i="1" s="1"/>
  <c r="Q192" i="1"/>
  <c r="K192" i="1"/>
  <c r="AN191" i="1"/>
  <c r="AM191" i="1"/>
  <c r="AL191" i="1"/>
  <c r="AK191" i="1"/>
  <c r="AJ191" i="1"/>
  <c r="AI191" i="1"/>
  <c r="AH191" i="1"/>
  <c r="J191" i="1" s="1"/>
  <c r="Z191" i="1"/>
  <c r="Y191" i="1"/>
  <c r="X191" i="1" s="1"/>
  <c r="T191" i="1"/>
  <c r="Q191" i="1"/>
  <c r="O191" i="1"/>
  <c r="L191" i="1"/>
  <c r="K191" i="1"/>
  <c r="I191" i="1"/>
  <c r="AN190" i="1"/>
  <c r="AM190" i="1"/>
  <c r="AK190" i="1"/>
  <c r="AL190" i="1" s="1"/>
  <c r="AJ190" i="1"/>
  <c r="AH190" i="1" s="1"/>
  <c r="Z190" i="1"/>
  <c r="Y190" i="1"/>
  <c r="X190" i="1" s="1"/>
  <c r="Q190" i="1"/>
  <c r="O190" i="1"/>
  <c r="J190" i="1"/>
  <c r="I190" i="1" s="1"/>
  <c r="AN189" i="1"/>
  <c r="AM189" i="1"/>
  <c r="AK189" i="1"/>
  <c r="AJ189" i="1"/>
  <c r="AH189" i="1"/>
  <c r="Z189" i="1"/>
  <c r="Y189" i="1"/>
  <c r="X189" i="1"/>
  <c r="Q189" i="1"/>
  <c r="AN188" i="1"/>
  <c r="AM188" i="1"/>
  <c r="AK188" i="1"/>
  <c r="AJ188" i="1"/>
  <c r="AH188" i="1" s="1"/>
  <c r="AI188" i="1"/>
  <c r="Z188" i="1"/>
  <c r="Y188" i="1"/>
  <c r="X188" i="1" s="1"/>
  <c r="Q188" i="1"/>
  <c r="AN187" i="1"/>
  <c r="AM187" i="1"/>
  <c r="AL187" i="1"/>
  <c r="AK187" i="1"/>
  <c r="AJ187" i="1"/>
  <c r="AI187" i="1"/>
  <c r="AH187" i="1"/>
  <c r="J187" i="1" s="1"/>
  <c r="I187" i="1" s="1"/>
  <c r="AB187" i="1" s="1"/>
  <c r="Z187" i="1"/>
  <c r="Y187" i="1"/>
  <c r="X187" i="1" s="1"/>
  <c r="T187" i="1"/>
  <c r="Q187" i="1"/>
  <c r="O187" i="1"/>
  <c r="L187" i="1"/>
  <c r="K187" i="1"/>
  <c r="AN186" i="1"/>
  <c r="AM186" i="1"/>
  <c r="AK186" i="1"/>
  <c r="AL186" i="1" s="1"/>
  <c r="AJ186" i="1"/>
  <c r="AH186" i="1" s="1"/>
  <c r="AI186" i="1"/>
  <c r="Z186" i="1"/>
  <c r="Y186" i="1"/>
  <c r="X186" i="1" s="1"/>
  <c r="Q186" i="1"/>
  <c r="O186" i="1"/>
  <c r="AN185" i="1"/>
  <c r="AM185" i="1"/>
  <c r="AK185" i="1"/>
  <c r="AL185" i="1" s="1"/>
  <c r="AJ185" i="1"/>
  <c r="AH185" i="1"/>
  <c r="Z185" i="1"/>
  <c r="Y185" i="1"/>
  <c r="X185" i="1"/>
  <c r="T185" i="1"/>
  <c r="Q185" i="1"/>
  <c r="L185" i="1"/>
  <c r="K185" i="1"/>
  <c r="AN184" i="1"/>
  <c r="AM184" i="1"/>
  <c r="AK184" i="1"/>
  <c r="AJ184" i="1"/>
  <c r="AH184" i="1" s="1"/>
  <c r="AI184" i="1" s="1"/>
  <c r="Z184" i="1"/>
  <c r="Y184" i="1"/>
  <c r="Q184" i="1"/>
  <c r="AN183" i="1"/>
  <c r="AM183" i="1"/>
  <c r="AK183" i="1"/>
  <c r="AJ183" i="1"/>
  <c r="AH183" i="1"/>
  <c r="J183" i="1" s="1"/>
  <c r="I183" i="1" s="1"/>
  <c r="Z183" i="1"/>
  <c r="Y183" i="1"/>
  <c r="X183" i="1" s="1"/>
  <c r="Q183" i="1"/>
  <c r="O183" i="1"/>
  <c r="L183" i="1"/>
  <c r="K183" i="1"/>
  <c r="AN182" i="1"/>
  <c r="AM182" i="1"/>
  <c r="AK182" i="1"/>
  <c r="AL182" i="1" s="1"/>
  <c r="AJ182" i="1"/>
  <c r="AH182" i="1" s="1"/>
  <c r="L182" i="1" s="1"/>
  <c r="AI182" i="1"/>
  <c r="Z182" i="1"/>
  <c r="Y182" i="1"/>
  <c r="X182" i="1" s="1"/>
  <c r="Q182" i="1"/>
  <c r="K182" i="1"/>
  <c r="J182" i="1"/>
  <c r="I182" i="1"/>
  <c r="AN181" i="1"/>
  <c r="AM181" i="1"/>
  <c r="AK181" i="1"/>
  <c r="AL181" i="1" s="1"/>
  <c r="AJ181" i="1"/>
  <c r="AI181" i="1"/>
  <c r="AH181" i="1"/>
  <c r="Z181" i="1"/>
  <c r="Y181" i="1"/>
  <c r="X181" i="1" s="1"/>
  <c r="Q181" i="1"/>
  <c r="O181" i="1"/>
  <c r="AN180" i="1"/>
  <c r="AM180" i="1"/>
  <c r="AK180" i="1"/>
  <c r="AJ180" i="1"/>
  <c r="AH180" i="1"/>
  <c r="L180" i="1" s="1"/>
  <c r="Z180" i="1"/>
  <c r="Y180" i="1"/>
  <c r="X180" i="1"/>
  <c r="Q180" i="1"/>
  <c r="O180" i="1"/>
  <c r="AN179" i="1"/>
  <c r="AM179" i="1"/>
  <c r="AL179" i="1"/>
  <c r="AK179" i="1"/>
  <c r="AJ179" i="1"/>
  <c r="AH179" i="1"/>
  <c r="J179" i="1" s="1"/>
  <c r="I179" i="1" s="1"/>
  <c r="Z179" i="1"/>
  <c r="Y179" i="1"/>
  <c r="X179" i="1"/>
  <c r="T179" i="1"/>
  <c r="Q179" i="1"/>
  <c r="O179" i="1"/>
  <c r="L179" i="1"/>
  <c r="K179" i="1"/>
  <c r="AN178" i="1"/>
  <c r="AM178" i="1"/>
  <c r="AK178" i="1"/>
  <c r="AJ178" i="1"/>
  <c r="AH178" i="1" s="1"/>
  <c r="AI178" i="1" s="1"/>
  <c r="Z178" i="1"/>
  <c r="Y178" i="1"/>
  <c r="Q178" i="1"/>
  <c r="K178" i="1"/>
  <c r="AN177" i="1"/>
  <c r="AM177" i="1"/>
  <c r="AK177" i="1"/>
  <c r="AL177" i="1" s="1"/>
  <c r="AJ177" i="1"/>
  <c r="AI177" i="1"/>
  <c r="AH177" i="1"/>
  <c r="Z177" i="1"/>
  <c r="Y177" i="1"/>
  <c r="X177" i="1"/>
  <c r="Q177" i="1"/>
  <c r="O177" i="1"/>
  <c r="AN176" i="1"/>
  <c r="AM176" i="1"/>
  <c r="AK176" i="1"/>
  <c r="AL176" i="1" s="1"/>
  <c r="AJ176" i="1"/>
  <c r="AH176" i="1"/>
  <c r="L176" i="1" s="1"/>
  <c r="Z176" i="1"/>
  <c r="Y176" i="1"/>
  <c r="X176" i="1"/>
  <c r="Q176" i="1"/>
  <c r="O176" i="1"/>
  <c r="AN175" i="1"/>
  <c r="AM175" i="1"/>
  <c r="AK175" i="1"/>
  <c r="T175" i="1" s="1"/>
  <c r="AJ175" i="1"/>
  <c r="AI175" i="1"/>
  <c r="AH175" i="1"/>
  <c r="J175" i="1" s="1"/>
  <c r="I175" i="1" s="1"/>
  <c r="Z175" i="1"/>
  <c r="Y175" i="1"/>
  <c r="X175" i="1" s="1"/>
  <c r="Q175" i="1"/>
  <c r="O175" i="1"/>
  <c r="L175" i="1"/>
  <c r="K175" i="1"/>
  <c r="AN174" i="1"/>
  <c r="AM174" i="1"/>
  <c r="AK174" i="1"/>
  <c r="AJ174" i="1"/>
  <c r="AH174" i="1" s="1"/>
  <c r="AI174" i="1" s="1"/>
  <c r="Z174" i="1"/>
  <c r="Y174" i="1"/>
  <c r="Q174" i="1"/>
  <c r="AN173" i="1"/>
  <c r="AM173" i="1"/>
  <c r="AK173" i="1"/>
  <c r="AL173" i="1" s="1"/>
  <c r="AJ173" i="1"/>
  <c r="AH173" i="1"/>
  <c r="AI173" i="1" s="1"/>
  <c r="Z173" i="1"/>
  <c r="Y173" i="1"/>
  <c r="X173" i="1"/>
  <c r="Q173" i="1"/>
  <c r="J173" i="1"/>
  <c r="I173" i="1" s="1"/>
  <c r="AN172" i="1"/>
  <c r="AM172" i="1"/>
  <c r="AK172" i="1"/>
  <c r="AJ172" i="1"/>
  <c r="AH172" i="1"/>
  <c r="Z172" i="1"/>
  <c r="Y172" i="1"/>
  <c r="X172" i="1"/>
  <c r="Q172" i="1"/>
  <c r="O172" i="1"/>
  <c r="AN171" i="1"/>
  <c r="AM171" i="1"/>
  <c r="AK171" i="1"/>
  <c r="T171" i="1" s="1"/>
  <c r="AJ171" i="1"/>
  <c r="AI171" i="1"/>
  <c r="AH171" i="1"/>
  <c r="J171" i="1" s="1"/>
  <c r="I171" i="1" s="1"/>
  <c r="AB171" i="1" s="1"/>
  <c r="Z171" i="1"/>
  <c r="Y171" i="1"/>
  <c r="X171" i="1" s="1"/>
  <c r="U171" i="1"/>
  <c r="V171" i="1" s="1"/>
  <c r="Q171" i="1"/>
  <c r="O171" i="1"/>
  <c r="L171" i="1"/>
  <c r="K171" i="1"/>
  <c r="AN170" i="1"/>
  <c r="AM170" i="1"/>
  <c r="AL170" i="1"/>
  <c r="AK170" i="1"/>
  <c r="AJ170" i="1"/>
  <c r="AH170" i="1" s="1"/>
  <c r="L170" i="1" s="1"/>
  <c r="Z170" i="1"/>
  <c r="Y170" i="1"/>
  <c r="T170" i="1"/>
  <c r="Q170" i="1"/>
  <c r="K170" i="1"/>
  <c r="AN169" i="1"/>
  <c r="AM169" i="1"/>
  <c r="AK169" i="1"/>
  <c r="AL169" i="1" s="1"/>
  <c r="AJ169" i="1"/>
  <c r="AH169" i="1"/>
  <c r="Z169" i="1"/>
  <c r="Y169" i="1"/>
  <c r="X169" i="1" s="1"/>
  <c r="Q169" i="1"/>
  <c r="AN168" i="1"/>
  <c r="AM168" i="1"/>
  <c r="AK168" i="1"/>
  <c r="AJ168" i="1"/>
  <c r="AH168" i="1"/>
  <c r="Z168" i="1"/>
  <c r="Y168" i="1"/>
  <c r="X168" i="1"/>
  <c r="Q168" i="1"/>
  <c r="O168" i="1"/>
  <c r="AN167" i="1"/>
  <c r="T167" i="1" s="1"/>
  <c r="AM167" i="1"/>
  <c r="AL167" i="1" s="1"/>
  <c r="AK167" i="1"/>
  <c r="AJ167" i="1"/>
  <c r="AI167" i="1"/>
  <c r="AH167" i="1"/>
  <c r="J167" i="1" s="1"/>
  <c r="I167" i="1" s="1"/>
  <c r="AB167" i="1"/>
  <c r="Z167" i="1"/>
  <c r="Y167" i="1"/>
  <c r="X167" i="1" s="1"/>
  <c r="U167" i="1"/>
  <c r="V167" i="1" s="1"/>
  <c r="Q167" i="1"/>
  <c r="O167" i="1"/>
  <c r="L167" i="1"/>
  <c r="K167" i="1"/>
  <c r="AN166" i="1"/>
  <c r="AM166" i="1"/>
  <c r="AL166" i="1"/>
  <c r="AK166" i="1"/>
  <c r="AJ166" i="1"/>
  <c r="AH166" i="1" s="1"/>
  <c r="O166" i="1" s="1"/>
  <c r="AI166" i="1"/>
  <c r="Z166" i="1"/>
  <c r="Y166" i="1"/>
  <c r="T166" i="1"/>
  <c r="Q166" i="1"/>
  <c r="L166" i="1"/>
  <c r="AN165" i="1"/>
  <c r="AM165" i="1"/>
  <c r="AK165" i="1"/>
  <c r="AJ165" i="1"/>
  <c r="AH165" i="1" s="1"/>
  <c r="K165" i="1" s="1"/>
  <c r="AI165" i="1"/>
  <c r="Z165" i="1"/>
  <c r="X165" i="1" s="1"/>
  <c r="Y165" i="1"/>
  <c r="Q165" i="1"/>
  <c r="AN164" i="1"/>
  <c r="AM164" i="1"/>
  <c r="AK164" i="1"/>
  <c r="AJ164" i="1"/>
  <c r="AI164" i="1"/>
  <c r="AH164" i="1"/>
  <c r="Z164" i="1"/>
  <c r="Y164" i="1"/>
  <c r="X164" i="1"/>
  <c r="Q164" i="1"/>
  <c r="AN163" i="1"/>
  <c r="AM163" i="1"/>
  <c r="AL163" i="1"/>
  <c r="AK163" i="1"/>
  <c r="AJ163" i="1"/>
  <c r="AI163" i="1"/>
  <c r="AH163" i="1"/>
  <c r="J163" i="1" s="1"/>
  <c r="AB163" i="1"/>
  <c r="Z163" i="1"/>
  <c r="Y163" i="1"/>
  <c r="X163" i="1" s="1"/>
  <c r="T163" i="1"/>
  <c r="Q163" i="1"/>
  <c r="O163" i="1"/>
  <c r="L163" i="1"/>
  <c r="K163" i="1"/>
  <c r="I163" i="1"/>
  <c r="AN162" i="1"/>
  <c r="AM162" i="1"/>
  <c r="AL162" i="1"/>
  <c r="AK162" i="1"/>
  <c r="AJ162" i="1"/>
  <c r="AH162" i="1" s="1"/>
  <c r="AI162" i="1" s="1"/>
  <c r="Z162" i="1"/>
  <c r="Y162" i="1"/>
  <c r="U162" i="1"/>
  <c r="V162" i="1" s="1"/>
  <c r="T162" i="1"/>
  <c r="Q162" i="1"/>
  <c r="O162" i="1"/>
  <c r="L162" i="1"/>
  <c r="K162" i="1"/>
  <c r="J162" i="1"/>
  <c r="I162" i="1" s="1"/>
  <c r="AN161" i="1"/>
  <c r="AM161" i="1"/>
  <c r="AL161" i="1" s="1"/>
  <c r="AK161" i="1"/>
  <c r="AJ161" i="1"/>
  <c r="AH161" i="1" s="1"/>
  <c r="AI161" i="1"/>
  <c r="Z161" i="1"/>
  <c r="Y161" i="1"/>
  <c r="X161" i="1"/>
  <c r="T161" i="1"/>
  <c r="Q161" i="1"/>
  <c r="AN160" i="1"/>
  <c r="AM160" i="1"/>
  <c r="AK160" i="1"/>
  <c r="AJ160" i="1"/>
  <c r="AH160" i="1"/>
  <c r="Z160" i="1"/>
  <c r="Y160" i="1"/>
  <c r="X160" i="1" s="1"/>
  <c r="Q160" i="1"/>
  <c r="AN159" i="1"/>
  <c r="AM159" i="1"/>
  <c r="AK159" i="1"/>
  <c r="AJ159" i="1"/>
  <c r="AI159" i="1"/>
  <c r="AH159" i="1"/>
  <c r="J159" i="1" s="1"/>
  <c r="Z159" i="1"/>
  <c r="Y159" i="1"/>
  <c r="X159" i="1" s="1"/>
  <c r="Q159" i="1"/>
  <c r="O159" i="1"/>
  <c r="L159" i="1"/>
  <c r="K159" i="1"/>
  <c r="I159" i="1"/>
  <c r="AN158" i="1"/>
  <c r="AM158" i="1"/>
  <c r="AK158" i="1"/>
  <c r="AL158" i="1" s="1"/>
  <c r="AJ158" i="1"/>
  <c r="AH158" i="1" s="1"/>
  <c r="J158" i="1" s="1"/>
  <c r="I158" i="1" s="1"/>
  <c r="AI158" i="1"/>
  <c r="Z158" i="1"/>
  <c r="Y158" i="1"/>
  <c r="X158" i="1" s="1"/>
  <c r="Q158" i="1"/>
  <c r="L158" i="1"/>
  <c r="K158" i="1"/>
  <c r="AN157" i="1"/>
  <c r="AM157" i="1"/>
  <c r="AL157" i="1" s="1"/>
  <c r="AK157" i="1"/>
  <c r="AJ157" i="1"/>
  <c r="AH157" i="1" s="1"/>
  <c r="L157" i="1" s="1"/>
  <c r="AI157" i="1"/>
  <c r="Z157" i="1"/>
  <c r="Y157" i="1"/>
  <c r="X157" i="1"/>
  <c r="T157" i="1"/>
  <c r="Q157" i="1"/>
  <c r="O157" i="1"/>
  <c r="K157" i="1"/>
  <c r="J157" i="1"/>
  <c r="I157" i="1" s="1"/>
  <c r="AN156" i="1"/>
  <c r="AM156" i="1"/>
  <c r="AK156" i="1"/>
  <c r="AJ156" i="1"/>
  <c r="AH156" i="1"/>
  <c r="Z156" i="1"/>
  <c r="Y156" i="1"/>
  <c r="X156" i="1" s="1"/>
  <c r="Q156" i="1"/>
  <c r="AN155" i="1"/>
  <c r="AM155" i="1"/>
  <c r="AK155" i="1"/>
  <c r="AJ155" i="1"/>
  <c r="AI155" i="1"/>
  <c r="AH155" i="1"/>
  <c r="J155" i="1" s="1"/>
  <c r="Z155" i="1"/>
  <c r="Y155" i="1"/>
  <c r="X155" i="1" s="1"/>
  <c r="Q155" i="1"/>
  <c r="O155" i="1"/>
  <c r="L155" i="1"/>
  <c r="I155" i="1"/>
  <c r="AN154" i="1"/>
  <c r="AM154" i="1"/>
  <c r="AK154" i="1"/>
  <c r="AL154" i="1" s="1"/>
  <c r="AJ154" i="1"/>
  <c r="AH154" i="1" s="1"/>
  <c r="L154" i="1" s="1"/>
  <c r="AI154" i="1"/>
  <c r="AB154" i="1"/>
  <c r="Z154" i="1"/>
  <c r="Y154" i="1"/>
  <c r="T154" i="1"/>
  <c r="Q154" i="1"/>
  <c r="O154" i="1"/>
  <c r="K154" i="1"/>
  <c r="J154" i="1"/>
  <c r="I154" i="1" s="1"/>
  <c r="AN153" i="1"/>
  <c r="T153" i="1" s="1"/>
  <c r="AM153" i="1"/>
  <c r="AL153" i="1"/>
  <c r="AK153" i="1"/>
  <c r="AJ153" i="1"/>
  <c r="AH153" i="1" s="1"/>
  <c r="Z153" i="1"/>
  <c r="Y153" i="1"/>
  <c r="X153" i="1"/>
  <c r="Q153" i="1"/>
  <c r="AN152" i="1"/>
  <c r="AM152" i="1"/>
  <c r="AK152" i="1"/>
  <c r="AL152" i="1" s="1"/>
  <c r="AJ152" i="1"/>
  <c r="AH152" i="1" s="1"/>
  <c r="Z152" i="1"/>
  <c r="Y152" i="1"/>
  <c r="X152" i="1"/>
  <c r="Q152" i="1"/>
  <c r="J152" i="1"/>
  <c r="I152" i="1" s="1"/>
  <c r="AB152" i="1" s="1"/>
  <c r="AN151" i="1"/>
  <c r="AM151" i="1"/>
  <c r="AL151" i="1"/>
  <c r="AK151" i="1"/>
  <c r="AJ151" i="1"/>
  <c r="AI151" i="1"/>
  <c r="AH151" i="1"/>
  <c r="Z151" i="1"/>
  <c r="Y151" i="1"/>
  <c r="X151" i="1" s="1"/>
  <c r="T151" i="1"/>
  <c r="Q151" i="1"/>
  <c r="L151" i="1"/>
  <c r="J151" i="1"/>
  <c r="I151" i="1"/>
  <c r="AN150" i="1"/>
  <c r="AM150" i="1"/>
  <c r="AK150" i="1"/>
  <c r="AL150" i="1" s="1"/>
  <c r="AJ150" i="1"/>
  <c r="AH150" i="1"/>
  <c r="AI150" i="1" s="1"/>
  <c r="Z150" i="1"/>
  <c r="X150" i="1" s="1"/>
  <c r="Y150" i="1"/>
  <c r="T150" i="1"/>
  <c r="Q150" i="1"/>
  <c r="K150" i="1"/>
  <c r="AN149" i="1"/>
  <c r="AM149" i="1"/>
  <c r="AL149" i="1"/>
  <c r="AK149" i="1"/>
  <c r="AJ149" i="1"/>
  <c r="AH149" i="1"/>
  <c r="Z149" i="1"/>
  <c r="X149" i="1" s="1"/>
  <c r="Y149" i="1"/>
  <c r="T149" i="1"/>
  <c r="Q149" i="1"/>
  <c r="AN148" i="1"/>
  <c r="AM148" i="1"/>
  <c r="AL148" i="1"/>
  <c r="AK148" i="1"/>
  <c r="T148" i="1" s="1"/>
  <c r="AJ148" i="1"/>
  <c r="AH148" i="1" s="1"/>
  <c r="Z148" i="1"/>
  <c r="X148" i="1" s="1"/>
  <c r="Y148" i="1"/>
  <c r="Q148" i="1"/>
  <c r="AN147" i="1"/>
  <c r="AM147" i="1"/>
  <c r="AK147" i="1"/>
  <c r="AJ147" i="1"/>
  <c r="AH147" i="1" s="1"/>
  <c r="Z147" i="1"/>
  <c r="Y147" i="1"/>
  <c r="X147" i="1" s="1"/>
  <c r="Q147" i="1"/>
  <c r="AN146" i="1"/>
  <c r="AM146" i="1"/>
  <c r="AK146" i="1"/>
  <c r="AJ146" i="1"/>
  <c r="AH146" i="1"/>
  <c r="J146" i="1" s="1"/>
  <c r="I146" i="1" s="1"/>
  <c r="Z146" i="1"/>
  <c r="Y146" i="1"/>
  <c r="X146" i="1"/>
  <c r="Q146" i="1"/>
  <c r="O146" i="1"/>
  <c r="K146" i="1"/>
  <c r="AN145" i="1"/>
  <c r="AM145" i="1"/>
  <c r="AK145" i="1"/>
  <c r="AJ145" i="1"/>
  <c r="AH145" i="1" s="1"/>
  <c r="AI145" i="1"/>
  <c r="Z145" i="1"/>
  <c r="Y145" i="1"/>
  <c r="X145" i="1" s="1"/>
  <c r="Q145" i="1"/>
  <c r="AN144" i="1"/>
  <c r="AM144" i="1"/>
  <c r="AK144" i="1"/>
  <c r="AJ144" i="1"/>
  <c r="AI144" i="1"/>
  <c r="AH144" i="1"/>
  <c r="Z144" i="1"/>
  <c r="Y144" i="1"/>
  <c r="X144" i="1" s="1"/>
  <c r="Q144" i="1"/>
  <c r="O144" i="1"/>
  <c r="L144" i="1"/>
  <c r="K144" i="1"/>
  <c r="J144" i="1"/>
  <c r="I144" i="1"/>
  <c r="AB144" i="1" s="1"/>
  <c r="AN143" i="1"/>
  <c r="AM143" i="1"/>
  <c r="AK143" i="1"/>
  <c r="AJ143" i="1"/>
  <c r="AH143" i="1" s="1"/>
  <c r="AI143" i="1" s="1"/>
  <c r="Z143" i="1"/>
  <c r="Y143" i="1"/>
  <c r="X143" i="1" s="1"/>
  <c r="Q143" i="1"/>
  <c r="AN142" i="1"/>
  <c r="AM142" i="1"/>
  <c r="AK142" i="1"/>
  <c r="AJ142" i="1"/>
  <c r="AH142" i="1"/>
  <c r="J142" i="1" s="1"/>
  <c r="I142" i="1" s="1"/>
  <c r="Z142" i="1"/>
  <c r="Y142" i="1"/>
  <c r="X142" i="1"/>
  <c r="Q142" i="1"/>
  <c r="O142" i="1"/>
  <c r="K142" i="1"/>
  <c r="AN141" i="1"/>
  <c r="AM141" i="1"/>
  <c r="AK141" i="1"/>
  <c r="AJ141" i="1"/>
  <c r="AH141" i="1" s="1"/>
  <c r="AI141" i="1"/>
  <c r="Z141" i="1"/>
  <c r="Y141" i="1"/>
  <c r="X141" i="1" s="1"/>
  <c r="Q141" i="1"/>
  <c r="AN140" i="1"/>
  <c r="AM140" i="1"/>
  <c r="AK140" i="1"/>
  <c r="AL140" i="1" s="1"/>
  <c r="AJ140" i="1"/>
  <c r="AH140" i="1" s="1"/>
  <c r="Z140" i="1"/>
  <c r="Y140" i="1"/>
  <c r="X140" i="1" s="1"/>
  <c r="T140" i="1"/>
  <c r="Q140" i="1"/>
  <c r="AN139" i="1"/>
  <c r="AM139" i="1"/>
  <c r="AK139" i="1"/>
  <c r="AJ139" i="1"/>
  <c r="AH139" i="1" s="1"/>
  <c r="L139" i="1" s="1"/>
  <c r="Z139" i="1"/>
  <c r="Y139" i="1"/>
  <c r="X139" i="1" s="1"/>
  <c r="Q139" i="1"/>
  <c r="K139" i="1"/>
  <c r="J139" i="1"/>
  <c r="I139" i="1" s="1"/>
  <c r="AN138" i="1"/>
  <c r="AM138" i="1"/>
  <c r="AL138" i="1"/>
  <c r="AK138" i="1"/>
  <c r="AJ138" i="1"/>
  <c r="AI138" i="1"/>
  <c r="AH138" i="1"/>
  <c r="J138" i="1" s="1"/>
  <c r="I138" i="1" s="1"/>
  <c r="Z138" i="1"/>
  <c r="Y138" i="1"/>
  <c r="X138" i="1" s="1"/>
  <c r="T138" i="1"/>
  <c r="Q138" i="1"/>
  <c r="O138" i="1"/>
  <c r="K138" i="1"/>
  <c r="AN137" i="1"/>
  <c r="T137" i="1" s="1"/>
  <c r="AM137" i="1"/>
  <c r="AL137" i="1" s="1"/>
  <c r="AK137" i="1"/>
  <c r="AJ137" i="1"/>
  <c r="AH137" i="1" s="1"/>
  <c r="L137" i="1" s="1"/>
  <c r="AI137" i="1"/>
  <c r="Z137" i="1"/>
  <c r="Y137" i="1"/>
  <c r="Q137" i="1"/>
  <c r="O137" i="1"/>
  <c r="K137" i="1"/>
  <c r="J137" i="1"/>
  <c r="I137" i="1" s="1"/>
  <c r="AB137" i="1" s="1"/>
  <c r="AN136" i="1"/>
  <c r="AM136" i="1"/>
  <c r="AK136" i="1"/>
  <c r="AL136" i="1" s="1"/>
  <c r="AJ136" i="1"/>
  <c r="AH136" i="1"/>
  <c r="Z136" i="1"/>
  <c r="Y136" i="1"/>
  <c r="X136" i="1"/>
  <c r="T136" i="1"/>
  <c r="Q136" i="1"/>
  <c r="AN135" i="1"/>
  <c r="AM135" i="1"/>
  <c r="AK135" i="1"/>
  <c r="AJ135" i="1"/>
  <c r="AH135" i="1" s="1"/>
  <c r="Z135" i="1"/>
  <c r="Y135" i="1"/>
  <c r="X135" i="1" s="1"/>
  <c r="Q135" i="1"/>
  <c r="AN134" i="1"/>
  <c r="T134" i="1" s="1"/>
  <c r="AM134" i="1"/>
  <c r="AL134" i="1" s="1"/>
  <c r="AK134" i="1"/>
  <c r="AJ134" i="1"/>
  <c r="AH134" i="1"/>
  <c r="K134" i="1" s="1"/>
  <c r="Z134" i="1"/>
  <c r="Y134" i="1"/>
  <c r="X134" i="1"/>
  <c r="Q134" i="1"/>
  <c r="AN133" i="1"/>
  <c r="AM133" i="1"/>
  <c r="AL133" i="1"/>
  <c r="AK133" i="1"/>
  <c r="AJ133" i="1"/>
  <c r="AH133" i="1" s="1"/>
  <c r="K133" i="1" s="1"/>
  <c r="Z133" i="1"/>
  <c r="Y133" i="1"/>
  <c r="X133" i="1" s="1"/>
  <c r="T133" i="1"/>
  <c r="Q133" i="1"/>
  <c r="L133" i="1"/>
  <c r="AN132" i="1"/>
  <c r="AM132" i="1"/>
  <c r="AL132" i="1"/>
  <c r="AK132" i="1"/>
  <c r="AJ132" i="1"/>
  <c r="AH132" i="1" s="1"/>
  <c r="Z132" i="1"/>
  <c r="Y132" i="1"/>
  <c r="T132" i="1"/>
  <c r="Q132" i="1"/>
  <c r="AN131" i="1"/>
  <c r="AM131" i="1"/>
  <c r="AK131" i="1"/>
  <c r="AL131" i="1" s="1"/>
  <c r="AJ131" i="1"/>
  <c r="AH131" i="1"/>
  <c r="Z131" i="1"/>
  <c r="Y131" i="1"/>
  <c r="X131" i="1"/>
  <c r="Q131" i="1"/>
  <c r="O131" i="1"/>
  <c r="AN130" i="1"/>
  <c r="T130" i="1" s="1"/>
  <c r="AM130" i="1"/>
  <c r="AL130" i="1" s="1"/>
  <c r="AK130" i="1"/>
  <c r="AJ130" i="1"/>
  <c r="AH130" i="1"/>
  <c r="K130" i="1" s="1"/>
  <c r="Z130" i="1"/>
  <c r="Y130" i="1"/>
  <c r="X130" i="1"/>
  <c r="Q130" i="1"/>
  <c r="AN129" i="1"/>
  <c r="AM129" i="1"/>
  <c r="AK129" i="1"/>
  <c r="AJ129" i="1"/>
  <c r="AH129" i="1" s="1"/>
  <c r="Z129" i="1"/>
  <c r="Y129" i="1"/>
  <c r="X129" i="1" s="1"/>
  <c r="Q129" i="1"/>
  <c r="L129" i="1"/>
  <c r="K129" i="1"/>
  <c r="AN128" i="1"/>
  <c r="AM128" i="1"/>
  <c r="AL128" i="1"/>
  <c r="AK128" i="1"/>
  <c r="AJ128" i="1"/>
  <c r="AH128" i="1" s="1"/>
  <c r="AI128" i="1"/>
  <c r="Z128" i="1"/>
  <c r="Y128" i="1"/>
  <c r="X128" i="1" s="1"/>
  <c r="T128" i="1"/>
  <c r="Q128" i="1"/>
  <c r="J128" i="1"/>
  <c r="I128" i="1" s="1"/>
  <c r="AN127" i="1"/>
  <c r="AM127" i="1"/>
  <c r="AK127" i="1"/>
  <c r="AL127" i="1" s="1"/>
  <c r="AJ127" i="1"/>
  <c r="AH127" i="1"/>
  <c r="Z127" i="1"/>
  <c r="Y127" i="1"/>
  <c r="X127" i="1"/>
  <c r="Q127" i="1"/>
  <c r="O127" i="1"/>
  <c r="AN126" i="1"/>
  <c r="T126" i="1" s="1"/>
  <c r="AM126" i="1"/>
  <c r="AL126" i="1" s="1"/>
  <c r="AK126" i="1"/>
  <c r="AJ126" i="1"/>
  <c r="AH126" i="1"/>
  <c r="K126" i="1" s="1"/>
  <c r="Z126" i="1"/>
  <c r="Y126" i="1"/>
  <c r="X126" i="1"/>
  <c r="Q126" i="1"/>
  <c r="AN125" i="1"/>
  <c r="AM125" i="1"/>
  <c r="AL125" i="1"/>
  <c r="AK125" i="1"/>
  <c r="AJ125" i="1"/>
  <c r="AH125" i="1" s="1"/>
  <c r="Z125" i="1"/>
  <c r="Y125" i="1"/>
  <c r="X125" i="1" s="1"/>
  <c r="T125" i="1"/>
  <c r="Q125" i="1"/>
  <c r="L125" i="1"/>
  <c r="AN124" i="1"/>
  <c r="AM124" i="1"/>
  <c r="AL124" i="1"/>
  <c r="AK124" i="1"/>
  <c r="AJ124" i="1"/>
  <c r="AH124" i="1" s="1"/>
  <c r="AI124" i="1" s="1"/>
  <c r="Z124" i="1"/>
  <c r="Y124" i="1"/>
  <c r="T124" i="1"/>
  <c r="Q124" i="1"/>
  <c r="AN123" i="1"/>
  <c r="AM123" i="1"/>
  <c r="AK123" i="1"/>
  <c r="AL123" i="1" s="1"/>
  <c r="AJ123" i="1"/>
  <c r="AH123" i="1"/>
  <c r="Z123" i="1"/>
  <c r="Y123" i="1"/>
  <c r="X123" i="1"/>
  <c r="Q123" i="1"/>
  <c r="O123" i="1"/>
  <c r="AN122" i="1"/>
  <c r="T122" i="1" s="1"/>
  <c r="AM122" i="1"/>
  <c r="AL122" i="1" s="1"/>
  <c r="AK122" i="1"/>
  <c r="AJ122" i="1"/>
  <c r="AH122" i="1"/>
  <c r="K122" i="1" s="1"/>
  <c r="Z122" i="1"/>
  <c r="Y122" i="1"/>
  <c r="X122" i="1"/>
  <c r="Q122" i="1"/>
  <c r="AN121" i="1"/>
  <c r="AM121" i="1"/>
  <c r="AK121" i="1"/>
  <c r="T121" i="1" s="1"/>
  <c r="AJ121" i="1"/>
  <c r="AH121" i="1" s="1"/>
  <c r="Z121" i="1"/>
  <c r="Y121" i="1"/>
  <c r="X121" i="1" s="1"/>
  <c r="Q121" i="1"/>
  <c r="L121" i="1"/>
  <c r="K121" i="1"/>
  <c r="AN120" i="1"/>
  <c r="AM120" i="1"/>
  <c r="AL120" i="1"/>
  <c r="AK120" i="1"/>
  <c r="AJ120" i="1"/>
  <c r="AH120" i="1" s="1"/>
  <c r="AI120" i="1"/>
  <c r="Z120" i="1"/>
  <c r="Y120" i="1"/>
  <c r="X120" i="1" s="1"/>
  <c r="T120" i="1"/>
  <c r="Q120" i="1"/>
  <c r="AN119" i="1"/>
  <c r="AM119" i="1"/>
  <c r="AK119" i="1"/>
  <c r="AL119" i="1" s="1"/>
  <c r="AJ119" i="1"/>
  <c r="AH119" i="1"/>
  <c r="Z119" i="1"/>
  <c r="Y119" i="1"/>
  <c r="X119" i="1"/>
  <c r="Q119" i="1"/>
  <c r="O119" i="1"/>
  <c r="AN118" i="1"/>
  <c r="T118" i="1" s="1"/>
  <c r="AM118" i="1"/>
  <c r="AL118" i="1" s="1"/>
  <c r="AK118" i="1"/>
  <c r="AJ118" i="1"/>
  <c r="AH118" i="1"/>
  <c r="K118" i="1" s="1"/>
  <c r="Z118" i="1"/>
  <c r="Y118" i="1"/>
  <c r="X118" i="1"/>
  <c r="Q118" i="1"/>
  <c r="AN117" i="1"/>
  <c r="AM117" i="1"/>
  <c r="AK117" i="1"/>
  <c r="AL117" i="1" s="1"/>
  <c r="AJ117" i="1"/>
  <c r="AH117" i="1" s="1"/>
  <c r="Z117" i="1"/>
  <c r="Y117" i="1"/>
  <c r="X117" i="1" s="1"/>
  <c r="T117" i="1"/>
  <c r="Q117" i="1"/>
  <c r="J117" i="1"/>
  <c r="I117" i="1" s="1"/>
  <c r="AB117" i="1" s="1"/>
  <c r="AN116" i="1"/>
  <c r="AM116" i="1"/>
  <c r="AL116" i="1"/>
  <c r="AK116" i="1"/>
  <c r="AJ116" i="1"/>
  <c r="AH116" i="1" s="1"/>
  <c r="Z116" i="1"/>
  <c r="Y116" i="1"/>
  <c r="X116" i="1"/>
  <c r="T116" i="1"/>
  <c r="Q116" i="1"/>
  <c r="AN115" i="1"/>
  <c r="AM115" i="1"/>
  <c r="AK115" i="1"/>
  <c r="AL115" i="1" s="1"/>
  <c r="AJ115" i="1"/>
  <c r="AH115" i="1" s="1"/>
  <c r="Z115" i="1"/>
  <c r="Y115" i="1"/>
  <c r="X115" i="1"/>
  <c r="Q115" i="1"/>
  <c r="AN114" i="1"/>
  <c r="T114" i="1" s="1"/>
  <c r="AM114" i="1"/>
  <c r="AK114" i="1"/>
  <c r="AL114" i="1" s="1"/>
  <c r="AJ114" i="1"/>
  <c r="AH114" i="1"/>
  <c r="K114" i="1" s="1"/>
  <c r="Z114" i="1"/>
  <c r="Y114" i="1"/>
  <c r="X114" i="1"/>
  <c r="Q114" i="1"/>
  <c r="L114" i="1"/>
  <c r="AN113" i="1"/>
  <c r="AM113" i="1"/>
  <c r="AL113" i="1"/>
  <c r="AK113" i="1"/>
  <c r="AJ113" i="1"/>
  <c r="AH113" i="1" s="1"/>
  <c r="O113" i="1" s="1"/>
  <c r="AI113" i="1"/>
  <c r="Z113" i="1"/>
  <c r="Y113" i="1"/>
  <c r="T113" i="1"/>
  <c r="Q113" i="1"/>
  <c r="L113" i="1"/>
  <c r="J113" i="1"/>
  <c r="I113" i="1" s="1"/>
  <c r="AN112" i="1"/>
  <c r="AM112" i="1"/>
  <c r="AK112" i="1"/>
  <c r="AL112" i="1" s="1"/>
  <c r="AJ112" i="1"/>
  <c r="AH112" i="1"/>
  <c r="Z112" i="1"/>
  <c r="Y112" i="1"/>
  <c r="X112" i="1"/>
  <c r="Q112" i="1"/>
  <c r="AN111" i="1"/>
  <c r="T111" i="1" s="1"/>
  <c r="AM111" i="1"/>
  <c r="AL111" i="1"/>
  <c r="AK111" i="1"/>
  <c r="AJ111" i="1"/>
  <c r="AH111" i="1"/>
  <c r="L111" i="1" s="1"/>
  <c r="Z111" i="1"/>
  <c r="Y111" i="1"/>
  <c r="X111" i="1"/>
  <c r="Q111" i="1"/>
  <c r="AN110" i="1"/>
  <c r="AM110" i="1"/>
  <c r="AL110" i="1"/>
  <c r="AK110" i="1"/>
  <c r="AJ110" i="1"/>
  <c r="AH110" i="1" s="1"/>
  <c r="Z110" i="1"/>
  <c r="Y110" i="1"/>
  <c r="X110" i="1" s="1"/>
  <c r="T110" i="1"/>
  <c r="Q110" i="1"/>
  <c r="L110" i="1"/>
  <c r="AN109" i="1"/>
  <c r="AM109" i="1"/>
  <c r="AL109" i="1" s="1"/>
  <c r="AK109" i="1"/>
  <c r="AJ109" i="1"/>
  <c r="AH109" i="1" s="1"/>
  <c r="Z109" i="1"/>
  <c r="X109" i="1" s="1"/>
  <c r="Y109" i="1"/>
  <c r="T109" i="1"/>
  <c r="Q109" i="1"/>
  <c r="AN108" i="1"/>
  <c r="AM108" i="1"/>
  <c r="AK108" i="1"/>
  <c r="AL108" i="1" s="1"/>
  <c r="AJ108" i="1"/>
  <c r="AH108" i="1"/>
  <c r="Z108" i="1"/>
  <c r="Y108" i="1"/>
  <c r="X108" i="1"/>
  <c r="Q108" i="1"/>
  <c r="AN107" i="1"/>
  <c r="T107" i="1" s="1"/>
  <c r="AM107" i="1"/>
  <c r="AK107" i="1"/>
  <c r="AL107" i="1" s="1"/>
  <c r="AJ107" i="1"/>
  <c r="AH107" i="1"/>
  <c r="L107" i="1" s="1"/>
  <c r="Z107" i="1"/>
  <c r="Y107" i="1"/>
  <c r="X107" i="1" s="1"/>
  <c r="Q107" i="1"/>
  <c r="AN106" i="1"/>
  <c r="AM106" i="1"/>
  <c r="AL106" i="1"/>
  <c r="AK106" i="1"/>
  <c r="AJ106" i="1"/>
  <c r="AH106" i="1" s="1"/>
  <c r="Z106" i="1"/>
  <c r="Y106" i="1"/>
  <c r="X106" i="1" s="1"/>
  <c r="T106" i="1"/>
  <c r="Q106" i="1"/>
  <c r="AN105" i="1"/>
  <c r="AM105" i="1"/>
  <c r="AL105" i="1" s="1"/>
  <c r="AK105" i="1"/>
  <c r="AJ105" i="1"/>
  <c r="AH105" i="1" s="1"/>
  <c r="Z105" i="1"/>
  <c r="X105" i="1" s="1"/>
  <c r="Y105" i="1"/>
  <c r="T105" i="1"/>
  <c r="Q105" i="1"/>
  <c r="AN104" i="1"/>
  <c r="AM104" i="1"/>
  <c r="AK104" i="1"/>
  <c r="AJ104" i="1"/>
  <c r="AH104" i="1"/>
  <c r="Z104" i="1"/>
  <c r="Y104" i="1"/>
  <c r="X104" i="1"/>
  <c r="Q104" i="1"/>
  <c r="K104" i="1"/>
  <c r="AN103" i="1"/>
  <c r="AM103" i="1"/>
  <c r="AK103" i="1"/>
  <c r="AL103" i="1" s="1"/>
  <c r="AJ103" i="1"/>
  <c r="AI103" i="1"/>
  <c r="AH103" i="1"/>
  <c r="L103" i="1" s="1"/>
  <c r="Z103" i="1"/>
  <c r="Y103" i="1"/>
  <c r="X103" i="1" s="1"/>
  <c r="Q103" i="1"/>
  <c r="AN102" i="1"/>
  <c r="AM102" i="1"/>
  <c r="AL102" i="1"/>
  <c r="AK102" i="1"/>
  <c r="AJ102" i="1"/>
  <c r="AH102" i="1" s="1"/>
  <c r="Z102" i="1"/>
  <c r="Y102" i="1"/>
  <c r="X102" i="1" s="1"/>
  <c r="T102" i="1"/>
  <c r="Q102" i="1"/>
  <c r="O102" i="1"/>
  <c r="L102" i="1"/>
  <c r="AN101" i="1"/>
  <c r="AM101" i="1"/>
  <c r="AL101" i="1" s="1"/>
  <c r="AK101" i="1"/>
  <c r="AJ101" i="1"/>
  <c r="AH101" i="1" s="1"/>
  <c r="AB101" i="1"/>
  <c r="Z101" i="1"/>
  <c r="Y101" i="1"/>
  <c r="T101" i="1"/>
  <c r="Q101" i="1"/>
  <c r="L101" i="1"/>
  <c r="J101" i="1"/>
  <c r="I101" i="1" s="1"/>
  <c r="U101" i="1" s="1"/>
  <c r="V101" i="1" s="1"/>
  <c r="AN100" i="1"/>
  <c r="AM100" i="1"/>
  <c r="AK100" i="1"/>
  <c r="AJ100" i="1"/>
  <c r="AH100" i="1" s="1"/>
  <c r="Z100" i="1"/>
  <c r="X100" i="1" s="1"/>
  <c r="Y100" i="1"/>
  <c r="Q100" i="1"/>
  <c r="AN99" i="1"/>
  <c r="AM99" i="1"/>
  <c r="AK99" i="1"/>
  <c r="AJ99" i="1"/>
  <c r="AI99" i="1"/>
  <c r="AH99" i="1"/>
  <c r="Z99" i="1"/>
  <c r="Y99" i="1"/>
  <c r="X99" i="1"/>
  <c r="Q99" i="1"/>
  <c r="K99" i="1"/>
  <c r="AN98" i="1"/>
  <c r="AM98" i="1"/>
  <c r="AL98" i="1"/>
  <c r="AK98" i="1"/>
  <c r="AJ98" i="1"/>
  <c r="AH98" i="1" s="1"/>
  <c r="O98" i="1" s="1"/>
  <c r="Z98" i="1"/>
  <c r="Y98" i="1"/>
  <c r="X98" i="1" s="1"/>
  <c r="T98" i="1"/>
  <c r="Q98" i="1"/>
  <c r="L98" i="1"/>
  <c r="J98" i="1"/>
  <c r="I98" i="1"/>
  <c r="AN97" i="1"/>
  <c r="AM97" i="1"/>
  <c r="AL97" i="1"/>
  <c r="AK97" i="1"/>
  <c r="AJ97" i="1"/>
  <c r="AH97" i="1"/>
  <c r="K97" i="1" s="1"/>
  <c r="Z97" i="1"/>
  <c r="Y97" i="1"/>
  <c r="X97" i="1"/>
  <c r="T97" i="1"/>
  <c r="Q97" i="1"/>
  <c r="J97" i="1"/>
  <c r="I97" i="1"/>
  <c r="AN96" i="1"/>
  <c r="AM96" i="1"/>
  <c r="AK96" i="1"/>
  <c r="AJ96" i="1"/>
  <c r="AH96" i="1"/>
  <c r="Z96" i="1"/>
  <c r="X96" i="1" s="1"/>
  <c r="Y96" i="1"/>
  <c r="Q96" i="1"/>
  <c r="K96" i="1"/>
  <c r="J96" i="1"/>
  <c r="I96" i="1" s="1"/>
  <c r="AN95" i="1"/>
  <c r="AM95" i="1"/>
  <c r="AK95" i="1"/>
  <c r="AL95" i="1" s="1"/>
  <c r="AJ95" i="1"/>
  <c r="AH95" i="1"/>
  <c r="Z95" i="1"/>
  <c r="Y95" i="1"/>
  <c r="X95" i="1"/>
  <c r="Q95" i="1"/>
  <c r="O95" i="1"/>
  <c r="AN94" i="1"/>
  <c r="AM94" i="1"/>
  <c r="AL94" i="1"/>
  <c r="AK94" i="1"/>
  <c r="AJ94" i="1"/>
  <c r="AH94" i="1" s="1"/>
  <c r="Z94" i="1"/>
  <c r="Y94" i="1"/>
  <c r="X94" i="1" s="1"/>
  <c r="T94" i="1"/>
  <c r="Q94" i="1"/>
  <c r="L94" i="1"/>
  <c r="AN93" i="1"/>
  <c r="AM93" i="1"/>
  <c r="AK93" i="1"/>
  <c r="AL93" i="1" s="1"/>
  <c r="AJ93" i="1"/>
  <c r="AH93" i="1" s="1"/>
  <c r="Z93" i="1"/>
  <c r="Y93" i="1"/>
  <c r="Q93" i="1"/>
  <c r="J93" i="1"/>
  <c r="I93" i="1" s="1"/>
  <c r="AB93" i="1" s="1"/>
  <c r="AN92" i="1"/>
  <c r="AM92" i="1"/>
  <c r="AK92" i="1"/>
  <c r="AL92" i="1" s="1"/>
  <c r="AJ92" i="1"/>
  <c r="AH92" i="1"/>
  <c r="Z92" i="1"/>
  <c r="Y92" i="1"/>
  <c r="X92" i="1"/>
  <c r="Q92" i="1"/>
  <c r="AN91" i="1"/>
  <c r="AM91" i="1"/>
  <c r="AK91" i="1"/>
  <c r="AL91" i="1" s="1"/>
  <c r="AJ91" i="1"/>
  <c r="AI91" i="1"/>
  <c r="AH91" i="1"/>
  <c r="L91" i="1" s="1"/>
  <c r="Z91" i="1"/>
  <c r="Y91" i="1"/>
  <c r="X91" i="1" s="1"/>
  <c r="Q91" i="1"/>
  <c r="O91" i="1"/>
  <c r="K91" i="1"/>
  <c r="AN90" i="1"/>
  <c r="AM90" i="1"/>
  <c r="AL90" i="1"/>
  <c r="AK90" i="1"/>
  <c r="AJ90" i="1"/>
  <c r="AH90" i="1" s="1"/>
  <c r="Z90" i="1"/>
  <c r="Y90" i="1"/>
  <c r="X90" i="1" s="1"/>
  <c r="T90" i="1"/>
  <c r="Q90" i="1"/>
  <c r="AN89" i="1"/>
  <c r="AM89" i="1"/>
  <c r="AK89" i="1"/>
  <c r="AL89" i="1" s="1"/>
  <c r="AJ89" i="1"/>
  <c r="AH89" i="1" s="1"/>
  <c r="Z89" i="1"/>
  <c r="Y89" i="1"/>
  <c r="Q89" i="1"/>
  <c r="AN88" i="1"/>
  <c r="AM88" i="1"/>
  <c r="AK88" i="1"/>
  <c r="AL88" i="1" s="1"/>
  <c r="AJ88" i="1"/>
  <c r="AH88" i="1"/>
  <c r="Z88" i="1"/>
  <c r="Y88" i="1"/>
  <c r="X88" i="1"/>
  <c r="Q88" i="1"/>
  <c r="AN87" i="1"/>
  <c r="AM87" i="1"/>
  <c r="AK87" i="1"/>
  <c r="AL87" i="1" s="1"/>
  <c r="AJ87" i="1"/>
  <c r="AI87" i="1"/>
  <c r="AH87" i="1"/>
  <c r="L87" i="1" s="1"/>
  <c r="Z87" i="1"/>
  <c r="Y87" i="1"/>
  <c r="X87" i="1" s="1"/>
  <c r="Q87" i="1"/>
  <c r="O87" i="1"/>
  <c r="K87" i="1"/>
  <c r="AN86" i="1"/>
  <c r="AM86" i="1"/>
  <c r="AL86" i="1"/>
  <c r="AK86" i="1"/>
  <c r="AJ86" i="1"/>
  <c r="AH86" i="1" s="1"/>
  <c r="Z86" i="1"/>
  <c r="Y86" i="1"/>
  <c r="X86" i="1" s="1"/>
  <c r="T86" i="1"/>
  <c r="Q86" i="1"/>
  <c r="L86" i="1"/>
  <c r="AN85" i="1"/>
  <c r="AM85" i="1"/>
  <c r="AK85" i="1"/>
  <c r="AL85" i="1" s="1"/>
  <c r="AJ85" i="1"/>
  <c r="AH85" i="1" s="1"/>
  <c r="Z85" i="1"/>
  <c r="Y85" i="1"/>
  <c r="Q85" i="1"/>
  <c r="J85" i="1"/>
  <c r="I85" i="1" s="1"/>
  <c r="AB85" i="1" s="1"/>
  <c r="AN84" i="1"/>
  <c r="AM84" i="1"/>
  <c r="AK84" i="1"/>
  <c r="AL84" i="1" s="1"/>
  <c r="AJ84" i="1"/>
  <c r="AH84" i="1"/>
  <c r="Z84" i="1"/>
  <c r="Y84" i="1"/>
  <c r="X84" i="1"/>
  <c r="Q84" i="1"/>
  <c r="AN83" i="1"/>
  <c r="AM83" i="1"/>
  <c r="AK83" i="1"/>
  <c r="AL83" i="1" s="1"/>
  <c r="AJ83" i="1"/>
  <c r="AH83" i="1" s="1"/>
  <c r="Z83" i="1"/>
  <c r="Y83" i="1"/>
  <c r="X83" i="1" s="1"/>
  <c r="Q83" i="1"/>
  <c r="AN82" i="1"/>
  <c r="AM82" i="1"/>
  <c r="AL82" i="1"/>
  <c r="AK82" i="1"/>
  <c r="AJ82" i="1"/>
  <c r="AI82" i="1"/>
  <c r="AH82" i="1"/>
  <c r="J82" i="1" s="1"/>
  <c r="I82" i="1" s="1"/>
  <c r="AB82" i="1"/>
  <c r="Z82" i="1"/>
  <c r="Y82" i="1"/>
  <c r="X82" i="1" s="1"/>
  <c r="T82" i="1"/>
  <c r="Q82" i="1"/>
  <c r="O82" i="1"/>
  <c r="L82" i="1"/>
  <c r="K82" i="1"/>
  <c r="AN81" i="1"/>
  <c r="AM81" i="1"/>
  <c r="AK81" i="1"/>
  <c r="AL81" i="1" s="1"/>
  <c r="AJ81" i="1"/>
  <c r="AH81" i="1" s="1"/>
  <c r="Z81" i="1"/>
  <c r="Y81" i="1"/>
  <c r="Q81" i="1"/>
  <c r="AN80" i="1"/>
  <c r="AM80" i="1"/>
  <c r="AK80" i="1"/>
  <c r="AL80" i="1" s="1"/>
  <c r="AJ80" i="1"/>
  <c r="AH80" i="1"/>
  <c r="Z80" i="1"/>
  <c r="Y80" i="1"/>
  <c r="X80" i="1"/>
  <c r="Q80" i="1"/>
  <c r="AN79" i="1"/>
  <c r="AM79" i="1"/>
  <c r="AK79" i="1"/>
  <c r="AL79" i="1" s="1"/>
  <c r="AJ79" i="1"/>
  <c r="AH79" i="1" s="1"/>
  <c r="Z79" i="1"/>
  <c r="Y79" i="1"/>
  <c r="X79" i="1" s="1"/>
  <c r="Q79" i="1"/>
  <c r="AN78" i="1"/>
  <c r="AM78" i="1"/>
  <c r="AL78" i="1"/>
  <c r="AK78" i="1"/>
  <c r="AJ78" i="1"/>
  <c r="AI78" i="1"/>
  <c r="AH78" i="1"/>
  <c r="J78" i="1" s="1"/>
  <c r="I78" i="1" s="1"/>
  <c r="AB78" i="1"/>
  <c r="Z78" i="1"/>
  <c r="Y78" i="1"/>
  <c r="X78" i="1" s="1"/>
  <c r="T78" i="1"/>
  <c r="Q78" i="1"/>
  <c r="O78" i="1"/>
  <c r="L78" i="1"/>
  <c r="K78" i="1"/>
  <c r="AN77" i="1"/>
  <c r="AM77" i="1"/>
  <c r="AK77" i="1"/>
  <c r="AL77" i="1" s="1"/>
  <c r="AJ77" i="1"/>
  <c r="AH77" i="1" s="1"/>
  <c r="Z77" i="1"/>
  <c r="Y77" i="1"/>
  <c r="Q77" i="1"/>
  <c r="J77" i="1"/>
  <c r="I77" i="1" s="1"/>
  <c r="AB77" i="1" s="1"/>
  <c r="AN76" i="1"/>
  <c r="AM76" i="1"/>
  <c r="AK76" i="1"/>
  <c r="AL76" i="1" s="1"/>
  <c r="AJ76" i="1"/>
  <c r="AH76" i="1"/>
  <c r="Z76" i="1"/>
  <c r="Y76" i="1"/>
  <c r="X76" i="1"/>
  <c r="Q76" i="1"/>
  <c r="AN75" i="1"/>
  <c r="AM75" i="1"/>
  <c r="AK75" i="1"/>
  <c r="AL75" i="1" s="1"/>
  <c r="AJ75" i="1"/>
  <c r="AH75" i="1" s="1"/>
  <c r="Z75" i="1"/>
  <c r="Y75" i="1"/>
  <c r="X75" i="1" s="1"/>
  <c r="Q75" i="1"/>
  <c r="AN74" i="1"/>
  <c r="AM74" i="1"/>
  <c r="AL74" i="1"/>
  <c r="AK74" i="1"/>
  <c r="AJ74" i="1"/>
  <c r="AI74" i="1"/>
  <c r="AH74" i="1"/>
  <c r="J74" i="1" s="1"/>
  <c r="I74" i="1" s="1"/>
  <c r="AB74" i="1" s="1"/>
  <c r="Z74" i="1"/>
  <c r="Y74" i="1"/>
  <c r="X74" i="1" s="1"/>
  <c r="T74" i="1"/>
  <c r="Q74" i="1"/>
  <c r="O74" i="1"/>
  <c r="L74" i="1"/>
  <c r="K74" i="1"/>
  <c r="AN73" i="1"/>
  <c r="AM73" i="1"/>
  <c r="AK73" i="1"/>
  <c r="AL73" i="1" s="1"/>
  <c r="AJ73" i="1"/>
  <c r="AH73" i="1" s="1"/>
  <c r="Z73" i="1"/>
  <c r="Y73" i="1"/>
  <c r="Q73" i="1"/>
  <c r="AN72" i="1"/>
  <c r="AM72" i="1"/>
  <c r="AK72" i="1"/>
  <c r="AL72" i="1" s="1"/>
  <c r="AJ72" i="1"/>
  <c r="AH72" i="1"/>
  <c r="Z72" i="1"/>
  <c r="Y72" i="1"/>
  <c r="X72" i="1"/>
  <c r="Q72" i="1"/>
  <c r="AN71" i="1"/>
  <c r="AM71" i="1"/>
  <c r="AK71" i="1"/>
  <c r="AL71" i="1" s="1"/>
  <c r="AJ71" i="1"/>
  <c r="AH71" i="1" s="1"/>
  <c r="Z71" i="1"/>
  <c r="Y71" i="1"/>
  <c r="X71" i="1" s="1"/>
  <c r="Q71" i="1"/>
  <c r="AN70" i="1"/>
  <c r="AM70" i="1"/>
  <c r="AL70" i="1"/>
  <c r="AK70" i="1"/>
  <c r="AJ70" i="1"/>
  <c r="AI70" i="1"/>
  <c r="AH70" i="1"/>
  <c r="AB70" i="1"/>
  <c r="Z70" i="1"/>
  <c r="Y70" i="1"/>
  <c r="X70" i="1" s="1"/>
  <c r="T70" i="1"/>
  <c r="Q70" i="1"/>
  <c r="O70" i="1"/>
  <c r="L70" i="1"/>
  <c r="K70" i="1"/>
  <c r="J70" i="1"/>
  <c r="I70" i="1"/>
  <c r="AN69" i="1"/>
  <c r="AM69" i="1"/>
  <c r="AK69" i="1"/>
  <c r="AL69" i="1" s="1"/>
  <c r="AJ69" i="1"/>
  <c r="AH69" i="1" s="1"/>
  <c r="Z69" i="1"/>
  <c r="Y69" i="1"/>
  <c r="X69" i="1" s="1"/>
  <c r="Q69" i="1"/>
  <c r="K69" i="1"/>
  <c r="AN68" i="1"/>
  <c r="AM68" i="1"/>
  <c r="AK68" i="1"/>
  <c r="AL68" i="1" s="1"/>
  <c r="AJ68" i="1"/>
  <c r="AI68" i="1"/>
  <c r="AH68" i="1"/>
  <c r="Z68" i="1"/>
  <c r="Y68" i="1"/>
  <c r="X68" i="1"/>
  <c r="Q68" i="1"/>
  <c r="AN67" i="1"/>
  <c r="AM67" i="1"/>
  <c r="AK67" i="1"/>
  <c r="AL67" i="1" s="1"/>
  <c r="AJ67" i="1"/>
  <c r="AH67" i="1" s="1"/>
  <c r="Z67" i="1"/>
  <c r="Y67" i="1"/>
  <c r="X67" i="1" s="1"/>
  <c r="Q67" i="1"/>
  <c r="O67" i="1"/>
  <c r="AN66" i="1"/>
  <c r="AM66" i="1"/>
  <c r="AL66" i="1"/>
  <c r="AK66" i="1"/>
  <c r="AJ66" i="1"/>
  <c r="AH66" i="1" s="1"/>
  <c r="Z66" i="1"/>
  <c r="Y66" i="1"/>
  <c r="X66" i="1" s="1"/>
  <c r="T66" i="1"/>
  <c r="Q66" i="1"/>
  <c r="L66" i="1"/>
  <c r="AN65" i="1"/>
  <c r="AM65" i="1"/>
  <c r="AK65" i="1"/>
  <c r="AJ65" i="1"/>
  <c r="AH65" i="1" s="1"/>
  <c r="Z65" i="1"/>
  <c r="Y65" i="1"/>
  <c r="Q65" i="1"/>
  <c r="J65" i="1"/>
  <c r="I65" i="1" s="1"/>
  <c r="AB65" i="1" s="1"/>
  <c r="AN64" i="1"/>
  <c r="AM64" i="1"/>
  <c r="AK64" i="1"/>
  <c r="AL64" i="1" s="1"/>
  <c r="AJ64" i="1"/>
  <c r="AI64" i="1"/>
  <c r="AH64" i="1"/>
  <c r="Z64" i="1"/>
  <c r="Y64" i="1"/>
  <c r="X64" i="1"/>
  <c r="Q64" i="1"/>
  <c r="AN63" i="1"/>
  <c r="AM63" i="1"/>
  <c r="AK63" i="1"/>
  <c r="AL63" i="1" s="1"/>
  <c r="AJ63" i="1"/>
  <c r="AH63" i="1" s="1"/>
  <c r="Z63" i="1"/>
  <c r="Y63" i="1"/>
  <c r="X63" i="1" s="1"/>
  <c r="Q63" i="1"/>
  <c r="O63" i="1"/>
  <c r="AN62" i="1"/>
  <c r="AM62" i="1"/>
  <c r="AL62" i="1"/>
  <c r="AK62" i="1"/>
  <c r="AJ62" i="1"/>
  <c r="AH62" i="1" s="1"/>
  <c r="Z62" i="1"/>
  <c r="Y62" i="1"/>
  <c r="X62" i="1"/>
  <c r="T62" i="1"/>
  <c r="Q62" i="1"/>
  <c r="L62" i="1"/>
  <c r="AN61" i="1"/>
  <c r="AM61" i="1"/>
  <c r="AK61" i="1"/>
  <c r="AJ61" i="1"/>
  <c r="AH61" i="1" s="1"/>
  <c r="AI61" i="1"/>
  <c r="Z61" i="1"/>
  <c r="Y61" i="1"/>
  <c r="Q61" i="1"/>
  <c r="K61" i="1"/>
  <c r="J61" i="1"/>
  <c r="I61" i="1"/>
  <c r="AB61" i="1" s="1"/>
  <c r="AN60" i="1"/>
  <c r="AM60" i="1"/>
  <c r="AL60" i="1" s="1"/>
  <c r="AK60" i="1"/>
  <c r="AJ60" i="1"/>
  <c r="AH60" i="1"/>
  <c r="Z60" i="1"/>
  <c r="Y60" i="1"/>
  <c r="X60" i="1" s="1"/>
  <c r="T60" i="1"/>
  <c r="Q60" i="1"/>
  <c r="O60" i="1"/>
  <c r="AN59" i="1"/>
  <c r="AM59" i="1"/>
  <c r="AK59" i="1"/>
  <c r="AL59" i="1" s="1"/>
  <c r="AJ59" i="1"/>
  <c r="AH59" i="1" s="1"/>
  <c r="Z59" i="1"/>
  <c r="Y59" i="1"/>
  <c r="X59" i="1" s="1"/>
  <c r="Q59" i="1"/>
  <c r="O59" i="1"/>
  <c r="AN58" i="1"/>
  <c r="AM58" i="1"/>
  <c r="AL58" i="1"/>
  <c r="AK58" i="1"/>
  <c r="AJ58" i="1"/>
  <c r="AH58" i="1"/>
  <c r="AI58" i="1" s="1"/>
  <c r="AB58" i="1"/>
  <c r="Z58" i="1"/>
  <c r="Y58" i="1"/>
  <c r="X58" i="1"/>
  <c r="T58" i="1"/>
  <c r="Q58" i="1"/>
  <c r="O58" i="1"/>
  <c r="L58" i="1"/>
  <c r="K58" i="1"/>
  <c r="J58" i="1"/>
  <c r="I58" i="1"/>
  <c r="AN57" i="1"/>
  <c r="AM57" i="1"/>
  <c r="AK57" i="1"/>
  <c r="AJ57" i="1"/>
  <c r="AH57" i="1" s="1"/>
  <c r="AI57" i="1"/>
  <c r="Z57" i="1"/>
  <c r="Y57" i="1"/>
  <c r="X57" i="1" s="1"/>
  <c r="Q57" i="1"/>
  <c r="K57" i="1"/>
  <c r="J57" i="1"/>
  <c r="I57" i="1" s="1"/>
  <c r="AN56" i="1"/>
  <c r="AM56" i="1"/>
  <c r="AK56" i="1"/>
  <c r="AL56" i="1" s="1"/>
  <c r="AJ56" i="1"/>
  <c r="AI56" i="1"/>
  <c r="AH56" i="1"/>
  <c r="Z56" i="1"/>
  <c r="Y56" i="1"/>
  <c r="X56" i="1"/>
  <c r="T56" i="1"/>
  <c r="Q56" i="1"/>
  <c r="O56" i="1"/>
  <c r="AN55" i="1"/>
  <c r="AM55" i="1"/>
  <c r="AK55" i="1"/>
  <c r="AJ55" i="1"/>
  <c r="AH55" i="1" s="1"/>
  <c r="L55" i="1" s="1"/>
  <c r="Z55" i="1"/>
  <c r="Y55" i="1"/>
  <c r="Q55" i="1"/>
  <c r="O55" i="1"/>
  <c r="AN54" i="1"/>
  <c r="AM54" i="1"/>
  <c r="AL54" i="1" s="1"/>
  <c r="AK54" i="1"/>
  <c r="AJ54" i="1"/>
  <c r="AH54" i="1"/>
  <c r="K54" i="1" s="1"/>
  <c r="Z54" i="1"/>
  <c r="X54" i="1" s="1"/>
  <c r="Y54" i="1"/>
  <c r="T54" i="1"/>
  <c r="Q54" i="1"/>
  <c r="O54" i="1"/>
  <c r="L54" i="1"/>
  <c r="J54" i="1"/>
  <c r="I54" i="1" s="1"/>
  <c r="AN53" i="1"/>
  <c r="AM53" i="1"/>
  <c r="AK53" i="1"/>
  <c r="AL53" i="1" s="1"/>
  <c r="AJ53" i="1"/>
  <c r="AH53" i="1" s="1"/>
  <c r="Z53" i="1"/>
  <c r="X53" i="1" s="1"/>
  <c r="Y53" i="1"/>
  <c r="Q53" i="1"/>
  <c r="AN52" i="1"/>
  <c r="AM52" i="1"/>
  <c r="AK52" i="1"/>
  <c r="AL52" i="1" s="1"/>
  <c r="AJ52" i="1"/>
  <c r="AI52" i="1"/>
  <c r="AH52" i="1"/>
  <c r="O52" i="1" s="1"/>
  <c r="Z52" i="1"/>
  <c r="Y52" i="1"/>
  <c r="X52" i="1" s="1"/>
  <c r="Q52" i="1"/>
  <c r="J52" i="1"/>
  <c r="I52" i="1"/>
  <c r="AB52" i="1" s="1"/>
  <c r="AN51" i="1"/>
  <c r="T51" i="1" s="1"/>
  <c r="AM51" i="1"/>
  <c r="AL51" i="1"/>
  <c r="AK51" i="1"/>
  <c r="AJ51" i="1"/>
  <c r="AH51" i="1"/>
  <c r="L51" i="1" s="1"/>
  <c r="Z51" i="1"/>
  <c r="Y51" i="1"/>
  <c r="X51" i="1"/>
  <c r="Q51" i="1"/>
  <c r="O51" i="1"/>
  <c r="AN50" i="1"/>
  <c r="AM50" i="1"/>
  <c r="AL50" i="1" s="1"/>
  <c r="AK50" i="1"/>
  <c r="AJ50" i="1"/>
  <c r="AH50" i="1" s="1"/>
  <c r="Z50" i="1"/>
  <c r="X50" i="1" s="1"/>
  <c r="Y50" i="1"/>
  <c r="T50" i="1"/>
  <c r="Q50" i="1"/>
  <c r="AN49" i="1"/>
  <c r="AM49" i="1"/>
  <c r="AK49" i="1"/>
  <c r="AL49" i="1" s="1"/>
  <c r="AJ49" i="1"/>
  <c r="AH49" i="1" s="1"/>
  <c r="Z49" i="1"/>
  <c r="X49" i="1" s="1"/>
  <c r="Y49" i="1"/>
  <c r="Q49" i="1"/>
  <c r="AN48" i="1"/>
  <c r="AM48" i="1"/>
  <c r="AK48" i="1"/>
  <c r="AL48" i="1" s="1"/>
  <c r="AJ48" i="1"/>
  <c r="AI48" i="1"/>
  <c r="AH48" i="1"/>
  <c r="O48" i="1" s="1"/>
  <c r="Z48" i="1"/>
  <c r="Y48" i="1"/>
  <c r="X48" i="1" s="1"/>
  <c r="Q48" i="1"/>
  <c r="AN47" i="1"/>
  <c r="T47" i="1" s="1"/>
  <c r="AM47" i="1"/>
  <c r="AL47" i="1"/>
  <c r="AK47" i="1"/>
  <c r="AJ47" i="1"/>
  <c r="AH47" i="1"/>
  <c r="L47" i="1" s="1"/>
  <c r="Z47" i="1"/>
  <c r="X47" i="1" s="1"/>
  <c r="Y47" i="1"/>
  <c r="Q47" i="1"/>
  <c r="O47" i="1"/>
  <c r="J47" i="1"/>
  <c r="I47" i="1"/>
  <c r="AB47" i="1" s="1"/>
  <c r="AN46" i="1"/>
  <c r="AM46" i="1"/>
  <c r="AL46" i="1" s="1"/>
  <c r="AK46" i="1"/>
  <c r="AJ46" i="1"/>
  <c r="AH46" i="1"/>
  <c r="K46" i="1" s="1"/>
  <c r="Z46" i="1"/>
  <c r="Y46" i="1"/>
  <c r="X46" i="1"/>
  <c r="T46" i="1"/>
  <c r="Q46" i="1"/>
  <c r="O46" i="1"/>
  <c r="L46" i="1"/>
  <c r="AN45" i="1"/>
  <c r="AM45" i="1"/>
  <c r="AK45" i="1"/>
  <c r="AL45" i="1" s="1"/>
  <c r="AJ45" i="1"/>
  <c r="AH45" i="1" s="1"/>
  <c r="Z45" i="1"/>
  <c r="X45" i="1" s="1"/>
  <c r="Y45" i="1"/>
  <c r="Q45" i="1"/>
  <c r="AN44" i="1"/>
  <c r="AM44" i="1"/>
  <c r="AK44" i="1"/>
  <c r="AL44" i="1" s="1"/>
  <c r="AJ44" i="1"/>
  <c r="AI44" i="1"/>
  <c r="AH44" i="1"/>
  <c r="O44" i="1" s="1"/>
  <c r="Z44" i="1"/>
  <c r="Y44" i="1"/>
  <c r="X44" i="1" s="1"/>
  <c r="Q44" i="1"/>
  <c r="L44" i="1"/>
  <c r="K44" i="1"/>
  <c r="AN43" i="1"/>
  <c r="T43" i="1" s="1"/>
  <c r="AM43" i="1"/>
  <c r="AK43" i="1"/>
  <c r="AL43" i="1" s="1"/>
  <c r="AJ43" i="1"/>
  <c r="AH43" i="1" s="1"/>
  <c r="Z43" i="1"/>
  <c r="Y43" i="1"/>
  <c r="X43" i="1" s="1"/>
  <c r="Q43" i="1"/>
  <c r="AN42" i="1"/>
  <c r="AM42" i="1"/>
  <c r="AL42" i="1" s="1"/>
  <c r="AK42" i="1"/>
  <c r="AJ42" i="1"/>
  <c r="AH42" i="1"/>
  <c r="K42" i="1" s="1"/>
  <c r="Z42" i="1"/>
  <c r="Y42" i="1"/>
  <c r="X42" i="1"/>
  <c r="T42" i="1"/>
  <c r="Q42" i="1"/>
  <c r="O42" i="1"/>
  <c r="L42" i="1"/>
  <c r="AN41" i="1"/>
  <c r="AM41" i="1"/>
  <c r="AK41" i="1"/>
  <c r="AL41" i="1" s="1"/>
  <c r="AJ41" i="1"/>
  <c r="AH41" i="1" s="1"/>
  <c r="Z41" i="1"/>
  <c r="Y41" i="1"/>
  <c r="X41" i="1" s="1"/>
  <c r="Q41" i="1"/>
  <c r="AN40" i="1"/>
  <c r="AM40" i="1"/>
  <c r="AK40" i="1"/>
  <c r="AL40" i="1" s="1"/>
  <c r="AJ40" i="1"/>
  <c r="AI40" i="1"/>
  <c r="AH40" i="1"/>
  <c r="O40" i="1" s="1"/>
  <c r="Z40" i="1"/>
  <c r="Y40" i="1"/>
  <c r="X40" i="1" s="1"/>
  <c r="Q40" i="1"/>
  <c r="L40" i="1"/>
  <c r="K40" i="1"/>
  <c r="AN39" i="1"/>
  <c r="AM39" i="1"/>
  <c r="AK39" i="1"/>
  <c r="AL39" i="1" s="1"/>
  <c r="AJ39" i="1"/>
  <c r="AH39" i="1" s="1"/>
  <c r="Z39" i="1"/>
  <c r="Y39" i="1"/>
  <c r="X39" i="1" s="1"/>
  <c r="Q39" i="1"/>
  <c r="AN38" i="1"/>
  <c r="AM38" i="1"/>
  <c r="AL38" i="1" s="1"/>
  <c r="AK38" i="1"/>
  <c r="AJ38" i="1"/>
  <c r="AH38" i="1"/>
  <c r="K38" i="1" s="1"/>
  <c r="Z38" i="1"/>
  <c r="Y38" i="1"/>
  <c r="X38" i="1"/>
  <c r="T38" i="1"/>
  <c r="Q38" i="1"/>
  <c r="O38" i="1"/>
  <c r="AN37" i="1"/>
  <c r="AM37" i="1"/>
  <c r="AK37" i="1"/>
  <c r="AL37" i="1" s="1"/>
  <c r="AJ37" i="1"/>
  <c r="AH37" i="1" s="1"/>
  <c r="Z37" i="1"/>
  <c r="Y37" i="1"/>
  <c r="X37" i="1" s="1"/>
  <c r="Q37" i="1"/>
  <c r="AN36" i="1"/>
  <c r="AM36" i="1"/>
  <c r="AK36" i="1"/>
  <c r="AL36" i="1" s="1"/>
  <c r="AJ36" i="1"/>
  <c r="AI36" i="1"/>
  <c r="AH36" i="1"/>
  <c r="O36" i="1" s="1"/>
  <c r="Z36" i="1"/>
  <c r="Y36" i="1"/>
  <c r="X36" i="1" s="1"/>
  <c r="Q36" i="1"/>
  <c r="L36" i="1"/>
  <c r="K36" i="1"/>
  <c r="AN35" i="1"/>
  <c r="T35" i="1" s="1"/>
  <c r="AM35" i="1"/>
  <c r="AK35" i="1"/>
  <c r="AL35" i="1" s="1"/>
  <c r="AJ35" i="1"/>
  <c r="AH35" i="1" s="1"/>
  <c r="Z35" i="1"/>
  <c r="Y35" i="1"/>
  <c r="X35" i="1" s="1"/>
  <c r="Q35" i="1"/>
  <c r="AN34" i="1"/>
  <c r="AM34" i="1"/>
  <c r="AL34" i="1" s="1"/>
  <c r="AK34" i="1"/>
  <c r="AJ34" i="1"/>
  <c r="AH34" i="1"/>
  <c r="K34" i="1" s="1"/>
  <c r="Z34" i="1"/>
  <c r="Y34" i="1"/>
  <c r="X34" i="1"/>
  <c r="T34" i="1"/>
  <c r="Q34" i="1"/>
  <c r="O34" i="1"/>
  <c r="AN33" i="1"/>
  <c r="AM33" i="1"/>
  <c r="AK33" i="1"/>
  <c r="AL33" i="1" s="1"/>
  <c r="AJ33" i="1"/>
  <c r="AH33" i="1" s="1"/>
  <c r="Z33" i="1"/>
  <c r="Y33" i="1"/>
  <c r="X33" i="1" s="1"/>
  <c r="Q33" i="1"/>
  <c r="AN32" i="1"/>
  <c r="AM32" i="1"/>
  <c r="AK32" i="1"/>
  <c r="AL32" i="1" s="1"/>
  <c r="AJ32" i="1"/>
  <c r="AI32" i="1"/>
  <c r="AH32" i="1"/>
  <c r="O32" i="1" s="1"/>
  <c r="Z32" i="1"/>
  <c r="Y32" i="1"/>
  <c r="X32" i="1" s="1"/>
  <c r="Q32" i="1"/>
  <c r="L32" i="1"/>
  <c r="K32" i="1"/>
  <c r="AN31" i="1"/>
  <c r="AM31" i="1"/>
  <c r="AK31" i="1"/>
  <c r="AL31" i="1" s="1"/>
  <c r="AJ31" i="1"/>
  <c r="AH31" i="1" s="1"/>
  <c r="Z31" i="1"/>
  <c r="Y31" i="1"/>
  <c r="X31" i="1" s="1"/>
  <c r="Q31" i="1"/>
  <c r="AN30" i="1"/>
  <c r="AM30" i="1"/>
  <c r="AL30" i="1" s="1"/>
  <c r="AK30" i="1"/>
  <c r="AJ30" i="1"/>
  <c r="AH30" i="1"/>
  <c r="K30" i="1" s="1"/>
  <c r="Z30" i="1"/>
  <c r="Y30" i="1"/>
  <c r="X30" i="1"/>
  <c r="T30" i="1"/>
  <c r="Q30" i="1"/>
  <c r="O30" i="1"/>
  <c r="AN29" i="1"/>
  <c r="AM29" i="1"/>
  <c r="AK29" i="1"/>
  <c r="AL29" i="1" s="1"/>
  <c r="AJ29" i="1"/>
  <c r="AH29" i="1" s="1"/>
  <c r="Z29" i="1"/>
  <c r="Y29" i="1"/>
  <c r="X29" i="1" s="1"/>
  <c r="Q29" i="1"/>
  <c r="AN28" i="1"/>
  <c r="AM28" i="1"/>
  <c r="AK28" i="1"/>
  <c r="AL28" i="1" s="1"/>
  <c r="AJ28" i="1"/>
  <c r="AI28" i="1"/>
  <c r="AH28" i="1"/>
  <c r="J28" i="1" s="1"/>
  <c r="I28" i="1" s="1"/>
  <c r="Z28" i="1"/>
  <c r="Y28" i="1"/>
  <c r="X28" i="1" s="1"/>
  <c r="Q28" i="1"/>
  <c r="O28" i="1"/>
  <c r="L28" i="1"/>
  <c r="K28" i="1"/>
  <c r="AN27" i="1"/>
  <c r="AM27" i="1"/>
  <c r="AK27" i="1"/>
  <c r="AL27" i="1" s="1"/>
  <c r="AJ27" i="1"/>
  <c r="AH27" i="1" s="1"/>
  <c r="Z27" i="1"/>
  <c r="Y27" i="1"/>
  <c r="X27" i="1" s="1"/>
  <c r="Q27" i="1"/>
  <c r="AN26" i="1"/>
  <c r="AM26" i="1"/>
  <c r="AK26" i="1"/>
  <c r="AL26" i="1" s="1"/>
  <c r="AJ26" i="1"/>
  <c r="AH26" i="1"/>
  <c r="J26" i="1" s="1"/>
  <c r="I26" i="1" s="1"/>
  <c r="Z26" i="1"/>
  <c r="Y26" i="1"/>
  <c r="X26" i="1"/>
  <c r="Q26" i="1"/>
  <c r="O26" i="1"/>
  <c r="K26" i="1"/>
  <c r="AN25" i="1"/>
  <c r="AM25" i="1"/>
  <c r="AK25" i="1"/>
  <c r="AL25" i="1" s="1"/>
  <c r="AJ25" i="1"/>
  <c r="AH25" i="1" s="1"/>
  <c r="Z25" i="1"/>
  <c r="Y25" i="1"/>
  <c r="X25" i="1" s="1"/>
  <c r="Q25" i="1"/>
  <c r="AN24" i="1"/>
  <c r="AM24" i="1"/>
  <c r="AK24" i="1"/>
  <c r="AL24" i="1" s="1"/>
  <c r="AJ24" i="1"/>
  <c r="AI24" i="1"/>
  <c r="AH24" i="1"/>
  <c r="J24" i="1" s="1"/>
  <c r="I24" i="1" s="1"/>
  <c r="Z24" i="1"/>
  <c r="Y24" i="1"/>
  <c r="X24" i="1" s="1"/>
  <c r="Q24" i="1"/>
  <c r="O24" i="1"/>
  <c r="L24" i="1"/>
  <c r="K24" i="1"/>
  <c r="AN23" i="1"/>
  <c r="AM23" i="1"/>
  <c r="AK23" i="1"/>
  <c r="AL23" i="1" s="1"/>
  <c r="AJ23" i="1"/>
  <c r="AH23" i="1" s="1"/>
  <c r="Z23" i="1"/>
  <c r="Y23" i="1"/>
  <c r="X23" i="1" s="1"/>
  <c r="Q23" i="1"/>
  <c r="AN22" i="1"/>
  <c r="AM22" i="1"/>
  <c r="AK22" i="1"/>
  <c r="AL22" i="1" s="1"/>
  <c r="AJ22" i="1"/>
  <c r="AH22" i="1"/>
  <c r="J22" i="1" s="1"/>
  <c r="I22" i="1" s="1"/>
  <c r="Z22" i="1"/>
  <c r="Y22" i="1"/>
  <c r="X22" i="1"/>
  <c r="Q22" i="1"/>
  <c r="O22" i="1"/>
  <c r="K22" i="1"/>
  <c r="AN21" i="1"/>
  <c r="AM21" i="1"/>
  <c r="AK21" i="1"/>
  <c r="AL21" i="1" s="1"/>
  <c r="AJ21" i="1"/>
  <c r="AH21" i="1" s="1"/>
  <c r="Z21" i="1"/>
  <c r="Y21" i="1"/>
  <c r="X21" i="1" s="1"/>
  <c r="Q21" i="1"/>
  <c r="AN20" i="1"/>
  <c r="AM20" i="1"/>
  <c r="AK20" i="1"/>
  <c r="AL20" i="1" s="1"/>
  <c r="AJ20" i="1"/>
  <c r="AI20" i="1"/>
  <c r="AH20" i="1"/>
  <c r="J20" i="1" s="1"/>
  <c r="I20" i="1" s="1"/>
  <c r="Z20" i="1"/>
  <c r="Y20" i="1"/>
  <c r="X20" i="1" s="1"/>
  <c r="Q20" i="1"/>
  <c r="O20" i="1"/>
  <c r="L20" i="1"/>
  <c r="K20" i="1"/>
  <c r="AN19" i="1"/>
  <c r="T19" i="1" s="1"/>
  <c r="AM19" i="1"/>
  <c r="AK19" i="1"/>
  <c r="AL19" i="1" s="1"/>
  <c r="AJ19" i="1"/>
  <c r="AH19" i="1" s="1"/>
  <c r="Z19" i="1"/>
  <c r="Y19" i="1"/>
  <c r="X19" i="1" s="1"/>
  <c r="Q19" i="1"/>
  <c r="AN18" i="1"/>
  <c r="AM18" i="1"/>
  <c r="AK18" i="1"/>
  <c r="AL18" i="1" s="1"/>
  <c r="AJ18" i="1"/>
  <c r="AH18" i="1"/>
  <c r="J18" i="1" s="1"/>
  <c r="I18" i="1" s="1"/>
  <c r="Z18" i="1"/>
  <c r="Y18" i="1"/>
  <c r="X18" i="1"/>
  <c r="Q18" i="1"/>
  <c r="O18" i="1"/>
  <c r="K18" i="1"/>
  <c r="AN17" i="1"/>
  <c r="AM17" i="1"/>
  <c r="AK17" i="1"/>
  <c r="AL17" i="1" s="1"/>
  <c r="AJ17" i="1"/>
  <c r="AH17" i="1" s="1"/>
  <c r="Z17" i="1"/>
  <c r="Y17" i="1"/>
  <c r="X17" i="1" s="1"/>
  <c r="Q17" i="1"/>
  <c r="AB18" i="1" l="1"/>
  <c r="L19" i="1"/>
  <c r="K19" i="1"/>
  <c r="O19" i="1"/>
  <c r="J19" i="1"/>
  <c r="I19" i="1" s="1"/>
  <c r="AI19" i="1"/>
  <c r="AI25" i="1"/>
  <c r="O25" i="1"/>
  <c r="K25" i="1"/>
  <c r="L25" i="1"/>
  <c r="J25" i="1"/>
  <c r="I25" i="1" s="1"/>
  <c r="U47" i="1"/>
  <c r="V47" i="1" s="1"/>
  <c r="AC47" i="1" s="1"/>
  <c r="AB20" i="1"/>
  <c r="AB26" i="1"/>
  <c r="L27" i="1"/>
  <c r="K27" i="1"/>
  <c r="J27" i="1"/>
  <c r="I27" i="1" s="1"/>
  <c r="AI27" i="1"/>
  <c r="O27" i="1"/>
  <c r="AI21" i="1"/>
  <c r="O21" i="1"/>
  <c r="K21" i="1"/>
  <c r="L21" i="1"/>
  <c r="J21" i="1"/>
  <c r="I21" i="1" s="1"/>
  <c r="L35" i="1"/>
  <c r="K35" i="1"/>
  <c r="J35" i="1"/>
  <c r="I35" i="1" s="1"/>
  <c r="O35" i="1"/>
  <c r="AI35" i="1"/>
  <c r="AI53" i="1"/>
  <c r="O53" i="1"/>
  <c r="K53" i="1"/>
  <c r="L53" i="1"/>
  <c r="J53" i="1"/>
  <c r="I53" i="1" s="1"/>
  <c r="AI33" i="1"/>
  <c r="O33" i="1"/>
  <c r="K33" i="1"/>
  <c r="L33" i="1"/>
  <c r="J33" i="1"/>
  <c r="I33" i="1" s="1"/>
  <c r="AB28" i="1"/>
  <c r="L43" i="1"/>
  <c r="K43" i="1"/>
  <c r="J43" i="1"/>
  <c r="I43" i="1" s="1"/>
  <c r="AI43" i="1"/>
  <c r="O43" i="1"/>
  <c r="AB22" i="1"/>
  <c r="L23" i="1"/>
  <c r="K23" i="1"/>
  <c r="J23" i="1"/>
  <c r="I23" i="1" s="1"/>
  <c r="O23" i="1"/>
  <c r="AI23" i="1"/>
  <c r="AI29" i="1"/>
  <c r="O29" i="1"/>
  <c r="L29" i="1"/>
  <c r="K29" i="1"/>
  <c r="J29" i="1"/>
  <c r="I29" i="1" s="1"/>
  <c r="AI37" i="1"/>
  <c r="O37" i="1"/>
  <c r="L37" i="1"/>
  <c r="J37" i="1"/>
  <c r="I37" i="1" s="1"/>
  <c r="K37" i="1"/>
  <c r="AI17" i="1"/>
  <c r="K17" i="1"/>
  <c r="O17" i="1"/>
  <c r="L17" i="1"/>
  <c r="J17" i="1"/>
  <c r="I17" i="1" s="1"/>
  <c r="U35" i="1"/>
  <c r="V35" i="1" s="1"/>
  <c r="AC35" i="1" s="1"/>
  <c r="AI45" i="1"/>
  <c r="O45" i="1"/>
  <c r="K45" i="1"/>
  <c r="L45" i="1"/>
  <c r="J45" i="1"/>
  <c r="I45" i="1" s="1"/>
  <c r="AI49" i="1"/>
  <c r="O49" i="1"/>
  <c r="L49" i="1"/>
  <c r="J49" i="1"/>
  <c r="I49" i="1" s="1"/>
  <c r="K49" i="1"/>
  <c r="K50" i="1"/>
  <c r="J50" i="1"/>
  <c r="I50" i="1" s="1"/>
  <c r="AI50" i="1"/>
  <c r="O50" i="1"/>
  <c r="L50" i="1"/>
  <c r="AI41" i="1"/>
  <c r="O41" i="1"/>
  <c r="K41" i="1"/>
  <c r="L41" i="1"/>
  <c r="J41" i="1"/>
  <c r="I41" i="1" s="1"/>
  <c r="AB24" i="1"/>
  <c r="L31" i="1"/>
  <c r="K31" i="1"/>
  <c r="O31" i="1"/>
  <c r="J31" i="1"/>
  <c r="I31" i="1" s="1"/>
  <c r="AI31" i="1"/>
  <c r="L39" i="1"/>
  <c r="K39" i="1"/>
  <c r="J39" i="1"/>
  <c r="I39" i="1" s="1"/>
  <c r="AI39" i="1"/>
  <c r="O39" i="1"/>
  <c r="U54" i="1"/>
  <c r="V54" i="1" s="1"/>
  <c r="R54" i="1" s="1"/>
  <c r="P54" i="1" s="1"/>
  <c r="S54" i="1" s="1"/>
  <c r="M54" i="1" s="1"/>
  <c r="N54" i="1" s="1"/>
  <c r="AB54" i="1"/>
  <c r="AB57" i="1"/>
  <c r="L18" i="1"/>
  <c r="T18" i="1"/>
  <c r="L22" i="1"/>
  <c r="T22" i="1"/>
  <c r="L26" i="1"/>
  <c r="T26" i="1"/>
  <c r="L30" i="1"/>
  <c r="L34" i="1"/>
  <c r="L38" i="1"/>
  <c r="AL57" i="1"/>
  <c r="T57" i="1"/>
  <c r="L72" i="1"/>
  <c r="K72" i="1"/>
  <c r="J72" i="1"/>
  <c r="I72" i="1" s="1"/>
  <c r="AI72" i="1"/>
  <c r="O72" i="1"/>
  <c r="X73" i="1"/>
  <c r="L80" i="1"/>
  <c r="K80" i="1"/>
  <c r="J80" i="1"/>
  <c r="I80" i="1" s="1"/>
  <c r="AI80" i="1"/>
  <c r="O80" i="1"/>
  <c r="X81" i="1"/>
  <c r="J86" i="1"/>
  <c r="I86" i="1" s="1"/>
  <c r="AI86" i="1"/>
  <c r="O86" i="1"/>
  <c r="K86" i="1"/>
  <c r="L88" i="1"/>
  <c r="K88" i="1"/>
  <c r="J88" i="1"/>
  <c r="I88" i="1" s="1"/>
  <c r="AI88" i="1"/>
  <c r="O88" i="1"/>
  <c r="X89" i="1"/>
  <c r="J94" i="1"/>
  <c r="I94" i="1" s="1"/>
  <c r="AI94" i="1"/>
  <c r="O94" i="1"/>
  <c r="K94" i="1"/>
  <c r="L108" i="1"/>
  <c r="K108" i="1"/>
  <c r="J108" i="1"/>
  <c r="I108" i="1" s="1"/>
  <c r="AI108" i="1"/>
  <c r="O108" i="1"/>
  <c r="AB98" i="1"/>
  <c r="AB190" i="1"/>
  <c r="T17" i="1"/>
  <c r="T21" i="1"/>
  <c r="T25" i="1"/>
  <c r="T29" i="1"/>
  <c r="J32" i="1"/>
  <c r="I32" i="1" s="1"/>
  <c r="T33" i="1"/>
  <c r="J36" i="1"/>
  <c r="I36" i="1" s="1"/>
  <c r="T37" i="1"/>
  <c r="J40" i="1"/>
  <c r="I40" i="1" s="1"/>
  <c r="T41" i="1"/>
  <c r="J44" i="1"/>
  <c r="I44" i="1" s="1"/>
  <c r="T45" i="1"/>
  <c r="J48" i="1"/>
  <c r="I48" i="1" s="1"/>
  <c r="T49" i="1"/>
  <c r="T53" i="1"/>
  <c r="L63" i="1"/>
  <c r="K63" i="1"/>
  <c r="J63" i="1"/>
  <c r="I63" i="1" s="1"/>
  <c r="AI63" i="1"/>
  <c r="O65" i="1"/>
  <c r="L65" i="1"/>
  <c r="AI65" i="1"/>
  <c r="O73" i="1"/>
  <c r="L73" i="1"/>
  <c r="K73" i="1"/>
  <c r="AI73" i="1"/>
  <c r="U74" i="1"/>
  <c r="V74" i="1" s="1"/>
  <c r="O81" i="1"/>
  <c r="L81" i="1"/>
  <c r="K81" i="1"/>
  <c r="AI81" i="1"/>
  <c r="U82" i="1"/>
  <c r="V82" i="1" s="1"/>
  <c r="O89" i="1"/>
  <c r="L89" i="1"/>
  <c r="K89" i="1"/>
  <c r="AI89" i="1"/>
  <c r="J95" i="1"/>
  <c r="I95" i="1" s="1"/>
  <c r="L95" i="1"/>
  <c r="K95" i="1"/>
  <c r="AI95" i="1"/>
  <c r="L100" i="1"/>
  <c r="AI100" i="1"/>
  <c r="O100" i="1"/>
  <c r="K100" i="1"/>
  <c r="J100" i="1"/>
  <c r="I100" i="1" s="1"/>
  <c r="AI47" i="1"/>
  <c r="K48" i="1"/>
  <c r="AI51" i="1"/>
  <c r="K52" i="1"/>
  <c r="L60" i="1"/>
  <c r="K60" i="1"/>
  <c r="J60" i="1"/>
  <c r="I60" i="1" s="1"/>
  <c r="O61" i="1"/>
  <c r="L61" i="1"/>
  <c r="K65" i="1"/>
  <c r="AL65" i="1"/>
  <c r="T65" i="1"/>
  <c r="L75" i="1"/>
  <c r="K75" i="1"/>
  <c r="J75" i="1"/>
  <c r="I75" i="1" s="1"/>
  <c r="AI75" i="1"/>
  <c r="O75" i="1"/>
  <c r="L83" i="1"/>
  <c r="K83" i="1"/>
  <c r="J83" i="1"/>
  <c r="I83" i="1" s="1"/>
  <c r="AI83" i="1"/>
  <c r="O83" i="1"/>
  <c r="AB97" i="1"/>
  <c r="R97" i="1"/>
  <c r="P97" i="1" s="1"/>
  <c r="S97" i="1" s="1"/>
  <c r="T20" i="1"/>
  <c r="T24" i="1"/>
  <c r="T28" i="1"/>
  <c r="T32" i="1"/>
  <c r="T36" i="1"/>
  <c r="T40" i="1"/>
  <c r="T44" i="1"/>
  <c r="L48" i="1"/>
  <c r="T48" i="1"/>
  <c r="J51" i="1"/>
  <c r="I51" i="1" s="1"/>
  <c r="L52" i="1"/>
  <c r="T52" i="1"/>
  <c r="J55" i="1"/>
  <c r="I55" i="1" s="1"/>
  <c r="U58" i="1"/>
  <c r="V58" i="1" s="1"/>
  <c r="AC60" i="1"/>
  <c r="AI60" i="1"/>
  <c r="AL61" i="1"/>
  <c r="T61" i="1"/>
  <c r="J62" i="1"/>
  <c r="I62" i="1" s="1"/>
  <c r="AI62" i="1"/>
  <c r="O62" i="1"/>
  <c r="L64" i="1"/>
  <c r="K64" i="1"/>
  <c r="J64" i="1"/>
  <c r="I64" i="1" s="1"/>
  <c r="O64" i="1"/>
  <c r="O69" i="1"/>
  <c r="L69" i="1"/>
  <c r="AI69" i="1"/>
  <c r="L76" i="1"/>
  <c r="K76" i="1"/>
  <c r="J76" i="1"/>
  <c r="I76" i="1" s="1"/>
  <c r="AI76" i="1"/>
  <c r="O76" i="1"/>
  <c r="X77" i="1"/>
  <c r="L84" i="1"/>
  <c r="K84" i="1"/>
  <c r="J84" i="1"/>
  <c r="I84" i="1" s="1"/>
  <c r="AI84" i="1"/>
  <c r="O84" i="1"/>
  <c r="X85" i="1"/>
  <c r="U86" i="1"/>
  <c r="V86" i="1" s="1"/>
  <c r="J90" i="1"/>
  <c r="I90" i="1" s="1"/>
  <c r="U90" i="1" s="1"/>
  <c r="V90" i="1" s="1"/>
  <c r="AI90" i="1"/>
  <c r="O90" i="1"/>
  <c r="K90" i="1"/>
  <c r="L92" i="1"/>
  <c r="K92" i="1"/>
  <c r="J92" i="1"/>
  <c r="I92" i="1" s="1"/>
  <c r="AI92" i="1"/>
  <c r="O92" i="1"/>
  <c r="X93" i="1"/>
  <c r="U94" i="1"/>
  <c r="V94" i="1" s="1"/>
  <c r="W171" i="1"/>
  <c r="AA171" i="1" s="1"/>
  <c r="AD171" i="1"/>
  <c r="AC171" i="1"/>
  <c r="AI18" i="1"/>
  <c r="AI22" i="1"/>
  <c r="AI26" i="1"/>
  <c r="AI30" i="1"/>
  <c r="AI34" i="1"/>
  <c r="AI38" i="1"/>
  <c r="AI42" i="1"/>
  <c r="AI46" i="1"/>
  <c r="K47" i="1"/>
  <c r="K51" i="1"/>
  <c r="AI54" i="1"/>
  <c r="K55" i="1"/>
  <c r="AI55" i="1"/>
  <c r="L59" i="1"/>
  <c r="K59" i="1"/>
  <c r="J59" i="1"/>
  <c r="I59" i="1" s="1"/>
  <c r="AI59" i="1"/>
  <c r="U60" i="1"/>
  <c r="V60" i="1" s="1"/>
  <c r="L67" i="1"/>
  <c r="K67" i="1"/>
  <c r="J67" i="1"/>
  <c r="I67" i="1" s="1"/>
  <c r="AI67" i="1"/>
  <c r="J69" i="1"/>
  <c r="I69" i="1" s="1"/>
  <c r="J73" i="1"/>
  <c r="I73" i="1" s="1"/>
  <c r="J81" i="1"/>
  <c r="I81" i="1" s="1"/>
  <c r="J89" i="1"/>
  <c r="I89" i="1" s="1"/>
  <c r="W101" i="1"/>
  <c r="AA101" i="1" s="1"/>
  <c r="AD101" i="1"/>
  <c r="AC101" i="1"/>
  <c r="AE101" i="1" s="1"/>
  <c r="T23" i="1"/>
  <c r="T27" i="1"/>
  <c r="J30" i="1"/>
  <c r="I30" i="1" s="1"/>
  <c r="T31" i="1"/>
  <c r="J34" i="1"/>
  <c r="I34" i="1" s="1"/>
  <c r="J38" i="1"/>
  <c r="I38" i="1" s="1"/>
  <c r="T39" i="1"/>
  <c r="J42" i="1"/>
  <c r="I42" i="1" s="1"/>
  <c r="J46" i="1"/>
  <c r="I46" i="1" s="1"/>
  <c r="U70" i="1"/>
  <c r="V70" i="1" s="1"/>
  <c r="R70" i="1" s="1"/>
  <c r="P70" i="1" s="1"/>
  <c r="S70" i="1" s="1"/>
  <c r="M70" i="1" s="1"/>
  <c r="N70" i="1" s="1"/>
  <c r="R74" i="1"/>
  <c r="P74" i="1" s="1"/>
  <c r="S74" i="1" s="1"/>
  <c r="M74" i="1" s="1"/>
  <c r="N74" i="1" s="1"/>
  <c r="O77" i="1"/>
  <c r="L77" i="1"/>
  <c r="K77" i="1"/>
  <c r="AI77" i="1"/>
  <c r="U78" i="1"/>
  <c r="V78" i="1" s="1"/>
  <c r="R78" i="1" s="1"/>
  <c r="P78" i="1" s="1"/>
  <c r="S78" i="1" s="1"/>
  <c r="M78" i="1" s="1"/>
  <c r="N78" i="1" s="1"/>
  <c r="R82" i="1"/>
  <c r="P82" i="1" s="1"/>
  <c r="S82" i="1" s="1"/>
  <c r="M82" i="1" s="1"/>
  <c r="N82" i="1" s="1"/>
  <c r="O85" i="1"/>
  <c r="L85" i="1"/>
  <c r="K85" i="1"/>
  <c r="AI85" i="1"/>
  <c r="L90" i="1"/>
  <c r="O93" i="1"/>
  <c r="L93" i="1"/>
  <c r="K93" i="1"/>
  <c r="AI93" i="1"/>
  <c r="U97" i="1"/>
  <c r="V97" i="1" s="1"/>
  <c r="T129" i="1"/>
  <c r="AL129" i="1"/>
  <c r="X55" i="1"/>
  <c r="AL55" i="1"/>
  <c r="T55" i="1"/>
  <c r="L56" i="1"/>
  <c r="K56" i="1"/>
  <c r="J56" i="1"/>
  <c r="I56" i="1" s="1"/>
  <c r="O57" i="1"/>
  <c r="L57" i="1"/>
  <c r="X61" i="1"/>
  <c r="K62" i="1"/>
  <c r="X65" i="1"/>
  <c r="J66" i="1"/>
  <c r="I66" i="1" s="1"/>
  <c r="U66" i="1" s="1"/>
  <c r="V66" i="1" s="1"/>
  <c r="AI66" i="1"/>
  <c r="O66" i="1"/>
  <c r="K66" i="1"/>
  <c r="L68" i="1"/>
  <c r="K68" i="1"/>
  <c r="J68" i="1"/>
  <c r="I68" i="1" s="1"/>
  <c r="O68" i="1"/>
  <c r="L71" i="1"/>
  <c r="K71" i="1"/>
  <c r="J71" i="1"/>
  <c r="I71" i="1" s="1"/>
  <c r="AI71" i="1"/>
  <c r="O71" i="1"/>
  <c r="L79" i="1"/>
  <c r="K79" i="1"/>
  <c r="J79" i="1"/>
  <c r="I79" i="1" s="1"/>
  <c r="AI79" i="1"/>
  <c r="O79" i="1"/>
  <c r="AB96" i="1"/>
  <c r="L99" i="1"/>
  <c r="J99" i="1"/>
  <c r="I99" i="1" s="1"/>
  <c r="O99" i="1"/>
  <c r="AL104" i="1"/>
  <c r="T104" i="1"/>
  <c r="AB128" i="1"/>
  <c r="R128" i="1"/>
  <c r="P128" i="1" s="1"/>
  <c r="S128" i="1" s="1"/>
  <c r="M128" i="1" s="1"/>
  <c r="N128" i="1" s="1"/>
  <c r="U98" i="1"/>
  <c r="V98" i="1" s="1"/>
  <c r="O105" i="1"/>
  <c r="L105" i="1"/>
  <c r="K105" i="1"/>
  <c r="AI105" i="1"/>
  <c r="AB113" i="1"/>
  <c r="U121" i="1"/>
  <c r="V121" i="1" s="1"/>
  <c r="AC121" i="1" s="1"/>
  <c r="U137" i="1"/>
  <c r="V137" i="1" s="1"/>
  <c r="T69" i="1"/>
  <c r="T73" i="1"/>
  <c r="T77" i="1"/>
  <c r="T81" i="1"/>
  <c r="T85" i="1"/>
  <c r="T89" i="1"/>
  <c r="T93" i="1"/>
  <c r="L97" i="1"/>
  <c r="AI97" i="1"/>
  <c r="K98" i="1"/>
  <c r="AI98" i="1"/>
  <c r="AL99" i="1"/>
  <c r="T99" i="1"/>
  <c r="O101" i="1"/>
  <c r="K101" i="1"/>
  <c r="AI101" i="1"/>
  <c r="J105" i="1"/>
  <c r="I105" i="1" s="1"/>
  <c r="U107" i="1"/>
  <c r="V107" i="1" s="1"/>
  <c r="L115" i="1"/>
  <c r="AI115" i="1"/>
  <c r="O115" i="1"/>
  <c r="K115" i="1"/>
  <c r="J115" i="1"/>
  <c r="I115" i="1" s="1"/>
  <c r="L96" i="1"/>
  <c r="AI96" i="1"/>
  <c r="R101" i="1"/>
  <c r="P101" i="1" s="1"/>
  <c r="S101" i="1" s="1"/>
  <c r="M101" i="1" s="1"/>
  <c r="N101" i="1" s="1"/>
  <c r="U102" i="1"/>
  <c r="V102" i="1" s="1"/>
  <c r="J102" i="1"/>
  <c r="I102" i="1" s="1"/>
  <c r="AI102" i="1"/>
  <c r="K102" i="1"/>
  <c r="J106" i="1"/>
  <c r="I106" i="1" s="1"/>
  <c r="U106" i="1" s="1"/>
  <c r="V106" i="1" s="1"/>
  <c r="AI106" i="1"/>
  <c r="O106" i="1"/>
  <c r="K106" i="1"/>
  <c r="O109" i="1"/>
  <c r="L109" i="1"/>
  <c r="K109" i="1"/>
  <c r="AI109" i="1"/>
  <c r="O116" i="1"/>
  <c r="K116" i="1"/>
  <c r="AI116" i="1"/>
  <c r="L116" i="1"/>
  <c r="J116" i="1"/>
  <c r="I116" i="1" s="1"/>
  <c r="T64" i="1"/>
  <c r="T68" i="1"/>
  <c r="T72" i="1"/>
  <c r="T76" i="1"/>
  <c r="T80" i="1"/>
  <c r="T84" i="1"/>
  <c r="J87" i="1"/>
  <c r="I87" i="1" s="1"/>
  <c r="T88" i="1"/>
  <c r="J91" i="1"/>
  <c r="I91" i="1" s="1"/>
  <c r="T92" i="1"/>
  <c r="T95" i="1"/>
  <c r="O96" i="1"/>
  <c r="O97" i="1"/>
  <c r="AL100" i="1"/>
  <c r="T100" i="1"/>
  <c r="L112" i="1"/>
  <c r="K112" i="1"/>
  <c r="J112" i="1"/>
  <c r="I112" i="1" s="1"/>
  <c r="AI112" i="1"/>
  <c r="O112" i="1"/>
  <c r="O132" i="1"/>
  <c r="L132" i="1"/>
  <c r="K132" i="1"/>
  <c r="J132" i="1"/>
  <c r="I132" i="1" s="1"/>
  <c r="AI132" i="1"/>
  <c r="AL96" i="1"/>
  <c r="T96" i="1"/>
  <c r="L104" i="1"/>
  <c r="J104" i="1"/>
  <c r="I104" i="1" s="1"/>
  <c r="AI104" i="1"/>
  <c r="O104" i="1"/>
  <c r="L106" i="1"/>
  <c r="J109" i="1"/>
  <c r="I109" i="1" s="1"/>
  <c r="J110" i="1"/>
  <c r="I110" i="1" s="1"/>
  <c r="U110" i="1" s="1"/>
  <c r="V110" i="1" s="1"/>
  <c r="AI110" i="1"/>
  <c r="O110" i="1"/>
  <c r="K110" i="1"/>
  <c r="T59" i="1"/>
  <c r="T63" i="1"/>
  <c r="T67" i="1"/>
  <c r="T71" i="1"/>
  <c r="T75" i="1"/>
  <c r="T79" i="1"/>
  <c r="T83" i="1"/>
  <c r="T87" i="1"/>
  <c r="T91" i="1"/>
  <c r="AC98" i="1"/>
  <c r="X101" i="1"/>
  <c r="AI125" i="1"/>
  <c r="O125" i="1"/>
  <c r="J125" i="1"/>
  <c r="I125" i="1" s="1"/>
  <c r="K125" i="1"/>
  <c r="U116" i="1"/>
  <c r="V116" i="1" s="1"/>
  <c r="X124" i="1"/>
  <c r="AI129" i="1"/>
  <c r="O129" i="1"/>
  <c r="J129" i="1"/>
  <c r="I129" i="1" s="1"/>
  <c r="AL135" i="1"/>
  <c r="T135" i="1"/>
  <c r="O103" i="1"/>
  <c r="O107" i="1"/>
  <c r="O111" i="1"/>
  <c r="K113" i="1"/>
  <c r="U113" i="1"/>
  <c r="V113" i="1" s="1"/>
  <c r="AI117" i="1"/>
  <c r="O117" i="1"/>
  <c r="AI121" i="1"/>
  <c r="O121" i="1"/>
  <c r="J121" i="1"/>
  <c r="I121" i="1" s="1"/>
  <c r="AC125" i="1"/>
  <c r="O128" i="1"/>
  <c r="L128" i="1"/>
  <c r="K128" i="1"/>
  <c r="AB142" i="1"/>
  <c r="J114" i="1"/>
  <c r="I114" i="1" s="1"/>
  <c r="U114" i="1" s="1"/>
  <c r="V114" i="1" s="1"/>
  <c r="O114" i="1"/>
  <c r="U117" i="1"/>
  <c r="V117" i="1" s="1"/>
  <c r="AC117" i="1" s="1"/>
  <c r="O124" i="1"/>
  <c r="L124" i="1"/>
  <c r="K124" i="1"/>
  <c r="K136" i="1"/>
  <c r="J136" i="1"/>
  <c r="I136" i="1" s="1"/>
  <c r="L136" i="1"/>
  <c r="AI107" i="1"/>
  <c r="AI111" i="1"/>
  <c r="AI114" i="1"/>
  <c r="O120" i="1"/>
  <c r="L120" i="1"/>
  <c r="K120" i="1"/>
  <c r="AL121" i="1"/>
  <c r="J124" i="1"/>
  <c r="I124" i="1" s="1"/>
  <c r="U125" i="1"/>
  <c r="V125" i="1" s="1"/>
  <c r="L131" i="1"/>
  <c r="K131" i="1"/>
  <c r="J131" i="1"/>
  <c r="I131" i="1" s="1"/>
  <c r="AI131" i="1"/>
  <c r="O136" i="1"/>
  <c r="AI136" i="1"/>
  <c r="AL144" i="1"/>
  <c r="T144" i="1"/>
  <c r="J103" i="1"/>
  <c r="I103" i="1" s="1"/>
  <c r="J107" i="1"/>
  <c r="I107" i="1" s="1"/>
  <c r="T108" i="1"/>
  <c r="J111" i="1"/>
  <c r="I111" i="1" s="1"/>
  <c r="U111" i="1" s="1"/>
  <c r="V111" i="1" s="1"/>
  <c r="T112" i="1"/>
  <c r="X113" i="1"/>
  <c r="K117" i="1"/>
  <c r="J120" i="1"/>
  <c r="I120" i="1" s="1"/>
  <c r="L127" i="1"/>
  <c r="K127" i="1"/>
  <c r="J127" i="1"/>
  <c r="I127" i="1" s="1"/>
  <c r="AI127" i="1"/>
  <c r="J140" i="1"/>
  <c r="I140" i="1" s="1"/>
  <c r="U140" i="1" s="1"/>
  <c r="V140" i="1" s="1"/>
  <c r="O140" i="1"/>
  <c r="L140" i="1"/>
  <c r="K140" i="1"/>
  <c r="AI140" i="1"/>
  <c r="K103" i="1"/>
  <c r="K107" i="1"/>
  <c r="K111" i="1"/>
  <c r="L117" i="1"/>
  <c r="L123" i="1"/>
  <c r="K123" i="1"/>
  <c r="J123" i="1"/>
  <c r="I123" i="1" s="1"/>
  <c r="AI123" i="1"/>
  <c r="X132" i="1"/>
  <c r="AB139" i="1"/>
  <c r="O141" i="1"/>
  <c r="L141" i="1"/>
  <c r="J141" i="1"/>
  <c r="I141" i="1" s="1"/>
  <c r="K141" i="1"/>
  <c r="L160" i="1"/>
  <c r="AI160" i="1"/>
  <c r="O160" i="1"/>
  <c r="K160" i="1"/>
  <c r="J160" i="1"/>
  <c r="I160" i="1" s="1"/>
  <c r="T103" i="1"/>
  <c r="L119" i="1"/>
  <c r="K119" i="1"/>
  <c r="J119" i="1"/>
  <c r="I119" i="1" s="1"/>
  <c r="AI119" i="1"/>
  <c r="AI133" i="1"/>
  <c r="O133" i="1"/>
  <c r="J133" i="1"/>
  <c r="I133" i="1" s="1"/>
  <c r="L135" i="1"/>
  <c r="K135" i="1"/>
  <c r="J135" i="1"/>
  <c r="I135" i="1" s="1"/>
  <c r="AI135" i="1"/>
  <c r="O135" i="1"/>
  <c r="AB138" i="1"/>
  <c r="AI148" i="1"/>
  <c r="O148" i="1"/>
  <c r="L148" i="1"/>
  <c r="K148" i="1"/>
  <c r="J148" i="1"/>
  <c r="I148" i="1" s="1"/>
  <c r="O153" i="1"/>
  <c r="K153" i="1"/>
  <c r="AI153" i="1"/>
  <c r="L153" i="1"/>
  <c r="J153" i="1"/>
  <c r="I153" i="1" s="1"/>
  <c r="L118" i="1"/>
  <c r="L122" i="1"/>
  <c r="L126" i="1"/>
  <c r="L130" i="1"/>
  <c r="L134" i="1"/>
  <c r="AL139" i="1"/>
  <c r="T139" i="1"/>
  <c r="AL143" i="1"/>
  <c r="T147" i="1"/>
  <c r="AD162" i="1"/>
  <c r="W162" i="1"/>
  <c r="AA162" i="1" s="1"/>
  <c r="O118" i="1"/>
  <c r="O122" i="1"/>
  <c r="O126" i="1"/>
  <c r="O130" i="1"/>
  <c r="O134" i="1"/>
  <c r="O139" i="1"/>
  <c r="AL141" i="1"/>
  <c r="T141" i="1"/>
  <c r="AB146" i="1"/>
  <c r="U151" i="1"/>
  <c r="V151" i="1" s="1"/>
  <c r="U154" i="1"/>
  <c r="V154" i="1" s="1"/>
  <c r="R154" i="1" s="1"/>
  <c r="P154" i="1" s="1"/>
  <c r="S154" i="1" s="1"/>
  <c r="M154" i="1" s="1"/>
  <c r="N154" i="1" s="1"/>
  <c r="AL156" i="1"/>
  <c r="T156" i="1"/>
  <c r="AC162" i="1"/>
  <c r="AL142" i="1"/>
  <c r="T142" i="1"/>
  <c r="K149" i="1"/>
  <c r="L149" i="1"/>
  <c r="J149" i="1"/>
  <c r="I149" i="1" s="1"/>
  <c r="O149" i="1"/>
  <c r="AI149" i="1"/>
  <c r="AI118" i="1"/>
  <c r="AI122" i="1"/>
  <c r="U124" i="1"/>
  <c r="V124" i="1" s="1"/>
  <c r="AC124" i="1" s="1"/>
  <c r="AI126" i="1"/>
  <c r="U128" i="1"/>
  <c r="V128" i="1" s="1"/>
  <c r="AC128" i="1" s="1"/>
  <c r="AI130" i="1"/>
  <c r="U132" i="1"/>
  <c r="V132" i="1" s="1"/>
  <c r="AI134" i="1"/>
  <c r="L138" i="1"/>
  <c r="U138" i="1"/>
  <c r="V138" i="1" s="1"/>
  <c r="O145" i="1"/>
  <c r="L145" i="1"/>
  <c r="K145" i="1"/>
  <c r="J145" i="1"/>
  <c r="I145" i="1" s="1"/>
  <c r="AL146" i="1"/>
  <c r="T146" i="1"/>
  <c r="U153" i="1"/>
  <c r="V153" i="1" s="1"/>
  <c r="W167" i="1"/>
  <c r="AA167" i="1" s="1"/>
  <c r="AD167" i="1"/>
  <c r="AC167" i="1"/>
  <c r="T115" i="1"/>
  <c r="J118" i="1"/>
  <c r="I118" i="1" s="1"/>
  <c r="T119" i="1"/>
  <c r="J122" i="1"/>
  <c r="I122" i="1" s="1"/>
  <c r="U122" i="1" s="1"/>
  <c r="V122" i="1" s="1"/>
  <c r="T123" i="1"/>
  <c r="J126" i="1"/>
  <c r="I126" i="1" s="1"/>
  <c r="T127" i="1"/>
  <c r="J130" i="1"/>
  <c r="I130" i="1" s="1"/>
  <c r="U130" i="1" s="1"/>
  <c r="V130" i="1" s="1"/>
  <c r="T131" i="1"/>
  <c r="J134" i="1"/>
  <c r="I134" i="1" s="1"/>
  <c r="X137" i="1"/>
  <c r="AI139" i="1"/>
  <c r="AL145" i="1"/>
  <c r="R151" i="1"/>
  <c r="P151" i="1" s="1"/>
  <c r="S151" i="1" s="1"/>
  <c r="AB151" i="1"/>
  <c r="AI152" i="1"/>
  <c r="L152" i="1"/>
  <c r="K152" i="1"/>
  <c r="R157" i="1"/>
  <c r="P157" i="1" s="1"/>
  <c r="S157" i="1" s="1"/>
  <c r="M157" i="1" s="1"/>
  <c r="N157" i="1" s="1"/>
  <c r="AB157" i="1"/>
  <c r="L161" i="1"/>
  <c r="K161" i="1"/>
  <c r="J161" i="1"/>
  <c r="I161" i="1" s="1"/>
  <c r="U161" i="1" s="1"/>
  <c r="V161" i="1" s="1"/>
  <c r="L143" i="1"/>
  <c r="K143" i="1"/>
  <c r="J143" i="1"/>
  <c r="I143" i="1" s="1"/>
  <c r="O143" i="1"/>
  <c r="L147" i="1"/>
  <c r="K147" i="1"/>
  <c r="J147" i="1"/>
  <c r="I147" i="1" s="1"/>
  <c r="AI147" i="1"/>
  <c r="O147" i="1"/>
  <c r="O152" i="1"/>
  <c r="O161" i="1"/>
  <c r="L142" i="1"/>
  <c r="L146" i="1"/>
  <c r="L150" i="1"/>
  <c r="K151" i="1"/>
  <c r="O151" i="1"/>
  <c r="T152" i="1"/>
  <c r="AL155" i="1"/>
  <c r="T155" i="1"/>
  <c r="T158" i="1"/>
  <c r="AB158" i="1"/>
  <c r="AL159" i="1"/>
  <c r="T159" i="1"/>
  <c r="R162" i="1"/>
  <c r="P162" i="1" s="1"/>
  <c r="S162" i="1" s="1"/>
  <c r="M162" i="1" s="1"/>
  <c r="N162" i="1" s="1"/>
  <c r="X162" i="1"/>
  <c r="O173" i="1"/>
  <c r="X174" i="1"/>
  <c r="AB179" i="1"/>
  <c r="L156" i="1"/>
  <c r="J156" i="1"/>
  <c r="I156" i="1" s="1"/>
  <c r="AI156" i="1"/>
  <c r="O156" i="1"/>
  <c r="AL160" i="1"/>
  <c r="T160" i="1"/>
  <c r="L169" i="1"/>
  <c r="K169" i="1"/>
  <c r="O169" i="1"/>
  <c r="J169" i="1"/>
  <c r="I169" i="1" s="1"/>
  <c r="O170" i="1"/>
  <c r="AI170" i="1"/>
  <c r="J170" i="1"/>
  <c r="I170" i="1" s="1"/>
  <c r="R171" i="1"/>
  <c r="P171" i="1" s="1"/>
  <c r="S171" i="1" s="1"/>
  <c r="M171" i="1" s="1"/>
  <c r="N171" i="1" s="1"/>
  <c r="R191" i="1"/>
  <c r="P191" i="1" s="1"/>
  <c r="S191" i="1" s="1"/>
  <c r="M191" i="1" s="1"/>
  <c r="N191" i="1" s="1"/>
  <c r="AB191" i="1"/>
  <c r="AB195" i="1"/>
  <c r="U210" i="1"/>
  <c r="V210" i="1" s="1"/>
  <c r="T145" i="1"/>
  <c r="O150" i="1"/>
  <c r="X154" i="1"/>
  <c r="AB162" i="1"/>
  <c r="R163" i="1"/>
  <c r="P163" i="1" s="1"/>
  <c r="S163" i="1" s="1"/>
  <c r="M163" i="1" s="1"/>
  <c r="N163" i="1" s="1"/>
  <c r="U163" i="1"/>
  <c r="V163" i="1" s="1"/>
  <c r="L164" i="1"/>
  <c r="J164" i="1"/>
  <c r="I164" i="1" s="1"/>
  <c r="O164" i="1"/>
  <c r="K164" i="1"/>
  <c r="AE167" i="1"/>
  <c r="AI169" i="1"/>
  <c r="L172" i="1"/>
  <c r="K172" i="1"/>
  <c r="J172" i="1"/>
  <c r="I172" i="1" s="1"/>
  <c r="AI172" i="1"/>
  <c r="AL178" i="1"/>
  <c r="T178" i="1"/>
  <c r="R199" i="1"/>
  <c r="P199" i="1" s="1"/>
  <c r="S199" i="1" s="1"/>
  <c r="M199" i="1" s="1"/>
  <c r="N199" i="1" s="1"/>
  <c r="AB199" i="1"/>
  <c r="AL204" i="1"/>
  <c r="T204" i="1"/>
  <c r="O174" i="1"/>
  <c r="L174" i="1"/>
  <c r="U175" i="1"/>
  <c r="V175" i="1" s="1"/>
  <c r="U179" i="1"/>
  <c r="V179" i="1" s="1"/>
  <c r="T183" i="1"/>
  <c r="AL183" i="1"/>
  <c r="AB155" i="1"/>
  <c r="K156" i="1"/>
  <c r="AB159" i="1"/>
  <c r="L165" i="1"/>
  <c r="O165" i="1"/>
  <c r="J165" i="1"/>
  <c r="I165" i="1" s="1"/>
  <c r="K166" i="1"/>
  <c r="J166" i="1"/>
  <c r="I166" i="1" s="1"/>
  <c r="U170" i="1"/>
  <c r="V170" i="1" s="1"/>
  <c r="AE171" i="1"/>
  <c r="AL174" i="1"/>
  <c r="T174" i="1"/>
  <c r="AL175" i="1"/>
  <c r="AB182" i="1"/>
  <c r="AB201" i="1"/>
  <c r="AI142" i="1"/>
  <c r="AI146" i="1"/>
  <c r="AL147" i="1"/>
  <c r="AL164" i="1"/>
  <c r="T164" i="1"/>
  <c r="R167" i="1"/>
  <c r="P167" i="1" s="1"/>
  <c r="S167" i="1" s="1"/>
  <c r="M167" i="1" s="1"/>
  <c r="N167" i="1" s="1"/>
  <c r="L168" i="1"/>
  <c r="K168" i="1"/>
  <c r="J168" i="1"/>
  <c r="I168" i="1" s="1"/>
  <c r="AI168" i="1"/>
  <c r="AL171" i="1"/>
  <c r="J174" i="1"/>
  <c r="I174" i="1" s="1"/>
  <c r="U201" i="1"/>
  <c r="V201" i="1" s="1"/>
  <c r="AC201" i="1" s="1"/>
  <c r="T143" i="1"/>
  <c r="U149" i="1"/>
  <c r="V149" i="1" s="1"/>
  <c r="AC149" i="1" s="1"/>
  <c r="J150" i="1"/>
  <c r="I150" i="1" s="1"/>
  <c r="U150" i="1" s="1"/>
  <c r="V150" i="1" s="1"/>
  <c r="U157" i="1"/>
  <c r="V157" i="1" s="1"/>
  <c r="O158" i="1"/>
  <c r="U166" i="1"/>
  <c r="V166" i="1" s="1"/>
  <c r="K174" i="1"/>
  <c r="AB175" i="1"/>
  <c r="X178" i="1"/>
  <c r="U202" i="1"/>
  <c r="V202" i="1" s="1"/>
  <c r="R202" i="1" s="1"/>
  <c r="P202" i="1" s="1"/>
  <c r="S202" i="1" s="1"/>
  <c r="M202" i="1" s="1"/>
  <c r="N202" i="1" s="1"/>
  <c r="AB173" i="1"/>
  <c r="L173" i="1"/>
  <c r="K173" i="1"/>
  <c r="AL188" i="1"/>
  <c r="T188" i="1"/>
  <c r="AB194" i="1"/>
  <c r="AL203" i="1"/>
  <c r="T203" i="1"/>
  <c r="K155" i="1"/>
  <c r="X170" i="1"/>
  <c r="J178" i="1"/>
  <c r="I178" i="1" s="1"/>
  <c r="AL180" i="1"/>
  <c r="X198" i="1"/>
  <c r="X166" i="1"/>
  <c r="AL172" i="1"/>
  <c r="L177" i="1"/>
  <c r="K177" i="1"/>
  <c r="J177" i="1"/>
  <c r="I177" i="1" s="1"/>
  <c r="O178" i="1"/>
  <c r="L178" i="1"/>
  <c r="AB183" i="1"/>
  <c r="AL165" i="1"/>
  <c r="AC166" i="1"/>
  <c r="AL168" i="1"/>
  <c r="AC170" i="1"/>
  <c r="L181" i="1"/>
  <c r="K181" i="1"/>
  <c r="J181" i="1"/>
  <c r="I181" i="1" s="1"/>
  <c r="J185" i="1"/>
  <c r="I185" i="1" s="1"/>
  <c r="AI185" i="1"/>
  <c r="O185" i="1"/>
  <c r="O188" i="1"/>
  <c r="L188" i="1"/>
  <c r="J188" i="1"/>
  <c r="I188" i="1" s="1"/>
  <c r="K188" i="1"/>
  <c r="AB198" i="1"/>
  <c r="L186" i="1"/>
  <c r="K186" i="1"/>
  <c r="J189" i="1"/>
  <c r="I189" i="1" s="1"/>
  <c r="AI189" i="1"/>
  <c r="L189" i="1"/>
  <c r="L205" i="1"/>
  <c r="K205" i="1"/>
  <c r="J205" i="1"/>
  <c r="I205" i="1" s="1"/>
  <c r="AI205" i="1"/>
  <c r="O205" i="1"/>
  <c r="L212" i="1"/>
  <c r="J212" i="1"/>
  <c r="I212" i="1" s="1"/>
  <c r="AI212" i="1"/>
  <c r="O212" i="1"/>
  <c r="U227" i="1"/>
  <c r="V227" i="1" s="1"/>
  <c r="AI176" i="1"/>
  <c r="AI180" i="1"/>
  <c r="L190" i="1"/>
  <c r="K190" i="1"/>
  <c r="AI190" i="1"/>
  <c r="AC191" i="1"/>
  <c r="J193" i="1"/>
  <c r="I193" i="1" s="1"/>
  <c r="AI193" i="1"/>
  <c r="O193" i="1"/>
  <c r="L193" i="1"/>
  <c r="L194" i="1"/>
  <c r="K194" i="1"/>
  <c r="AI194" i="1"/>
  <c r="AC195" i="1"/>
  <c r="J197" i="1"/>
  <c r="I197" i="1" s="1"/>
  <c r="AI197" i="1"/>
  <c r="O197" i="1"/>
  <c r="L197" i="1"/>
  <c r="L198" i="1"/>
  <c r="K198" i="1"/>
  <c r="AI198" i="1"/>
  <c r="AI200" i="1"/>
  <c r="O200" i="1"/>
  <c r="L200" i="1"/>
  <c r="J200" i="1"/>
  <c r="I200" i="1" s="1"/>
  <c r="AB202" i="1"/>
  <c r="T165" i="1"/>
  <c r="T169" i="1"/>
  <c r="T173" i="1"/>
  <c r="J176" i="1"/>
  <c r="I176" i="1" s="1"/>
  <c r="T177" i="1"/>
  <c r="J180" i="1"/>
  <c r="I180" i="1" s="1"/>
  <c r="T181" i="1"/>
  <c r="O182" i="1"/>
  <c r="O184" i="1"/>
  <c r="L184" i="1"/>
  <c r="U187" i="1"/>
  <c r="V187" i="1" s="1"/>
  <c r="AC187" i="1" s="1"/>
  <c r="K189" i="1"/>
  <c r="AL189" i="1"/>
  <c r="T189" i="1"/>
  <c r="U191" i="1"/>
  <c r="V191" i="1" s="1"/>
  <c r="O192" i="1"/>
  <c r="L192" i="1"/>
  <c r="J192" i="1"/>
  <c r="I192" i="1" s="1"/>
  <c r="U195" i="1"/>
  <c r="V195" i="1" s="1"/>
  <c r="R195" i="1" s="1"/>
  <c r="P195" i="1" s="1"/>
  <c r="S195" i="1" s="1"/>
  <c r="M195" i="1" s="1"/>
  <c r="N195" i="1" s="1"/>
  <c r="O196" i="1"/>
  <c r="L196" i="1"/>
  <c r="J196" i="1"/>
  <c r="I196" i="1" s="1"/>
  <c r="U199" i="1"/>
  <c r="V199" i="1" s="1"/>
  <c r="AC199" i="1" s="1"/>
  <c r="L208" i="1"/>
  <c r="J208" i="1"/>
  <c r="I208" i="1" s="1"/>
  <c r="O208" i="1"/>
  <c r="AI208" i="1"/>
  <c r="AB222" i="1"/>
  <c r="K176" i="1"/>
  <c r="AI179" i="1"/>
  <c r="K180" i="1"/>
  <c r="J184" i="1"/>
  <c r="I184" i="1" s="1"/>
  <c r="AL184" i="1"/>
  <c r="T184" i="1"/>
  <c r="AL192" i="1"/>
  <c r="T192" i="1"/>
  <c r="AL193" i="1"/>
  <c r="T193" i="1"/>
  <c r="AL196" i="1"/>
  <c r="T196" i="1"/>
  <c r="AL197" i="1"/>
  <c r="T197" i="1"/>
  <c r="K212" i="1"/>
  <c r="AB218" i="1"/>
  <c r="T168" i="1"/>
  <c r="T172" i="1"/>
  <c r="T176" i="1"/>
  <c r="T180" i="1"/>
  <c r="AI183" i="1"/>
  <c r="K184" i="1"/>
  <c r="X184" i="1"/>
  <c r="J186" i="1"/>
  <c r="I186" i="1" s="1"/>
  <c r="O189" i="1"/>
  <c r="AB214" i="1"/>
  <c r="R206" i="1"/>
  <c r="P206" i="1" s="1"/>
  <c r="S206" i="1" s="1"/>
  <c r="M206" i="1" s="1"/>
  <c r="N206" i="1" s="1"/>
  <c r="AL207" i="1"/>
  <c r="AB226" i="1"/>
  <c r="X201" i="1"/>
  <c r="AL208" i="1"/>
  <c r="T208" i="1"/>
  <c r="O209" i="1"/>
  <c r="L209" i="1"/>
  <c r="J213" i="1"/>
  <c r="I213" i="1" s="1"/>
  <c r="AL216" i="1"/>
  <c r="T216" i="1"/>
  <c r="AL218" i="1"/>
  <c r="T218" i="1"/>
  <c r="AL222" i="1"/>
  <c r="T222" i="1"/>
  <c r="AL226" i="1"/>
  <c r="T226" i="1"/>
  <c r="AL209" i="1"/>
  <c r="T209" i="1"/>
  <c r="O213" i="1"/>
  <c r="L213" i="1"/>
  <c r="K213" i="1"/>
  <c r="AL215" i="1"/>
  <c r="O217" i="1"/>
  <c r="L217" i="1"/>
  <c r="K217" i="1"/>
  <c r="J217" i="1"/>
  <c r="I217" i="1" s="1"/>
  <c r="O221" i="1"/>
  <c r="L221" i="1"/>
  <c r="K221" i="1"/>
  <c r="J221" i="1"/>
  <c r="I221" i="1" s="1"/>
  <c r="O225" i="1"/>
  <c r="L225" i="1"/>
  <c r="K225" i="1"/>
  <c r="J225" i="1"/>
  <c r="I225" i="1" s="1"/>
  <c r="AL214" i="1"/>
  <c r="T214" i="1"/>
  <c r="AL205" i="1"/>
  <c r="T205" i="1"/>
  <c r="AB206" i="1"/>
  <c r="AE206" i="1" s="1"/>
  <c r="R210" i="1"/>
  <c r="P210" i="1" s="1"/>
  <c r="S210" i="1" s="1"/>
  <c r="M210" i="1" s="1"/>
  <c r="N210" i="1" s="1"/>
  <c r="T182" i="1"/>
  <c r="T186" i="1"/>
  <c r="T190" i="1"/>
  <c r="T194" i="1"/>
  <c r="T198" i="1"/>
  <c r="L204" i="1"/>
  <c r="J204" i="1"/>
  <c r="I204" i="1" s="1"/>
  <c r="X205" i="1"/>
  <c r="J209" i="1"/>
  <c r="I209" i="1" s="1"/>
  <c r="AL212" i="1"/>
  <c r="T212" i="1"/>
  <c r="AI216" i="1"/>
  <c r="AI220" i="1"/>
  <c r="AI224" i="1"/>
  <c r="AI228" i="1"/>
  <c r="T213" i="1"/>
  <c r="J216" i="1"/>
  <c r="I216" i="1" s="1"/>
  <c r="T217" i="1"/>
  <c r="J220" i="1"/>
  <c r="I220" i="1" s="1"/>
  <c r="T221" i="1"/>
  <c r="J224" i="1"/>
  <c r="I224" i="1" s="1"/>
  <c r="T225" i="1"/>
  <c r="J228" i="1"/>
  <c r="I228" i="1" s="1"/>
  <c r="U228" i="1" s="1"/>
  <c r="V228" i="1" s="1"/>
  <c r="AI219" i="1"/>
  <c r="K220" i="1"/>
  <c r="AI223" i="1"/>
  <c r="K224" i="1"/>
  <c r="AI227" i="1"/>
  <c r="K228" i="1"/>
  <c r="J203" i="1"/>
  <c r="I203" i="1" s="1"/>
  <c r="J207" i="1"/>
  <c r="I207" i="1" s="1"/>
  <c r="J211" i="1"/>
  <c r="I211" i="1" s="1"/>
  <c r="J215" i="1"/>
  <c r="I215" i="1" s="1"/>
  <c r="J219" i="1"/>
  <c r="I219" i="1" s="1"/>
  <c r="T220" i="1"/>
  <c r="J223" i="1"/>
  <c r="I223" i="1" s="1"/>
  <c r="T224" i="1"/>
  <c r="J227" i="1"/>
  <c r="I227" i="1" s="1"/>
  <c r="K219" i="1"/>
  <c r="K223" i="1"/>
  <c r="AI226" i="1"/>
  <c r="K227" i="1"/>
  <c r="T207" i="1"/>
  <c r="T211" i="1"/>
  <c r="T215" i="1"/>
  <c r="T219" i="1"/>
  <c r="T223" i="1"/>
  <c r="AD140" i="1" l="1"/>
  <c r="W140" i="1"/>
  <c r="AA140" i="1" s="1"/>
  <c r="AC140" i="1"/>
  <c r="W90" i="1"/>
  <c r="AA90" i="1" s="1"/>
  <c r="AD90" i="1"/>
  <c r="AC90" i="1"/>
  <c r="W122" i="1"/>
  <c r="AA122" i="1" s="1"/>
  <c r="AC122" i="1"/>
  <c r="AD122" i="1"/>
  <c r="W111" i="1"/>
  <c r="AA111" i="1" s="1"/>
  <c r="AD111" i="1"/>
  <c r="AC111" i="1"/>
  <c r="AD228" i="1"/>
  <c r="W228" i="1"/>
  <c r="AA228" i="1" s="1"/>
  <c r="AC228" i="1"/>
  <c r="W150" i="1"/>
  <c r="AA150" i="1" s="1"/>
  <c r="AD150" i="1"/>
  <c r="AC150" i="1"/>
  <c r="W130" i="1"/>
  <c r="AA130" i="1" s="1"/>
  <c r="AD130" i="1"/>
  <c r="AC130" i="1"/>
  <c r="W106" i="1"/>
  <c r="AA106" i="1" s="1"/>
  <c r="AD106" i="1"/>
  <c r="AC106" i="1"/>
  <c r="W66" i="1"/>
  <c r="AA66" i="1" s="1"/>
  <c r="AD66" i="1"/>
  <c r="AC66" i="1"/>
  <c r="AD161" i="1"/>
  <c r="W161" i="1"/>
  <c r="AA161" i="1" s="1"/>
  <c r="AC161" i="1"/>
  <c r="W114" i="1"/>
  <c r="AA114" i="1" s="1"/>
  <c r="AD114" i="1"/>
  <c r="AC114" i="1"/>
  <c r="W110" i="1"/>
  <c r="AA110" i="1" s="1"/>
  <c r="AD110" i="1"/>
  <c r="AC110" i="1"/>
  <c r="AB224" i="1"/>
  <c r="U209" i="1"/>
  <c r="V209" i="1" s="1"/>
  <c r="U172" i="1"/>
  <c r="V172" i="1" s="1"/>
  <c r="AB180" i="1"/>
  <c r="AB123" i="1"/>
  <c r="W113" i="1"/>
  <c r="AA113" i="1" s="1"/>
  <c r="AD113" i="1"/>
  <c r="U79" i="1"/>
  <c r="V79" i="1" s="1"/>
  <c r="U96" i="1"/>
  <c r="V96" i="1" s="1"/>
  <c r="U100" i="1"/>
  <c r="V100" i="1" s="1"/>
  <c r="U38" i="1"/>
  <c r="V38" i="1" s="1"/>
  <c r="R38" i="1"/>
  <c r="P38" i="1" s="1"/>
  <c r="S38" i="1" s="1"/>
  <c r="M38" i="1" s="1"/>
  <c r="N38" i="1" s="1"/>
  <c r="AB38" i="1"/>
  <c r="AB55" i="1"/>
  <c r="U219" i="1"/>
  <c r="V219" i="1" s="1"/>
  <c r="AB227" i="1"/>
  <c r="R227" i="1"/>
  <c r="P227" i="1" s="1"/>
  <c r="S227" i="1" s="1"/>
  <c r="M227" i="1" s="1"/>
  <c r="N227" i="1" s="1"/>
  <c r="AB203" i="1"/>
  <c r="U225" i="1"/>
  <c r="V225" i="1" s="1"/>
  <c r="AB204" i="1"/>
  <c r="U176" i="1"/>
  <c r="V176" i="1" s="1"/>
  <c r="AD191" i="1"/>
  <c r="AE191" i="1" s="1"/>
  <c r="W191" i="1"/>
  <c r="AA191" i="1" s="1"/>
  <c r="U181" i="1"/>
  <c r="V181" i="1" s="1"/>
  <c r="R181" i="1" s="1"/>
  <c r="P181" i="1" s="1"/>
  <c r="S181" i="1" s="1"/>
  <c r="M181" i="1" s="1"/>
  <c r="N181" i="1" s="1"/>
  <c r="AB212" i="1"/>
  <c r="AB181" i="1"/>
  <c r="AD166" i="1"/>
  <c r="AE166" i="1" s="1"/>
  <c r="W166" i="1"/>
  <c r="AA166" i="1" s="1"/>
  <c r="U164" i="1"/>
  <c r="V164" i="1" s="1"/>
  <c r="W170" i="1"/>
  <c r="AA170" i="1" s="1"/>
  <c r="AD170" i="1"/>
  <c r="W179" i="1"/>
  <c r="AA179" i="1" s="1"/>
  <c r="AD179" i="1"/>
  <c r="AC179" i="1"/>
  <c r="R170" i="1"/>
  <c r="P170" i="1" s="1"/>
  <c r="S170" i="1" s="1"/>
  <c r="M170" i="1" s="1"/>
  <c r="N170" i="1" s="1"/>
  <c r="AB170" i="1"/>
  <c r="U160" i="1"/>
  <c r="V160" i="1" s="1"/>
  <c r="R179" i="1"/>
  <c r="P179" i="1" s="1"/>
  <c r="S179" i="1" s="1"/>
  <c r="M179" i="1" s="1"/>
  <c r="N179" i="1" s="1"/>
  <c r="U123" i="1"/>
  <c r="V123" i="1" s="1"/>
  <c r="W153" i="1"/>
  <c r="AA153" i="1" s="1"/>
  <c r="AD153" i="1"/>
  <c r="AC153" i="1"/>
  <c r="AB149" i="1"/>
  <c r="R149" i="1"/>
  <c r="P149" i="1" s="1"/>
  <c r="S149" i="1" s="1"/>
  <c r="M149" i="1" s="1"/>
  <c r="N149" i="1" s="1"/>
  <c r="AE162" i="1"/>
  <c r="AB133" i="1"/>
  <c r="AC113" i="1"/>
  <c r="AB141" i="1"/>
  <c r="AB107" i="1"/>
  <c r="R107" i="1"/>
  <c r="P107" i="1" s="1"/>
  <c r="S107" i="1" s="1"/>
  <c r="M107" i="1" s="1"/>
  <c r="N107" i="1" s="1"/>
  <c r="W125" i="1"/>
  <c r="AA125" i="1" s="1"/>
  <c r="AD125" i="1"/>
  <c r="U135" i="1"/>
  <c r="V135" i="1" s="1"/>
  <c r="U83" i="1"/>
  <c r="V83" i="1" s="1"/>
  <c r="U88" i="1"/>
  <c r="V88" i="1" s="1"/>
  <c r="R116" i="1"/>
  <c r="P116" i="1" s="1"/>
  <c r="S116" i="1" s="1"/>
  <c r="M116" i="1" s="1"/>
  <c r="N116" i="1" s="1"/>
  <c r="AB116" i="1"/>
  <c r="R102" i="1"/>
  <c r="P102" i="1" s="1"/>
  <c r="S102" i="1" s="1"/>
  <c r="M102" i="1" s="1"/>
  <c r="N102" i="1" s="1"/>
  <c r="AB102" i="1"/>
  <c r="U93" i="1"/>
  <c r="V93" i="1" s="1"/>
  <c r="W98" i="1"/>
  <c r="AA98" i="1" s="1"/>
  <c r="AD98" i="1"/>
  <c r="AE98" i="1" s="1"/>
  <c r="AB99" i="1"/>
  <c r="AB68" i="1"/>
  <c r="U39" i="1"/>
  <c r="V39" i="1" s="1"/>
  <c r="W58" i="1"/>
  <c r="AA58" i="1" s="1"/>
  <c r="AD58" i="1"/>
  <c r="AE58" i="1" s="1"/>
  <c r="AC58" i="1"/>
  <c r="U44" i="1"/>
  <c r="V44" i="1" s="1"/>
  <c r="R58" i="1"/>
  <c r="P58" i="1" s="1"/>
  <c r="S58" i="1" s="1"/>
  <c r="M58" i="1" s="1"/>
  <c r="N58" i="1" s="1"/>
  <c r="U41" i="1"/>
  <c r="V41" i="1" s="1"/>
  <c r="R41" i="1" s="1"/>
  <c r="P41" i="1" s="1"/>
  <c r="S41" i="1" s="1"/>
  <c r="M41" i="1" s="1"/>
  <c r="N41" i="1" s="1"/>
  <c r="U21" i="1"/>
  <c r="V21" i="1" s="1"/>
  <c r="AB108" i="1"/>
  <c r="AB80" i="1"/>
  <c r="R80" i="1"/>
  <c r="P80" i="1" s="1"/>
  <c r="S80" i="1" s="1"/>
  <c r="M80" i="1" s="1"/>
  <c r="N80" i="1" s="1"/>
  <c r="AB17" i="1"/>
  <c r="AB27" i="1"/>
  <c r="AB184" i="1"/>
  <c r="AB87" i="1"/>
  <c r="U211" i="1"/>
  <c r="V211" i="1" s="1"/>
  <c r="AB223" i="1"/>
  <c r="U221" i="1"/>
  <c r="V221" i="1" s="1"/>
  <c r="U198" i="1"/>
  <c r="V198" i="1" s="1"/>
  <c r="U168" i="1"/>
  <c r="V168" i="1" s="1"/>
  <c r="U177" i="1"/>
  <c r="V177" i="1" s="1"/>
  <c r="AB189" i="1"/>
  <c r="AB188" i="1"/>
  <c r="R188" i="1"/>
  <c r="P188" i="1" s="1"/>
  <c r="S188" i="1" s="1"/>
  <c r="M188" i="1" s="1"/>
  <c r="N188" i="1" s="1"/>
  <c r="AD157" i="1"/>
  <c r="AE157" i="1" s="1"/>
  <c r="W157" i="1"/>
  <c r="AA157" i="1" s="1"/>
  <c r="AC157" i="1"/>
  <c r="W175" i="1"/>
  <c r="AA175" i="1" s="1"/>
  <c r="AD175" i="1"/>
  <c r="AE175" i="1" s="1"/>
  <c r="AC175" i="1"/>
  <c r="U178" i="1"/>
  <c r="V178" i="1" s="1"/>
  <c r="R175" i="1"/>
  <c r="P175" i="1" s="1"/>
  <c r="S175" i="1" s="1"/>
  <c r="M175" i="1" s="1"/>
  <c r="N175" i="1" s="1"/>
  <c r="U119" i="1"/>
  <c r="V119" i="1" s="1"/>
  <c r="W138" i="1"/>
  <c r="AA138" i="1" s="1"/>
  <c r="AD138" i="1"/>
  <c r="U147" i="1"/>
  <c r="V147" i="1" s="1"/>
  <c r="AB148" i="1"/>
  <c r="R138" i="1"/>
  <c r="P138" i="1" s="1"/>
  <c r="S138" i="1" s="1"/>
  <c r="M138" i="1" s="1"/>
  <c r="N138" i="1" s="1"/>
  <c r="AB160" i="1"/>
  <c r="R160" i="1"/>
  <c r="P160" i="1" s="1"/>
  <c r="S160" i="1" s="1"/>
  <c r="M160" i="1" s="1"/>
  <c r="N160" i="1" s="1"/>
  <c r="AB120" i="1"/>
  <c r="AB124" i="1"/>
  <c r="R124" i="1"/>
  <c r="P124" i="1" s="1"/>
  <c r="S124" i="1" s="1"/>
  <c r="M124" i="1" s="1"/>
  <c r="N124" i="1" s="1"/>
  <c r="AC138" i="1"/>
  <c r="U75" i="1"/>
  <c r="V75" i="1" s="1"/>
  <c r="R110" i="1"/>
  <c r="P110" i="1" s="1"/>
  <c r="S110" i="1" s="1"/>
  <c r="M110" i="1" s="1"/>
  <c r="N110" i="1" s="1"/>
  <c r="AB110" i="1"/>
  <c r="U84" i="1"/>
  <c r="V84" i="1" s="1"/>
  <c r="W107" i="1"/>
  <c r="AA107" i="1" s="1"/>
  <c r="AD107" i="1"/>
  <c r="U99" i="1"/>
  <c r="V99" i="1" s="1"/>
  <c r="R99" i="1" s="1"/>
  <c r="P99" i="1" s="1"/>
  <c r="S99" i="1" s="1"/>
  <c r="M99" i="1" s="1"/>
  <c r="N99" i="1" s="1"/>
  <c r="U85" i="1"/>
  <c r="V85" i="1" s="1"/>
  <c r="W137" i="1"/>
  <c r="AA137" i="1" s="1"/>
  <c r="AD137" i="1"/>
  <c r="AC137" i="1"/>
  <c r="AC107" i="1"/>
  <c r="U34" i="1"/>
  <c r="V34" i="1" s="1"/>
  <c r="R34" i="1" s="1"/>
  <c r="P34" i="1" s="1"/>
  <c r="S34" i="1" s="1"/>
  <c r="M34" i="1" s="1"/>
  <c r="N34" i="1" s="1"/>
  <c r="AB34" i="1"/>
  <c r="AB89" i="1"/>
  <c r="W94" i="1"/>
  <c r="AA94" i="1" s="1"/>
  <c r="AD94" i="1"/>
  <c r="AE94" i="1" s="1"/>
  <c r="AC94" i="1"/>
  <c r="U52" i="1"/>
  <c r="V52" i="1" s="1"/>
  <c r="U36" i="1"/>
  <c r="V36" i="1" s="1"/>
  <c r="U53" i="1"/>
  <c r="V53" i="1" s="1"/>
  <c r="U37" i="1"/>
  <c r="V37" i="1" s="1"/>
  <c r="U26" i="1"/>
  <c r="V26" i="1" s="1"/>
  <c r="AB31" i="1"/>
  <c r="AB41" i="1"/>
  <c r="R50" i="1"/>
  <c r="P50" i="1" s="1"/>
  <c r="S50" i="1" s="1"/>
  <c r="M50" i="1" s="1"/>
  <c r="N50" i="1" s="1"/>
  <c r="U50" i="1"/>
  <c r="V50" i="1" s="1"/>
  <c r="AB50" i="1"/>
  <c r="AB37" i="1"/>
  <c r="R37" i="1"/>
  <c r="P37" i="1" s="1"/>
  <c r="S37" i="1" s="1"/>
  <c r="M37" i="1" s="1"/>
  <c r="N37" i="1" s="1"/>
  <c r="AB43" i="1"/>
  <c r="AB35" i="1"/>
  <c r="R35" i="1"/>
  <c r="P35" i="1" s="1"/>
  <c r="S35" i="1" s="1"/>
  <c r="M35" i="1" s="1"/>
  <c r="N35" i="1" s="1"/>
  <c r="AB19" i="1"/>
  <c r="U215" i="1"/>
  <c r="V215" i="1" s="1"/>
  <c r="U224" i="1"/>
  <c r="V224" i="1" s="1"/>
  <c r="R224" i="1" s="1"/>
  <c r="P224" i="1" s="1"/>
  <c r="S224" i="1" s="1"/>
  <c r="M224" i="1" s="1"/>
  <c r="N224" i="1" s="1"/>
  <c r="U205" i="1"/>
  <c r="V205" i="1" s="1"/>
  <c r="U216" i="1"/>
  <c r="V216" i="1" s="1"/>
  <c r="U196" i="1"/>
  <c r="V196" i="1" s="1"/>
  <c r="AB200" i="1"/>
  <c r="R122" i="1"/>
  <c r="P122" i="1" s="1"/>
  <c r="S122" i="1" s="1"/>
  <c r="M122" i="1" s="1"/>
  <c r="N122" i="1" s="1"/>
  <c r="AB122" i="1"/>
  <c r="W102" i="1"/>
  <c r="AA102" i="1" s="1"/>
  <c r="AD102" i="1"/>
  <c r="AD47" i="1"/>
  <c r="AE47" i="1" s="1"/>
  <c r="W47" i="1"/>
  <c r="AA47" i="1" s="1"/>
  <c r="U207" i="1"/>
  <c r="V207" i="1" s="1"/>
  <c r="U220" i="1"/>
  <c r="V220" i="1" s="1"/>
  <c r="AB220" i="1"/>
  <c r="R220" i="1"/>
  <c r="P220" i="1" s="1"/>
  <c r="S220" i="1" s="1"/>
  <c r="M220" i="1" s="1"/>
  <c r="N220" i="1" s="1"/>
  <c r="U194" i="1"/>
  <c r="V194" i="1" s="1"/>
  <c r="U226" i="1"/>
  <c r="V226" i="1" s="1"/>
  <c r="AB213" i="1"/>
  <c r="R213" i="1"/>
  <c r="P213" i="1" s="1"/>
  <c r="S213" i="1" s="1"/>
  <c r="M213" i="1" s="1"/>
  <c r="N213" i="1" s="1"/>
  <c r="AB186" i="1"/>
  <c r="R186" i="1"/>
  <c r="P186" i="1" s="1"/>
  <c r="S186" i="1" s="1"/>
  <c r="M186" i="1" s="1"/>
  <c r="N186" i="1" s="1"/>
  <c r="U193" i="1"/>
  <c r="V193" i="1" s="1"/>
  <c r="AD195" i="1"/>
  <c r="AE195" i="1" s="1"/>
  <c r="W195" i="1"/>
  <c r="AA195" i="1" s="1"/>
  <c r="AB176" i="1"/>
  <c r="R176" i="1"/>
  <c r="P176" i="1" s="1"/>
  <c r="S176" i="1" s="1"/>
  <c r="M176" i="1" s="1"/>
  <c r="N176" i="1" s="1"/>
  <c r="AB178" i="1"/>
  <c r="U188" i="1"/>
  <c r="V188" i="1" s="1"/>
  <c r="AB166" i="1"/>
  <c r="R166" i="1"/>
  <c r="P166" i="1" s="1"/>
  <c r="S166" i="1" s="1"/>
  <c r="M166" i="1" s="1"/>
  <c r="N166" i="1" s="1"/>
  <c r="U145" i="1"/>
  <c r="V145" i="1" s="1"/>
  <c r="AB169" i="1"/>
  <c r="U158" i="1"/>
  <c r="V158" i="1" s="1"/>
  <c r="AB147" i="1"/>
  <c r="R147" i="1"/>
  <c r="P147" i="1" s="1"/>
  <c r="S147" i="1" s="1"/>
  <c r="M147" i="1" s="1"/>
  <c r="N147" i="1" s="1"/>
  <c r="AB134" i="1"/>
  <c r="U134" i="1"/>
  <c r="V134" i="1" s="1"/>
  <c r="R134" i="1" s="1"/>
  <c r="P134" i="1" s="1"/>
  <c r="S134" i="1" s="1"/>
  <c r="M134" i="1" s="1"/>
  <c r="N134" i="1" s="1"/>
  <c r="AB118" i="1"/>
  <c r="U118" i="1"/>
  <c r="V118" i="1" s="1"/>
  <c r="U120" i="1"/>
  <c r="V120" i="1" s="1"/>
  <c r="R120" i="1" s="1"/>
  <c r="P120" i="1" s="1"/>
  <c r="S120" i="1" s="1"/>
  <c r="M120" i="1" s="1"/>
  <c r="N120" i="1" s="1"/>
  <c r="U142" i="1"/>
  <c r="V142" i="1" s="1"/>
  <c r="W151" i="1"/>
  <c r="AA151" i="1" s="1"/>
  <c r="AD151" i="1"/>
  <c r="AC151" i="1"/>
  <c r="AB131" i="1"/>
  <c r="R131" i="1"/>
  <c r="P131" i="1" s="1"/>
  <c r="S131" i="1" s="1"/>
  <c r="M131" i="1" s="1"/>
  <c r="N131" i="1" s="1"/>
  <c r="R121" i="1"/>
  <c r="P121" i="1" s="1"/>
  <c r="S121" i="1" s="1"/>
  <c r="M121" i="1" s="1"/>
  <c r="N121" i="1" s="1"/>
  <c r="AB121" i="1"/>
  <c r="AB129" i="1"/>
  <c r="R137" i="1"/>
  <c r="P137" i="1" s="1"/>
  <c r="S137" i="1" s="1"/>
  <c r="M137" i="1" s="1"/>
  <c r="N137" i="1" s="1"/>
  <c r="U71" i="1"/>
  <c r="V71" i="1" s="1"/>
  <c r="U109" i="1"/>
  <c r="V109" i="1" s="1"/>
  <c r="R109" i="1" s="1"/>
  <c r="P109" i="1" s="1"/>
  <c r="S109" i="1" s="1"/>
  <c r="M109" i="1" s="1"/>
  <c r="N109" i="1" s="1"/>
  <c r="AB109" i="1"/>
  <c r="U80" i="1"/>
  <c r="V80" i="1" s="1"/>
  <c r="U81" i="1"/>
  <c r="V81" i="1" s="1"/>
  <c r="AB71" i="1"/>
  <c r="R71" i="1"/>
  <c r="P71" i="1" s="1"/>
  <c r="S71" i="1" s="1"/>
  <c r="M71" i="1" s="1"/>
  <c r="N71" i="1" s="1"/>
  <c r="U129" i="1"/>
  <c r="V129" i="1" s="1"/>
  <c r="R129" i="1" s="1"/>
  <c r="P129" i="1" s="1"/>
  <c r="S129" i="1" s="1"/>
  <c r="M129" i="1" s="1"/>
  <c r="N129" i="1" s="1"/>
  <c r="U31" i="1"/>
  <c r="V31" i="1" s="1"/>
  <c r="AB81" i="1"/>
  <c r="R81" i="1"/>
  <c r="P81" i="1" s="1"/>
  <c r="S81" i="1" s="1"/>
  <c r="M81" i="1" s="1"/>
  <c r="N81" i="1" s="1"/>
  <c r="AB76" i="1"/>
  <c r="R76" i="1"/>
  <c r="P76" i="1" s="1"/>
  <c r="S76" i="1" s="1"/>
  <c r="M76" i="1" s="1"/>
  <c r="N76" i="1" s="1"/>
  <c r="U61" i="1"/>
  <c r="V61" i="1" s="1"/>
  <c r="U32" i="1"/>
  <c r="V32" i="1" s="1"/>
  <c r="AB75" i="1"/>
  <c r="R75" i="1"/>
  <c r="P75" i="1" s="1"/>
  <c r="S75" i="1" s="1"/>
  <c r="M75" i="1" s="1"/>
  <c r="N75" i="1" s="1"/>
  <c r="AB36" i="1"/>
  <c r="R36" i="1"/>
  <c r="P36" i="1" s="1"/>
  <c r="S36" i="1" s="1"/>
  <c r="M36" i="1" s="1"/>
  <c r="N36" i="1" s="1"/>
  <c r="R86" i="1"/>
  <c r="P86" i="1" s="1"/>
  <c r="S86" i="1" s="1"/>
  <c r="M86" i="1" s="1"/>
  <c r="N86" i="1" s="1"/>
  <c r="AB86" i="1"/>
  <c r="U43" i="1"/>
  <c r="V43" i="1" s="1"/>
  <c r="AB33" i="1"/>
  <c r="U19" i="1"/>
  <c r="V19" i="1" s="1"/>
  <c r="AB208" i="1"/>
  <c r="R208" i="1"/>
  <c r="P208" i="1" s="1"/>
  <c r="S208" i="1" s="1"/>
  <c r="M208" i="1" s="1"/>
  <c r="N208" i="1" s="1"/>
  <c r="AB174" i="1"/>
  <c r="R140" i="1"/>
  <c r="P140" i="1" s="1"/>
  <c r="S140" i="1" s="1"/>
  <c r="M140" i="1" s="1"/>
  <c r="N140" i="1" s="1"/>
  <c r="AB140" i="1"/>
  <c r="AB45" i="1"/>
  <c r="AB219" i="1"/>
  <c r="R219" i="1"/>
  <c r="P219" i="1" s="1"/>
  <c r="S219" i="1" s="1"/>
  <c r="M219" i="1" s="1"/>
  <c r="N219" i="1" s="1"/>
  <c r="U217" i="1"/>
  <c r="V217" i="1" s="1"/>
  <c r="U212" i="1"/>
  <c r="V212" i="1" s="1"/>
  <c r="U190" i="1"/>
  <c r="V190" i="1" s="1"/>
  <c r="U214" i="1"/>
  <c r="V214" i="1" s="1"/>
  <c r="AB221" i="1"/>
  <c r="R221" i="1"/>
  <c r="P221" i="1" s="1"/>
  <c r="S221" i="1" s="1"/>
  <c r="M221" i="1" s="1"/>
  <c r="N221" i="1" s="1"/>
  <c r="U200" i="1"/>
  <c r="V200" i="1" s="1"/>
  <c r="AB192" i="1"/>
  <c r="AD187" i="1"/>
  <c r="AE187" i="1" s="1"/>
  <c r="W187" i="1"/>
  <c r="AA187" i="1" s="1"/>
  <c r="U173" i="1"/>
  <c r="V173" i="1" s="1"/>
  <c r="AB197" i="1"/>
  <c r="R193" i="1"/>
  <c r="P193" i="1" s="1"/>
  <c r="S193" i="1" s="1"/>
  <c r="M193" i="1" s="1"/>
  <c r="N193" i="1" s="1"/>
  <c r="AB193" i="1"/>
  <c r="W227" i="1"/>
  <c r="AA227" i="1" s="1"/>
  <c r="AD227" i="1"/>
  <c r="AC227" i="1"/>
  <c r="AB177" i="1"/>
  <c r="R177" i="1"/>
  <c r="P177" i="1" s="1"/>
  <c r="S177" i="1" s="1"/>
  <c r="M177" i="1" s="1"/>
  <c r="N177" i="1" s="1"/>
  <c r="W202" i="1"/>
  <c r="AA202" i="1" s="1"/>
  <c r="AD202" i="1"/>
  <c r="AE202" i="1" s="1"/>
  <c r="AC202" i="1"/>
  <c r="AB150" i="1"/>
  <c r="R150" i="1"/>
  <c r="P150" i="1" s="1"/>
  <c r="S150" i="1" s="1"/>
  <c r="M150" i="1" s="1"/>
  <c r="N150" i="1" s="1"/>
  <c r="AB168" i="1"/>
  <c r="R168" i="1"/>
  <c r="P168" i="1" s="1"/>
  <c r="S168" i="1" s="1"/>
  <c r="M168" i="1" s="1"/>
  <c r="N168" i="1" s="1"/>
  <c r="AB164" i="1"/>
  <c r="R164" i="1"/>
  <c r="P164" i="1" s="1"/>
  <c r="S164" i="1" s="1"/>
  <c r="M164" i="1" s="1"/>
  <c r="N164" i="1" s="1"/>
  <c r="AB156" i="1"/>
  <c r="U155" i="1"/>
  <c r="V155" i="1" s="1"/>
  <c r="R161" i="1"/>
  <c r="P161" i="1" s="1"/>
  <c r="S161" i="1" s="1"/>
  <c r="M161" i="1" s="1"/>
  <c r="N161" i="1" s="1"/>
  <c r="AB161" i="1"/>
  <c r="U131" i="1"/>
  <c r="V131" i="1" s="1"/>
  <c r="U115" i="1"/>
  <c r="V115" i="1" s="1"/>
  <c r="U146" i="1"/>
  <c r="V146" i="1" s="1"/>
  <c r="AC154" i="1"/>
  <c r="U144" i="1"/>
  <c r="V144" i="1" s="1"/>
  <c r="AB136" i="1"/>
  <c r="R136" i="1"/>
  <c r="P136" i="1" s="1"/>
  <c r="S136" i="1" s="1"/>
  <c r="M136" i="1" s="1"/>
  <c r="N136" i="1" s="1"/>
  <c r="U136" i="1"/>
  <c r="V136" i="1" s="1"/>
  <c r="W117" i="1"/>
  <c r="AA117" i="1" s="1"/>
  <c r="AD117" i="1"/>
  <c r="AE117" i="1" s="1"/>
  <c r="R117" i="1"/>
  <c r="P117" i="1" s="1"/>
  <c r="S117" i="1" s="1"/>
  <c r="M117" i="1" s="1"/>
  <c r="N117" i="1" s="1"/>
  <c r="U67" i="1"/>
  <c r="V67" i="1" s="1"/>
  <c r="AB132" i="1"/>
  <c r="R132" i="1"/>
  <c r="P132" i="1" s="1"/>
  <c r="S132" i="1" s="1"/>
  <c r="M132" i="1" s="1"/>
  <c r="N132" i="1" s="1"/>
  <c r="U76" i="1"/>
  <c r="V76" i="1" s="1"/>
  <c r="U105" i="1"/>
  <c r="V105" i="1" s="1"/>
  <c r="AB105" i="1"/>
  <c r="R105" i="1"/>
  <c r="P105" i="1" s="1"/>
  <c r="S105" i="1" s="1"/>
  <c r="M105" i="1" s="1"/>
  <c r="N105" i="1" s="1"/>
  <c r="U77" i="1"/>
  <c r="V77" i="1" s="1"/>
  <c r="W121" i="1"/>
  <c r="AA121" i="1" s="1"/>
  <c r="AD121" i="1"/>
  <c r="AE121" i="1" s="1"/>
  <c r="AB56" i="1"/>
  <c r="U56" i="1"/>
  <c r="V56" i="1" s="1"/>
  <c r="W78" i="1"/>
  <c r="AA78" i="1" s="1"/>
  <c r="AD78" i="1"/>
  <c r="AC78" i="1"/>
  <c r="W70" i="1"/>
  <c r="AA70" i="1" s="1"/>
  <c r="AD70" i="1"/>
  <c r="AC70" i="1"/>
  <c r="U30" i="1"/>
  <c r="V30" i="1" s="1"/>
  <c r="AB30" i="1"/>
  <c r="AB73" i="1"/>
  <c r="AD60" i="1"/>
  <c r="AE60" i="1" s="1"/>
  <c r="W60" i="1"/>
  <c r="AA60" i="1" s="1"/>
  <c r="AB84" i="1"/>
  <c r="R84" i="1"/>
  <c r="P84" i="1" s="1"/>
  <c r="S84" i="1" s="1"/>
  <c r="M84" i="1" s="1"/>
  <c r="N84" i="1" s="1"/>
  <c r="AB64" i="1"/>
  <c r="AB51" i="1"/>
  <c r="U28" i="1"/>
  <c r="V28" i="1" s="1"/>
  <c r="AB60" i="1"/>
  <c r="R60" i="1"/>
  <c r="P60" i="1" s="1"/>
  <c r="S60" i="1" s="1"/>
  <c r="M60" i="1" s="1"/>
  <c r="N60" i="1" s="1"/>
  <c r="W82" i="1"/>
  <c r="AA82" i="1" s="1"/>
  <c r="AD82" i="1"/>
  <c r="AE82" i="1" s="1"/>
  <c r="AC82" i="1"/>
  <c r="W74" i="1"/>
  <c r="AA74" i="1" s="1"/>
  <c r="AD74" i="1"/>
  <c r="AE74" i="1" s="1"/>
  <c r="AC74" i="1"/>
  <c r="U49" i="1"/>
  <c r="V49" i="1" s="1"/>
  <c r="U33" i="1"/>
  <c r="V33" i="1" s="1"/>
  <c r="R98" i="1"/>
  <c r="P98" i="1" s="1"/>
  <c r="S98" i="1" s="1"/>
  <c r="M98" i="1" s="1"/>
  <c r="N98" i="1" s="1"/>
  <c r="U57" i="1"/>
  <c r="V57" i="1" s="1"/>
  <c r="U22" i="1"/>
  <c r="V22" i="1" s="1"/>
  <c r="AB25" i="1"/>
  <c r="U40" i="1"/>
  <c r="V40" i="1" s="1"/>
  <c r="AB215" i="1"/>
  <c r="R215" i="1"/>
  <c r="P215" i="1" s="1"/>
  <c r="S215" i="1" s="1"/>
  <c r="M215" i="1" s="1"/>
  <c r="N215" i="1" s="1"/>
  <c r="AB216" i="1"/>
  <c r="R216" i="1"/>
  <c r="P216" i="1" s="1"/>
  <c r="S216" i="1" s="1"/>
  <c r="M216" i="1" s="1"/>
  <c r="N216" i="1" s="1"/>
  <c r="U186" i="1"/>
  <c r="V186" i="1" s="1"/>
  <c r="U222" i="1"/>
  <c r="V222" i="1" s="1"/>
  <c r="U192" i="1"/>
  <c r="V192" i="1" s="1"/>
  <c r="U169" i="1"/>
  <c r="V169" i="1" s="1"/>
  <c r="R169" i="1" s="1"/>
  <c r="P169" i="1" s="1"/>
  <c r="S169" i="1" s="1"/>
  <c r="M169" i="1" s="1"/>
  <c r="N169" i="1" s="1"/>
  <c r="AB205" i="1"/>
  <c r="AD149" i="1"/>
  <c r="AE149" i="1" s="1"/>
  <c r="W149" i="1"/>
  <c r="AA149" i="1" s="1"/>
  <c r="U174" i="1"/>
  <c r="V174" i="1" s="1"/>
  <c r="AB165" i="1"/>
  <c r="R165" i="1"/>
  <c r="P165" i="1" s="1"/>
  <c r="S165" i="1" s="1"/>
  <c r="M165" i="1" s="1"/>
  <c r="N165" i="1" s="1"/>
  <c r="AB172" i="1"/>
  <c r="R172" i="1"/>
  <c r="P172" i="1" s="1"/>
  <c r="S172" i="1" s="1"/>
  <c r="M172" i="1" s="1"/>
  <c r="N172" i="1" s="1"/>
  <c r="R187" i="1"/>
  <c r="P187" i="1" s="1"/>
  <c r="S187" i="1" s="1"/>
  <c r="M187" i="1" s="1"/>
  <c r="N187" i="1" s="1"/>
  <c r="R130" i="1"/>
  <c r="P130" i="1" s="1"/>
  <c r="S130" i="1" s="1"/>
  <c r="M130" i="1" s="1"/>
  <c r="N130" i="1" s="1"/>
  <c r="AB130" i="1"/>
  <c r="W132" i="1"/>
  <c r="AA132" i="1" s="1"/>
  <c r="AD132" i="1"/>
  <c r="U139" i="1"/>
  <c r="V139" i="1" s="1"/>
  <c r="AB153" i="1"/>
  <c r="R153" i="1"/>
  <c r="P153" i="1" s="1"/>
  <c r="S153" i="1" s="1"/>
  <c r="M153" i="1" s="1"/>
  <c r="N153" i="1" s="1"/>
  <c r="AB135" i="1"/>
  <c r="AB119" i="1"/>
  <c r="R119" i="1"/>
  <c r="P119" i="1" s="1"/>
  <c r="S119" i="1" s="1"/>
  <c r="M119" i="1" s="1"/>
  <c r="N119" i="1" s="1"/>
  <c r="AB127" i="1"/>
  <c r="U112" i="1"/>
  <c r="V112" i="1" s="1"/>
  <c r="U133" i="1"/>
  <c r="V133" i="1" s="1"/>
  <c r="R125" i="1"/>
  <c r="P125" i="1" s="1"/>
  <c r="S125" i="1" s="1"/>
  <c r="M125" i="1" s="1"/>
  <c r="N125" i="1" s="1"/>
  <c r="AB125" i="1"/>
  <c r="U63" i="1"/>
  <c r="V63" i="1" s="1"/>
  <c r="AB112" i="1"/>
  <c r="R112" i="1"/>
  <c r="P112" i="1" s="1"/>
  <c r="S112" i="1" s="1"/>
  <c r="M112" i="1" s="1"/>
  <c r="N112" i="1" s="1"/>
  <c r="U95" i="1"/>
  <c r="V95" i="1" s="1"/>
  <c r="R95" i="1" s="1"/>
  <c r="P95" i="1" s="1"/>
  <c r="S95" i="1" s="1"/>
  <c r="M95" i="1" s="1"/>
  <c r="N95" i="1" s="1"/>
  <c r="U72" i="1"/>
  <c r="V72" i="1" s="1"/>
  <c r="R106" i="1"/>
  <c r="P106" i="1" s="1"/>
  <c r="S106" i="1" s="1"/>
  <c r="M106" i="1" s="1"/>
  <c r="N106" i="1" s="1"/>
  <c r="AB106" i="1"/>
  <c r="AB115" i="1"/>
  <c r="R115" i="1"/>
  <c r="P115" i="1" s="1"/>
  <c r="S115" i="1" s="1"/>
  <c r="M115" i="1" s="1"/>
  <c r="N115" i="1" s="1"/>
  <c r="U73" i="1"/>
  <c r="V73" i="1" s="1"/>
  <c r="R73" i="1" s="1"/>
  <c r="P73" i="1" s="1"/>
  <c r="S73" i="1" s="1"/>
  <c r="M73" i="1" s="1"/>
  <c r="N73" i="1" s="1"/>
  <c r="U104" i="1"/>
  <c r="V104" i="1" s="1"/>
  <c r="U27" i="1"/>
  <c r="V27" i="1" s="1"/>
  <c r="R27" i="1" s="1"/>
  <c r="P27" i="1" s="1"/>
  <c r="S27" i="1" s="1"/>
  <c r="M27" i="1" s="1"/>
  <c r="N27" i="1" s="1"/>
  <c r="AB69" i="1"/>
  <c r="R69" i="1"/>
  <c r="P69" i="1" s="1"/>
  <c r="S69" i="1" s="1"/>
  <c r="M69" i="1" s="1"/>
  <c r="N69" i="1" s="1"/>
  <c r="R90" i="1"/>
  <c r="P90" i="1" s="1"/>
  <c r="S90" i="1" s="1"/>
  <c r="M90" i="1" s="1"/>
  <c r="N90" i="1" s="1"/>
  <c r="AB90" i="1"/>
  <c r="U48" i="1"/>
  <c r="V48" i="1" s="1"/>
  <c r="U24" i="1"/>
  <c r="V24" i="1" s="1"/>
  <c r="AB83" i="1"/>
  <c r="R83" i="1"/>
  <c r="P83" i="1" s="1"/>
  <c r="S83" i="1" s="1"/>
  <c r="M83" i="1" s="1"/>
  <c r="N83" i="1" s="1"/>
  <c r="AB100" i="1"/>
  <c r="R100" i="1"/>
  <c r="P100" i="1" s="1"/>
  <c r="S100" i="1" s="1"/>
  <c r="M100" i="1" s="1"/>
  <c r="N100" i="1" s="1"/>
  <c r="AB95" i="1"/>
  <c r="AB48" i="1"/>
  <c r="AB32" i="1"/>
  <c r="R32" i="1"/>
  <c r="P32" i="1" s="1"/>
  <c r="S32" i="1" s="1"/>
  <c r="M32" i="1" s="1"/>
  <c r="N32" i="1" s="1"/>
  <c r="AB88" i="1"/>
  <c r="R88" i="1"/>
  <c r="P88" i="1" s="1"/>
  <c r="S88" i="1" s="1"/>
  <c r="M88" i="1" s="1"/>
  <c r="N88" i="1" s="1"/>
  <c r="AB49" i="1"/>
  <c r="R49" i="1"/>
  <c r="P49" i="1" s="1"/>
  <c r="S49" i="1" s="1"/>
  <c r="M49" i="1" s="1"/>
  <c r="N49" i="1" s="1"/>
  <c r="AB21" i="1"/>
  <c r="R21" i="1"/>
  <c r="P21" i="1" s="1"/>
  <c r="S21" i="1" s="1"/>
  <c r="M21" i="1" s="1"/>
  <c r="N21" i="1" s="1"/>
  <c r="U189" i="1"/>
  <c r="V189" i="1" s="1"/>
  <c r="R189" i="1" s="1"/>
  <c r="P189" i="1" s="1"/>
  <c r="S189" i="1" s="1"/>
  <c r="M189" i="1" s="1"/>
  <c r="N189" i="1" s="1"/>
  <c r="W124" i="1"/>
  <c r="AA124" i="1" s="1"/>
  <c r="AD124" i="1"/>
  <c r="AE124" i="1" s="1"/>
  <c r="W116" i="1"/>
  <c r="AA116" i="1" s="1"/>
  <c r="AD116" i="1"/>
  <c r="AB40" i="1"/>
  <c r="R40" i="1"/>
  <c r="P40" i="1" s="1"/>
  <c r="S40" i="1" s="1"/>
  <c r="M40" i="1" s="1"/>
  <c r="N40" i="1" s="1"/>
  <c r="AB211" i="1"/>
  <c r="R211" i="1"/>
  <c r="P211" i="1" s="1"/>
  <c r="S211" i="1" s="1"/>
  <c r="M211" i="1" s="1"/>
  <c r="N211" i="1" s="1"/>
  <c r="U213" i="1"/>
  <c r="V213" i="1" s="1"/>
  <c r="AB209" i="1"/>
  <c r="R209" i="1"/>
  <c r="P209" i="1" s="1"/>
  <c r="S209" i="1" s="1"/>
  <c r="M209" i="1" s="1"/>
  <c r="N209" i="1" s="1"/>
  <c r="U182" i="1"/>
  <c r="V182" i="1" s="1"/>
  <c r="U208" i="1"/>
  <c r="V208" i="1" s="1"/>
  <c r="AD199" i="1"/>
  <c r="AE199" i="1" s="1"/>
  <c r="W199" i="1"/>
  <c r="AA199" i="1" s="1"/>
  <c r="U165" i="1"/>
  <c r="V165" i="1" s="1"/>
  <c r="U143" i="1"/>
  <c r="V143" i="1" s="1"/>
  <c r="U204" i="1"/>
  <c r="V204" i="1" s="1"/>
  <c r="R204" i="1" s="1"/>
  <c r="P204" i="1" s="1"/>
  <c r="S204" i="1" s="1"/>
  <c r="M204" i="1" s="1"/>
  <c r="N204" i="1" s="1"/>
  <c r="W163" i="1"/>
  <c r="AA163" i="1" s="1"/>
  <c r="AC163" i="1"/>
  <c r="AD163" i="1"/>
  <c r="U127" i="1"/>
  <c r="V127" i="1" s="1"/>
  <c r="AB145" i="1"/>
  <c r="AB111" i="1"/>
  <c r="R111" i="1"/>
  <c r="P111" i="1" s="1"/>
  <c r="S111" i="1" s="1"/>
  <c r="M111" i="1" s="1"/>
  <c r="N111" i="1" s="1"/>
  <c r="AC132" i="1"/>
  <c r="U148" i="1"/>
  <c r="V148" i="1" s="1"/>
  <c r="U91" i="1"/>
  <c r="V91" i="1" s="1"/>
  <c r="U59" i="1"/>
  <c r="V59" i="1" s="1"/>
  <c r="U92" i="1"/>
  <c r="V92" i="1" s="1"/>
  <c r="R92" i="1" s="1"/>
  <c r="P92" i="1" s="1"/>
  <c r="S92" i="1" s="1"/>
  <c r="M92" i="1" s="1"/>
  <c r="N92" i="1" s="1"/>
  <c r="U68" i="1"/>
  <c r="V68" i="1" s="1"/>
  <c r="R68" i="1" s="1"/>
  <c r="P68" i="1" s="1"/>
  <c r="S68" i="1" s="1"/>
  <c r="M68" i="1" s="1"/>
  <c r="N68" i="1" s="1"/>
  <c r="AC102" i="1"/>
  <c r="U69" i="1"/>
  <c r="V69" i="1" s="1"/>
  <c r="R113" i="1"/>
  <c r="P113" i="1" s="1"/>
  <c r="S113" i="1" s="1"/>
  <c r="M113" i="1" s="1"/>
  <c r="N113" i="1" s="1"/>
  <c r="AB79" i="1"/>
  <c r="R79" i="1"/>
  <c r="P79" i="1" s="1"/>
  <c r="S79" i="1" s="1"/>
  <c r="M79" i="1" s="1"/>
  <c r="N79" i="1" s="1"/>
  <c r="R66" i="1"/>
  <c r="P66" i="1" s="1"/>
  <c r="S66" i="1" s="1"/>
  <c r="M66" i="1" s="1"/>
  <c r="N66" i="1" s="1"/>
  <c r="AB66" i="1"/>
  <c r="AD97" i="1"/>
  <c r="AE97" i="1" s="1"/>
  <c r="W97" i="1"/>
  <c r="AA97" i="1" s="1"/>
  <c r="AC97" i="1"/>
  <c r="AB46" i="1"/>
  <c r="U46" i="1"/>
  <c r="V46" i="1" s="1"/>
  <c r="U23" i="1"/>
  <c r="V23" i="1" s="1"/>
  <c r="R23" i="1" s="1"/>
  <c r="P23" i="1" s="1"/>
  <c r="S23" i="1" s="1"/>
  <c r="M23" i="1" s="1"/>
  <c r="N23" i="1" s="1"/>
  <c r="AB59" i="1"/>
  <c r="U20" i="1"/>
  <c r="V20" i="1" s="1"/>
  <c r="U45" i="1"/>
  <c r="V45" i="1" s="1"/>
  <c r="U29" i="1"/>
  <c r="V29" i="1" s="1"/>
  <c r="R94" i="1"/>
  <c r="P94" i="1" s="1"/>
  <c r="S94" i="1" s="1"/>
  <c r="M94" i="1" s="1"/>
  <c r="N94" i="1" s="1"/>
  <c r="AB94" i="1"/>
  <c r="U18" i="1"/>
  <c r="V18" i="1" s="1"/>
  <c r="AB39" i="1"/>
  <c r="R39" i="1"/>
  <c r="P39" i="1" s="1"/>
  <c r="S39" i="1" s="1"/>
  <c r="M39" i="1" s="1"/>
  <c r="N39" i="1" s="1"/>
  <c r="AB23" i="1"/>
  <c r="AB217" i="1"/>
  <c r="R217" i="1"/>
  <c r="P217" i="1" s="1"/>
  <c r="S217" i="1" s="1"/>
  <c r="M217" i="1" s="1"/>
  <c r="N217" i="1" s="1"/>
  <c r="AD154" i="1"/>
  <c r="AE154" i="1" s="1"/>
  <c r="W154" i="1"/>
  <c r="AA154" i="1" s="1"/>
  <c r="U103" i="1"/>
  <c r="V103" i="1" s="1"/>
  <c r="R103" i="1" s="1"/>
  <c r="P103" i="1" s="1"/>
  <c r="S103" i="1" s="1"/>
  <c r="M103" i="1" s="1"/>
  <c r="N103" i="1" s="1"/>
  <c r="AB103" i="1"/>
  <c r="U89" i="1"/>
  <c r="V89" i="1" s="1"/>
  <c r="R89" i="1" s="1"/>
  <c r="P89" i="1" s="1"/>
  <c r="S89" i="1" s="1"/>
  <c r="M89" i="1" s="1"/>
  <c r="N89" i="1" s="1"/>
  <c r="R62" i="1"/>
  <c r="P62" i="1" s="1"/>
  <c r="S62" i="1" s="1"/>
  <c r="M62" i="1" s="1"/>
  <c r="N62" i="1" s="1"/>
  <c r="U62" i="1"/>
  <c r="V62" i="1" s="1"/>
  <c r="AB62" i="1"/>
  <c r="U17" i="1"/>
  <c r="V17" i="1" s="1"/>
  <c r="AB53" i="1"/>
  <c r="R53" i="1"/>
  <c r="P53" i="1" s="1"/>
  <c r="S53" i="1" s="1"/>
  <c r="M53" i="1" s="1"/>
  <c r="N53" i="1" s="1"/>
  <c r="U223" i="1"/>
  <c r="V223" i="1" s="1"/>
  <c r="R223" i="1" s="1"/>
  <c r="P223" i="1" s="1"/>
  <c r="S223" i="1" s="1"/>
  <c r="M223" i="1" s="1"/>
  <c r="N223" i="1" s="1"/>
  <c r="AB207" i="1"/>
  <c r="R207" i="1"/>
  <c r="P207" i="1" s="1"/>
  <c r="S207" i="1" s="1"/>
  <c r="M207" i="1" s="1"/>
  <c r="N207" i="1" s="1"/>
  <c r="AB228" i="1"/>
  <c r="R228" i="1"/>
  <c r="P228" i="1" s="1"/>
  <c r="S228" i="1" s="1"/>
  <c r="M228" i="1" s="1"/>
  <c r="N228" i="1" s="1"/>
  <c r="AB225" i="1"/>
  <c r="R225" i="1"/>
  <c r="P225" i="1" s="1"/>
  <c r="S225" i="1" s="1"/>
  <c r="M225" i="1" s="1"/>
  <c r="N225" i="1" s="1"/>
  <c r="U218" i="1"/>
  <c r="V218" i="1" s="1"/>
  <c r="U180" i="1"/>
  <c r="V180" i="1" s="1"/>
  <c r="R180" i="1" s="1"/>
  <c r="P180" i="1" s="1"/>
  <c r="S180" i="1" s="1"/>
  <c r="M180" i="1" s="1"/>
  <c r="N180" i="1" s="1"/>
  <c r="U197" i="1"/>
  <c r="V197" i="1" s="1"/>
  <c r="U184" i="1"/>
  <c r="V184" i="1" s="1"/>
  <c r="AB196" i="1"/>
  <c r="R196" i="1"/>
  <c r="P196" i="1" s="1"/>
  <c r="S196" i="1" s="1"/>
  <c r="M196" i="1" s="1"/>
  <c r="N196" i="1" s="1"/>
  <c r="AB185" i="1"/>
  <c r="U185" i="1"/>
  <c r="V185" i="1" s="1"/>
  <c r="U203" i="1"/>
  <c r="V203" i="1" s="1"/>
  <c r="AD201" i="1"/>
  <c r="AE201" i="1" s="1"/>
  <c r="W201" i="1"/>
  <c r="AA201" i="1" s="1"/>
  <c r="R201" i="1"/>
  <c r="P201" i="1" s="1"/>
  <c r="S201" i="1" s="1"/>
  <c r="M201" i="1" s="1"/>
  <c r="N201" i="1" s="1"/>
  <c r="U183" i="1"/>
  <c r="V183" i="1" s="1"/>
  <c r="AD210" i="1"/>
  <c r="AE210" i="1" s="1"/>
  <c r="W210" i="1"/>
  <c r="AA210" i="1" s="1"/>
  <c r="AC210" i="1"/>
  <c r="U159" i="1"/>
  <c r="V159" i="1" s="1"/>
  <c r="U152" i="1"/>
  <c r="V152" i="1" s="1"/>
  <c r="AB143" i="1"/>
  <c r="R143" i="1"/>
  <c r="P143" i="1" s="1"/>
  <c r="S143" i="1" s="1"/>
  <c r="M143" i="1" s="1"/>
  <c r="N143" i="1" s="1"/>
  <c r="M151" i="1"/>
  <c r="N151" i="1" s="1"/>
  <c r="AB126" i="1"/>
  <c r="U126" i="1"/>
  <c r="V126" i="1" s="1"/>
  <c r="R126" i="1" s="1"/>
  <c r="P126" i="1" s="1"/>
  <c r="S126" i="1" s="1"/>
  <c r="M126" i="1" s="1"/>
  <c r="N126" i="1" s="1"/>
  <c r="W128" i="1"/>
  <c r="AA128" i="1" s="1"/>
  <c r="AD128" i="1"/>
  <c r="AE128" i="1" s="1"/>
  <c r="U156" i="1"/>
  <c r="V156" i="1" s="1"/>
  <c r="U141" i="1"/>
  <c r="V141" i="1" s="1"/>
  <c r="AC116" i="1"/>
  <c r="U108" i="1"/>
  <c r="V108" i="1" s="1"/>
  <c r="R108" i="1" s="1"/>
  <c r="P108" i="1" s="1"/>
  <c r="S108" i="1" s="1"/>
  <c r="M108" i="1" s="1"/>
  <c r="N108" i="1" s="1"/>
  <c r="R114" i="1"/>
  <c r="P114" i="1" s="1"/>
  <c r="S114" i="1" s="1"/>
  <c r="M114" i="1" s="1"/>
  <c r="N114" i="1" s="1"/>
  <c r="AB114" i="1"/>
  <c r="U87" i="1"/>
  <c r="V87" i="1" s="1"/>
  <c r="R87" i="1" s="1"/>
  <c r="P87" i="1" s="1"/>
  <c r="S87" i="1" s="1"/>
  <c r="M87" i="1" s="1"/>
  <c r="N87" i="1" s="1"/>
  <c r="AB104" i="1"/>
  <c r="R104" i="1"/>
  <c r="P104" i="1" s="1"/>
  <c r="S104" i="1" s="1"/>
  <c r="M104" i="1" s="1"/>
  <c r="N104" i="1" s="1"/>
  <c r="AB91" i="1"/>
  <c r="R91" i="1"/>
  <c r="P91" i="1" s="1"/>
  <c r="S91" i="1" s="1"/>
  <c r="M91" i="1" s="1"/>
  <c r="N91" i="1" s="1"/>
  <c r="U64" i="1"/>
  <c r="V64" i="1" s="1"/>
  <c r="R64" i="1" s="1"/>
  <c r="P64" i="1" s="1"/>
  <c r="S64" i="1" s="1"/>
  <c r="M64" i="1" s="1"/>
  <c r="N64" i="1" s="1"/>
  <c r="U55" i="1"/>
  <c r="V55" i="1" s="1"/>
  <c r="U42" i="1"/>
  <c r="V42" i="1" s="1"/>
  <c r="AB42" i="1"/>
  <c r="AB67" i="1"/>
  <c r="R67" i="1"/>
  <c r="P67" i="1" s="1"/>
  <c r="S67" i="1" s="1"/>
  <c r="M67" i="1" s="1"/>
  <c r="N67" i="1" s="1"/>
  <c r="AB92" i="1"/>
  <c r="W86" i="1"/>
  <c r="AA86" i="1" s="1"/>
  <c r="AD86" i="1"/>
  <c r="AC86" i="1"/>
  <c r="R47" i="1"/>
  <c r="P47" i="1" s="1"/>
  <c r="S47" i="1" s="1"/>
  <c r="M47" i="1" s="1"/>
  <c r="N47" i="1" s="1"/>
  <c r="M97" i="1"/>
  <c r="N97" i="1" s="1"/>
  <c r="U65" i="1"/>
  <c r="V65" i="1" s="1"/>
  <c r="AB63" i="1"/>
  <c r="R63" i="1"/>
  <c r="P63" i="1" s="1"/>
  <c r="S63" i="1" s="1"/>
  <c r="M63" i="1" s="1"/>
  <c r="N63" i="1" s="1"/>
  <c r="AB44" i="1"/>
  <c r="R44" i="1"/>
  <c r="P44" i="1" s="1"/>
  <c r="S44" i="1" s="1"/>
  <c r="M44" i="1" s="1"/>
  <c r="N44" i="1" s="1"/>
  <c r="U25" i="1"/>
  <c r="V25" i="1" s="1"/>
  <c r="R25" i="1" s="1"/>
  <c r="P25" i="1" s="1"/>
  <c r="S25" i="1" s="1"/>
  <c r="M25" i="1" s="1"/>
  <c r="N25" i="1" s="1"/>
  <c r="AB72" i="1"/>
  <c r="R72" i="1"/>
  <c r="P72" i="1" s="1"/>
  <c r="S72" i="1" s="1"/>
  <c r="M72" i="1" s="1"/>
  <c r="N72" i="1" s="1"/>
  <c r="W54" i="1"/>
  <c r="AA54" i="1" s="1"/>
  <c r="AC54" i="1"/>
  <c r="AD54" i="1"/>
  <c r="W35" i="1"/>
  <c r="AA35" i="1" s="1"/>
  <c r="AD35" i="1"/>
  <c r="AE35" i="1" s="1"/>
  <c r="AB29" i="1"/>
  <c r="R29" i="1"/>
  <c r="P29" i="1" s="1"/>
  <c r="S29" i="1" s="1"/>
  <c r="M29" i="1" s="1"/>
  <c r="N29" i="1" s="1"/>
  <c r="U51" i="1"/>
  <c r="V51" i="1" s="1"/>
  <c r="R51" i="1" s="1"/>
  <c r="P51" i="1" s="1"/>
  <c r="S51" i="1" s="1"/>
  <c r="M51" i="1" s="1"/>
  <c r="N51" i="1" s="1"/>
  <c r="W42" i="1" l="1"/>
  <c r="AA42" i="1" s="1"/>
  <c r="AD42" i="1"/>
  <c r="AE42" i="1" s="1"/>
  <c r="AC42" i="1"/>
  <c r="W184" i="1"/>
  <c r="AA184" i="1" s="1"/>
  <c r="AD184" i="1"/>
  <c r="AE184" i="1" s="1"/>
  <c r="AC184" i="1"/>
  <c r="AC127" i="1"/>
  <c r="AD127" i="1"/>
  <c r="W127" i="1"/>
  <c r="AA127" i="1" s="1"/>
  <c r="AE116" i="1"/>
  <c r="W48" i="1"/>
  <c r="AA48" i="1" s="1"/>
  <c r="AD48" i="1"/>
  <c r="AC48" i="1"/>
  <c r="W174" i="1"/>
  <c r="AA174" i="1" s="1"/>
  <c r="AD174" i="1"/>
  <c r="AE174" i="1" s="1"/>
  <c r="AC174" i="1"/>
  <c r="W192" i="1"/>
  <c r="AA192" i="1" s="1"/>
  <c r="AD192" i="1"/>
  <c r="AE192" i="1" s="1"/>
  <c r="AC192" i="1"/>
  <c r="W57" i="1"/>
  <c r="AA57" i="1" s="1"/>
  <c r="AD57" i="1"/>
  <c r="AE57" i="1" s="1"/>
  <c r="AC57" i="1"/>
  <c r="R57" i="1"/>
  <c r="P57" i="1" s="1"/>
  <c r="S57" i="1" s="1"/>
  <c r="M57" i="1" s="1"/>
  <c r="N57" i="1" s="1"/>
  <c r="W32" i="1"/>
  <c r="AA32" i="1" s="1"/>
  <c r="AD32" i="1"/>
  <c r="AE32" i="1" s="1"/>
  <c r="AC32" i="1"/>
  <c r="W145" i="1"/>
  <c r="AA145" i="1" s="1"/>
  <c r="AD145" i="1"/>
  <c r="AE145" i="1" s="1"/>
  <c r="AC145" i="1"/>
  <c r="AD205" i="1"/>
  <c r="W205" i="1"/>
  <c r="AA205" i="1" s="1"/>
  <c r="AC205" i="1"/>
  <c r="W178" i="1"/>
  <c r="AA178" i="1" s="1"/>
  <c r="AD178" i="1"/>
  <c r="AE178" i="1" s="1"/>
  <c r="AC178" i="1"/>
  <c r="W135" i="1"/>
  <c r="AA135" i="1" s="1"/>
  <c r="AD135" i="1"/>
  <c r="AE135" i="1" s="1"/>
  <c r="AC135" i="1"/>
  <c r="AE113" i="1"/>
  <c r="W209" i="1"/>
  <c r="AA209" i="1" s="1"/>
  <c r="AD209" i="1"/>
  <c r="AE209" i="1" s="1"/>
  <c r="AC209" i="1"/>
  <c r="AE114" i="1"/>
  <c r="AE54" i="1"/>
  <c r="AE86" i="1"/>
  <c r="R42" i="1"/>
  <c r="P42" i="1" s="1"/>
  <c r="S42" i="1" s="1"/>
  <c r="M42" i="1" s="1"/>
  <c r="N42" i="1" s="1"/>
  <c r="W141" i="1"/>
  <c r="AA141" i="1" s="1"/>
  <c r="AD141" i="1"/>
  <c r="AC141" i="1"/>
  <c r="W203" i="1"/>
  <c r="AA203" i="1" s="1"/>
  <c r="AD203" i="1"/>
  <c r="AC203" i="1"/>
  <c r="W29" i="1"/>
  <c r="AA29" i="1" s="1"/>
  <c r="AD29" i="1"/>
  <c r="AC29" i="1"/>
  <c r="W148" i="1"/>
  <c r="AA148" i="1" s="1"/>
  <c r="AD148" i="1"/>
  <c r="AE148" i="1" s="1"/>
  <c r="AC148" i="1"/>
  <c r="AE163" i="1"/>
  <c r="AD165" i="1"/>
  <c r="W165" i="1"/>
  <c r="AA165" i="1" s="1"/>
  <c r="AC165" i="1"/>
  <c r="AD104" i="1"/>
  <c r="AE104" i="1" s="1"/>
  <c r="AC104" i="1"/>
  <c r="W104" i="1"/>
  <c r="AA104" i="1" s="1"/>
  <c r="AD72" i="1"/>
  <c r="AE72" i="1" s="1"/>
  <c r="W72" i="1"/>
  <c r="AA72" i="1" s="1"/>
  <c r="AC72" i="1"/>
  <c r="R135" i="1"/>
  <c r="P135" i="1" s="1"/>
  <c r="S135" i="1" s="1"/>
  <c r="M135" i="1" s="1"/>
  <c r="N135" i="1" s="1"/>
  <c r="W77" i="1"/>
  <c r="AA77" i="1" s="1"/>
  <c r="AD77" i="1"/>
  <c r="AE77" i="1" s="1"/>
  <c r="AC77" i="1"/>
  <c r="R77" i="1"/>
  <c r="P77" i="1" s="1"/>
  <c r="S77" i="1" s="1"/>
  <c r="M77" i="1" s="1"/>
  <c r="N77" i="1" s="1"/>
  <c r="AD200" i="1"/>
  <c r="AE200" i="1" s="1"/>
  <c r="W200" i="1"/>
  <c r="AA200" i="1" s="1"/>
  <c r="AC200" i="1"/>
  <c r="AD212" i="1"/>
  <c r="W212" i="1"/>
  <c r="AA212" i="1" s="1"/>
  <c r="AC212" i="1"/>
  <c r="W43" i="1"/>
  <c r="AA43" i="1" s="1"/>
  <c r="AD43" i="1"/>
  <c r="AE43" i="1" s="1"/>
  <c r="AC43" i="1"/>
  <c r="W31" i="1"/>
  <c r="AA31" i="1" s="1"/>
  <c r="AD31" i="1"/>
  <c r="AC31" i="1"/>
  <c r="AD80" i="1"/>
  <c r="AE80" i="1" s="1"/>
  <c r="W80" i="1"/>
  <c r="AA80" i="1" s="1"/>
  <c r="AC80" i="1"/>
  <c r="AD220" i="1"/>
  <c r="AE220" i="1" s="1"/>
  <c r="W220" i="1"/>
  <c r="AA220" i="1" s="1"/>
  <c r="AC220" i="1"/>
  <c r="W53" i="1"/>
  <c r="AA53" i="1" s="1"/>
  <c r="AD53" i="1"/>
  <c r="AE53" i="1" s="1"/>
  <c r="AC53" i="1"/>
  <c r="AE137" i="1"/>
  <c r="W147" i="1"/>
  <c r="AA147" i="1" s="1"/>
  <c r="AD147" i="1"/>
  <c r="AE147" i="1" s="1"/>
  <c r="AC147" i="1"/>
  <c r="AD198" i="1"/>
  <c r="W198" i="1"/>
  <c r="AA198" i="1" s="1"/>
  <c r="AC198" i="1"/>
  <c r="R198" i="1"/>
  <c r="P198" i="1" s="1"/>
  <c r="S198" i="1" s="1"/>
  <c r="M198" i="1" s="1"/>
  <c r="N198" i="1" s="1"/>
  <c r="W44" i="1"/>
  <c r="AA44" i="1" s="1"/>
  <c r="AD44" i="1"/>
  <c r="AC44" i="1"/>
  <c r="AE179" i="1"/>
  <c r="W38" i="1"/>
  <c r="AA38" i="1" s="1"/>
  <c r="AD38" i="1"/>
  <c r="AC38" i="1"/>
  <c r="AE106" i="1"/>
  <c r="W55" i="1"/>
  <c r="AA55" i="1" s="1"/>
  <c r="AD55" i="1"/>
  <c r="AC55" i="1"/>
  <c r="W87" i="1"/>
  <c r="AA87" i="1" s="1"/>
  <c r="AC87" i="1"/>
  <c r="AD87" i="1"/>
  <c r="AE87" i="1" s="1"/>
  <c r="W197" i="1"/>
  <c r="AA197" i="1" s="1"/>
  <c r="AD197" i="1"/>
  <c r="AC197" i="1"/>
  <c r="W17" i="1"/>
  <c r="AA17" i="1" s="1"/>
  <c r="AD17" i="1"/>
  <c r="AE17" i="1" s="1"/>
  <c r="AC17" i="1"/>
  <c r="W23" i="1"/>
  <c r="AA23" i="1" s="1"/>
  <c r="AD23" i="1"/>
  <c r="AC23" i="1"/>
  <c r="AD68" i="1"/>
  <c r="AE68" i="1" s="1"/>
  <c r="W68" i="1"/>
  <c r="AA68" i="1" s="1"/>
  <c r="AC68" i="1"/>
  <c r="W213" i="1"/>
  <c r="AA213" i="1" s="1"/>
  <c r="AD213" i="1"/>
  <c r="AE213" i="1" s="1"/>
  <c r="AC213" i="1"/>
  <c r="W73" i="1"/>
  <c r="AA73" i="1" s="1"/>
  <c r="AD73" i="1"/>
  <c r="AC73" i="1"/>
  <c r="W133" i="1"/>
  <c r="AA133" i="1" s="1"/>
  <c r="AD133" i="1"/>
  <c r="AC133" i="1"/>
  <c r="W222" i="1"/>
  <c r="AA222" i="1" s="1"/>
  <c r="AD222" i="1"/>
  <c r="AC222" i="1"/>
  <c r="R222" i="1"/>
  <c r="P222" i="1" s="1"/>
  <c r="S222" i="1" s="1"/>
  <c r="M222" i="1" s="1"/>
  <c r="N222" i="1" s="1"/>
  <c r="W40" i="1"/>
  <c r="AA40" i="1" s="1"/>
  <c r="AD40" i="1"/>
  <c r="AE40" i="1" s="1"/>
  <c r="AC40" i="1"/>
  <c r="AE78" i="1"/>
  <c r="AC131" i="1"/>
  <c r="AD131" i="1"/>
  <c r="W131" i="1"/>
  <c r="AA131" i="1" s="1"/>
  <c r="R197" i="1"/>
  <c r="P197" i="1" s="1"/>
  <c r="S197" i="1" s="1"/>
  <c r="M197" i="1" s="1"/>
  <c r="N197" i="1" s="1"/>
  <c r="W217" i="1"/>
  <c r="AA217" i="1" s="1"/>
  <c r="AD217" i="1"/>
  <c r="AE217" i="1" s="1"/>
  <c r="AC217" i="1"/>
  <c r="R174" i="1"/>
  <c r="P174" i="1" s="1"/>
  <c r="S174" i="1" s="1"/>
  <c r="M174" i="1" s="1"/>
  <c r="N174" i="1" s="1"/>
  <c r="W61" i="1"/>
  <c r="AA61" i="1" s="1"/>
  <c r="AD61" i="1"/>
  <c r="AC61" i="1"/>
  <c r="R61" i="1"/>
  <c r="P61" i="1" s="1"/>
  <c r="S61" i="1" s="1"/>
  <c r="M61" i="1" s="1"/>
  <c r="N61" i="1" s="1"/>
  <c r="W129" i="1"/>
  <c r="AA129" i="1" s="1"/>
  <c r="AD129" i="1"/>
  <c r="AE129" i="1" s="1"/>
  <c r="AC129" i="1"/>
  <c r="AD142" i="1"/>
  <c r="AE142" i="1" s="1"/>
  <c r="AC142" i="1"/>
  <c r="W142" i="1"/>
  <c r="AA142" i="1" s="1"/>
  <c r="R142" i="1"/>
  <c r="P142" i="1" s="1"/>
  <c r="S142" i="1" s="1"/>
  <c r="M142" i="1" s="1"/>
  <c r="N142" i="1" s="1"/>
  <c r="W226" i="1"/>
  <c r="AA226" i="1" s="1"/>
  <c r="AD226" i="1"/>
  <c r="AC226" i="1"/>
  <c r="R226" i="1"/>
  <c r="P226" i="1" s="1"/>
  <c r="S226" i="1" s="1"/>
  <c r="M226" i="1" s="1"/>
  <c r="N226" i="1" s="1"/>
  <c r="R200" i="1"/>
  <c r="P200" i="1" s="1"/>
  <c r="S200" i="1" s="1"/>
  <c r="M200" i="1" s="1"/>
  <c r="N200" i="1" s="1"/>
  <c r="R43" i="1"/>
  <c r="P43" i="1" s="1"/>
  <c r="S43" i="1" s="1"/>
  <c r="M43" i="1" s="1"/>
  <c r="N43" i="1" s="1"/>
  <c r="AD84" i="1"/>
  <c r="W84" i="1"/>
  <c r="AA84" i="1" s="1"/>
  <c r="AC84" i="1"/>
  <c r="W221" i="1"/>
  <c r="AA221" i="1" s="1"/>
  <c r="AD221" i="1"/>
  <c r="AE221" i="1" s="1"/>
  <c r="AC221" i="1"/>
  <c r="R184" i="1"/>
  <c r="P184" i="1" s="1"/>
  <c r="S184" i="1" s="1"/>
  <c r="M184" i="1" s="1"/>
  <c r="N184" i="1" s="1"/>
  <c r="AE125" i="1"/>
  <c r="R133" i="1"/>
  <c r="P133" i="1" s="1"/>
  <c r="S133" i="1" s="1"/>
  <c r="M133" i="1" s="1"/>
  <c r="N133" i="1" s="1"/>
  <c r="AC123" i="1"/>
  <c r="AD123" i="1"/>
  <c r="AE123" i="1" s="1"/>
  <c r="W123" i="1"/>
  <c r="AA123" i="1" s="1"/>
  <c r="W176" i="1"/>
  <c r="AA176" i="1" s="1"/>
  <c r="AD176" i="1"/>
  <c r="AC176" i="1"/>
  <c r="AD100" i="1"/>
  <c r="AE100" i="1" s="1"/>
  <c r="W100" i="1"/>
  <c r="AA100" i="1" s="1"/>
  <c r="AC100" i="1"/>
  <c r="R123" i="1"/>
  <c r="P123" i="1" s="1"/>
  <c r="S123" i="1" s="1"/>
  <c r="M123" i="1" s="1"/>
  <c r="N123" i="1" s="1"/>
  <c r="AD185" i="1"/>
  <c r="AC185" i="1"/>
  <c r="W185" i="1"/>
  <c r="AA185" i="1" s="1"/>
  <c r="W103" i="1"/>
  <c r="AA103" i="1" s="1"/>
  <c r="AD103" i="1"/>
  <c r="AE103" i="1" s="1"/>
  <c r="AC103" i="1"/>
  <c r="W45" i="1"/>
  <c r="AA45" i="1" s="1"/>
  <c r="AD45" i="1"/>
  <c r="AE45" i="1" s="1"/>
  <c r="AC45" i="1"/>
  <c r="W46" i="1"/>
  <c r="AA46" i="1" s="1"/>
  <c r="AC46" i="1"/>
  <c r="AD46" i="1"/>
  <c r="AE46" i="1" s="1"/>
  <c r="AD95" i="1"/>
  <c r="AE95" i="1" s="1"/>
  <c r="W95" i="1"/>
  <c r="AA95" i="1" s="1"/>
  <c r="AC95" i="1"/>
  <c r="W33" i="1"/>
  <c r="AA33" i="1" s="1"/>
  <c r="AD33" i="1"/>
  <c r="AC33" i="1"/>
  <c r="AC67" i="1"/>
  <c r="AD67" i="1"/>
  <c r="AE67" i="1" s="1"/>
  <c r="W67" i="1"/>
  <c r="AA67" i="1" s="1"/>
  <c r="AD144" i="1"/>
  <c r="W144" i="1"/>
  <c r="AA144" i="1" s="1"/>
  <c r="R144" i="1"/>
  <c r="P144" i="1" s="1"/>
  <c r="S144" i="1" s="1"/>
  <c r="M144" i="1" s="1"/>
  <c r="N144" i="1" s="1"/>
  <c r="AC144" i="1"/>
  <c r="W120" i="1"/>
  <c r="AA120" i="1" s="1"/>
  <c r="AD120" i="1"/>
  <c r="AC120" i="1"/>
  <c r="AD207" i="1"/>
  <c r="AE207" i="1" s="1"/>
  <c r="W207" i="1"/>
  <c r="AA207" i="1" s="1"/>
  <c r="AC207" i="1"/>
  <c r="AD224" i="1"/>
  <c r="W224" i="1"/>
  <c r="AA224" i="1" s="1"/>
  <c r="AC224" i="1"/>
  <c r="R31" i="1"/>
  <c r="P31" i="1" s="1"/>
  <c r="S31" i="1" s="1"/>
  <c r="M31" i="1" s="1"/>
  <c r="N31" i="1" s="1"/>
  <c r="W36" i="1"/>
  <c r="AA36" i="1" s="1"/>
  <c r="AD36" i="1"/>
  <c r="AE36" i="1" s="1"/>
  <c r="AC36" i="1"/>
  <c r="W85" i="1"/>
  <c r="AA85" i="1" s="1"/>
  <c r="AD85" i="1"/>
  <c r="AE85" i="1" s="1"/>
  <c r="AC85" i="1"/>
  <c r="R85" i="1"/>
  <c r="P85" i="1" s="1"/>
  <c r="S85" i="1" s="1"/>
  <c r="M85" i="1" s="1"/>
  <c r="N85" i="1" s="1"/>
  <c r="AE138" i="1"/>
  <c r="AE170" i="1"/>
  <c r="R212" i="1"/>
  <c r="P212" i="1" s="1"/>
  <c r="S212" i="1" s="1"/>
  <c r="M212" i="1" s="1"/>
  <c r="N212" i="1" s="1"/>
  <c r="W219" i="1"/>
  <c r="AA219" i="1" s="1"/>
  <c r="AD219" i="1"/>
  <c r="AC219" i="1"/>
  <c r="AE228" i="1"/>
  <c r="AE90" i="1"/>
  <c r="W51" i="1"/>
  <c r="AA51" i="1" s="1"/>
  <c r="AD51" i="1"/>
  <c r="AE51" i="1" s="1"/>
  <c r="AC51" i="1"/>
  <c r="W65" i="1"/>
  <c r="AA65" i="1" s="1"/>
  <c r="AD65" i="1"/>
  <c r="AC65" i="1"/>
  <c r="R65" i="1"/>
  <c r="P65" i="1" s="1"/>
  <c r="S65" i="1" s="1"/>
  <c r="M65" i="1" s="1"/>
  <c r="N65" i="1" s="1"/>
  <c r="W156" i="1"/>
  <c r="AA156" i="1" s="1"/>
  <c r="AD156" i="1"/>
  <c r="AC156" i="1"/>
  <c r="AD92" i="1"/>
  <c r="AE92" i="1" s="1"/>
  <c r="W92" i="1"/>
  <c r="AA92" i="1" s="1"/>
  <c r="AC92" i="1"/>
  <c r="AD112" i="1"/>
  <c r="AE112" i="1" s="1"/>
  <c r="AC112" i="1"/>
  <c r="W112" i="1"/>
  <c r="AA112" i="1" s="1"/>
  <c r="R205" i="1"/>
  <c r="P205" i="1" s="1"/>
  <c r="S205" i="1" s="1"/>
  <c r="M205" i="1" s="1"/>
  <c r="N205" i="1" s="1"/>
  <c r="W30" i="1"/>
  <c r="AA30" i="1" s="1"/>
  <c r="AC30" i="1"/>
  <c r="AD30" i="1"/>
  <c r="AD56" i="1"/>
  <c r="W56" i="1"/>
  <c r="AA56" i="1" s="1"/>
  <c r="AC56" i="1"/>
  <c r="AD173" i="1"/>
  <c r="AE173" i="1" s="1"/>
  <c r="W173" i="1"/>
  <c r="AA173" i="1" s="1"/>
  <c r="AC173" i="1"/>
  <c r="R173" i="1"/>
  <c r="P173" i="1" s="1"/>
  <c r="S173" i="1" s="1"/>
  <c r="M173" i="1" s="1"/>
  <c r="N173" i="1" s="1"/>
  <c r="W109" i="1"/>
  <c r="AA109" i="1" s="1"/>
  <c r="AD109" i="1"/>
  <c r="AC109" i="1"/>
  <c r="W118" i="1"/>
  <c r="AA118" i="1" s="1"/>
  <c r="AC118" i="1"/>
  <c r="AD118" i="1"/>
  <c r="AD158" i="1"/>
  <c r="AE158" i="1" s="1"/>
  <c r="W158" i="1"/>
  <c r="AA158" i="1" s="1"/>
  <c r="AC158" i="1"/>
  <c r="R158" i="1"/>
  <c r="P158" i="1" s="1"/>
  <c r="S158" i="1" s="1"/>
  <c r="M158" i="1" s="1"/>
  <c r="N158" i="1" s="1"/>
  <c r="W188" i="1"/>
  <c r="AA188" i="1" s="1"/>
  <c r="AD188" i="1"/>
  <c r="AC188" i="1"/>
  <c r="W193" i="1"/>
  <c r="AA193" i="1" s="1"/>
  <c r="AD193" i="1"/>
  <c r="AE193" i="1" s="1"/>
  <c r="AC193" i="1"/>
  <c r="W196" i="1"/>
  <c r="AA196" i="1" s="1"/>
  <c r="AD196" i="1"/>
  <c r="AC196" i="1"/>
  <c r="W215" i="1"/>
  <c r="AA215" i="1" s="1"/>
  <c r="AD215" i="1"/>
  <c r="AE215" i="1" s="1"/>
  <c r="AC215" i="1"/>
  <c r="W21" i="1"/>
  <c r="AA21" i="1" s="1"/>
  <c r="AD21" i="1"/>
  <c r="AE21" i="1" s="1"/>
  <c r="AC21" i="1"/>
  <c r="W96" i="1"/>
  <c r="AA96" i="1" s="1"/>
  <c r="AD96" i="1"/>
  <c r="AE96" i="1" s="1"/>
  <c r="AC96" i="1"/>
  <c r="R96" i="1"/>
  <c r="P96" i="1" s="1"/>
  <c r="S96" i="1" s="1"/>
  <c r="M96" i="1" s="1"/>
  <c r="N96" i="1" s="1"/>
  <c r="AE161" i="1"/>
  <c r="AE130" i="1"/>
  <c r="AD64" i="1"/>
  <c r="AE64" i="1" s="1"/>
  <c r="W64" i="1"/>
  <c r="AA64" i="1" s="1"/>
  <c r="AC64" i="1"/>
  <c r="AD183" i="1"/>
  <c r="W183" i="1"/>
  <c r="AA183" i="1" s="1"/>
  <c r="AC183" i="1"/>
  <c r="R183" i="1"/>
  <c r="P183" i="1" s="1"/>
  <c r="S183" i="1" s="1"/>
  <c r="M183" i="1" s="1"/>
  <c r="N183" i="1" s="1"/>
  <c r="R185" i="1"/>
  <c r="P185" i="1" s="1"/>
  <c r="S185" i="1" s="1"/>
  <c r="M185" i="1" s="1"/>
  <c r="N185" i="1" s="1"/>
  <c r="AD180" i="1"/>
  <c r="AE180" i="1" s="1"/>
  <c r="AC180" i="1"/>
  <c r="W180" i="1"/>
  <c r="AA180" i="1" s="1"/>
  <c r="W62" i="1"/>
  <c r="AA62" i="1" s="1"/>
  <c r="AD62" i="1"/>
  <c r="AC62" i="1"/>
  <c r="AC18" i="1"/>
  <c r="W18" i="1"/>
  <c r="AA18" i="1" s="1"/>
  <c r="AD18" i="1"/>
  <c r="AE18" i="1" s="1"/>
  <c r="R18" i="1"/>
  <c r="P18" i="1" s="1"/>
  <c r="S18" i="1" s="1"/>
  <c r="M18" i="1" s="1"/>
  <c r="N18" i="1" s="1"/>
  <c r="W20" i="1"/>
  <c r="AA20" i="1" s="1"/>
  <c r="AD20" i="1"/>
  <c r="AE20" i="1" s="1"/>
  <c r="AC20" i="1"/>
  <c r="R20" i="1"/>
  <c r="P20" i="1" s="1"/>
  <c r="S20" i="1" s="1"/>
  <c r="M20" i="1" s="1"/>
  <c r="N20" i="1" s="1"/>
  <c r="R46" i="1"/>
  <c r="P46" i="1" s="1"/>
  <c r="S46" i="1" s="1"/>
  <c r="M46" i="1" s="1"/>
  <c r="N46" i="1" s="1"/>
  <c r="R145" i="1"/>
  <c r="P145" i="1" s="1"/>
  <c r="S145" i="1" s="1"/>
  <c r="M145" i="1" s="1"/>
  <c r="N145" i="1" s="1"/>
  <c r="AD204" i="1"/>
  <c r="AE204" i="1" s="1"/>
  <c r="W204" i="1"/>
  <c r="AA204" i="1" s="1"/>
  <c r="AC204" i="1"/>
  <c r="AD208" i="1"/>
  <c r="W208" i="1"/>
  <c r="AA208" i="1" s="1"/>
  <c r="AC208" i="1"/>
  <c r="AD189" i="1"/>
  <c r="W189" i="1"/>
  <c r="AA189" i="1" s="1"/>
  <c r="AC189" i="1"/>
  <c r="R127" i="1"/>
  <c r="P127" i="1" s="1"/>
  <c r="S127" i="1" s="1"/>
  <c r="M127" i="1" s="1"/>
  <c r="N127" i="1" s="1"/>
  <c r="AD186" i="1"/>
  <c r="W186" i="1"/>
  <c r="AA186" i="1" s="1"/>
  <c r="AC186" i="1"/>
  <c r="W49" i="1"/>
  <c r="AA49" i="1" s="1"/>
  <c r="AD49" i="1"/>
  <c r="AC49" i="1"/>
  <c r="R30" i="1"/>
  <c r="P30" i="1" s="1"/>
  <c r="S30" i="1" s="1"/>
  <c r="M30" i="1" s="1"/>
  <c r="N30" i="1" s="1"/>
  <c r="R56" i="1"/>
  <c r="P56" i="1" s="1"/>
  <c r="S56" i="1" s="1"/>
  <c r="M56" i="1" s="1"/>
  <c r="N56" i="1" s="1"/>
  <c r="W105" i="1"/>
  <c r="AA105" i="1" s="1"/>
  <c r="AD105" i="1"/>
  <c r="AE105" i="1" s="1"/>
  <c r="AC105" i="1"/>
  <c r="W155" i="1"/>
  <c r="AA155" i="1" s="1"/>
  <c r="AD155" i="1"/>
  <c r="R155" i="1"/>
  <c r="P155" i="1" s="1"/>
  <c r="S155" i="1" s="1"/>
  <c r="M155" i="1" s="1"/>
  <c r="N155" i="1" s="1"/>
  <c r="AC155" i="1"/>
  <c r="AE227" i="1"/>
  <c r="AD214" i="1"/>
  <c r="AC214" i="1"/>
  <c r="W214" i="1"/>
  <c r="AA214" i="1" s="1"/>
  <c r="R214" i="1"/>
  <c r="P214" i="1" s="1"/>
  <c r="S214" i="1" s="1"/>
  <c r="M214" i="1" s="1"/>
  <c r="N214" i="1" s="1"/>
  <c r="W71" i="1"/>
  <c r="AA71" i="1" s="1"/>
  <c r="AC71" i="1"/>
  <c r="AD71" i="1"/>
  <c r="AD194" i="1"/>
  <c r="W194" i="1"/>
  <c r="AA194" i="1" s="1"/>
  <c r="AC194" i="1"/>
  <c r="R194" i="1"/>
  <c r="P194" i="1" s="1"/>
  <c r="S194" i="1" s="1"/>
  <c r="M194" i="1" s="1"/>
  <c r="N194" i="1" s="1"/>
  <c r="W52" i="1"/>
  <c r="AA52" i="1" s="1"/>
  <c r="AD52" i="1"/>
  <c r="R52" i="1"/>
  <c r="P52" i="1" s="1"/>
  <c r="S52" i="1" s="1"/>
  <c r="M52" i="1" s="1"/>
  <c r="N52" i="1" s="1"/>
  <c r="AC52" i="1"/>
  <c r="W99" i="1"/>
  <c r="AA99" i="1" s="1"/>
  <c r="AD99" i="1"/>
  <c r="AC99" i="1"/>
  <c r="W75" i="1"/>
  <c r="AA75" i="1" s="1"/>
  <c r="AC75" i="1"/>
  <c r="AD75" i="1"/>
  <c r="AD177" i="1"/>
  <c r="AE177" i="1" s="1"/>
  <c r="W177" i="1"/>
  <c r="AA177" i="1" s="1"/>
  <c r="AC177" i="1"/>
  <c r="AD88" i="1"/>
  <c r="W88" i="1"/>
  <c r="AA88" i="1" s="1"/>
  <c r="AC88" i="1"/>
  <c r="AD160" i="1"/>
  <c r="W160" i="1"/>
  <c r="AA160" i="1" s="1"/>
  <c r="AC160" i="1"/>
  <c r="AD164" i="1"/>
  <c r="AE164" i="1" s="1"/>
  <c r="W164" i="1"/>
  <c r="AA164" i="1" s="1"/>
  <c r="AC164" i="1"/>
  <c r="W225" i="1"/>
  <c r="AA225" i="1" s="1"/>
  <c r="AD225" i="1"/>
  <c r="AC225" i="1"/>
  <c r="R55" i="1"/>
  <c r="P55" i="1" s="1"/>
  <c r="S55" i="1" s="1"/>
  <c r="M55" i="1" s="1"/>
  <c r="N55" i="1" s="1"/>
  <c r="AE110" i="1"/>
  <c r="AE111" i="1"/>
  <c r="W25" i="1"/>
  <c r="AA25" i="1" s="1"/>
  <c r="AD25" i="1"/>
  <c r="AC25" i="1"/>
  <c r="AC152" i="1"/>
  <c r="W152" i="1"/>
  <c r="AA152" i="1" s="1"/>
  <c r="AD152" i="1"/>
  <c r="AE152" i="1" s="1"/>
  <c r="R152" i="1"/>
  <c r="P152" i="1" s="1"/>
  <c r="S152" i="1" s="1"/>
  <c r="M152" i="1" s="1"/>
  <c r="N152" i="1" s="1"/>
  <c r="W218" i="1"/>
  <c r="AA218" i="1" s="1"/>
  <c r="AD218" i="1"/>
  <c r="AE218" i="1" s="1"/>
  <c r="AC218" i="1"/>
  <c r="R218" i="1"/>
  <c r="P218" i="1" s="1"/>
  <c r="S218" i="1" s="1"/>
  <c r="M218" i="1" s="1"/>
  <c r="N218" i="1" s="1"/>
  <c r="W223" i="1"/>
  <c r="AA223" i="1" s="1"/>
  <c r="AD223" i="1"/>
  <c r="AE223" i="1" s="1"/>
  <c r="AC223" i="1"/>
  <c r="W69" i="1"/>
  <c r="AA69" i="1" s="1"/>
  <c r="AD69" i="1"/>
  <c r="AE69" i="1" s="1"/>
  <c r="AC69" i="1"/>
  <c r="W59" i="1"/>
  <c r="AA59" i="1" s="1"/>
  <c r="AD59" i="1"/>
  <c r="AE59" i="1" s="1"/>
  <c r="AC59" i="1"/>
  <c r="W143" i="1"/>
  <c r="AA143" i="1" s="1"/>
  <c r="AD143" i="1"/>
  <c r="AC143" i="1"/>
  <c r="W182" i="1"/>
  <c r="AA182" i="1" s="1"/>
  <c r="AD182" i="1"/>
  <c r="R182" i="1"/>
  <c r="P182" i="1" s="1"/>
  <c r="S182" i="1" s="1"/>
  <c r="M182" i="1" s="1"/>
  <c r="N182" i="1" s="1"/>
  <c r="AC182" i="1"/>
  <c r="R48" i="1"/>
  <c r="P48" i="1" s="1"/>
  <c r="S48" i="1" s="1"/>
  <c r="M48" i="1" s="1"/>
  <c r="N48" i="1" s="1"/>
  <c r="W24" i="1"/>
  <c r="AA24" i="1" s="1"/>
  <c r="AD24" i="1"/>
  <c r="R24" i="1"/>
  <c r="P24" i="1" s="1"/>
  <c r="S24" i="1" s="1"/>
  <c r="M24" i="1" s="1"/>
  <c r="N24" i="1" s="1"/>
  <c r="AC24" i="1"/>
  <c r="AD139" i="1"/>
  <c r="W139" i="1"/>
  <c r="AA139" i="1" s="1"/>
  <c r="AC139" i="1"/>
  <c r="R139" i="1"/>
  <c r="P139" i="1" s="1"/>
  <c r="S139" i="1" s="1"/>
  <c r="M139" i="1" s="1"/>
  <c r="N139" i="1" s="1"/>
  <c r="W22" i="1"/>
  <c r="AA22" i="1" s="1"/>
  <c r="AC22" i="1"/>
  <c r="AD22" i="1"/>
  <c r="AE22" i="1" s="1"/>
  <c r="R22" i="1"/>
  <c r="P22" i="1" s="1"/>
  <c r="S22" i="1" s="1"/>
  <c r="M22" i="1" s="1"/>
  <c r="N22" i="1" s="1"/>
  <c r="AD146" i="1"/>
  <c r="AC146" i="1"/>
  <c r="W146" i="1"/>
  <c r="AA146" i="1" s="1"/>
  <c r="R146" i="1"/>
  <c r="P146" i="1" s="1"/>
  <c r="S146" i="1" s="1"/>
  <c r="M146" i="1" s="1"/>
  <c r="N146" i="1" s="1"/>
  <c r="R45" i="1"/>
  <c r="P45" i="1" s="1"/>
  <c r="S45" i="1" s="1"/>
  <c r="M45" i="1" s="1"/>
  <c r="N45" i="1" s="1"/>
  <c r="W19" i="1"/>
  <c r="AA19" i="1" s="1"/>
  <c r="AD19" i="1"/>
  <c r="AE19" i="1" s="1"/>
  <c r="AC19" i="1"/>
  <c r="W81" i="1"/>
  <c r="AA81" i="1" s="1"/>
  <c r="AD81" i="1"/>
  <c r="AC81" i="1"/>
  <c r="R118" i="1"/>
  <c r="P118" i="1" s="1"/>
  <c r="S118" i="1" s="1"/>
  <c r="M118" i="1" s="1"/>
  <c r="N118" i="1" s="1"/>
  <c r="R178" i="1"/>
  <c r="P178" i="1" s="1"/>
  <c r="S178" i="1" s="1"/>
  <c r="M178" i="1" s="1"/>
  <c r="N178" i="1" s="1"/>
  <c r="AE102" i="1"/>
  <c r="R19" i="1"/>
  <c r="P19" i="1" s="1"/>
  <c r="S19" i="1" s="1"/>
  <c r="M19" i="1" s="1"/>
  <c r="N19" i="1" s="1"/>
  <c r="AC26" i="1"/>
  <c r="W26" i="1"/>
  <c r="AA26" i="1" s="1"/>
  <c r="AD26" i="1"/>
  <c r="R26" i="1"/>
  <c r="P26" i="1" s="1"/>
  <c r="S26" i="1" s="1"/>
  <c r="M26" i="1" s="1"/>
  <c r="N26" i="1" s="1"/>
  <c r="AC34" i="1"/>
  <c r="W34" i="1"/>
  <c r="AA34" i="1" s="1"/>
  <c r="AD34" i="1"/>
  <c r="AC119" i="1"/>
  <c r="AD119" i="1"/>
  <c r="W119" i="1"/>
  <c r="AA119" i="1" s="1"/>
  <c r="AD168" i="1"/>
  <c r="AC168" i="1"/>
  <c r="W168" i="1"/>
  <c r="AA168" i="1" s="1"/>
  <c r="R17" i="1"/>
  <c r="P17" i="1" s="1"/>
  <c r="S17" i="1" s="1"/>
  <c r="M17" i="1" s="1"/>
  <c r="N17" i="1" s="1"/>
  <c r="W41" i="1"/>
  <c r="AA41" i="1" s="1"/>
  <c r="AD41" i="1"/>
  <c r="AE41" i="1" s="1"/>
  <c r="AC41" i="1"/>
  <c r="W93" i="1"/>
  <c r="AA93" i="1" s="1"/>
  <c r="AD93" i="1"/>
  <c r="AC93" i="1"/>
  <c r="R93" i="1"/>
  <c r="P93" i="1" s="1"/>
  <c r="S93" i="1" s="1"/>
  <c r="M93" i="1" s="1"/>
  <c r="N93" i="1" s="1"/>
  <c r="W83" i="1"/>
  <c r="AA83" i="1" s="1"/>
  <c r="AC83" i="1"/>
  <c r="AD83" i="1"/>
  <c r="AE83" i="1" s="1"/>
  <c r="R141" i="1"/>
  <c r="P141" i="1" s="1"/>
  <c r="S141" i="1" s="1"/>
  <c r="M141" i="1" s="1"/>
  <c r="N141" i="1" s="1"/>
  <c r="AD181" i="1"/>
  <c r="W181" i="1"/>
  <c r="AA181" i="1" s="1"/>
  <c r="AC181" i="1"/>
  <c r="W79" i="1"/>
  <c r="AA79" i="1" s="1"/>
  <c r="AC79" i="1"/>
  <c r="AD79" i="1"/>
  <c r="AE66" i="1"/>
  <c r="AD108" i="1"/>
  <c r="AE108" i="1" s="1"/>
  <c r="AC108" i="1"/>
  <c r="W108" i="1"/>
  <c r="AA108" i="1" s="1"/>
  <c r="W126" i="1"/>
  <c r="AA126" i="1" s="1"/>
  <c r="AD126" i="1"/>
  <c r="AC126" i="1"/>
  <c r="W159" i="1"/>
  <c r="AA159" i="1" s="1"/>
  <c r="AD159" i="1"/>
  <c r="AE159" i="1" s="1"/>
  <c r="AC159" i="1"/>
  <c r="R159" i="1"/>
  <c r="P159" i="1" s="1"/>
  <c r="S159" i="1" s="1"/>
  <c r="M159" i="1" s="1"/>
  <c r="N159" i="1" s="1"/>
  <c r="W89" i="1"/>
  <c r="AA89" i="1" s="1"/>
  <c r="AD89" i="1"/>
  <c r="AC89" i="1"/>
  <c r="R59" i="1"/>
  <c r="P59" i="1" s="1"/>
  <c r="S59" i="1" s="1"/>
  <c r="M59" i="1" s="1"/>
  <c r="N59" i="1" s="1"/>
  <c r="W91" i="1"/>
  <c r="AA91" i="1" s="1"/>
  <c r="AC91" i="1"/>
  <c r="AD91" i="1"/>
  <c r="W27" i="1"/>
  <c r="AA27" i="1" s="1"/>
  <c r="AD27" i="1"/>
  <c r="AC27" i="1"/>
  <c r="AC63" i="1"/>
  <c r="W63" i="1"/>
  <c r="AA63" i="1" s="1"/>
  <c r="AD63" i="1"/>
  <c r="AE132" i="1"/>
  <c r="AD169" i="1"/>
  <c r="AE169" i="1" s="1"/>
  <c r="W169" i="1"/>
  <c r="AA169" i="1" s="1"/>
  <c r="AC169" i="1"/>
  <c r="W28" i="1"/>
  <c r="AA28" i="1" s="1"/>
  <c r="AD28" i="1"/>
  <c r="AE28" i="1" s="1"/>
  <c r="R28" i="1"/>
  <c r="P28" i="1" s="1"/>
  <c r="S28" i="1" s="1"/>
  <c r="M28" i="1" s="1"/>
  <c r="N28" i="1" s="1"/>
  <c r="AC28" i="1"/>
  <c r="AE70" i="1"/>
  <c r="AD76" i="1"/>
  <c r="AE76" i="1" s="1"/>
  <c r="W76" i="1"/>
  <c r="AA76" i="1" s="1"/>
  <c r="AC76" i="1"/>
  <c r="AD136" i="1"/>
  <c r="W136" i="1"/>
  <c r="AA136" i="1" s="1"/>
  <c r="AC136" i="1"/>
  <c r="W115" i="1"/>
  <c r="AA115" i="1" s="1"/>
  <c r="AD115" i="1"/>
  <c r="AE115" i="1" s="1"/>
  <c r="AC115" i="1"/>
  <c r="R156" i="1"/>
  <c r="P156" i="1" s="1"/>
  <c r="S156" i="1" s="1"/>
  <c r="M156" i="1" s="1"/>
  <c r="N156" i="1" s="1"/>
  <c r="R192" i="1"/>
  <c r="P192" i="1" s="1"/>
  <c r="S192" i="1" s="1"/>
  <c r="M192" i="1" s="1"/>
  <c r="N192" i="1" s="1"/>
  <c r="AD190" i="1"/>
  <c r="W190" i="1"/>
  <c r="AA190" i="1" s="1"/>
  <c r="AC190" i="1"/>
  <c r="R190" i="1"/>
  <c r="P190" i="1" s="1"/>
  <c r="S190" i="1" s="1"/>
  <c r="M190" i="1" s="1"/>
  <c r="N190" i="1" s="1"/>
  <c r="R33" i="1"/>
  <c r="P33" i="1" s="1"/>
  <c r="S33" i="1" s="1"/>
  <c r="M33" i="1" s="1"/>
  <c r="N33" i="1" s="1"/>
  <c r="AE151" i="1"/>
  <c r="W134" i="1"/>
  <c r="AA134" i="1" s="1"/>
  <c r="AD134" i="1"/>
  <c r="AC134" i="1"/>
  <c r="AD216" i="1"/>
  <c r="AE216" i="1" s="1"/>
  <c r="W216" i="1"/>
  <c r="AA216" i="1" s="1"/>
  <c r="AC216" i="1"/>
  <c r="AC50" i="1"/>
  <c r="W50" i="1"/>
  <c r="AA50" i="1" s="1"/>
  <c r="AD50" i="1"/>
  <c r="W37" i="1"/>
  <c r="AA37" i="1" s="1"/>
  <c r="AD37" i="1"/>
  <c r="AC37" i="1"/>
  <c r="AE107" i="1"/>
  <c r="R148" i="1"/>
  <c r="P148" i="1" s="1"/>
  <c r="S148" i="1" s="1"/>
  <c r="M148" i="1" s="1"/>
  <c r="N148" i="1" s="1"/>
  <c r="AD211" i="1"/>
  <c r="AE211" i="1" s="1"/>
  <c r="W211" i="1"/>
  <c r="AA211" i="1" s="1"/>
  <c r="AC211" i="1"/>
  <c r="W39" i="1"/>
  <c r="AA39" i="1" s="1"/>
  <c r="AD39" i="1"/>
  <c r="AC39" i="1"/>
  <c r="AE153" i="1"/>
  <c r="R203" i="1"/>
  <c r="P203" i="1" s="1"/>
  <c r="S203" i="1" s="1"/>
  <c r="M203" i="1" s="1"/>
  <c r="N203" i="1" s="1"/>
  <c r="AC172" i="1"/>
  <c r="W172" i="1"/>
  <c r="AA172" i="1" s="1"/>
  <c r="AD172" i="1"/>
  <c r="AE150" i="1"/>
  <c r="AE122" i="1"/>
  <c r="AE140" i="1"/>
  <c r="AE63" i="1" l="1"/>
  <c r="AE79" i="1"/>
  <c r="AE34" i="1"/>
  <c r="AE24" i="1"/>
  <c r="AE143" i="1"/>
  <c r="AE75" i="1"/>
  <c r="AE52" i="1"/>
  <c r="AE155" i="1"/>
  <c r="AE49" i="1"/>
  <c r="AE189" i="1"/>
  <c r="AE118" i="1"/>
  <c r="AE156" i="1"/>
  <c r="AE120" i="1"/>
  <c r="AE176" i="1"/>
  <c r="AE133" i="1"/>
  <c r="AE55" i="1"/>
  <c r="AE44" i="1"/>
  <c r="AE141" i="1"/>
  <c r="AE127" i="1"/>
  <c r="AE160" i="1"/>
  <c r="AE126" i="1"/>
  <c r="AE225" i="1"/>
  <c r="AE62" i="1"/>
  <c r="AE188" i="1"/>
  <c r="AE33" i="1"/>
  <c r="AE185" i="1"/>
  <c r="AE226" i="1"/>
  <c r="AE197" i="1"/>
  <c r="AE29" i="1"/>
  <c r="AE205" i="1"/>
  <c r="AE39" i="1"/>
  <c r="AE37" i="1"/>
  <c r="AE190" i="1"/>
  <c r="AE136" i="1"/>
  <c r="AE89" i="1"/>
  <c r="AE208" i="1"/>
  <c r="AE183" i="1"/>
  <c r="AE224" i="1"/>
  <c r="AE73" i="1"/>
  <c r="AE212" i="1"/>
  <c r="AE134" i="1"/>
  <c r="AE27" i="1"/>
  <c r="AE93" i="1"/>
  <c r="AE168" i="1"/>
  <c r="AE26" i="1"/>
  <c r="AE81" i="1"/>
  <c r="AE25" i="1"/>
  <c r="AE88" i="1"/>
  <c r="AE99" i="1"/>
  <c r="AE214" i="1"/>
  <c r="AE186" i="1"/>
  <c r="AE196" i="1"/>
  <c r="AE109" i="1"/>
  <c r="AE56" i="1"/>
  <c r="AE65" i="1"/>
  <c r="AE219" i="1"/>
  <c r="AE23" i="1"/>
  <c r="AE38" i="1"/>
  <c r="AE31" i="1"/>
  <c r="AE165" i="1"/>
  <c r="AE48" i="1"/>
  <c r="AE172" i="1"/>
  <c r="AE50" i="1"/>
  <c r="AE181" i="1"/>
  <c r="AE146" i="1"/>
  <c r="AE139" i="1"/>
  <c r="AE182" i="1"/>
  <c r="AE194" i="1"/>
  <c r="AE30" i="1"/>
  <c r="AE144" i="1"/>
  <c r="AE84" i="1"/>
  <c r="AE61" i="1"/>
  <c r="AE131" i="1"/>
  <c r="AE222" i="1"/>
  <c r="AE198" i="1"/>
  <c r="AE203" i="1"/>
  <c r="AE91" i="1"/>
  <c r="AE119" i="1"/>
  <c r="AE71" i="1"/>
</calcChain>
</file>

<file path=xl/sharedStrings.xml><?xml version="1.0" encoding="utf-8"?>
<sst xmlns="http://schemas.openxmlformats.org/spreadsheetml/2006/main" count="3189" uniqueCount="757">
  <si>
    <t>File opened</t>
  </si>
  <si>
    <t>2023-07-24 12:40:47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</si>
  <si>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</si>
  <si>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</si>
  <si>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</si>
  <si>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</si>
  <si>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</si>
  <si>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</si>
  <si>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</si>
  <si>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</si>
  <si>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</si>
  <si>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</si>
  <si>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</si>
  <si>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</si>
  <si>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</si>
  <si>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</si>
  <si>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</si>
  <si>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</si>
  <si>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</si>
  <si>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</si>
  <si>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</si>
  <si>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</si>
  <si>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</si>
  <si>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</si>
  <si>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</si>
  <si>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</si>
  <si>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</si>
  <si>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</si>
  <si>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</si>
  <si>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</si>
  <si>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</si>
  <si>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</si>
  <si>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</si>
  <si>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</si>
  <si>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12:40:47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</si>
  <si>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</si>
  <si>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</si>
  <si>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</si>
  <si>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</si>
  <si>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</si>
  <si>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</si>
  <si>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</si>
  <si>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</si>
  <si>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</si>
  <si>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</si>
  <si>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</si>
  <si>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</si>
  <si>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</si>
  <si>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</si>
  <si>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</si>
  <si>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</si>
  <si>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</si>
  <si>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</si>
  <si>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</si>
  <si>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</si>
  <si>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</si>
  <si>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</si>
  <si>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</si>
  <si>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</si>
  <si>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</si>
  <si>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</si>
  <si>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</si>
  <si>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</si>
  <si>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</si>
  <si>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</si>
  <si>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</si>
  <si>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</si>
  <si>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</si>
  <si>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</si>
  <si>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</si>
  <si>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</si>
  <si>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</si>
  <si>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</si>
  <si>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</si>
  <si>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</si>
  <si>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</si>
  <si>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</si>
  <si>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</si>
  <si>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</si>
  <si>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</si>
  <si>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</si>
  <si>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</si>
  <si>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</si>
  <si>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</si>
  <si>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</si>
  <si>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</si>
  <si>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</si>
  <si>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9.97078 92.7854 372.141 611.155 845.403 1063.04 1243.82 1429.26</t>
  </si>
  <si>
    <t>Fs_true</t>
  </si>
  <si>
    <t>0.126893 101.801 400.957 601.151 800.133 1001.03 1199.98 1400.42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</si>
  <si>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</si>
  <si>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</si>
  <si>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</si>
  <si>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</si>
  <si>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</si>
  <si>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</si>
  <si>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</si>
  <si>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</si>
  <si>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</si>
  <si>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</si>
  <si>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</si>
  <si>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</si>
  <si>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</si>
  <si>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</si>
  <si>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</si>
  <si>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</si>
  <si>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</si>
  <si>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</si>
  <si>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</si>
  <si>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</si>
  <si>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</si>
  <si>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</si>
  <si>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</si>
  <si>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</si>
  <si>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</si>
  <si>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</si>
  <si>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</si>
  <si>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</si>
  <si>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</si>
  <si>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</si>
  <si>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</si>
  <si>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</si>
  <si>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</si>
  <si>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</si>
  <si>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</si>
  <si>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</si>
  <si>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</si>
  <si>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</si>
  <si>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</si>
  <si>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</si>
  <si>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</si>
  <si>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</si>
  <si>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</si>
  <si>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</si>
  <si>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</si>
  <si>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</si>
  <si>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</si>
  <si>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</si>
  <si>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</si>
  <si>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</si>
  <si>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</si>
  <si>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</si>
  <si>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</si>
  <si>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</si>
  <si>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</si>
  <si>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</si>
  <si>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</si>
  <si>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</si>
  <si>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</si>
  <si>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</si>
  <si>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</si>
  <si>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</si>
  <si>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</si>
  <si>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</si>
  <si>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</si>
  <si>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</si>
  <si>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</si>
  <si>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</si>
  <si>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</si>
  <si>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</si>
  <si>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</si>
  <si>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</si>
  <si>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</si>
  <si>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</si>
  <si>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</si>
  <si>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</si>
  <si>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</si>
  <si>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</si>
  <si>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</si>
  <si>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</si>
  <si>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</si>
  <si>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</si>
  <si>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</si>
  <si>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</si>
  <si>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</si>
  <si>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</si>
  <si>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</si>
  <si>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</si>
  <si>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</si>
  <si>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</si>
  <si>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</si>
  <si>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</si>
  <si>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</si>
  <si>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</si>
  <si>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</si>
  <si>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</si>
  <si>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</si>
  <si>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</si>
  <si>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</si>
  <si>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</si>
  <si>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</si>
  <si>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</si>
  <si>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</si>
  <si>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</si>
  <si>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</si>
  <si>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</si>
  <si>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</si>
  <si>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</si>
  <si>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</si>
  <si>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</si>
  <si>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</si>
  <si>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</si>
  <si>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</si>
  <si>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</si>
  <si>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</si>
  <si>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</si>
  <si>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</si>
  <si>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</si>
  <si>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</si>
  <si>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</si>
  <si>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</si>
  <si>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</si>
  <si>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</si>
  <si>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</si>
  <si>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</si>
  <si>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</si>
  <si>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</si>
  <si>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</si>
  <si>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</si>
  <si>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</si>
  <si>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</si>
  <si>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</si>
  <si>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</si>
  <si>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</si>
  <si>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</si>
  <si>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</si>
  <si>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</si>
  <si>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</si>
  <si>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</si>
  <si>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</si>
  <si>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</si>
  <si>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</si>
  <si>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</si>
  <si>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</si>
  <si>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</si>
  <si>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</si>
  <si>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</si>
  <si>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</si>
  <si>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</si>
  <si>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</si>
  <si>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</si>
  <si>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</si>
  <si>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</si>
  <si>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</si>
  <si>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</si>
  <si>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</si>
  <si>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</si>
  <si>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</si>
  <si>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</si>
  <si>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</si>
  <si>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</si>
  <si>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</si>
  <si>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</si>
  <si>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</si>
  <si>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</si>
  <si>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</si>
  <si>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</si>
  <si>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</si>
  <si>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</si>
  <si>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</si>
  <si>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</si>
  <si>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</si>
  <si>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</si>
  <si>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</si>
  <si>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</si>
  <si>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</si>
  <si>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</si>
  <si>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</si>
  <si>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</si>
  <si>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</si>
  <si>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</si>
  <si>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</si>
  <si>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</si>
  <si>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</si>
  <si>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</si>
  <si>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</si>
  <si>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</si>
  <si>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</si>
  <si>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</si>
  <si>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</si>
  <si>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</si>
  <si>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</si>
  <si>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</si>
  <si>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</si>
  <si>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</si>
  <si>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</si>
  <si>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</si>
  <si>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</si>
  <si>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</si>
  <si>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</si>
  <si>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</si>
  <si>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</si>
  <si>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</si>
  <si>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</si>
  <si>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</si>
  <si>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</si>
  <si>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</si>
  <si>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</si>
  <si>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</si>
  <si>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</si>
  <si>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</si>
  <si>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</si>
  <si>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</si>
  <si>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</si>
  <si>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</si>
  <si>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</si>
  <si>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</si>
  <si>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</si>
  <si>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</si>
  <si>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</si>
  <si>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</si>
  <si>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</si>
  <si>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</si>
  <si>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</si>
  <si>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</si>
  <si>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</si>
  <si>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</si>
  <si>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</si>
  <si>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</si>
  <si>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</si>
  <si>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</si>
  <si>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</si>
  <si>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</si>
  <si>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</si>
  <si>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</si>
  <si>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</si>
  <si>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</si>
  <si>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</si>
  <si>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20230724 12:48:02</t>
  </si>
  <si>
    <t>12:48:02</t>
  </si>
  <si>
    <t>none</t>
  </si>
  <si>
    <t>0: Broadleaf</t>
  </si>
  <si>
    <t>12:42:02</t>
  </si>
  <si>
    <t>0/0</t>
  </si>
  <si>
    <t>00000000</t>
  </si>
  <si>
    <t>iiiiiiii</t>
  </si>
  <si>
    <t>off</t>
  </si>
  <si>
    <t>20230724 12:48:03</t>
  </si>
  <si>
    <t>12:48:03</t>
  </si>
  <si>
    <t>20230724 12:48:04</t>
  </si>
  <si>
    <t>12:48:04</t>
  </si>
  <si>
    <t>20230724 12:48:05</t>
  </si>
  <si>
    <t>12:48:05</t>
  </si>
  <si>
    <t>20230724 12:51:45</t>
  </si>
  <si>
    <t>12:51:45</t>
  </si>
  <si>
    <t>20230724 12:51:55</t>
  </si>
  <si>
    <t>12:51:55</t>
  </si>
  <si>
    <t>20230724 12:52:05</t>
  </si>
  <si>
    <t>12:52:05</t>
  </si>
  <si>
    <t>20230724 12:52:15</t>
  </si>
  <si>
    <t>12:52:15</t>
  </si>
  <si>
    <t>20230724 12:52:25</t>
  </si>
  <si>
    <t>12:52:25</t>
  </si>
  <si>
    <t>20230724 12:52:35</t>
  </si>
  <si>
    <t>12:52:35</t>
  </si>
  <si>
    <t>20230724 12:52:45</t>
  </si>
  <si>
    <t>12:52:45</t>
  </si>
  <si>
    <t>20230724 12:52:55</t>
  </si>
  <si>
    <t>12:52:55</t>
  </si>
  <si>
    <t>20230724 12:53:05</t>
  </si>
  <si>
    <t>12:53:05</t>
  </si>
  <si>
    <t>20230724 12:53:15</t>
  </si>
  <si>
    <t>12:53:15</t>
  </si>
  <si>
    <t>20230724 12:53:25</t>
  </si>
  <si>
    <t>12:53:25</t>
  </si>
  <si>
    <t>20230724 12:53:35</t>
  </si>
  <si>
    <t>12:53:35</t>
  </si>
  <si>
    <t>20230724 12:53:45</t>
  </si>
  <si>
    <t>12:53:45</t>
  </si>
  <si>
    <t>20230724 12:53:55</t>
  </si>
  <si>
    <t>12:53:55</t>
  </si>
  <si>
    <t>20230724 12:54:05</t>
  </si>
  <si>
    <t>12:54:05</t>
  </si>
  <si>
    <t>20230724 12:54:15</t>
  </si>
  <si>
    <t>12:54:15</t>
  </si>
  <si>
    <t>20230724 12:54:25</t>
  </si>
  <si>
    <t>12:54:25</t>
  </si>
  <si>
    <t>20230724 12:54:35</t>
  </si>
  <si>
    <t>12:54:35</t>
  </si>
  <si>
    <t>20230724 12:54:45</t>
  </si>
  <si>
    <t>12:54:45</t>
  </si>
  <si>
    <t>20230724 12:54:55</t>
  </si>
  <si>
    <t>12:54:55</t>
  </si>
  <si>
    <t>20230724 12:55:05</t>
  </si>
  <si>
    <t>12:55:05</t>
  </si>
  <si>
    <t>20230724 12:55:15</t>
  </si>
  <si>
    <t>12:55:15</t>
  </si>
  <si>
    <t>20230724 12:55:25</t>
  </si>
  <si>
    <t>12:55:25</t>
  </si>
  <si>
    <t>20230724 12:55:35</t>
  </si>
  <si>
    <t>12:55:35</t>
  </si>
  <si>
    <t>20230724 12:55:45</t>
  </si>
  <si>
    <t>12:55:45</t>
  </si>
  <si>
    <t>20230724 12:55:55</t>
  </si>
  <si>
    <t>12:55:55</t>
  </si>
  <si>
    <t>20230724 12:56:05</t>
  </si>
  <si>
    <t>12:56:05</t>
  </si>
  <si>
    <t>20230724 12:56:15</t>
  </si>
  <si>
    <t>12:56:15</t>
  </si>
  <si>
    <t>20230724 12:56:25</t>
  </si>
  <si>
    <t>12:56:25</t>
  </si>
  <si>
    <t>20230724 12:56:35</t>
  </si>
  <si>
    <t>12:56:35</t>
  </si>
  <si>
    <t>20230724 12:56:45</t>
  </si>
  <si>
    <t>12:56:45</t>
  </si>
  <si>
    <t>20230724 12:56:55</t>
  </si>
  <si>
    <t>12:56:55</t>
  </si>
  <si>
    <t>20230724 12:57:05</t>
  </si>
  <si>
    <t>12:57:05</t>
  </si>
  <si>
    <t>20230724 12:57:15</t>
  </si>
  <si>
    <t>12:57:15</t>
  </si>
  <si>
    <t>20230724 12:57:25</t>
  </si>
  <si>
    <t>12:57:25</t>
  </si>
  <si>
    <t>20230724 12:57:35</t>
  </si>
  <si>
    <t>12:57:35</t>
  </si>
  <si>
    <t>20230724 12:57:45</t>
  </si>
  <si>
    <t>12:57:45</t>
  </si>
  <si>
    <t>20230724 12:57:55</t>
  </si>
  <si>
    <t>12:57:55</t>
  </si>
  <si>
    <t>20230724 12:58:05</t>
  </si>
  <si>
    <t>12:58:05</t>
  </si>
  <si>
    <t>20230724 12:58:15</t>
  </si>
  <si>
    <t>12:58:15</t>
  </si>
  <si>
    <t>20230724 12:58:25</t>
  </si>
  <si>
    <t>12:58:25</t>
  </si>
  <si>
    <t>20230724 12:58:35</t>
  </si>
  <si>
    <t>12:58:35</t>
  </si>
  <si>
    <t>20230724 12:58:45</t>
  </si>
  <si>
    <t>12:58:45</t>
  </si>
  <si>
    <t>20230724 12:58:55</t>
  </si>
  <si>
    <t>12:58:55</t>
  </si>
  <si>
    <t>20230724 12:59:05</t>
  </si>
  <si>
    <t>12:59:05</t>
  </si>
  <si>
    <t>20230724 12:59:15</t>
  </si>
  <si>
    <t>12:59:15</t>
  </si>
  <si>
    <t>20230724 12:59:25</t>
  </si>
  <si>
    <t>12:59:25</t>
  </si>
  <si>
    <t>20230724 12:59:35</t>
  </si>
  <si>
    <t>12:59:35</t>
  </si>
  <si>
    <t>20230724 12:59:45</t>
  </si>
  <si>
    <t>12:59:45</t>
  </si>
  <si>
    <t>20230724 12:59:55</t>
  </si>
  <si>
    <t>12:59:55</t>
  </si>
  <si>
    <t>20230724 13:00:05</t>
  </si>
  <si>
    <t>13:00:05</t>
  </si>
  <si>
    <t>20230724 13:00:15</t>
  </si>
  <si>
    <t>13:00:15</t>
  </si>
  <si>
    <t>20230724 13:00:25</t>
  </si>
  <si>
    <t>13:00:25</t>
  </si>
  <si>
    <t>20230724 13:00:35</t>
  </si>
  <si>
    <t>13:00:35</t>
  </si>
  <si>
    <t>20230724 13:00:45</t>
  </si>
  <si>
    <t>13:00:45</t>
  </si>
  <si>
    <t>20230724 13:00:55</t>
  </si>
  <si>
    <t>13:00:55</t>
  </si>
  <si>
    <t>20230724 13:01:05</t>
  </si>
  <si>
    <t>13:01:05</t>
  </si>
  <si>
    <t>20230724 13:01:15</t>
  </si>
  <si>
    <t>13:01:15</t>
  </si>
  <si>
    <t>20230724 13:01:25</t>
  </si>
  <si>
    <t>13:01:25</t>
  </si>
  <si>
    <t>20230724 13:01:35</t>
  </si>
  <si>
    <t>13:01:35</t>
  </si>
  <si>
    <t>20230724 13:01:45</t>
  </si>
  <si>
    <t>13:01:45</t>
  </si>
  <si>
    <t>20230724 13:01:55</t>
  </si>
  <si>
    <t>13:01:55</t>
  </si>
  <si>
    <t>20230724 13:02:05</t>
  </si>
  <si>
    <t>13:02:05</t>
  </si>
  <si>
    <t>20230724 13:02:15</t>
  </si>
  <si>
    <t>13:02:15</t>
  </si>
  <si>
    <t>20230724 13:02:25</t>
  </si>
  <si>
    <t>13:02:25</t>
  </si>
  <si>
    <t>20230724 13:02:35</t>
  </si>
  <si>
    <t>13:02:35</t>
  </si>
  <si>
    <t>20230724 13:02:45</t>
  </si>
  <si>
    <t>13:02:45</t>
  </si>
  <si>
    <t>20230724 13:02:55</t>
  </si>
  <si>
    <t>13:02:55</t>
  </si>
  <si>
    <t>20230724 13:03:05</t>
  </si>
  <si>
    <t>13:03:05</t>
  </si>
  <si>
    <t>20230724 13:03:15</t>
  </si>
  <si>
    <t>13:03:15</t>
  </si>
  <si>
    <t>20230724 13:03:25</t>
  </si>
  <si>
    <t>13:03:25</t>
  </si>
  <si>
    <t>20230724 13:03:35</t>
  </si>
  <si>
    <t>13:03:35</t>
  </si>
  <si>
    <t>20230724 13:03:45</t>
  </si>
  <si>
    <t>13:03:45</t>
  </si>
  <si>
    <t>20230724 13:03:55</t>
  </si>
  <si>
    <t>13:03:55</t>
  </si>
  <si>
    <t>20230724 13:04:05</t>
  </si>
  <si>
    <t>13:04:05</t>
  </si>
  <si>
    <t>20230724 13:04:15</t>
  </si>
  <si>
    <t>13:04:15</t>
  </si>
  <si>
    <t>20230724 13:04:25</t>
  </si>
  <si>
    <t>13:04:25</t>
  </si>
  <si>
    <t>20230724 13:04:35</t>
  </si>
  <si>
    <t>13:04:35</t>
  </si>
  <si>
    <t>20230724 13:04:45</t>
  </si>
  <si>
    <t>13:04:45</t>
  </si>
  <si>
    <t>20230724 13:04:55</t>
  </si>
  <si>
    <t>13:04:55</t>
  </si>
  <si>
    <t>20230724 13:05:05</t>
  </si>
  <si>
    <t>13:05:05</t>
  </si>
  <si>
    <t>20230724 13:05:15</t>
  </si>
  <si>
    <t>13:05:15</t>
  </si>
  <si>
    <t>20230724 13:05:25</t>
  </si>
  <si>
    <t>13:05:25</t>
  </si>
  <si>
    <t>20230724 13:05:35</t>
  </si>
  <si>
    <t>13:05:35</t>
  </si>
  <si>
    <t>20230724 13:05:45</t>
  </si>
  <si>
    <t>13:05:45</t>
  </si>
  <si>
    <t>20230724 13:05:55</t>
  </si>
  <si>
    <t>13:05:55</t>
  </si>
  <si>
    <t>20230724 13:06:05</t>
  </si>
  <si>
    <t>13:06:05</t>
  </si>
  <si>
    <t>20230724 13:06:15</t>
  </si>
  <si>
    <t>13:06:15</t>
  </si>
  <si>
    <t>20230724 13:06:25</t>
  </si>
  <si>
    <t>13:06:25</t>
  </si>
  <si>
    <t>20230724 13:06:35</t>
  </si>
  <si>
    <t>13:06:35</t>
  </si>
  <si>
    <t>20230724 13:06:45</t>
  </si>
  <si>
    <t>13:06:45</t>
  </si>
  <si>
    <t>20230724 13:06:55</t>
  </si>
  <si>
    <t>13:06:55</t>
  </si>
  <si>
    <t>20230724 13:07:05</t>
  </si>
  <si>
    <t>13:07:05</t>
  </si>
  <si>
    <t>20230724 13:07:15</t>
  </si>
  <si>
    <t>13:07:15</t>
  </si>
  <si>
    <t>20230724 13:07:25</t>
  </si>
  <si>
    <t>13:07:25</t>
  </si>
  <si>
    <t>20230724 13:07:35</t>
  </si>
  <si>
    <t>13:07:35</t>
  </si>
  <si>
    <t>20230724 13:07:45</t>
  </si>
  <si>
    <t>13:07:45</t>
  </si>
  <si>
    <t>20230724 13:07:55</t>
  </si>
  <si>
    <t>13:07:55</t>
  </si>
  <si>
    <t>20230724 13:08:05</t>
  </si>
  <si>
    <t>13:08:05</t>
  </si>
  <si>
    <t>20230724 13:08:15</t>
  </si>
  <si>
    <t>13:08:15</t>
  </si>
  <si>
    <t>20230724 13:08:25</t>
  </si>
  <si>
    <t>13:08:25</t>
  </si>
  <si>
    <t>20230724 13:08:35</t>
  </si>
  <si>
    <t>13:08:35</t>
  </si>
  <si>
    <t>20230724 13:08:45</t>
  </si>
  <si>
    <t>13:08:45</t>
  </si>
  <si>
    <t>20230724 13:08:55</t>
  </si>
  <si>
    <t>13:08:55</t>
  </si>
  <si>
    <t>20230724 13:09:05</t>
  </si>
  <si>
    <t>13:09:05</t>
  </si>
  <si>
    <t>20230724 13:09:15</t>
  </si>
  <si>
    <t>13:09:15</t>
  </si>
  <si>
    <t>20230724 13:09:25</t>
  </si>
  <si>
    <t>13:09:25</t>
  </si>
  <si>
    <t>20230724 13:09:35</t>
  </si>
  <si>
    <t>13:09:35</t>
  </si>
  <si>
    <t>20230724 13:09:45</t>
  </si>
  <si>
    <t>13:09:45</t>
  </si>
  <si>
    <t>20230724 13:09:55</t>
  </si>
  <si>
    <t>13:09:55</t>
  </si>
  <si>
    <t>20230724 13:10:05</t>
  </si>
  <si>
    <t>13:10:05</t>
  </si>
  <si>
    <t>20230724 13:10:15</t>
  </si>
  <si>
    <t>13:10:15</t>
  </si>
  <si>
    <t>20230724 13:10:25</t>
  </si>
  <si>
    <t>13:10:25</t>
  </si>
  <si>
    <t>20230724 13:10:35</t>
  </si>
  <si>
    <t>13:10:35</t>
  </si>
  <si>
    <t>20230724 13:10:45</t>
  </si>
  <si>
    <t>13:10:45</t>
  </si>
  <si>
    <t>20230724 13:10:55</t>
  </si>
  <si>
    <t>13:10:55</t>
  </si>
  <si>
    <t>20230724 13:11:05</t>
  </si>
  <si>
    <t>13:11:05</t>
  </si>
  <si>
    <t>20230724 13:11:15</t>
  </si>
  <si>
    <t>13:11:15</t>
  </si>
  <si>
    <t>20230724 13:11:25</t>
  </si>
  <si>
    <t>13:11:25</t>
  </si>
  <si>
    <t>20230724 13:11:35</t>
  </si>
  <si>
    <t>13:11:35</t>
  </si>
  <si>
    <t>20230724 13:11:45</t>
  </si>
  <si>
    <t>13:11:45</t>
  </si>
  <si>
    <t>20230724 13:11:55</t>
  </si>
  <si>
    <t>13:11:55</t>
  </si>
  <si>
    <t>20230724 13:12:05</t>
  </si>
  <si>
    <t>13:12:05</t>
  </si>
  <si>
    <t>20230724 13:12:15</t>
  </si>
  <si>
    <t>13:12:15</t>
  </si>
  <si>
    <t>20230724 13:12:25</t>
  </si>
  <si>
    <t>13:12:25</t>
  </si>
  <si>
    <t>20230724 13:12:35</t>
  </si>
  <si>
    <t>13:12:35</t>
  </si>
  <si>
    <t>20230724 13:12:45</t>
  </si>
  <si>
    <t>13:12:45</t>
  </si>
  <si>
    <t>20230724 13:12:55</t>
  </si>
  <si>
    <t>13:12:55</t>
  </si>
  <si>
    <t>20230724 13:13:05</t>
  </si>
  <si>
    <t>13:13:05</t>
  </si>
  <si>
    <t>20230724 13:13:15</t>
  </si>
  <si>
    <t>13:13:15</t>
  </si>
  <si>
    <t>20230724 13:13:25</t>
  </si>
  <si>
    <t>13:13:25</t>
  </si>
  <si>
    <t>20230724 13:13:35</t>
  </si>
  <si>
    <t>13:13:35</t>
  </si>
  <si>
    <t>20230724 13:13:45</t>
  </si>
  <si>
    <t>13:13:45</t>
  </si>
  <si>
    <t>20230724 13:13:55</t>
  </si>
  <si>
    <t>13:13:55</t>
  </si>
  <si>
    <t>20230724 13:14:05</t>
  </si>
  <si>
    <t>13:14:05</t>
  </si>
  <si>
    <t>20230724 13:14:15</t>
  </si>
  <si>
    <t>13:14:15</t>
  </si>
  <si>
    <t>20230724 13:14:25</t>
  </si>
  <si>
    <t>13:14:25</t>
  </si>
  <si>
    <t>20230724 13:14:35</t>
  </si>
  <si>
    <t>13:14:35</t>
  </si>
  <si>
    <t>20230724 13:14:45</t>
  </si>
  <si>
    <t>13:14:45</t>
  </si>
  <si>
    <t>20230724 13:14:55</t>
  </si>
  <si>
    <t>13:14:55</t>
  </si>
  <si>
    <t>20230724 13:15:05</t>
  </si>
  <si>
    <t>13:15:05</t>
  </si>
  <si>
    <t>20230724 13:15:15</t>
  </si>
  <si>
    <t>13:15:15</t>
  </si>
  <si>
    <t>20230724 13:15:25</t>
  </si>
  <si>
    <t>13:15:25</t>
  </si>
  <si>
    <t>20230724 13:15:35</t>
  </si>
  <si>
    <t>13:15:35</t>
  </si>
  <si>
    <t>20230724 13:15:45</t>
  </si>
  <si>
    <t>13:15:45</t>
  </si>
  <si>
    <t>20230724 13:15:55</t>
  </si>
  <si>
    <t>13:15:55</t>
  </si>
  <si>
    <t>20230724 13:16:05</t>
  </si>
  <si>
    <t>13:16:05</t>
  </si>
  <si>
    <t>20230724 13:16:15</t>
  </si>
  <si>
    <t>13:16:15</t>
  </si>
  <si>
    <t>20230724 13:16:25</t>
  </si>
  <si>
    <t>13:16:25</t>
  </si>
  <si>
    <t>20230724 13:16:35</t>
  </si>
  <si>
    <t>13:16:35</t>
  </si>
  <si>
    <t>20230724 13:16:45</t>
  </si>
  <si>
    <t>13:16:45</t>
  </si>
  <si>
    <t>20230724 13:16:55</t>
  </si>
  <si>
    <t>13:16:55</t>
  </si>
  <si>
    <t>20230724 13:17:05</t>
  </si>
  <si>
    <t>13:17:05</t>
  </si>
  <si>
    <t>20230724 13:17:15</t>
  </si>
  <si>
    <t>13:17:15</t>
  </si>
  <si>
    <t>20230724 13:17:25</t>
  </si>
  <si>
    <t>13:17:25</t>
  </si>
  <si>
    <t>20230724 13:17:35</t>
  </si>
  <si>
    <t>13:17:35</t>
  </si>
  <si>
    <t>20230724 13:17:45</t>
  </si>
  <si>
    <t>13:17:45</t>
  </si>
  <si>
    <t>20230724 13:17:55</t>
  </si>
  <si>
    <t>13:17:55</t>
  </si>
  <si>
    <t>20230724 13:18:05</t>
  </si>
  <si>
    <t>13:18:05</t>
  </si>
  <si>
    <t>20230724 13:18:15</t>
  </si>
  <si>
    <t>13:18:15</t>
  </si>
  <si>
    <t>20230724 13:18:25</t>
  </si>
  <si>
    <t>13:18:25</t>
  </si>
  <si>
    <t>20230724 13:18:35</t>
  </si>
  <si>
    <t>13:18:35</t>
  </si>
  <si>
    <t>20230724 13:18:45</t>
  </si>
  <si>
    <t>13:18:45</t>
  </si>
  <si>
    <t>20230724 13:18:55</t>
  </si>
  <si>
    <t>13:18:55</t>
  </si>
  <si>
    <t>20230724 13:19:05</t>
  </si>
  <si>
    <t>13:19:05</t>
  </si>
  <si>
    <t>20230724 13:19:15</t>
  </si>
  <si>
    <t>13:19:15</t>
  </si>
  <si>
    <t>20230724 13:19:25</t>
  </si>
  <si>
    <t>13:19:25</t>
  </si>
  <si>
    <t>20230724 13:19:35</t>
  </si>
  <si>
    <t>13:19:35</t>
  </si>
  <si>
    <t>20230724 13:19:45</t>
  </si>
  <si>
    <t>13:19:45</t>
  </si>
  <si>
    <t>20230724 13:19:55</t>
  </si>
  <si>
    <t>13:19:55</t>
  </si>
  <si>
    <t>20230724 13:20:05</t>
  </si>
  <si>
    <t>13:20:05</t>
  </si>
  <si>
    <t>20230724 13:20:15</t>
  </si>
  <si>
    <t>13:20:15</t>
  </si>
  <si>
    <t>20230724 13:20:25</t>
  </si>
  <si>
    <t>13:20:25</t>
  </si>
  <si>
    <t>20230724 13:20:35</t>
  </si>
  <si>
    <t>13:20:35</t>
  </si>
  <si>
    <t>20230724 13:20:45</t>
  </si>
  <si>
    <t>13:20:45</t>
  </si>
  <si>
    <t>20230724 13:20:55</t>
  </si>
  <si>
    <t>13:20:55</t>
  </si>
  <si>
    <t>20230724 13:21:05</t>
  </si>
  <si>
    <t>13:21:05</t>
  </si>
  <si>
    <t>20230724 13:21:15</t>
  </si>
  <si>
    <t>13:21:15</t>
  </si>
  <si>
    <t>20230724 13:21:25</t>
  </si>
  <si>
    <t>13:21:25</t>
  </si>
  <si>
    <t>20230724 13:21:35</t>
  </si>
  <si>
    <t>13:21:35</t>
  </si>
  <si>
    <t>20230724 13:21:45</t>
  </si>
  <si>
    <t>13:21:45</t>
  </si>
  <si>
    <t>20230724 13:21:55</t>
  </si>
  <si>
    <t>13:21:55</t>
  </si>
  <si>
    <t>20230724 13:22:05</t>
  </si>
  <si>
    <t>13:22:05</t>
  </si>
  <si>
    <t>20230724 13:22:15</t>
  </si>
  <si>
    <t>13:22:15</t>
  </si>
  <si>
    <t>20230724 13:22:25</t>
  </si>
  <si>
    <t>13:22:25</t>
  </si>
  <si>
    <t>20230724 13:22:35</t>
  </si>
  <si>
    <t>13:22:35</t>
  </si>
  <si>
    <t>20230724 13:22:45</t>
  </si>
  <si>
    <t>13:22:45</t>
  </si>
  <si>
    <t>20230724 13:22:55</t>
  </si>
  <si>
    <t>13:22:55</t>
  </si>
  <si>
    <t>20230724 13:23:05</t>
  </si>
  <si>
    <t>13:23:05</t>
  </si>
  <si>
    <t>20230724 13:23:15</t>
  </si>
  <si>
    <t>13:23:15</t>
  </si>
  <si>
    <t>20230724 13:23:25</t>
  </si>
  <si>
    <t>13:23:25</t>
  </si>
  <si>
    <t>20230724 13:23:35</t>
  </si>
  <si>
    <t>13:23:35</t>
  </si>
  <si>
    <t>20230724 13:23:45</t>
  </si>
  <si>
    <t>13:23:45</t>
  </si>
  <si>
    <t>20230724 13:23:55</t>
  </si>
  <si>
    <t>13:23:55</t>
  </si>
  <si>
    <t>20230724 13:24:05</t>
  </si>
  <si>
    <t>13:24:05</t>
  </si>
  <si>
    <t>20230724 13:24:15</t>
  </si>
  <si>
    <t>13:24:15</t>
  </si>
  <si>
    <t>20230724 13:24:25</t>
  </si>
  <si>
    <t>13:24:25</t>
  </si>
  <si>
    <t>20230724 13:24:35</t>
  </si>
  <si>
    <t>13:24:35</t>
  </si>
  <si>
    <t>20230724 13:24:45</t>
  </si>
  <si>
    <t>13:24:45</t>
  </si>
  <si>
    <t>20230724 13:24:55</t>
  </si>
  <si>
    <t>13:24:55</t>
  </si>
  <si>
    <t>20230724 13:25:05</t>
  </si>
  <si>
    <t>13:25:05</t>
  </si>
  <si>
    <t>20230724 13:25:15</t>
  </si>
  <si>
    <t>13:25:15</t>
  </si>
  <si>
    <t>20230724 13:25:25</t>
  </si>
  <si>
    <t>13:25:25</t>
  </si>
  <si>
    <t>20230724 13:25:35</t>
  </si>
  <si>
    <t>13:25:35</t>
  </si>
  <si>
    <t>20230724 13:25:45</t>
  </si>
  <si>
    <t>13:25:45</t>
  </si>
  <si>
    <t>20230724 13:25:55</t>
  </si>
  <si>
    <t>13:25:55</t>
  </si>
  <si>
    <t>20230724 13:26:05</t>
  </si>
  <si>
    <t>13:26:05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</si>
</sst>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28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1690220882.5</v>
      </c>
      <c r="C17">
        <v>0</v>
      </c>
      <c r="D17" t="s">
        <v>328</v>
      </c>
      <c r="E17" t="s">
        <v>329</v>
      </c>
      <c r="F17" t="s">
        <v>330</v>
      </c>
      <c r="H17">
        <v>1690220882.5</v>
      </c>
      <c r="I17">
        <f t="shared" ref="I17:I80" si="0">(J17)/1000</f>
        <v>2.514692052314354E-4</v>
      </c>
      <c r="J17">
        <f t="shared" ref="J17:J80" si="1">1000*AZ17*AH17*(AV17-AW17)/(100*AO17*(1000-AH17*AV17))</f>
        <v>0.2514692052314354</v>
      </c>
      <c r="K17">
        <f t="shared" ref="K17:K80" si="2">AZ17*AH17*(AU17-AT17*(1000-AH17*AW17)/(1000-AH17*AV17))/(100*AO17)</f>
        <v>-0.93011023286136674</v>
      </c>
      <c r="L17">
        <f t="shared" ref="L17:L80" si="3">AT17 - IF(AH17&gt;1, K17*AO17*100/(AJ17*BH17), 0)</f>
        <v>807.55799999999999</v>
      </c>
      <c r="M17">
        <f t="shared" ref="M17:M80" si="4">((S17-I17/2)*L17-K17)/(S17+I17/2)</f>
        <v>878.28924556967877</v>
      </c>
      <c r="N17">
        <f t="shared" ref="N17:N80" si="5">M17*(BA17+BB17)/1000</f>
        <v>87.092908420169863</v>
      </c>
      <c r="O17">
        <f t="shared" ref="O17:O80" si="6">(AT17 - IF(AH17&gt;1, K17*AO17*100/(AJ17*BH17), 0))*(BA17+BB17)/1000</f>
        <v>80.079057432106197</v>
      </c>
      <c r="P17">
        <f t="shared" ref="P17:P80" si="7">2/((1/R17-1/Q17)+SIGN(R17)*SQRT((1/R17-1/Q17)*(1/R17-1/Q17) + 4*AP17/((AP17+1)*(AP17+1))*(2*1/R17*1/Q17-1/Q17*1/Q17)))</f>
        <v>1.6302311560831877E-2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2.195536278391554</v>
      </c>
      <c r="R17">
        <f t="shared" ref="R17:R80" si="9">I17*(1000-(1000*0.61365*EXP(17.502*V17/(240.97+V17))/(BA17+BB17)+AV17)/2)/(1000*0.61365*EXP(17.502*V17/(240.97+V17))/(BA17+BB17)-AV17)</f>
        <v>1.6235360858250853E-2</v>
      </c>
      <c r="S17">
        <f t="shared" ref="S17:S80" si="10">1/((AP17+1)/(P17/1.6)+1/(Q17/1.37)) + AP17/((AP17+1)/(P17/1.6) + AP17/(Q17/1.37))</f>
        <v>1.0153092789259651E-2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26.808386182831544</v>
      </c>
      <c r="V17">
        <f t="shared" ref="V17:V80" si="13">($C$7*BD17+$D$7*BE17+$E$7*U17)</f>
        <v>26.808386182831544</v>
      </c>
      <c r="W17">
        <f t="shared" ref="W17:W80" si="14">0.61365*EXP(17.502*V17/(240.97+V17))</f>
        <v>3.5390772998616775</v>
      </c>
      <c r="X17">
        <f t="shared" ref="X17:X80" si="15">(Y17/Z17*100)</f>
        <v>57.534098410276393</v>
      </c>
      <c r="Y17">
        <f t="shared" ref="Y17:Y80" si="16">AV17*(BA17+BB17)/1000</f>
        <v>2.0464158811281901</v>
      </c>
      <c r="Z17">
        <f t="shared" ref="Z17:Z80" si="17">0.61365*EXP(17.502*BC17/(240.97+BC17))</f>
        <v>3.5568748579932068</v>
      </c>
      <c r="AA17">
        <f t="shared" ref="AA17:AA80" si="18">(W17-AV17*(BA17+BB17)/1000)</f>
        <v>1.4926614187334875</v>
      </c>
      <c r="AB17">
        <f t="shared" ref="AB17:AB80" si="19">(-I17*44100)</f>
        <v>-11.089791950706301</v>
      </c>
      <c r="AC17">
        <f t="shared" ref="AC17:AC80" si="20">2*29.3*Q17*0.92*(BC17-V17)</f>
        <v>10.098234111539529</v>
      </c>
      <c r="AD17">
        <f t="shared" ref="AD17:AD80" si="21">2*0.95*0.0000000567*(((BC17+$B$7)+273)^4-(V17+273)^4)</f>
        <v>0.99113480156115408</v>
      </c>
      <c r="AE17">
        <f t="shared" ref="AE17:AE80" si="22">T17+AD17+AB17+AC17</f>
        <v>-4.2303760561779313E-4</v>
      </c>
      <c r="AF17">
        <v>0</v>
      </c>
      <c r="AG17">
        <v>0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52462.561595333369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31.2</v>
      </c>
      <c r="AP17">
        <v>0.5</v>
      </c>
      <c r="AQ17" t="s">
        <v>331</v>
      </c>
      <c r="AR17">
        <v>2</v>
      </c>
      <c r="AS17">
        <v>1690220882.5</v>
      </c>
      <c r="AT17">
        <v>807.55799999999999</v>
      </c>
      <c r="AU17">
        <v>800.00099999999998</v>
      </c>
      <c r="AV17">
        <v>20.6371</v>
      </c>
      <c r="AW17">
        <v>18.077200000000001</v>
      </c>
      <c r="AX17">
        <v>808.05600000000004</v>
      </c>
      <c r="AY17">
        <v>20.446200000000001</v>
      </c>
      <c r="AZ17">
        <v>300.16500000000002</v>
      </c>
      <c r="BA17">
        <v>99.061999999999998</v>
      </c>
      <c r="BB17">
        <v>9.9988900000000006E-2</v>
      </c>
      <c r="BC17">
        <v>26.893699999999999</v>
      </c>
      <c r="BD17">
        <v>27.002600000000001</v>
      </c>
      <c r="BE17">
        <v>26.913900000000002</v>
      </c>
      <c r="BF17">
        <v>0</v>
      </c>
      <c r="BG17">
        <v>0</v>
      </c>
      <c r="BH17">
        <v>10012.5</v>
      </c>
      <c r="BI17">
        <v>0.72482000000000002</v>
      </c>
      <c r="BJ17">
        <v>1.1213200000000001</v>
      </c>
      <c r="BK17">
        <v>7.5571299999999999</v>
      </c>
      <c r="BL17">
        <v>824.57500000000005</v>
      </c>
      <c r="BM17">
        <v>814.72900000000004</v>
      </c>
      <c r="BN17">
        <v>2.55992</v>
      </c>
      <c r="BO17">
        <v>800.00099999999998</v>
      </c>
      <c r="BP17">
        <v>18.077200000000001</v>
      </c>
      <c r="BQ17">
        <v>2.0443600000000002</v>
      </c>
      <c r="BR17">
        <v>1.7907599999999999</v>
      </c>
      <c r="BS17">
        <v>17.792100000000001</v>
      </c>
      <c r="BT17">
        <v>15.7064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1690220522.5999999</v>
      </c>
      <c r="CC17" t="s">
        <v>332</v>
      </c>
      <c r="CD17">
        <v>1690220522.5999999</v>
      </c>
      <c r="CE17">
        <v>1690220510.5999999</v>
      </c>
      <c r="CF17">
        <v>10</v>
      </c>
      <c r="CG17">
        <v>-0.22</v>
      </c>
      <c r="CH17">
        <v>-2.7E-2</v>
      </c>
      <c r="CI17">
        <v>-0.49299999999999999</v>
      </c>
      <c r="CJ17">
        <v>0.152</v>
      </c>
      <c r="CK17">
        <v>800</v>
      </c>
      <c r="CL17">
        <v>19</v>
      </c>
      <c r="CM17">
        <v>0.1</v>
      </c>
      <c r="CN17">
        <v>0.03</v>
      </c>
      <c r="CO17">
        <v>7.5551385365853649</v>
      </c>
      <c r="CP17">
        <v>0.28499749128922092</v>
      </c>
      <c r="CQ17">
        <v>4.8588226595669019E-2</v>
      </c>
      <c r="CR17">
        <v>-1</v>
      </c>
      <c r="CS17">
        <v>2.5994075609756102</v>
      </c>
      <c r="CT17">
        <v>-0.2108395818815349</v>
      </c>
      <c r="CU17">
        <v>2.264243865394144E-2</v>
      </c>
      <c r="CV17">
        <v>-1</v>
      </c>
      <c r="CW17">
        <v>0</v>
      </c>
      <c r="CX17">
        <v>0</v>
      </c>
      <c r="CY17" t="s">
        <v>333</v>
      </c>
      <c r="CZ17">
        <v>2.3642699999999999</v>
      </c>
      <c r="DA17">
        <v>2.7137899999999999</v>
      </c>
      <c r="DB17">
        <v>0.147646</v>
      </c>
      <c r="DC17">
        <v>0.14630899999999999</v>
      </c>
      <c r="DD17">
        <v>0.102254</v>
      </c>
      <c r="DE17">
        <v>9.1812599999999994E-2</v>
      </c>
      <c r="DF17">
        <v>31121.5</v>
      </c>
      <c r="DG17">
        <v>27511.1</v>
      </c>
      <c r="DH17">
        <v>31170.7</v>
      </c>
      <c r="DI17">
        <v>28080.3</v>
      </c>
      <c r="DJ17">
        <v>37997</v>
      </c>
      <c r="DK17">
        <v>36260.400000000001</v>
      </c>
      <c r="DL17">
        <v>44359.1</v>
      </c>
      <c r="DM17">
        <v>42558.400000000001</v>
      </c>
      <c r="DN17">
        <v>1.47285</v>
      </c>
      <c r="DO17">
        <v>2.0533800000000002</v>
      </c>
      <c r="DP17">
        <v>8.3219299999999996E-2</v>
      </c>
      <c r="DQ17">
        <v>7.3961899999999997E-2</v>
      </c>
      <c r="DR17">
        <v>25.6401</v>
      </c>
      <c r="DS17">
        <v>25.7029</v>
      </c>
      <c r="DT17">
        <v>56.6</v>
      </c>
      <c r="DU17">
        <v>29.6</v>
      </c>
      <c r="DV17">
        <v>23.791899999999998</v>
      </c>
      <c r="DW17">
        <v>61.684100000000001</v>
      </c>
      <c r="DX17">
        <v>36.626600000000003</v>
      </c>
      <c r="DY17">
        <v>1</v>
      </c>
      <c r="DZ17">
        <v>-8.6763199999999999E-2</v>
      </c>
      <c r="EA17">
        <v>-1.59585</v>
      </c>
      <c r="EB17">
        <v>20.2959</v>
      </c>
      <c r="EC17">
        <v>5.2413999999999996</v>
      </c>
      <c r="ED17">
        <v>12.039899999999999</v>
      </c>
      <c r="EE17">
        <v>5.01755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1.8689100000000001</v>
      </c>
      <c r="EL17">
        <v>1.8646199999999999</v>
      </c>
      <c r="EM17">
        <v>1.8691500000000001</v>
      </c>
      <c r="EN17">
        <v>1.8672299999999999</v>
      </c>
      <c r="EO17">
        <v>1.8633999999999999</v>
      </c>
      <c r="EP17">
        <v>1.8645</v>
      </c>
      <c r="EQ17">
        <v>1.8701399999999999</v>
      </c>
      <c r="ER17">
        <v>1.8694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-0.498</v>
      </c>
      <c r="FG17">
        <v>0.19089999999999999</v>
      </c>
      <c r="FH17">
        <v>5.8509882529719233E-2</v>
      </c>
      <c r="FI17">
        <v>-6.1462078757559423E-4</v>
      </c>
      <c r="FJ17">
        <v>-1.8861989874597051E-7</v>
      </c>
      <c r="FK17">
        <v>1.1980462299894961E-10</v>
      </c>
      <c r="FL17">
        <v>-5.9863424041980147E-2</v>
      </c>
      <c r="FM17">
        <v>-1.6848085045870601E-2</v>
      </c>
      <c r="FN17">
        <v>1.9789084769509481E-3</v>
      </c>
      <c r="FO17">
        <v>-2.7142391389806329E-5</v>
      </c>
      <c r="FP17">
        <v>3</v>
      </c>
      <c r="FQ17">
        <v>2158</v>
      </c>
      <c r="FR17">
        <v>1</v>
      </c>
      <c r="FS17">
        <v>19</v>
      </c>
      <c r="FT17">
        <v>6</v>
      </c>
      <c r="FU17">
        <v>6.2</v>
      </c>
      <c r="FV17">
        <v>1.79077</v>
      </c>
      <c r="FW17">
        <v>2.5781200000000002</v>
      </c>
      <c r="FX17">
        <v>1.5490699999999999</v>
      </c>
      <c r="FY17">
        <v>2.3278799999999999</v>
      </c>
      <c r="FZ17">
        <v>1.50146</v>
      </c>
      <c r="GA17">
        <v>2.4194300000000002</v>
      </c>
      <c r="GB17">
        <v>33.805700000000002</v>
      </c>
      <c r="GC17">
        <v>24.017499999999998</v>
      </c>
      <c r="GD17">
        <v>19</v>
      </c>
      <c r="GE17">
        <v>281.50799999999998</v>
      </c>
      <c r="GF17">
        <v>597.23800000000006</v>
      </c>
      <c r="GG17">
        <v>28.583200000000001</v>
      </c>
      <c r="GH17">
        <v>26.3109</v>
      </c>
      <c r="GI17">
        <v>30.000499999999999</v>
      </c>
      <c r="GJ17">
        <v>26.363700000000001</v>
      </c>
      <c r="GK17">
        <v>26.330200000000001</v>
      </c>
      <c r="GL17">
        <v>35.808599999999998</v>
      </c>
      <c r="GM17">
        <v>37.2348</v>
      </c>
      <c r="GN17">
        <v>85.759200000000007</v>
      </c>
      <c r="GO17">
        <v>28.573499999999999</v>
      </c>
      <c r="GP17">
        <v>800</v>
      </c>
      <c r="GQ17">
        <v>18.137799999999999</v>
      </c>
      <c r="GR17">
        <v>99.733199999999997</v>
      </c>
      <c r="GS17">
        <v>99.560500000000005</v>
      </c>
    </row>
    <row r="18" spans="1:201" x14ac:dyDescent="0.25">
      <c r="A18">
        <v>2</v>
      </c>
      <c r="B18">
        <v>1690220883.5</v>
      </c>
      <c r="C18">
        <v>1</v>
      </c>
      <c r="D18" t="s">
        <v>337</v>
      </c>
      <c r="E18" t="s">
        <v>338</v>
      </c>
      <c r="F18" t="s">
        <v>330</v>
      </c>
      <c r="H18">
        <v>1690220883.5</v>
      </c>
      <c r="I18">
        <f t="shared" si="0"/>
        <v>2.515766454211326E-4</v>
      </c>
      <c r="J18">
        <f t="shared" si="1"/>
        <v>0.25157664542113262</v>
      </c>
      <c r="K18">
        <f t="shared" si="2"/>
        <v>-0.93030338282086333</v>
      </c>
      <c r="L18">
        <f t="shared" si="3"/>
        <v>807.53800000000001</v>
      </c>
      <c r="M18">
        <f t="shared" si="4"/>
        <v>878.26094285388285</v>
      </c>
      <c r="N18">
        <f t="shared" si="5"/>
        <v>87.090704265760976</v>
      </c>
      <c r="O18">
        <f t="shared" si="6"/>
        <v>80.077628082642406</v>
      </c>
      <c r="P18">
        <f t="shared" si="7"/>
        <v>1.6306695744607882E-2</v>
      </c>
      <c r="Q18">
        <f t="shared" si="8"/>
        <v>2.1959990873471869</v>
      </c>
      <c r="R18">
        <f t="shared" si="9"/>
        <v>1.6239723161828042E-2</v>
      </c>
      <c r="S18">
        <f t="shared" si="10"/>
        <v>1.0155821186004192E-2</v>
      </c>
      <c r="T18">
        <f t="shared" si="11"/>
        <v>0</v>
      </c>
      <c r="U18">
        <f t="shared" si="12"/>
        <v>26.80986622663287</v>
      </c>
      <c r="V18">
        <f t="shared" si="13"/>
        <v>26.80986622663287</v>
      </c>
      <c r="W18">
        <f t="shared" si="14"/>
        <v>3.5393853920854133</v>
      </c>
      <c r="X18">
        <f t="shared" si="15"/>
        <v>57.530817719774433</v>
      </c>
      <c r="Y18">
        <f t="shared" si="16"/>
        <v>2.04647961745248</v>
      </c>
      <c r="Z18">
        <f t="shared" si="17"/>
        <v>3.557188474915534</v>
      </c>
      <c r="AA18">
        <f t="shared" si="18"/>
        <v>1.4929057746329333</v>
      </c>
      <c r="AB18">
        <f t="shared" si="19"/>
        <v>-11.094530063071948</v>
      </c>
      <c r="AC18">
        <f t="shared" si="20"/>
        <v>10.102725401259562</v>
      </c>
      <c r="AD18">
        <f t="shared" si="21"/>
        <v>0.99138142205773094</v>
      </c>
      <c r="AE18">
        <f t="shared" si="22"/>
        <v>-4.232397546548583E-4</v>
      </c>
      <c r="AF18">
        <v>0</v>
      </c>
      <c r="AG18">
        <v>0</v>
      </c>
      <c r="AH18">
        <f t="shared" si="23"/>
        <v>1</v>
      </c>
      <c r="AI18">
        <f t="shared" si="24"/>
        <v>0</v>
      </c>
      <c r="AJ18">
        <f t="shared" si="25"/>
        <v>52481.257626743885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31.2</v>
      </c>
      <c r="AP18">
        <v>0.5</v>
      </c>
      <c r="AQ18" t="s">
        <v>331</v>
      </c>
      <c r="AR18">
        <v>2</v>
      </c>
      <c r="AS18">
        <v>1690220883.5</v>
      </c>
      <c r="AT18">
        <v>807.53800000000001</v>
      </c>
      <c r="AU18">
        <v>799.98099999999999</v>
      </c>
      <c r="AV18">
        <v>20.637599999999999</v>
      </c>
      <c r="AW18">
        <v>18.077000000000002</v>
      </c>
      <c r="AX18">
        <v>808.03599999999994</v>
      </c>
      <c r="AY18">
        <v>20.4466</v>
      </c>
      <c r="AZ18">
        <v>300.21100000000001</v>
      </c>
      <c r="BA18">
        <v>99.062700000000007</v>
      </c>
      <c r="BB18">
        <v>9.9974800000000003E-2</v>
      </c>
      <c r="BC18">
        <v>26.895199999999999</v>
      </c>
      <c r="BD18">
        <v>27.0032</v>
      </c>
      <c r="BE18">
        <v>26.915299999999998</v>
      </c>
      <c r="BF18">
        <v>0</v>
      </c>
      <c r="BG18">
        <v>0</v>
      </c>
      <c r="BH18">
        <v>10016.200000000001</v>
      </c>
      <c r="BI18">
        <v>0.71269899999999997</v>
      </c>
      <c r="BJ18">
        <v>1.1213200000000001</v>
      </c>
      <c r="BK18">
        <v>7.5565800000000003</v>
      </c>
      <c r="BL18">
        <v>824.55499999999995</v>
      </c>
      <c r="BM18">
        <v>814.70899999999995</v>
      </c>
      <c r="BN18">
        <v>2.5606</v>
      </c>
      <c r="BO18">
        <v>799.98099999999999</v>
      </c>
      <c r="BP18">
        <v>18.077000000000002</v>
      </c>
      <c r="BQ18">
        <v>2.0444100000000001</v>
      </c>
      <c r="BR18">
        <v>1.7907500000000001</v>
      </c>
      <c r="BS18">
        <v>17.7926</v>
      </c>
      <c r="BT18">
        <v>15.706300000000001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1690220522.5999999</v>
      </c>
      <c r="CC18" t="s">
        <v>332</v>
      </c>
      <c r="CD18">
        <v>1690220522.5999999</v>
      </c>
      <c r="CE18">
        <v>1690220510.5999999</v>
      </c>
      <c r="CF18">
        <v>10</v>
      </c>
      <c r="CG18">
        <v>-0.22</v>
      </c>
      <c r="CH18">
        <v>-2.7E-2</v>
      </c>
      <c r="CI18">
        <v>-0.49299999999999999</v>
      </c>
      <c r="CJ18">
        <v>0.152</v>
      </c>
      <c r="CK18">
        <v>800</v>
      </c>
      <c r="CL18">
        <v>19</v>
      </c>
      <c r="CM18">
        <v>0.1</v>
      </c>
      <c r="CN18">
        <v>0.03</v>
      </c>
      <c r="CO18">
        <v>7.5588187804878046</v>
      </c>
      <c r="CP18">
        <v>0.25345317073170581</v>
      </c>
      <c r="CQ18">
        <v>4.7386873771434468E-2</v>
      </c>
      <c r="CR18">
        <v>-1</v>
      </c>
      <c r="CS18">
        <v>2.5968663414634152</v>
      </c>
      <c r="CT18">
        <v>-0.23184104529616331</v>
      </c>
      <c r="CU18">
        <v>2.397018552143856E-2</v>
      </c>
      <c r="CV18">
        <v>-1</v>
      </c>
      <c r="CW18">
        <v>0</v>
      </c>
      <c r="CX18">
        <v>0</v>
      </c>
      <c r="CY18" t="s">
        <v>333</v>
      </c>
      <c r="CZ18">
        <v>2.3644099999999999</v>
      </c>
      <c r="DA18">
        <v>2.7137799999999999</v>
      </c>
      <c r="DB18">
        <v>0.147644</v>
      </c>
      <c r="DC18">
        <v>0.14630799999999999</v>
      </c>
      <c r="DD18">
        <v>0.102256</v>
      </c>
      <c r="DE18">
        <v>9.1812400000000002E-2</v>
      </c>
      <c r="DF18">
        <v>31121.5</v>
      </c>
      <c r="DG18">
        <v>27511.1</v>
      </c>
      <c r="DH18">
        <v>31170.6</v>
      </c>
      <c r="DI18">
        <v>28080.2</v>
      </c>
      <c r="DJ18">
        <v>37997</v>
      </c>
      <c r="DK18">
        <v>36260.300000000003</v>
      </c>
      <c r="DL18">
        <v>44359.1</v>
      </c>
      <c r="DM18">
        <v>42558.400000000001</v>
      </c>
      <c r="DN18">
        <v>1.47285</v>
      </c>
      <c r="DO18">
        <v>2.05335</v>
      </c>
      <c r="DP18">
        <v>8.3237900000000004E-2</v>
      </c>
      <c r="DQ18">
        <v>7.4036400000000002E-2</v>
      </c>
      <c r="DR18">
        <v>25.6404</v>
      </c>
      <c r="DS18">
        <v>25.703199999999999</v>
      </c>
      <c r="DT18">
        <v>56.6</v>
      </c>
      <c r="DU18">
        <v>29.6</v>
      </c>
      <c r="DV18">
        <v>23.789200000000001</v>
      </c>
      <c r="DW18">
        <v>61.614100000000001</v>
      </c>
      <c r="DX18">
        <v>35.360599999999998</v>
      </c>
      <c r="DY18">
        <v>1</v>
      </c>
      <c r="DZ18">
        <v>-8.67835E-2</v>
      </c>
      <c r="EA18">
        <v>-1.56552</v>
      </c>
      <c r="EB18">
        <v>20.296299999999999</v>
      </c>
      <c r="EC18">
        <v>5.2413999999999996</v>
      </c>
      <c r="ED18">
        <v>12.039899999999999</v>
      </c>
      <c r="EE18">
        <v>5.0172499999999998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1.8689100000000001</v>
      </c>
      <c r="EL18">
        <v>1.8646199999999999</v>
      </c>
      <c r="EM18">
        <v>1.8691500000000001</v>
      </c>
      <c r="EN18">
        <v>1.8672200000000001</v>
      </c>
      <c r="EO18">
        <v>1.8633999999999999</v>
      </c>
      <c r="EP18">
        <v>1.8645099999999999</v>
      </c>
      <c r="EQ18">
        <v>1.8701399999999999</v>
      </c>
      <c r="ER18">
        <v>1.86941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-0.498</v>
      </c>
      <c r="FG18">
        <v>0.191</v>
      </c>
      <c r="FH18">
        <v>5.8509882529719233E-2</v>
      </c>
      <c r="FI18">
        <v>-6.1462078757559423E-4</v>
      </c>
      <c r="FJ18">
        <v>-1.8861989874597051E-7</v>
      </c>
      <c r="FK18">
        <v>1.1980462299894961E-10</v>
      </c>
      <c r="FL18">
        <v>-5.9863424041980147E-2</v>
      </c>
      <c r="FM18">
        <v>-1.6848085045870601E-2</v>
      </c>
      <c r="FN18">
        <v>1.9789084769509481E-3</v>
      </c>
      <c r="FO18">
        <v>-2.7142391389806329E-5</v>
      </c>
      <c r="FP18">
        <v>3</v>
      </c>
      <c r="FQ18">
        <v>2158</v>
      </c>
      <c r="FR18">
        <v>1</v>
      </c>
      <c r="FS18">
        <v>19</v>
      </c>
      <c r="FT18">
        <v>6</v>
      </c>
      <c r="FU18">
        <v>6.2</v>
      </c>
      <c r="FV18">
        <v>1.79077</v>
      </c>
      <c r="FW18">
        <v>2.5866699999999998</v>
      </c>
      <c r="FX18">
        <v>1.5490699999999999</v>
      </c>
      <c r="FY18">
        <v>2.3278799999999999</v>
      </c>
      <c r="FZ18">
        <v>1.50146</v>
      </c>
      <c r="GA18">
        <v>2.3022499999999999</v>
      </c>
      <c r="GB18">
        <v>33.805700000000002</v>
      </c>
      <c r="GC18">
        <v>24.017499999999998</v>
      </c>
      <c r="GD18">
        <v>19</v>
      </c>
      <c r="GE18">
        <v>281.50799999999998</v>
      </c>
      <c r="GF18">
        <v>597.21699999999998</v>
      </c>
      <c r="GG18">
        <v>28.584800000000001</v>
      </c>
      <c r="GH18">
        <v>26.3109</v>
      </c>
      <c r="GI18">
        <v>30.000399999999999</v>
      </c>
      <c r="GJ18">
        <v>26.363700000000001</v>
      </c>
      <c r="GK18">
        <v>26.330200000000001</v>
      </c>
      <c r="GL18">
        <v>35.807499999999997</v>
      </c>
      <c r="GM18">
        <v>37.2348</v>
      </c>
      <c r="GN18">
        <v>85.759200000000007</v>
      </c>
      <c r="GO18">
        <v>28.573499999999999</v>
      </c>
      <c r="GP18">
        <v>800</v>
      </c>
      <c r="GQ18">
        <v>18.137499999999999</v>
      </c>
      <c r="GR18">
        <v>99.733199999999997</v>
      </c>
      <c r="GS18">
        <v>99.560299999999998</v>
      </c>
    </row>
    <row r="19" spans="1:201" x14ac:dyDescent="0.25">
      <c r="A19">
        <v>3</v>
      </c>
      <c r="B19">
        <v>1690220884</v>
      </c>
      <c r="C19">
        <v>1.5</v>
      </c>
      <c r="D19" t="s">
        <v>339</v>
      </c>
      <c r="E19" t="s">
        <v>340</v>
      </c>
      <c r="F19" t="s">
        <v>330</v>
      </c>
      <c r="H19">
        <v>1690220884</v>
      </c>
      <c r="I19">
        <f t="shared" si="0"/>
        <v>2.5157646532087059E-4</v>
      </c>
      <c r="J19">
        <f t="shared" si="1"/>
        <v>0.25157646532087058</v>
      </c>
      <c r="K19">
        <f t="shared" si="2"/>
        <v>-0.9318141572026456</v>
      </c>
      <c r="L19">
        <f t="shared" si="3"/>
        <v>807.54</v>
      </c>
      <c r="M19">
        <f t="shared" si="4"/>
        <v>878.41768283324461</v>
      </c>
      <c r="N19">
        <f t="shared" si="5"/>
        <v>87.106753165631417</v>
      </c>
      <c r="O19">
        <f t="shared" si="6"/>
        <v>80.078291712539993</v>
      </c>
      <c r="P19">
        <f t="shared" si="7"/>
        <v>1.6304876179649985E-2</v>
      </c>
      <c r="Q19">
        <f t="shared" si="8"/>
        <v>2.195552407804652</v>
      </c>
      <c r="R19">
        <f t="shared" si="9"/>
        <v>1.6237904947071786E-2</v>
      </c>
      <c r="S19">
        <f t="shared" si="10"/>
        <v>1.0154684678844748E-2</v>
      </c>
      <c r="T19">
        <f t="shared" si="11"/>
        <v>0</v>
      </c>
      <c r="U19">
        <f t="shared" si="12"/>
        <v>26.81085055541757</v>
      </c>
      <c r="V19">
        <f t="shared" si="13"/>
        <v>26.81085055541757</v>
      </c>
      <c r="W19">
        <f t="shared" si="14"/>
        <v>3.5395903071235719</v>
      </c>
      <c r="X19">
        <f t="shared" si="15"/>
        <v>57.528328036471244</v>
      </c>
      <c r="Y19">
        <f t="shared" si="16"/>
        <v>2.0465113414878</v>
      </c>
      <c r="Z19">
        <f t="shared" si="17"/>
        <v>3.5573975662744322</v>
      </c>
      <c r="AA19">
        <f t="shared" si="18"/>
        <v>1.4930789656357719</v>
      </c>
      <c r="AB19">
        <f t="shared" si="19"/>
        <v>-11.094522120650392</v>
      </c>
      <c r="AC19">
        <f t="shared" si="20"/>
        <v>10.102525394405129</v>
      </c>
      <c r="AD19">
        <f t="shared" si="21"/>
        <v>0.99157332821532174</v>
      </c>
      <c r="AE19">
        <f t="shared" si="22"/>
        <v>-4.233980299410689E-4</v>
      </c>
      <c r="AF19">
        <v>0</v>
      </c>
      <c r="AG19">
        <v>0</v>
      </c>
      <c r="AH19">
        <f t="shared" si="23"/>
        <v>1</v>
      </c>
      <c r="AI19">
        <f t="shared" si="24"/>
        <v>0</v>
      </c>
      <c r="AJ19">
        <f t="shared" si="25"/>
        <v>52462.812721421637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31.2</v>
      </c>
      <c r="AP19">
        <v>0.5</v>
      </c>
      <c r="AQ19" t="s">
        <v>331</v>
      </c>
      <c r="AR19">
        <v>2</v>
      </c>
      <c r="AS19">
        <v>1690220884</v>
      </c>
      <c r="AT19">
        <v>807.54</v>
      </c>
      <c r="AU19">
        <v>799.96699999999998</v>
      </c>
      <c r="AV19">
        <v>20.637799999999999</v>
      </c>
      <c r="AW19">
        <v>18.077100000000002</v>
      </c>
      <c r="AX19">
        <v>808.03800000000001</v>
      </c>
      <c r="AY19">
        <v>20.4468</v>
      </c>
      <c r="AZ19">
        <v>300.19900000000001</v>
      </c>
      <c r="BA19">
        <v>99.063299999999998</v>
      </c>
      <c r="BB19">
        <v>9.9950999999999998E-2</v>
      </c>
      <c r="BC19">
        <v>26.8962</v>
      </c>
      <c r="BD19">
        <v>27.002600000000001</v>
      </c>
      <c r="BE19">
        <v>26.9162</v>
      </c>
      <c r="BF19">
        <v>0</v>
      </c>
      <c r="BG19">
        <v>0</v>
      </c>
      <c r="BH19">
        <v>10012.5</v>
      </c>
      <c r="BI19">
        <v>0.70057700000000001</v>
      </c>
      <c r="BJ19">
        <v>1.1213200000000001</v>
      </c>
      <c r="BK19">
        <v>7.5730000000000004</v>
      </c>
      <c r="BL19">
        <v>824.55700000000002</v>
      </c>
      <c r="BM19">
        <v>814.69399999999996</v>
      </c>
      <c r="BN19">
        <v>2.5607199999999999</v>
      </c>
      <c r="BO19">
        <v>799.96699999999998</v>
      </c>
      <c r="BP19">
        <v>18.077100000000002</v>
      </c>
      <c r="BQ19">
        <v>2.0444499999999999</v>
      </c>
      <c r="BR19">
        <v>1.79077</v>
      </c>
      <c r="BS19">
        <v>17.7928</v>
      </c>
      <c r="BT19">
        <v>15.7065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1690220522.5999999</v>
      </c>
      <c r="CC19" t="s">
        <v>332</v>
      </c>
      <c r="CD19">
        <v>1690220522.5999999</v>
      </c>
      <c r="CE19">
        <v>1690220510.5999999</v>
      </c>
      <c r="CF19">
        <v>10</v>
      </c>
      <c r="CG19">
        <v>-0.22</v>
      </c>
      <c r="CH19">
        <v>-2.7E-2</v>
      </c>
      <c r="CI19">
        <v>-0.49299999999999999</v>
      </c>
      <c r="CJ19">
        <v>0.152</v>
      </c>
      <c r="CK19">
        <v>800</v>
      </c>
      <c r="CL19">
        <v>19</v>
      </c>
      <c r="CM19">
        <v>0.1</v>
      </c>
      <c r="CN19">
        <v>0.03</v>
      </c>
      <c r="CO19">
        <v>7.5588187804878046</v>
      </c>
      <c r="CP19">
        <v>0.25345317073170581</v>
      </c>
      <c r="CQ19">
        <v>4.7386873771434468E-2</v>
      </c>
      <c r="CR19">
        <v>-1</v>
      </c>
      <c r="CS19">
        <v>2.5968663414634152</v>
      </c>
      <c r="CT19">
        <v>-0.23184104529616331</v>
      </c>
      <c r="CU19">
        <v>2.397018552143856E-2</v>
      </c>
      <c r="CV19">
        <v>-1</v>
      </c>
      <c r="CW19">
        <v>0</v>
      </c>
      <c r="CX19">
        <v>0</v>
      </c>
      <c r="CY19" t="s">
        <v>333</v>
      </c>
      <c r="CZ19">
        <v>2.3643700000000001</v>
      </c>
      <c r="DA19">
        <v>2.7137500000000001</v>
      </c>
      <c r="DB19">
        <v>0.147645</v>
      </c>
      <c r="DC19">
        <v>0.14630699999999999</v>
      </c>
      <c r="DD19">
        <v>0.102257</v>
      </c>
      <c r="DE19">
        <v>9.18133E-2</v>
      </c>
      <c r="DF19">
        <v>31121.5</v>
      </c>
      <c r="DG19">
        <v>27511</v>
      </c>
      <c r="DH19">
        <v>31170.7</v>
      </c>
      <c r="DI19">
        <v>28080.2</v>
      </c>
      <c r="DJ19">
        <v>37996.9</v>
      </c>
      <c r="DK19">
        <v>36260.199999999997</v>
      </c>
      <c r="DL19">
        <v>44359.1</v>
      </c>
      <c r="DM19">
        <v>42558.3</v>
      </c>
      <c r="DN19">
        <v>1.4728699999999999</v>
      </c>
      <c r="DO19">
        <v>2.0533199999999998</v>
      </c>
      <c r="DP19">
        <v>8.32006E-2</v>
      </c>
      <c r="DQ19">
        <v>7.4088600000000004E-2</v>
      </c>
      <c r="DR19">
        <v>25.6404</v>
      </c>
      <c r="DS19">
        <v>25.703199999999999</v>
      </c>
      <c r="DT19">
        <v>56.6</v>
      </c>
      <c r="DU19">
        <v>29.6</v>
      </c>
      <c r="DV19">
        <v>23.7866</v>
      </c>
      <c r="DW19">
        <v>61.694099999999999</v>
      </c>
      <c r="DX19">
        <v>36.093800000000002</v>
      </c>
      <c r="DY19">
        <v>1</v>
      </c>
      <c r="DZ19">
        <v>-8.6864800000000006E-2</v>
      </c>
      <c r="EA19">
        <v>-1.55304</v>
      </c>
      <c r="EB19">
        <v>20.296399999999998</v>
      </c>
      <c r="EC19">
        <v>5.24125</v>
      </c>
      <c r="ED19">
        <v>12.039899999999999</v>
      </c>
      <c r="EE19">
        <v>5.0170500000000002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1.8689100000000001</v>
      </c>
      <c r="EL19">
        <v>1.8646199999999999</v>
      </c>
      <c r="EM19">
        <v>1.8691500000000001</v>
      </c>
      <c r="EN19">
        <v>1.8672200000000001</v>
      </c>
      <c r="EO19">
        <v>1.8633999999999999</v>
      </c>
      <c r="EP19">
        <v>1.8645</v>
      </c>
      <c r="EQ19">
        <v>1.8701399999999999</v>
      </c>
      <c r="ER19">
        <v>1.8694200000000001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-0.498</v>
      </c>
      <c r="FG19">
        <v>0.191</v>
      </c>
      <c r="FH19">
        <v>5.8509882529719233E-2</v>
      </c>
      <c r="FI19">
        <v>-6.1462078757559423E-4</v>
      </c>
      <c r="FJ19">
        <v>-1.8861989874597051E-7</v>
      </c>
      <c r="FK19">
        <v>1.1980462299894961E-10</v>
      </c>
      <c r="FL19">
        <v>-5.9863424041980147E-2</v>
      </c>
      <c r="FM19">
        <v>-1.6848085045870601E-2</v>
      </c>
      <c r="FN19">
        <v>1.9789084769509481E-3</v>
      </c>
      <c r="FO19">
        <v>-2.7142391389806329E-5</v>
      </c>
      <c r="FP19">
        <v>3</v>
      </c>
      <c r="FQ19">
        <v>2158</v>
      </c>
      <c r="FR19">
        <v>1</v>
      </c>
      <c r="FS19">
        <v>19</v>
      </c>
      <c r="FT19">
        <v>6</v>
      </c>
      <c r="FU19">
        <v>6.2</v>
      </c>
      <c r="FV19">
        <v>1.79077</v>
      </c>
      <c r="FW19">
        <v>2.5817899999999998</v>
      </c>
      <c r="FX19">
        <v>1.5490699999999999</v>
      </c>
      <c r="FY19">
        <v>2.3278799999999999</v>
      </c>
      <c r="FZ19">
        <v>1.50146</v>
      </c>
      <c r="GA19">
        <v>2.3559600000000001</v>
      </c>
      <c r="GB19">
        <v>33.805700000000002</v>
      </c>
      <c r="GC19">
        <v>24.017499999999998</v>
      </c>
      <c r="GD19">
        <v>19</v>
      </c>
      <c r="GE19">
        <v>281.51900000000001</v>
      </c>
      <c r="GF19">
        <v>597.19600000000003</v>
      </c>
      <c r="GG19">
        <v>28.584700000000002</v>
      </c>
      <c r="GH19">
        <v>26.3109</v>
      </c>
      <c r="GI19">
        <v>30.000299999999999</v>
      </c>
      <c r="GJ19">
        <v>26.363700000000001</v>
      </c>
      <c r="GK19">
        <v>26.330200000000001</v>
      </c>
      <c r="GL19">
        <v>35.806899999999999</v>
      </c>
      <c r="GM19">
        <v>37.2348</v>
      </c>
      <c r="GN19">
        <v>85.382900000000006</v>
      </c>
      <c r="GO19">
        <v>28.573499999999999</v>
      </c>
      <c r="GP19">
        <v>800</v>
      </c>
      <c r="GQ19">
        <v>18.138300000000001</v>
      </c>
      <c r="GR19">
        <v>99.733199999999997</v>
      </c>
      <c r="GS19">
        <v>99.560100000000006</v>
      </c>
    </row>
    <row r="20" spans="1:201" x14ac:dyDescent="0.25">
      <c r="A20">
        <v>4</v>
      </c>
      <c r="B20">
        <v>1690220884.5</v>
      </c>
      <c r="C20">
        <v>2</v>
      </c>
      <c r="D20" t="s">
        <v>339</v>
      </c>
      <c r="E20" t="s">
        <v>340</v>
      </c>
      <c r="F20" t="s">
        <v>330</v>
      </c>
      <c r="H20">
        <v>1690220884.5</v>
      </c>
      <c r="I20">
        <f t="shared" si="0"/>
        <v>2.516248267995097E-4</v>
      </c>
      <c r="J20">
        <f t="shared" si="1"/>
        <v>0.2516248267995097</v>
      </c>
      <c r="K20">
        <f t="shared" si="2"/>
        <v>-0.93146868242986136</v>
      </c>
      <c r="L20">
        <f t="shared" si="3"/>
        <v>807.55100000000004</v>
      </c>
      <c r="M20">
        <f t="shared" si="4"/>
        <v>878.38722654043772</v>
      </c>
      <c r="N20">
        <f t="shared" si="5"/>
        <v>87.103628492543322</v>
      </c>
      <c r="O20">
        <f t="shared" si="6"/>
        <v>80.079286409732006</v>
      </c>
      <c r="P20">
        <f t="shared" si="7"/>
        <v>1.6305695951360517E-2</v>
      </c>
      <c r="Q20">
        <f t="shared" si="8"/>
        <v>2.1965438992157185</v>
      </c>
      <c r="R20">
        <f t="shared" si="9"/>
        <v>1.6238748098201684E-2</v>
      </c>
      <c r="S20">
        <f t="shared" si="10"/>
        <v>1.0155209564914534E-2</v>
      </c>
      <c r="T20">
        <f t="shared" si="11"/>
        <v>0</v>
      </c>
      <c r="U20">
        <f t="shared" si="12"/>
        <v>26.811969321389761</v>
      </c>
      <c r="V20">
        <f t="shared" si="13"/>
        <v>26.811969321389761</v>
      </c>
      <c r="W20">
        <f t="shared" si="14"/>
        <v>3.5398232215256402</v>
      </c>
      <c r="X20">
        <f t="shared" si="15"/>
        <v>57.525375801467348</v>
      </c>
      <c r="Y20">
        <f t="shared" si="16"/>
        <v>2.0465386345292003</v>
      </c>
      <c r="Z20">
        <f t="shared" si="17"/>
        <v>3.5576275791613301</v>
      </c>
      <c r="AA20">
        <f t="shared" si="18"/>
        <v>1.49328458699644</v>
      </c>
      <c r="AB20">
        <f t="shared" si="19"/>
        <v>-11.096654861858378</v>
      </c>
      <c r="AC20">
        <f t="shared" si="20"/>
        <v>10.10486533475861</v>
      </c>
      <c r="AD20">
        <f t="shared" si="21"/>
        <v>0.99136631211287107</v>
      </c>
      <c r="AE20">
        <f t="shared" si="22"/>
        <v>-4.2321498689545933E-4</v>
      </c>
      <c r="AF20">
        <v>0</v>
      </c>
      <c r="AG20">
        <v>0</v>
      </c>
      <c r="AH20">
        <f t="shared" si="23"/>
        <v>1</v>
      </c>
      <c r="AI20">
        <f t="shared" si="24"/>
        <v>0</v>
      </c>
      <c r="AJ20">
        <f t="shared" si="25"/>
        <v>52503.203682566054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31.2</v>
      </c>
      <c r="AP20">
        <v>0.5</v>
      </c>
      <c r="AQ20" t="s">
        <v>331</v>
      </c>
      <c r="AR20">
        <v>2</v>
      </c>
      <c r="AS20">
        <v>1690220884.5</v>
      </c>
      <c r="AT20">
        <v>807.55100000000004</v>
      </c>
      <c r="AU20">
        <v>799.98199999999997</v>
      </c>
      <c r="AV20">
        <v>20.638100000000001</v>
      </c>
      <c r="AW20">
        <v>18.076899999999998</v>
      </c>
      <c r="AX20">
        <v>808.04899999999998</v>
      </c>
      <c r="AY20">
        <v>20.447099999999999</v>
      </c>
      <c r="AZ20">
        <v>300.19799999999998</v>
      </c>
      <c r="BA20">
        <v>99.063100000000006</v>
      </c>
      <c r="BB20">
        <v>0.100032</v>
      </c>
      <c r="BC20">
        <v>26.897300000000001</v>
      </c>
      <c r="BD20">
        <v>27.0001</v>
      </c>
      <c r="BE20">
        <v>26.917400000000001</v>
      </c>
      <c r="BF20">
        <v>0</v>
      </c>
      <c r="BG20">
        <v>0</v>
      </c>
      <c r="BH20">
        <v>10020.6</v>
      </c>
      <c r="BI20">
        <v>0.68845500000000004</v>
      </c>
      <c r="BJ20">
        <v>1.1213200000000001</v>
      </c>
      <c r="BK20">
        <v>7.5697000000000001</v>
      </c>
      <c r="BL20">
        <v>824.56899999999996</v>
      </c>
      <c r="BM20">
        <v>814.70899999999995</v>
      </c>
      <c r="BN20">
        <v>2.5611799999999998</v>
      </c>
      <c r="BO20">
        <v>799.98199999999997</v>
      </c>
      <c r="BP20">
        <v>18.076899999999998</v>
      </c>
      <c r="BQ20">
        <v>2.04447</v>
      </c>
      <c r="BR20">
        <v>1.7907500000000001</v>
      </c>
      <c r="BS20">
        <v>17.792999999999999</v>
      </c>
      <c r="BT20">
        <v>15.706300000000001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1690220522.5999999</v>
      </c>
      <c r="CC20" t="s">
        <v>332</v>
      </c>
      <c r="CD20">
        <v>1690220522.5999999</v>
      </c>
      <c r="CE20">
        <v>1690220510.5999999</v>
      </c>
      <c r="CF20">
        <v>10</v>
      </c>
      <c r="CG20">
        <v>-0.22</v>
      </c>
      <c r="CH20">
        <v>-2.7E-2</v>
      </c>
      <c r="CI20">
        <v>-0.49299999999999999</v>
      </c>
      <c r="CJ20">
        <v>0.152</v>
      </c>
      <c r="CK20">
        <v>800</v>
      </c>
      <c r="CL20">
        <v>19</v>
      </c>
      <c r="CM20">
        <v>0.1</v>
      </c>
      <c r="CN20">
        <v>0.03</v>
      </c>
      <c r="CO20">
        <v>7.5648697499999997</v>
      </c>
      <c r="CP20">
        <v>0.1624085178236033</v>
      </c>
      <c r="CQ20">
        <v>4.3858618565083649E-2</v>
      </c>
      <c r="CR20">
        <v>-1</v>
      </c>
      <c r="CS20">
        <v>2.5912790000000001</v>
      </c>
      <c r="CT20">
        <v>-0.2386939587242097</v>
      </c>
      <c r="CU20">
        <v>2.3900698922834841E-2</v>
      </c>
      <c r="CV20">
        <v>-1</v>
      </c>
      <c r="CW20">
        <v>0</v>
      </c>
      <c r="CX20">
        <v>0</v>
      </c>
      <c r="CY20" t="s">
        <v>333</v>
      </c>
      <c r="CZ20">
        <v>2.3643700000000001</v>
      </c>
      <c r="DA20">
        <v>2.7138399999999998</v>
      </c>
      <c r="DB20">
        <v>0.147646</v>
      </c>
      <c r="DC20">
        <v>0.14630899999999999</v>
      </c>
      <c r="DD20">
        <v>0.102258</v>
      </c>
      <c r="DE20">
        <v>9.1812500000000005E-2</v>
      </c>
      <c r="DF20">
        <v>31121.5</v>
      </c>
      <c r="DG20">
        <v>27510.9</v>
      </c>
      <c r="DH20">
        <v>31170.7</v>
      </c>
      <c r="DI20">
        <v>28080.2</v>
      </c>
      <c r="DJ20">
        <v>37996.9</v>
      </c>
      <c r="DK20">
        <v>36260.199999999997</v>
      </c>
      <c r="DL20">
        <v>44359.1</v>
      </c>
      <c r="DM20">
        <v>42558.2</v>
      </c>
      <c r="DN20">
        <v>1.47298</v>
      </c>
      <c r="DO20">
        <v>2.0532699999999999</v>
      </c>
      <c r="DP20">
        <v>8.3051600000000003E-2</v>
      </c>
      <c r="DQ20">
        <v>7.4163099999999996E-2</v>
      </c>
      <c r="DR20">
        <v>25.6404</v>
      </c>
      <c r="DS20">
        <v>25.703199999999999</v>
      </c>
      <c r="DT20">
        <v>56.6</v>
      </c>
      <c r="DU20">
        <v>29.6</v>
      </c>
      <c r="DV20">
        <v>23.788499999999999</v>
      </c>
      <c r="DW20">
        <v>61.694099999999999</v>
      </c>
      <c r="DX20">
        <v>36.758800000000001</v>
      </c>
      <c r="DY20">
        <v>1</v>
      </c>
      <c r="DZ20">
        <v>-8.6923299999999995E-2</v>
      </c>
      <c r="EA20">
        <v>-1.55033</v>
      </c>
      <c r="EB20">
        <v>20.296399999999998</v>
      </c>
      <c r="EC20">
        <v>5.24125</v>
      </c>
      <c r="ED20">
        <v>12.039899999999999</v>
      </c>
      <c r="EE20">
        <v>5.0171000000000001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1.8689100000000001</v>
      </c>
      <c r="EL20">
        <v>1.8646199999999999</v>
      </c>
      <c r="EM20">
        <v>1.8691500000000001</v>
      </c>
      <c r="EN20">
        <v>1.8672200000000001</v>
      </c>
      <c r="EO20">
        <v>1.8633999999999999</v>
      </c>
      <c r="EP20">
        <v>1.8645</v>
      </c>
      <c r="EQ20">
        <v>1.8701399999999999</v>
      </c>
      <c r="ER20">
        <v>1.86941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-0.498</v>
      </c>
      <c r="FG20">
        <v>0.191</v>
      </c>
      <c r="FH20">
        <v>5.8509882529719233E-2</v>
      </c>
      <c r="FI20">
        <v>-6.1462078757559423E-4</v>
      </c>
      <c r="FJ20">
        <v>-1.8861989874597051E-7</v>
      </c>
      <c r="FK20">
        <v>1.1980462299894961E-10</v>
      </c>
      <c r="FL20">
        <v>-5.9863424041980147E-2</v>
      </c>
      <c r="FM20">
        <v>-1.6848085045870601E-2</v>
      </c>
      <c r="FN20">
        <v>1.9789084769509481E-3</v>
      </c>
      <c r="FO20">
        <v>-2.7142391389806329E-5</v>
      </c>
      <c r="FP20">
        <v>3</v>
      </c>
      <c r="FQ20">
        <v>2158</v>
      </c>
      <c r="FR20">
        <v>1</v>
      </c>
      <c r="FS20">
        <v>19</v>
      </c>
      <c r="FT20">
        <v>6</v>
      </c>
      <c r="FU20">
        <v>6.2</v>
      </c>
      <c r="FV20">
        <v>1.79077</v>
      </c>
      <c r="FW20">
        <v>2.5842299999999998</v>
      </c>
      <c r="FX20">
        <v>1.5490699999999999</v>
      </c>
      <c r="FY20">
        <v>2.3278799999999999</v>
      </c>
      <c r="FZ20">
        <v>1.50146</v>
      </c>
      <c r="GA20">
        <v>2.4169900000000002</v>
      </c>
      <c r="GB20">
        <v>33.805700000000002</v>
      </c>
      <c r="GC20">
        <v>24.026199999999999</v>
      </c>
      <c r="GD20">
        <v>19</v>
      </c>
      <c r="GE20">
        <v>281.56099999999998</v>
      </c>
      <c r="GF20">
        <v>597.154</v>
      </c>
      <c r="GG20">
        <v>28.584099999999999</v>
      </c>
      <c r="GH20">
        <v>26.3109</v>
      </c>
      <c r="GI20">
        <v>30.0002</v>
      </c>
      <c r="GJ20">
        <v>26.363700000000001</v>
      </c>
      <c r="GK20">
        <v>26.330200000000001</v>
      </c>
      <c r="GL20">
        <v>35.808199999999999</v>
      </c>
      <c r="GM20">
        <v>37.2348</v>
      </c>
      <c r="GN20">
        <v>85.382900000000006</v>
      </c>
      <c r="GO20">
        <v>28.573499999999999</v>
      </c>
      <c r="GP20">
        <v>800</v>
      </c>
      <c r="GQ20">
        <v>18.1374</v>
      </c>
      <c r="GR20">
        <v>99.7333</v>
      </c>
      <c r="GS20">
        <v>99.56</v>
      </c>
    </row>
    <row r="21" spans="1:201" x14ac:dyDescent="0.25">
      <c r="A21">
        <v>5</v>
      </c>
      <c r="B21">
        <v>1690220885.5</v>
      </c>
      <c r="C21">
        <v>3</v>
      </c>
      <c r="D21" t="s">
        <v>341</v>
      </c>
      <c r="E21" t="s">
        <v>342</v>
      </c>
      <c r="F21" t="s">
        <v>330</v>
      </c>
      <c r="H21">
        <v>1690220885.5</v>
      </c>
      <c r="I21">
        <f t="shared" si="0"/>
        <v>2.5170960541134733E-4</v>
      </c>
      <c r="J21">
        <f t="shared" si="1"/>
        <v>0.25170960541134735</v>
      </c>
      <c r="K21">
        <f t="shared" si="2"/>
        <v>-0.93197039772804746</v>
      </c>
      <c r="L21">
        <f t="shared" si="3"/>
        <v>807.56</v>
      </c>
      <c r="M21">
        <f t="shared" si="4"/>
        <v>878.42348174559777</v>
      </c>
      <c r="N21">
        <f t="shared" si="5"/>
        <v>87.107204346921705</v>
      </c>
      <c r="O21">
        <f t="shared" si="6"/>
        <v>80.080161111599992</v>
      </c>
      <c r="P21">
        <f t="shared" si="7"/>
        <v>1.6309054100820251E-2</v>
      </c>
      <c r="Q21">
        <f t="shared" si="8"/>
        <v>2.1966174989009533</v>
      </c>
      <c r="R21">
        <f t="shared" si="9"/>
        <v>1.624208096433236E-2</v>
      </c>
      <c r="S21">
        <f t="shared" si="10"/>
        <v>1.0157294865244783E-2</v>
      </c>
      <c r="T21">
        <f t="shared" si="11"/>
        <v>0</v>
      </c>
      <c r="U21">
        <f t="shared" si="12"/>
        <v>26.813043259754501</v>
      </c>
      <c r="V21">
        <f t="shared" si="13"/>
        <v>26.813043259754501</v>
      </c>
      <c r="W21">
        <f t="shared" si="14"/>
        <v>3.5400468159142076</v>
      </c>
      <c r="X21">
        <f t="shared" si="15"/>
        <v>57.522480003978281</v>
      </c>
      <c r="Y21">
        <f t="shared" si="16"/>
        <v>2.046567929424</v>
      </c>
      <c r="Z21">
        <f t="shared" si="17"/>
        <v>3.5578576050310389</v>
      </c>
      <c r="AA21">
        <f t="shared" si="18"/>
        <v>1.4934788864902075</v>
      </c>
      <c r="AB21">
        <f t="shared" si="19"/>
        <v>-11.100393598640418</v>
      </c>
      <c r="AC21">
        <f t="shared" si="20"/>
        <v>10.108290243093828</v>
      </c>
      <c r="AD21">
        <f t="shared" si="21"/>
        <v>0.99167987892208076</v>
      </c>
      <c r="AE21">
        <f t="shared" si="22"/>
        <v>-4.2347662450836765E-4</v>
      </c>
      <c r="AF21">
        <v>0</v>
      </c>
      <c r="AG21">
        <v>0</v>
      </c>
      <c r="AH21">
        <f t="shared" si="23"/>
        <v>1</v>
      </c>
      <c r="AI21">
        <f t="shared" si="24"/>
        <v>0</v>
      </c>
      <c r="AJ21">
        <f t="shared" si="25"/>
        <v>52506.02473475576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31.2</v>
      </c>
      <c r="AP21">
        <v>0.5</v>
      </c>
      <c r="AQ21" t="s">
        <v>331</v>
      </c>
      <c r="AR21">
        <v>2</v>
      </c>
      <c r="AS21">
        <v>1690220885.5</v>
      </c>
      <c r="AT21">
        <v>807.56</v>
      </c>
      <c r="AU21">
        <v>799.98699999999997</v>
      </c>
      <c r="AV21">
        <v>20.638400000000001</v>
      </c>
      <c r="AW21">
        <v>18.076499999999999</v>
      </c>
      <c r="AX21">
        <v>808.05799999999999</v>
      </c>
      <c r="AY21">
        <v>20.447500000000002</v>
      </c>
      <c r="AZ21">
        <v>300.21699999999998</v>
      </c>
      <c r="BA21">
        <v>99.063100000000006</v>
      </c>
      <c r="BB21">
        <v>0.10001</v>
      </c>
      <c r="BC21">
        <v>26.898399999999999</v>
      </c>
      <c r="BD21">
        <v>26.9985</v>
      </c>
      <c r="BE21">
        <v>26.918600000000001</v>
      </c>
      <c r="BF21">
        <v>0</v>
      </c>
      <c r="BG21">
        <v>0</v>
      </c>
      <c r="BH21">
        <v>10021.200000000001</v>
      </c>
      <c r="BI21">
        <v>0.68239399999999995</v>
      </c>
      <c r="BJ21">
        <v>1.1213200000000001</v>
      </c>
      <c r="BK21">
        <v>7.5728799999999996</v>
      </c>
      <c r="BL21">
        <v>824.57799999999997</v>
      </c>
      <c r="BM21">
        <v>814.71400000000006</v>
      </c>
      <c r="BN21">
        <v>2.5619100000000001</v>
      </c>
      <c r="BO21">
        <v>799.98699999999997</v>
      </c>
      <c r="BP21">
        <v>18.076499999999999</v>
      </c>
      <c r="BQ21">
        <v>2.0445099999999998</v>
      </c>
      <c r="BR21">
        <v>1.7907200000000001</v>
      </c>
      <c r="BS21">
        <v>17.793299999999999</v>
      </c>
      <c r="BT21">
        <v>15.706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1690220522.5999999</v>
      </c>
      <c r="CC21" t="s">
        <v>332</v>
      </c>
      <c r="CD21">
        <v>1690220522.5999999</v>
      </c>
      <c r="CE21">
        <v>1690220510.5999999</v>
      </c>
      <c r="CF21">
        <v>10</v>
      </c>
      <c r="CG21">
        <v>-0.22</v>
      </c>
      <c r="CH21">
        <v>-2.7E-2</v>
      </c>
      <c r="CI21">
        <v>-0.49299999999999999</v>
      </c>
      <c r="CJ21">
        <v>0.152</v>
      </c>
      <c r="CK21">
        <v>800</v>
      </c>
      <c r="CL21">
        <v>19</v>
      </c>
      <c r="CM21">
        <v>0.1</v>
      </c>
      <c r="CN21">
        <v>0.03</v>
      </c>
      <c r="CO21">
        <v>7.5648697499999997</v>
      </c>
      <c r="CP21">
        <v>0.1624085178236033</v>
      </c>
      <c r="CQ21">
        <v>4.3858618565083649E-2</v>
      </c>
      <c r="CR21">
        <v>-1</v>
      </c>
      <c r="CS21">
        <v>2.5912790000000001</v>
      </c>
      <c r="CT21">
        <v>-0.2386939587242097</v>
      </c>
      <c r="CU21">
        <v>2.3900698922834841E-2</v>
      </c>
      <c r="CV21">
        <v>-1</v>
      </c>
      <c r="CW21">
        <v>0</v>
      </c>
      <c r="CX21">
        <v>0</v>
      </c>
      <c r="CY21" t="s">
        <v>333</v>
      </c>
      <c r="CZ21">
        <v>2.3644400000000001</v>
      </c>
      <c r="DA21">
        <v>2.7138200000000001</v>
      </c>
      <c r="DB21">
        <v>0.147647</v>
      </c>
      <c r="DC21">
        <v>0.14630899999999999</v>
      </c>
      <c r="DD21">
        <v>0.102259</v>
      </c>
      <c r="DE21">
        <v>9.1811199999999996E-2</v>
      </c>
      <c r="DF21">
        <v>31121.599999999999</v>
      </c>
      <c r="DG21">
        <v>27510.799999999999</v>
      </c>
      <c r="DH21">
        <v>31170.799999999999</v>
      </c>
      <c r="DI21">
        <v>28080.1</v>
      </c>
      <c r="DJ21">
        <v>37997</v>
      </c>
      <c r="DK21">
        <v>36260.199999999997</v>
      </c>
      <c r="DL21">
        <v>44359.3</v>
      </c>
      <c r="DM21">
        <v>42558.2</v>
      </c>
      <c r="DN21">
        <v>1.4730799999999999</v>
      </c>
      <c r="DO21">
        <v>2.0532699999999999</v>
      </c>
      <c r="DP21">
        <v>8.2936099999999999E-2</v>
      </c>
      <c r="DQ21">
        <v>7.4233900000000005E-2</v>
      </c>
      <c r="DR21">
        <v>25.640699999999999</v>
      </c>
      <c r="DS21">
        <v>25.703199999999999</v>
      </c>
      <c r="DT21">
        <v>56.6</v>
      </c>
      <c r="DU21">
        <v>29.6</v>
      </c>
      <c r="DV21">
        <v>23.792100000000001</v>
      </c>
      <c r="DW21">
        <v>61.744100000000003</v>
      </c>
      <c r="DX21">
        <v>35.464700000000001</v>
      </c>
      <c r="DY21">
        <v>1</v>
      </c>
      <c r="DZ21">
        <v>-8.7093500000000004E-2</v>
      </c>
      <c r="EA21">
        <v>-1.5463899999999999</v>
      </c>
      <c r="EB21">
        <v>20.296399999999998</v>
      </c>
      <c r="EC21">
        <v>5.24125</v>
      </c>
      <c r="ED21">
        <v>12.039899999999999</v>
      </c>
      <c r="EE21">
        <v>5.0167999999999999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1.8689100000000001</v>
      </c>
      <c r="EL21">
        <v>1.8646199999999999</v>
      </c>
      <c r="EM21">
        <v>1.8691500000000001</v>
      </c>
      <c r="EN21">
        <v>1.8672200000000001</v>
      </c>
      <c r="EO21">
        <v>1.8633999999999999</v>
      </c>
      <c r="EP21">
        <v>1.8645</v>
      </c>
      <c r="EQ21">
        <v>1.8701399999999999</v>
      </c>
      <c r="ER21">
        <v>1.8694200000000001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-0.498</v>
      </c>
      <c r="FG21">
        <v>0.19089999999999999</v>
      </c>
      <c r="FH21">
        <v>5.8509882529719233E-2</v>
      </c>
      <c r="FI21">
        <v>-6.1462078757559423E-4</v>
      </c>
      <c r="FJ21">
        <v>-1.8861989874597051E-7</v>
      </c>
      <c r="FK21">
        <v>1.1980462299894961E-10</v>
      </c>
      <c r="FL21">
        <v>-5.9863424041980147E-2</v>
      </c>
      <c r="FM21">
        <v>-1.6848085045870601E-2</v>
      </c>
      <c r="FN21">
        <v>1.9789084769509481E-3</v>
      </c>
      <c r="FO21">
        <v>-2.7142391389806329E-5</v>
      </c>
      <c r="FP21">
        <v>3</v>
      </c>
      <c r="FQ21">
        <v>2158</v>
      </c>
      <c r="FR21">
        <v>1</v>
      </c>
      <c r="FS21">
        <v>19</v>
      </c>
      <c r="FT21">
        <v>6</v>
      </c>
      <c r="FU21">
        <v>6.2</v>
      </c>
      <c r="FV21">
        <v>1.79077</v>
      </c>
      <c r="FW21">
        <v>2.5903299999999998</v>
      </c>
      <c r="FX21">
        <v>1.5490699999999999</v>
      </c>
      <c r="FY21">
        <v>2.3278799999999999</v>
      </c>
      <c r="FZ21">
        <v>1.50146</v>
      </c>
      <c r="GA21">
        <v>2.2741699999999998</v>
      </c>
      <c r="GB21">
        <v>33.805700000000002</v>
      </c>
      <c r="GC21">
        <v>24.017499999999998</v>
      </c>
      <c r="GD21">
        <v>19</v>
      </c>
      <c r="GE21">
        <v>281.60399999999998</v>
      </c>
      <c r="GF21">
        <v>597.154</v>
      </c>
      <c r="GG21">
        <v>28.582599999999999</v>
      </c>
      <c r="GH21">
        <v>26.3109</v>
      </c>
      <c r="GI21">
        <v>30.0001</v>
      </c>
      <c r="GJ21">
        <v>26.363700000000001</v>
      </c>
      <c r="GK21">
        <v>26.330200000000001</v>
      </c>
      <c r="GL21">
        <v>35.807499999999997</v>
      </c>
      <c r="GM21">
        <v>37.2348</v>
      </c>
      <c r="GN21">
        <v>85.382900000000006</v>
      </c>
      <c r="GO21">
        <v>28.570399999999999</v>
      </c>
      <c r="GP21">
        <v>800</v>
      </c>
      <c r="GQ21">
        <v>18.139199999999999</v>
      </c>
      <c r="GR21">
        <v>99.733699999999999</v>
      </c>
      <c r="GS21">
        <v>99.559700000000007</v>
      </c>
    </row>
    <row r="22" spans="1:201" x14ac:dyDescent="0.25">
      <c r="A22">
        <v>6</v>
      </c>
      <c r="B22">
        <v>1690221105</v>
      </c>
      <c r="C22">
        <v>222.5</v>
      </c>
      <c r="D22" t="s">
        <v>343</v>
      </c>
      <c r="E22" t="s">
        <v>344</v>
      </c>
      <c r="F22" t="s">
        <v>330</v>
      </c>
      <c r="H22">
        <v>1690221105</v>
      </c>
      <c r="I22">
        <f t="shared" si="0"/>
        <v>8.131120000551673E-4</v>
      </c>
      <c r="J22">
        <f t="shared" si="1"/>
        <v>0.81311200005516726</v>
      </c>
      <c r="K22">
        <f t="shared" si="2"/>
        <v>-1.3353541542405105</v>
      </c>
      <c r="L22">
        <f t="shared" si="3"/>
        <v>807.03300000000002</v>
      </c>
      <c r="M22">
        <f t="shared" si="4"/>
        <v>842.62841059314599</v>
      </c>
      <c r="N22">
        <f t="shared" si="5"/>
        <v>83.564336991749073</v>
      </c>
      <c r="O22">
        <f t="shared" si="6"/>
        <v>80.034303054166202</v>
      </c>
      <c r="P22">
        <f t="shared" si="7"/>
        <v>3.007145575999514E-2</v>
      </c>
      <c r="Q22">
        <f t="shared" si="8"/>
        <v>2.1951089446650256</v>
      </c>
      <c r="R22">
        <f t="shared" si="9"/>
        <v>2.9844455359661109E-2</v>
      </c>
      <c r="S22">
        <f t="shared" si="10"/>
        <v>1.8673036739120612E-2</v>
      </c>
      <c r="T22">
        <f t="shared" si="11"/>
        <v>276.0724211718408</v>
      </c>
      <c r="U22">
        <f t="shared" si="12"/>
        <v>29.172382755204126</v>
      </c>
      <c r="V22">
        <f t="shared" si="13"/>
        <v>29.172382755204126</v>
      </c>
      <c r="W22">
        <f t="shared" si="14"/>
        <v>4.0620649020647033</v>
      </c>
      <c r="X22">
        <f t="shared" si="15"/>
        <v>39.33748834398498</v>
      </c>
      <c r="Y22">
        <f t="shared" si="16"/>
        <v>1.4350347203704201</v>
      </c>
      <c r="Z22">
        <f t="shared" si="17"/>
        <v>3.6480079963972805</v>
      </c>
      <c r="AA22">
        <f t="shared" si="18"/>
        <v>2.6270301816942832</v>
      </c>
      <c r="AB22">
        <f t="shared" si="19"/>
        <v>-35.858239202432877</v>
      </c>
      <c r="AC22">
        <f t="shared" si="20"/>
        <v>-218.64795652768893</v>
      </c>
      <c r="AD22">
        <f t="shared" si="21"/>
        <v>-21.766054370612633</v>
      </c>
      <c r="AE22">
        <f t="shared" si="22"/>
        <v>-0.19982892889365189</v>
      </c>
      <c r="AF22">
        <v>0</v>
      </c>
      <c r="AG22">
        <v>0</v>
      </c>
      <c r="AH22">
        <f t="shared" si="23"/>
        <v>1</v>
      </c>
      <c r="AI22">
        <f t="shared" si="24"/>
        <v>0</v>
      </c>
      <c r="AJ22">
        <f t="shared" si="25"/>
        <v>52369.98962657027</v>
      </c>
      <c r="AK22">
        <f t="shared" si="26"/>
        <v>1799.72</v>
      </c>
      <c r="AL22">
        <f t="shared" si="27"/>
        <v>1498.87899197088</v>
      </c>
      <c r="AM22">
        <f t="shared" si="28"/>
        <v>0.83284010399999997</v>
      </c>
      <c r="AN22">
        <f t="shared" si="29"/>
        <v>0.15339742913999999</v>
      </c>
      <c r="AO22">
        <v>31.2</v>
      </c>
      <c r="AP22">
        <v>0.5</v>
      </c>
      <c r="AQ22" t="s">
        <v>331</v>
      </c>
      <c r="AR22">
        <v>2</v>
      </c>
      <c r="AS22">
        <v>1690221105</v>
      </c>
      <c r="AT22">
        <v>807.03300000000002</v>
      </c>
      <c r="AU22">
        <v>799.97400000000005</v>
      </c>
      <c r="AV22">
        <v>14.4703</v>
      </c>
      <c r="AW22">
        <v>6.1411600000000002</v>
      </c>
      <c r="AX22">
        <v>807.53</v>
      </c>
      <c r="AY22">
        <v>14.442500000000001</v>
      </c>
      <c r="AZ22">
        <v>300.17500000000001</v>
      </c>
      <c r="BA22">
        <v>99.071100000000001</v>
      </c>
      <c r="BB22">
        <v>9.99414E-2</v>
      </c>
      <c r="BC22">
        <v>27.3248</v>
      </c>
      <c r="BD22">
        <v>27.9116</v>
      </c>
      <c r="BE22">
        <v>28.5641</v>
      </c>
      <c r="BF22">
        <v>0</v>
      </c>
      <c r="BG22">
        <v>0</v>
      </c>
      <c r="BH22">
        <v>10008.1</v>
      </c>
      <c r="BI22">
        <v>1077.3499999999999</v>
      </c>
      <c r="BJ22">
        <v>1.3455900000000001</v>
      </c>
      <c r="BK22">
        <v>7.0582900000000004</v>
      </c>
      <c r="BL22">
        <v>818.88199999999995</v>
      </c>
      <c r="BM22">
        <v>804.91800000000001</v>
      </c>
      <c r="BN22">
        <v>8.3291699999999995</v>
      </c>
      <c r="BO22">
        <v>799.97400000000005</v>
      </c>
      <c r="BP22">
        <v>6.1411600000000002</v>
      </c>
      <c r="BQ22">
        <v>1.4335899999999999</v>
      </c>
      <c r="BR22">
        <v>0.60841199999999995</v>
      </c>
      <c r="BS22">
        <v>12.277699999999999</v>
      </c>
      <c r="BT22">
        <v>-0.117978</v>
      </c>
      <c r="BU22">
        <v>1799.72</v>
      </c>
      <c r="BV22">
        <v>0.91</v>
      </c>
      <c r="BW22">
        <v>3.39999E-2</v>
      </c>
      <c r="BX22">
        <v>2.2000200000000001E-2</v>
      </c>
      <c r="BY22">
        <v>3.4000000000000002E-2</v>
      </c>
      <c r="BZ22">
        <v>26</v>
      </c>
      <c r="CA22">
        <v>33523.199999999997</v>
      </c>
      <c r="CB22">
        <v>1690220522.5999999</v>
      </c>
      <c r="CC22" t="s">
        <v>332</v>
      </c>
      <c r="CD22">
        <v>1690220522.5999999</v>
      </c>
      <c r="CE22">
        <v>1690220510.5999999</v>
      </c>
      <c r="CF22">
        <v>10</v>
      </c>
      <c r="CG22">
        <v>-0.22</v>
      </c>
      <c r="CH22">
        <v>-2.7E-2</v>
      </c>
      <c r="CI22">
        <v>-0.49299999999999999</v>
      </c>
      <c r="CJ22">
        <v>0.152</v>
      </c>
      <c r="CK22">
        <v>800</v>
      </c>
      <c r="CL22">
        <v>19</v>
      </c>
      <c r="CM22">
        <v>0.1</v>
      </c>
      <c r="CN22">
        <v>0.03</v>
      </c>
      <c r="CO22">
        <v>7.6991305000000008</v>
      </c>
      <c r="CP22">
        <v>-1.870506641651061</v>
      </c>
      <c r="CQ22">
        <v>0.21375855150086981</v>
      </c>
      <c r="CR22">
        <v>-1</v>
      </c>
      <c r="CS22">
        <v>9.8005752499999996</v>
      </c>
      <c r="CT22">
        <v>-9.3826643527204521</v>
      </c>
      <c r="CU22">
        <v>0.90531508606668953</v>
      </c>
      <c r="CV22">
        <v>-1</v>
      </c>
      <c r="CW22">
        <v>0</v>
      </c>
      <c r="CX22">
        <v>0</v>
      </c>
      <c r="CY22" t="s">
        <v>333</v>
      </c>
      <c r="CZ22">
        <v>2.3644599999999998</v>
      </c>
      <c r="DA22">
        <v>2.71374</v>
      </c>
      <c r="DB22">
        <v>0.14747499999999999</v>
      </c>
      <c r="DC22">
        <v>0.14607700000000001</v>
      </c>
      <c r="DD22">
        <v>7.9417600000000005E-2</v>
      </c>
      <c r="DE22">
        <v>4.0204299999999998E-2</v>
      </c>
      <c r="DF22">
        <v>31127.7</v>
      </c>
      <c r="DG22">
        <v>27517.7</v>
      </c>
      <c r="DH22">
        <v>31171</v>
      </c>
      <c r="DI22">
        <v>28080.1</v>
      </c>
      <c r="DJ22">
        <v>38972.300000000003</v>
      </c>
      <c r="DK22">
        <v>38326.1</v>
      </c>
      <c r="DL22">
        <v>44359.8</v>
      </c>
      <c r="DM22">
        <v>42558.9</v>
      </c>
      <c r="DN22">
        <v>1.47662</v>
      </c>
      <c r="DO22">
        <v>2.0366300000000002</v>
      </c>
      <c r="DP22">
        <v>0.13542199999999999</v>
      </c>
      <c r="DQ22">
        <v>0.17219000000000001</v>
      </c>
      <c r="DR22">
        <v>25.696200000000001</v>
      </c>
      <c r="DS22">
        <v>25.748799999999999</v>
      </c>
      <c r="DT22">
        <v>32.700000000000003</v>
      </c>
      <c r="DU22">
        <v>29.5</v>
      </c>
      <c r="DV22">
        <v>13.6647</v>
      </c>
      <c r="DW22">
        <v>61.944099999999999</v>
      </c>
      <c r="DX22">
        <v>37.043300000000002</v>
      </c>
      <c r="DY22">
        <v>1</v>
      </c>
      <c r="DZ22">
        <v>-8.7108699999999997E-2</v>
      </c>
      <c r="EA22">
        <v>-1.5370999999999999</v>
      </c>
      <c r="EB22">
        <v>20.181899999999999</v>
      </c>
      <c r="EC22">
        <v>5.2404999999999999</v>
      </c>
      <c r="ED22">
        <v>12.039899999999999</v>
      </c>
      <c r="EE22">
        <v>5.01675</v>
      </c>
      <c r="EF22">
        <v>3.2879999999999998</v>
      </c>
      <c r="EG22">
        <v>9999</v>
      </c>
      <c r="EH22">
        <v>9999</v>
      </c>
      <c r="EI22">
        <v>9999</v>
      </c>
      <c r="EJ22">
        <v>999.9</v>
      </c>
      <c r="EK22">
        <v>1.8689</v>
      </c>
      <c r="EL22">
        <v>1.8646199999999999</v>
      </c>
      <c r="EM22">
        <v>1.86914</v>
      </c>
      <c r="EN22">
        <v>1.8672200000000001</v>
      </c>
      <c r="EO22">
        <v>1.8633999999999999</v>
      </c>
      <c r="EP22">
        <v>1.8645099999999999</v>
      </c>
      <c r="EQ22">
        <v>1.87016</v>
      </c>
      <c r="ER22">
        <v>1.86941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-0.497</v>
      </c>
      <c r="FG22">
        <v>2.7799999999999998E-2</v>
      </c>
      <c r="FH22">
        <v>5.8509882529719233E-2</v>
      </c>
      <c r="FI22">
        <v>-6.1462078757559423E-4</v>
      </c>
      <c r="FJ22">
        <v>-1.8861989874597051E-7</v>
      </c>
      <c r="FK22">
        <v>1.1980462299894961E-10</v>
      </c>
      <c r="FL22">
        <v>-5.9863424041980147E-2</v>
      </c>
      <c r="FM22">
        <v>-1.6848085045870601E-2</v>
      </c>
      <c r="FN22">
        <v>1.9789084769509481E-3</v>
      </c>
      <c r="FO22">
        <v>-2.7142391389806329E-5</v>
      </c>
      <c r="FP22">
        <v>3</v>
      </c>
      <c r="FQ22">
        <v>2158</v>
      </c>
      <c r="FR22">
        <v>1</v>
      </c>
      <c r="FS22">
        <v>19</v>
      </c>
      <c r="FT22">
        <v>9.6999999999999993</v>
      </c>
      <c r="FU22">
        <v>9.9</v>
      </c>
      <c r="FV22">
        <v>1.7773399999999999</v>
      </c>
      <c r="FW22">
        <v>2.5866699999999998</v>
      </c>
      <c r="FX22">
        <v>1.5490699999999999</v>
      </c>
      <c r="FY22">
        <v>2.3290999999999999</v>
      </c>
      <c r="FZ22">
        <v>1.50146</v>
      </c>
      <c r="GA22">
        <v>2.2997999999999998</v>
      </c>
      <c r="GB22">
        <v>33.805700000000002</v>
      </c>
      <c r="GC22">
        <v>23.973700000000001</v>
      </c>
      <c r="GD22">
        <v>19</v>
      </c>
      <c r="GE22">
        <v>283.09500000000003</v>
      </c>
      <c r="GF22">
        <v>583.40599999999995</v>
      </c>
      <c r="GG22">
        <v>28.633600000000001</v>
      </c>
      <c r="GH22">
        <v>26.308700000000002</v>
      </c>
      <c r="GI22">
        <v>30.0001</v>
      </c>
      <c r="GJ22">
        <v>26.358799999999999</v>
      </c>
      <c r="GK22">
        <v>26.341799999999999</v>
      </c>
      <c r="GL22">
        <v>35.546599999999998</v>
      </c>
      <c r="GM22">
        <v>-30</v>
      </c>
      <c r="GN22">
        <v>-30</v>
      </c>
      <c r="GO22">
        <v>27.994499999999999</v>
      </c>
      <c r="GP22">
        <v>800</v>
      </c>
      <c r="GQ22">
        <v>18.0809</v>
      </c>
      <c r="GR22">
        <v>99.734499999999997</v>
      </c>
      <c r="GS22">
        <v>99.560699999999997</v>
      </c>
    </row>
    <row r="23" spans="1:201" x14ac:dyDescent="0.25">
      <c r="A23">
        <v>7</v>
      </c>
      <c r="B23">
        <v>1690221115</v>
      </c>
      <c r="C23">
        <v>232.5</v>
      </c>
      <c r="D23" t="s">
        <v>345</v>
      </c>
      <c r="E23" t="s">
        <v>346</v>
      </c>
      <c r="F23" t="s">
        <v>330</v>
      </c>
      <c r="H23">
        <v>1690221115</v>
      </c>
      <c r="I23">
        <f t="shared" si="0"/>
        <v>7.3011097668385615E-4</v>
      </c>
      <c r="J23">
        <f t="shared" si="1"/>
        <v>0.73011097668385616</v>
      </c>
      <c r="K23">
        <f t="shared" si="2"/>
        <v>-1.128377228909043</v>
      </c>
      <c r="L23">
        <f t="shared" si="3"/>
        <v>805.61099999999999</v>
      </c>
      <c r="M23">
        <f t="shared" si="4"/>
        <v>839.00665834980987</v>
      </c>
      <c r="N23">
        <f t="shared" si="5"/>
        <v>83.203856458207611</v>
      </c>
      <c r="O23">
        <f t="shared" si="6"/>
        <v>79.892026288551889</v>
      </c>
      <c r="P23">
        <f t="shared" si="7"/>
        <v>2.5435989154155052E-2</v>
      </c>
      <c r="Q23">
        <f t="shared" si="8"/>
        <v>2.1969311943544749</v>
      </c>
      <c r="R23">
        <f t="shared" si="9"/>
        <v>2.5273508070038992E-2</v>
      </c>
      <c r="S23">
        <f t="shared" si="10"/>
        <v>1.5810454190593931E-2</v>
      </c>
      <c r="T23">
        <f t="shared" si="11"/>
        <v>276.10481836881468</v>
      </c>
      <c r="U23">
        <f t="shared" si="12"/>
        <v>29.462226062139003</v>
      </c>
      <c r="V23">
        <f t="shared" si="13"/>
        <v>29.462226062139003</v>
      </c>
      <c r="W23">
        <f t="shared" si="14"/>
        <v>4.130605536620096</v>
      </c>
      <c r="X23">
        <f t="shared" si="15"/>
        <v>36.301449136838912</v>
      </c>
      <c r="Y23">
        <f t="shared" si="16"/>
        <v>1.3448472745551898</v>
      </c>
      <c r="Z23">
        <f t="shared" si="17"/>
        <v>3.7046655341106787</v>
      </c>
      <c r="AA23">
        <f t="shared" si="18"/>
        <v>2.7857582620649062</v>
      </c>
      <c r="AB23">
        <f t="shared" si="19"/>
        <v>-32.197894071758057</v>
      </c>
      <c r="AC23">
        <f t="shared" si="20"/>
        <v>-221.97327974684808</v>
      </c>
      <c r="AD23">
        <f t="shared" si="21"/>
        <v>-22.139628468890038</v>
      </c>
      <c r="AE23">
        <f t="shared" si="22"/>
        <v>-0.20598391868148269</v>
      </c>
      <c r="AF23">
        <v>0</v>
      </c>
      <c r="AG23">
        <v>0</v>
      </c>
      <c r="AH23">
        <f t="shared" si="23"/>
        <v>1</v>
      </c>
      <c r="AI23">
        <f t="shared" si="24"/>
        <v>0</v>
      </c>
      <c r="AJ23">
        <f t="shared" si="25"/>
        <v>52398.508359456457</v>
      </c>
      <c r="AK23">
        <f t="shared" si="26"/>
        <v>1799.93</v>
      </c>
      <c r="AL23">
        <f t="shared" si="27"/>
        <v>1499.05358780441</v>
      </c>
      <c r="AM23">
        <f t="shared" si="28"/>
        <v>0.83283993699999992</v>
      </c>
      <c r="AN23">
        <f t="shared" si="29"/>
        <v>0.15339753122000002</v>
      </c>
      <c r="AO23">
        <v>31.2</v>
      </c>
      <c r="AP23">
        <v>0.5</v>
      </c>
      <c r="AQ23" t="s">
        <v>331</v>
      </c>
      <c r="AR23">
        <v>2</v>
      </c>
      <c r="AS23">
        <v>1690221115</v>
      </c>
      <c r="AT23">
        <v>805.61099999999999</v>
      </c>
      <c r="AU23">
        <v>799.99599999999998</v>
      </c>
      <c r="AV23">
        <v>13.5611</v>
      </c>
      <c r="AW23">
        <v>6.07491</v>
      </c>
      <c r="AX23">
        <v>806.10699999999997</v>
      </c>
      <c r="AY23">
        <v>13.5534</v>
      </c>
      <c r="AZ23">
        <v>300.16000000000003</v>
      </c>
      <c r="BA23">
        <v>99.069599999999994</v>
      </c>
      <c r="BB23">
        <v>9.9882899999999997E-2</v>
      </c>
      <c r="BC23">
        <v>27.588100000000001</v>
      </c>
      <c r="BD23">
        <v>28.518899999999999</v>
      </c>
      <c r="BE23">
        <v>29.324300000000001</v>
      </c>
      <c r="BF23">
        <v>0</v>
      </c>
      <c r="BG23">
        <v>0</v>
      </c>
      <c r="BH23">
        <v>10023.1</v>
      </c>
      <c r="BI23">
        <v>1080.69</v>
      </c>
      <c r="BJ23">
        <v>1.28952</v>
      </c>
      <c r="BK23">
        <v>5.6141399999999999</v>
      </c>
      <c r="BL23">
        <v>816.68600000000004</v>
      </c>
      <c r="BM23">
        <v>804.88599999999997</v>
      </c>
      <c r="BN23">
        <v>7.4862000000000002</v>
      </c>
      <c r="BO23">
        <v>799.99599999999998</v>
      </c>
      <c r="BP23">
        <v>6.07491</v>
      </c>
      <c r="BQ23">
        <v>1.3434900000000001</v>
      </c>
      <c r="BR23">
        <v>0.60183900000000001</v>
      </c>
      <c r="BS23">
        <v>11.2944</v>
      </c>
      <c r="BT23">
        <v>-0.26728099999999999</v>
      </c>
      <c r="BU23">
        <v>1799.93</v>
      </c>
      <c r="BV23">
        <v>0.90999399999999997</v>
      </c>
      <c r="BW23">
        <v>3.3996100000000001E-2</v>
      </c>
      <c r="BX23">
        <v>2.2001099999999999E-2</v>
      </c>
      <c r="BY23">
        <v>3.4008999999999998E-2</v>
      </c>
      <c r="BZ23">
        <v>26</v>
      </c>
      <c r="CA23">
        <v>33527.1</v>
      </c>
      <c r="CB23">
        <v>1690220522.5999999</v>
      </c>
      <c r="CC23" t="s">
        <v>332</v>
      </c>
      <c r="CD23">
        <v>1690220522.5999999</v>
      </c>
      <c r="CE23">
        <v>1690220510.5999999</v>
      </c>
      <c r="CF23">
        <v>10</v>
      </c>
      <c r="CG23">
        <v>-0.22</v>
      </c>
      <c r="CH23">
        <v>-2.7E-2</v>
      </c>
      <c r="CI23">
        <v>-0.49299999999999999</v>
      </c>
      <c r="CJ23">
        <v>0.152</v>
      </c>
      <c r="CK23">
        <v>800</v>
      </c>
      <c r="CL23">
        <v>19</v>
      </c>
      <c r="CM23">
        <v>0.1</v>
      </c>
      <c r="CN23">
        <v>0.03</v>
      </c>
      <c r="CO23">
        <v>6.9435282926829274</v>
      </c>
      <c r="CP23">
        <v>-6.7546444599303079</v>
      </c>
      <c r="CQ23">
        <v>0.67772052291847407</v>
      </c>
      <c r="CR23">
        <v>-1</v>
      </c>
      <c r="CS23">
        <v>8.4601746341463411</v>
      </c>
      <c r="CT23">
        <v>-6.3858961672473713</v>
      </c>
      <c r="CU23">
        <v>0.63369280152366814</v>
      </c>
      <c r="CV23">
        <v>-1</v>
      </c>
      <c r="CW23">
        <v>0</v>
      </c>
      <c r="CX23">
        <v>0</v>
      </c>
      <c r="CY23" t="s">
        <v>333</v>
      </c>
      <c r="CZ23">
        <v>2.3643999999999998</v>
      </c>
      <c r="DA23">
        <v>2.7136900000000002</v>
      </c>
      <c r="DB23">
        <v>0.14727999999999999</v>
      </c>
      <c r="DC23">
        <v>0.14607500000000001</v>
      </c>
      <c r="DD23">
        <v>7.57438E-2</v>
      </c>
      <c r="DE23">
        <v>3.98494E-2</v>
      </c>
      <c r="DF23">
        <v>31134.400000000001</v>
      </c>
      <c r="DG23">
        <v>27517.7</v>
      </c>
      <c r="DH23">
        <v>31170.6</v>
      </c>
      <c r="DI23">
        <v>28080</v>
      </c>
      <c r="DJ23">
        <v>39128.5</v>
      </c>
      <c r="DK23">
        <v>38340.1</v>
      </c>
      <c r="DL23">
        <v>44359.4</v>
      </c>
      <c r="DM23">
        <v>42558.6</v>
      </c>
      <c r="DN23">
        <v>1.4738</v>
      </c>
      <c r="DO23">
        <v>2.0359699999999998</v>
      </c>
      <c r="DP23">
        <v>0.16975399999999999</v>
      </c>
      <c r="DQ23">
        <v>0.21679699999999999</v>
      </c>
      <c r="DR23">
        <v>25.743400000000001</v>
      </c>
      <c r="DS23">
        <v>25.782</v>
      </c>
      <c r="DT23">
        <v>30.8</v>
      </c>
      <c r="DU23">
        <v>29.4</v>
      </c>
      <c r="DV23">
        <v>12.7943</v>
      </c>
      <c r="DW23">
        <v>61.874200000000002</v>
      </c>
      <c r="DX23">
        <v>36.614600000000003</v>
      </c>
      <c r="DY23">
        <v>1</v>
      </c>
      <c r="DZ23">
        <v>-7.9021800000000003E-2</v>
      </c>
      <c r="EA23">
        <v>4.0738000000000003</v>
      </c>
      <c r="EB23">
        <v>20.115100000000002</v>
      </c>
      <c r="EC23">
        <v>5.2404999999999999</v>
      </c>
      <c r="ED23">
        <v>12.039899999999999</v>
      </c>
      <c r="EE23">
        <v>5.0168999999999997</v>
      </c>
      <c r="EF23">
        <v>3.2879999999999998</v>
      </c>
      <c r="EG23">
        <v>9999</v>
      </c>
      <c r="EH23">
        <v>9999</v>
      </c>
      <c r="EI23">
        <v>9999</v>
      </c>
      <c r="EJ23">
        <v>999.9</v>
      </c>
      <c r="EK23">
        <v>1.8689100000000001</v>
      </c>
      <c r="EL23">
        <v>1.86463</v>
      </c>
      <c r="EM23">
        <v>1.86914</v>
      </c>
      <c r="EN23">
        <v>1.8672200000000001</v>
      </c>
      <c r="EO23">
        <v>1.8633999999999999</v>
      </c>
      <c r="EP23">
        <v>1.86449</v>
      </c>
      <c r="EQ23">
        <v>1.87018</v>
      </c>
      <c r="ER23">
        <v>1.8694500000000001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-0.496</v>
      </c>
      <c r="FG23">
        <v>7.7000000000000002E-3</v>
      </c>
      <c r="FH23">
        <v>5.8509882529719233E-2</v>
      </c>
      <c r="FI23">
        <v>-6.1462078757559423E-4</v>
      </c>
      <c r="FJ23">
        <v>-1.8861989874597051E-7</v>
      </c>
      <c r="FK23">
        <v>1.1980462299894961E-10</v>
      </c>
      <c r="FL23">
        <v>-5.9863424041980147E-2</v>
      </c>
      <c r="FM23">
        <v>-1.6848085045870601E-2</v>
      </c>
      <c r="FN23">
        <v>1.9789084769509481E-3</v>
      </c>
      <c r="FO23">
        <v>-2.7142391389806329E-5</v>
      </c>
      <c r="FP23">
        <v>3</v>
      </c>
      <c r="FQ23">
        <v>2158</v>
      </c>
      <c r="FR23">
        <v>1</v>
      </c>
      <c r="FS23">
        <v>19</v>
      </c>
      <c r="FT23">
        <v>9.9</v>
      </c>
      <c r="FU23">
        <v>10.1</v>
      </c>
      <c r="FV23">
        <v>1.7773399999999999</v>
      </c>
      <c r="FW23">
        <v>2.5830099999999998</v>
      </c>
      <c r="FX23">
        <v>1.5490699999999999</v>
      </c>
      <c r="FY23">
        <v>2.3290999999999999</v>
      </c>
      <c r="FZ23">
        <v>1.50146</v>
      </c>
      <c r="GA23">
        <v>2.3034699999999999</v>
      </c>
      <c r="GB23">
        <v>33.805700000000002</v>
      </c>
      <c r="GC23">
        <v>23.9649</v>
      </c>
      <c r="GD23">
        <v>19</v>
      </c>
      <c r="GE23">
        <v>281.90800000000002</v>
      </c>
      <c r="GF23">
        <v>582.91300000000001</v>
      </c>
      <c r="GG23">
        <v>27.282</v>
      </c>
      <c r="GH23">
        <v>26.3109</v>
      </c>
      <c r="GI23">
        <v>30.005299999999998</v>
      </c>
      <c r="GJ23">
        <v>26.3627</v>
      </c>
      <c r="GK23">
        <v>26.345600000000001</v>
      </c>
      <c r="GL23">
        <v>35.542299999999997</v>
      </c>
      <c r="GM23">
        <v>-30</v>
      </c>
      <c r="GN23">
        <v>-30</v>
      </c>
      <c r="GO23">
        <v>25.414200000000001</v>
      </c>
      <c r="GP23">
        <v>800</v>
      </c>
      <c r="GQ23">
        <v>18.0809</v>
      </c>
      <c r="GR23">
        <v>99.733500000000006</v>
      </c>
      <c r="GS23">
        <v>99.560299999999998</v>
      </c>
    </row>
    <row r="24" spans="1:201" x14ac:dyDescent="0.25">
      <c r="A24">
        <v>8</v>
      </c>
      <c r="B24">
        <v>1690221125</v>
      </c>
      <c r="C24">
        <v>242.5</v>
      </c>
      <c r="D24" t="s">
        <v>347</v>
      </c>
      <c r="E24" t="s">
        <v>348</v>
      </c>
      <c r="F24" t="s">
        <v>330</v>
      </c>
      <c r="H24">
        <v>1690221125</v>
      </c>
      <c r="I24">
        <f t="shared" si="0"/>
        <v>6.6628005468780604E-4</v>
      </c>
      <c r="J24">
        <f t="shared" si="1"/>
        <v>0.66628005468780604</v>
      </c>
      <c r="K24">
        <f t="shared" si="2"/>
        <v>-0.97152042288525675</v>
      </c>
      <c r="L24">
        <f t="shared" si="3"/>
        <v>804.60699999999997</v>
      </c>
      <c r="M24">
        <f t="shared" si="4"/>
        <v>834.56638950330512</v>
      </c>
      <c r="N24">
        <f t="shared" si="5"/>
        <v>82.76101551309695</v>
      </c>
      <c r="O24">
        <f t="shared" si="6"/>
        <v>79.790048157316406</v>
      </c>
      <c r="P24">
        <f t="shared" si="7"/>
        <v>2.2833800341081758E-2</v>
      </c>
      <c r="Q24">
        <f t="shared" si="8"/>
        <v>2.1912890743713711</v>
      </c>
      <c r="R24">
        <f t="shared" si="9"/>
        <v>2.2702435777907908E-2</v>
      </c>
      <c r="S24">
        <f t="shared" si="10"/>
        <v>1.4200761835877639E-2</v>
      </c>
      <c r="T24">
        <f t="shared" si="11"/>
        <v>276.10646880024484</v>
      </c>
      <c r="U24">
        <f t="shared" si="12"/>
        <v>29.363123673844395</v>
      </c>
      <c r="V24">
        <f t="shared" si="13"/>
        <v>29.363123673844395</v>
      </c>
      <c r="W24">
        <f t="shared" si="14"/>
        <v>4.1070577587525401</v>
      </c>
      <c r="X24">
        <f t="shared" si="15"/>
        <v>34.687633092017286</v>
      </c>
      <c r="Y24">
        <f t="shared" si="16"/>
        <v>1.27566774896428</v>
      </c>
      <c r="Z24">
        <f t="shared" si="17"/>
        <v>3.6775866072506727</v>
      </c>
      <c r="AA24">
        <f t="shared" si="18"/>
        <v>2.8313900097882598</v>
      </c>
      <c r="AB24">
        <f t="shared" si="19"/>
        <v>-29.382950411732246</v>
      </c>
      <c r="AC24">
        <f t="shared" si="20"/>
        <v>-224.50992695956464</v>
      </c>
      <c r="AD24">
        <f t="shared" si="21"/>
        <v>-22.425232626717548</v>
      </c>
      <c r="AE24">
        <f t="shared" si="22"/>
        <v>-0.21164119776960888</v>
      </c>
      <c r="AF24">
        <v>0</v>
      </c>
      <c r="AG24">
        <v>0</v>
      </c>
      <c r="AH24">
        <f t="shared" si="23"/>
        <v>1</v>
      </c>
      <c r="AI24">
        <f t="shared" si="24"/>
        <v>0</v>
      </c>
      <c r="AJ24">
        <f t="shared" si="25"/>
        <v>52189.98588525103</v>
      </c>
      <c r="AK24">
        <f t="shared" si="26"/>
        <v>1799.94</v>
      </c>
      <c r="AL24">
        <f t="shared" si="27"/>
        <v>1499.0645801149799</v>
      </c>
      <c r="AM24">
        <f t="shared" si="28"/>
        <v>0.83284141699999992</v>
      </c>
      <c r="AN24">
        <f t="shared" si="29"/>
        <v>0.15339759592000002</v>
      </c>
      <c r="AO24">
        <v>31.2</v>
      </c>
      <c r="AP24">
        <v>0.5</v>
      </c>
      <c r="AQ24" t="s">
        <v>331</v>
      </c>
      <c r="AR24">
        <v>2</v>
      </c>
      <c r="AS24">
        <v>1690221125</v>
      </c>
      <c r="AT24">
        <v>804.60699999999997</v>
      </c>
      <c r="AU24">
        <v>800.08199999999999</v>
      </c>
      <c r="AV24">
        <v>12.863899999999999</v>
      </c>
      <c r="AW24">
        <v>6.0289200000000003</v>
      </c>
      <c r="AX24">
        <v>805.10299999999995</v>
      </c>
      <c r="AY24">
        <v>12.8706</v>
      </c>
      <c r="AZ24">
        <v>300.22800000000001</v>
      </c>
      <c r="BA24">
        <v>99.066500000000005</v>
      </c>
      <c r="BB24">
        <v>9.9985199999999996E-2</v>
      </c>
      <c r="BC24">
        <v>27.462700000000002</v>
      </c>
      <c r="BD24">
        <v>28.538599999999999</v>
      </c>
      <c r="BE24">
        <v>29.358599999999999</v>
      </c>
      <c r="BF24">
        <v>0</v>
      </c>
      <c r="BG24">
        <v>0</v>
      </c>
      <c r="BH24">
        <v>9977.5</v>
      </c>
      <c r="BI24">
        <v>1082.32</v>
      </c>
      <c r="BJ24">
        <v>1.3315699999999999</v>
      </c>
      <c r="BK24">
        <v>4.5247799999999998</v>
      </c>
      <c r="BL24">
        <v>815.09199999999998</v>
      </c>
      <c r="BM24">
        <v>804.93499999999995</v>
      </c>
      <c r="BN24">
        <v>6.8349399999999996</v>
      </c>
      <c r="BO24">
        <v>800.08199999999999</v>
      </c>
      <c r="BP24">
        <v>6.0289200000000003</v>
      </c>
      <c r="BQ24">
        <v>1.2743800000000001</v>
      </c>
      <c r="BR24">
        <v>0.59726400000000002</v>
      </c>
      <c r="BS24">
        <v>10.5</v>
      </c>
      <c r="BT24">
        <v>-0.37206099999999998</v>
      </c>
      <c r="BU24">
        <v>1799.94</v>
      </c>
      <c r="BV24">
        <v>0.91000899999999996</v>
      </c>
      <c r="BW24">
        <v>3.3996199999999997E-2</v>
      </c>
      <c r="BX24">
        <v>2.2004099999999999E-2</v>
      </c>
      <c r="BY24">
        <v>3.3990600000000003E-2</v>
      </c>
      <c r="BZ24">
        <v>26</v>
      </c>
      <c r="CA24">
        <v>33527.199999999997</v>
      </c>
      <c r="CB24">
        <v>1690220522.5999999</v>
      </c>
      <c r="CC24" t="s">
        <v>332</v>
      </c>
      <c r="CD24">
        <v>1690220522.5999999</v>
      </c>
      <c r="CE24">
        <v>1690220510.5999999</v>
      </c>
      <c r="CF24">
        <v>10</v>
      </c>
      <c r="CG24">
        <v>-0.22</v>
      </c>
      <c r="CH24">
        <v>-2.7E-2</v>
      </c>
      <c r="CI24">
        <v>-0.49299999999999999</v>
      </c>
      <c r="CJ24">
        <v>0.152</v>
      </c>
      <c r="CK24">
        <v>800</v>
      </c>
      <c r="CL24">
        <v>19</v>
      </c>
      <c r="CM24">
        <v>0.1</v>
      </c>
      <c r="CN24">
        <v>0.03</v>
      </c>
      <c r="CO24">
        <v>5.8748165853658536</v>
      </c>
      <c r="CP24">
        <v>-7.7072847386759546</v>
      </c>
      <c r="CQ24">
        <v>0.76372515999080104</v>
      </c>
      <c r="CR24">
        <v>-1</v>
      </c>
      <c r="CS24">
        <v>7.6331575609756088</v>
      </c>
      <c r="CT24">
        <v>-4.6236393031358878</v>
      </c>
      <c r="CU24">
        <v>0.45712574443822068</v>
      </c>
      <c r="CV24">
        <v>-1</v>
      </c>
      <c r="CW24">
        <v>0</v>
      </c>
      <c r="CX24">
        <v>0</v>
      </c>
      <c r="CY24" t="s">
        <v>333</v>
      </c>
      <c r="CZ24">
        <v>2.3646199999999999</v>
      </c>
      <c r="DA24">
        <v>2.7137600000000002</v>
      </c>
      <c r="DB24">
        <v>0.14713799999999999</v>
      </c>
      <c r="DC24">
        <v>0.14607899999999999</v>
      </c>
      <c r="DD24">
        <v>7.28602E-2</v>
      </c>
      <c r="DE24">
        <v>3.9601600000000001E-2</v>
      </c>
      <c r="DF24">
        <v>31137.1</v>
      </c>
      <c r="DG24">
        <v>27515</v>
      </c>
      <c r="DH24">
        <v>31168.2</v>
      </c>
      <c r="DI24">
        <v>28077.5</v>
      </c>
      <c r="DJ24">
        <v>39248.9</v>
      </c>
      <c r="DK24">
        <v>38346.699999999997</v>
      </c>
      <c r="DL24">
        <v>44356.6</v>
      </c>
      <c r="DM24">
        <v>42554.9</v>
      </c>
      <c r="DN24">
        <v>1.4726300000000001</v>
      </c>
      <c r="DO24">
        <v>2.0353500000000002</v>
      </c>
      <c r="DP24">
        <v>0.167042</v>
      </c>
      <c r="DQ24">
        <v>0.21604400000000001</v>
      </c>
      <c r="DR24">
        <v>25.807500000000001</v>
      </c>
      <c r="DS24">
        <v>25.828800000000001</v>
      </c>
      <c r="DT24">
        <v>29.3</v>
      </c>
      <c r="DU24">
        <v>29.4</v>
      </c>
      <c r="DV24">
        <v>12.1714</v>
      </c>
      <c r="DW24">
        <v>62.584200000000003</v>
      </c>
      <c r="DX24">
        <v>36.5184</v>
      </c>
      <c r="DY24">
        <v>1</v>
      </c>
      <c r="DZ24">
        <v>-6.4499500000000001E-2</v>
      </c>
      <c r="EA24">
        <v>9.2810500000000005</v>
      </c>
      <c r="EB24">
        <v>19.860600000000002</v>
      </c>
      <c r="EC24">
        <v>5.2404999999999999</v>
      </c>
      <c r="ED24">
        <v>12.039899999999999</v>
      </c>
      <c r="EE24">
        <v>5.0164999999999997</v>
      </c>
      <c r="EF24">
        <v>3.2879999999999998</v>
      </c>
      <c r="EG24">
        <v>9999</v>
      </c>
      <c r="EH24">
        <v>9999</v>
      </c>
      <c r="EI24">
        <v>9999</v>
      </c>
      <c r="EJ24">
        <v>999.9</v>
      </c>
      <c r="EK24">
        <v>1.8689</v>
      </c>
      <c r="EL24">
        <v>1.8646199999999999</v>
      </c>
      <c r="EM24">
        <v>1.86911</v>
      </c>
      <c r="EN24">
        <v>1.8672200000000001</v>
      </c>
      <c r="EO24">
        <v>1.8633900000000001</v>
      </c>
      <c r="EP24">
        <v>1.8644799999999999</v>
      </c>
      <c r="EQ24">
        <v>1.8701399999999999</v>
      </c>
      <c r="ER24">
        <v>1.8694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-0.496</v>
      </c>
      <c r="FG24">
        <v>-6.7000000000000002E-3</v>
      </c>
      <c r="FH24">
        <v>5.8509882529719233E-2</v>
      </c>
      <c r="FI24">
        <v>-6.1462078757559423E-4</v>
      </c>
      <c r="FJ24">
        <v>-1.8861989874597051E-7</v>
      </c>
      <c r="FK24">
        <v>1.1980462299894961E-10</v>
      </c>
      <c r="FL24">
        <v>-5.9863424041980147E-2</v>
      </c>
      <c r="FM24">
        <v>-1.6848085045870601E-2</v>
      </c>
      <c r="FN24">
        <v>1.9789084769509481E-3</v>
      </c>
      <c r="FO24">
        <v>-2.7142391389806329E-5</v>
      </c>
      <c r="FP24">
        <v>3</v>
      </c>
      <c r="FQ24">
        <v>2158</v>
      </c>
      <c r="FR24">
        <v>1</v>
      </c>
      <c r="FS24">
        <v>19</v>
      </c>
      <c r="FT24">
        <v>10</v>
      </c>
      <c r="FU24">
        <v>10.199999999999999</v>
      </c>
      <c r="FV24">
        <v>1.7773399999999999</v>
      </c>
      <c r="FW24">
        <v>2.5854499999999998</v>
      </c>
      <c r="FX24">
        <v>1.5490699999999999</v>
      </c>
      <c r="FY24">
        <v>2.3290999999999999</v>
      </c>
      <c r="FZ24">
        <v>1.50146</v>
      </c>
      <c r="GA24">
        <v>2.34863</v>
      </c>
      <c r="GB24">
        <v>33.783200000000001</v>
      </c>
      <c r="GC24">
        <v>23.8598</v>
      </c>
      <c r="GD24">
        <v>19</v>
      </c>
      <c r="GE24">
        <v>281.423</v>
      </c>
      <c r="GF24">
        <v>582.423</v>
      </c>
      <c r="GG24">
        <v>24.633800000000001</v>
      </c>
      <c r="GH24">
        <v>26.3109</v>
      </c>
      <c r="GI24">
        <v>30.006</v>
      </c>
      <c r="GJ24">
        <v>26.3659</v>
      </c>
      <c r="GK24">
        <v>26.347899999999999</v>
      </c>
      <c r="GL24">
        <v>35.536200000000001</v>
      </c>
      <c r="GM24">
        <v>-30</v>
      </c>
      <c r="GN24">
        <v>-30</v>
      </c>
      <c r="GO24">
        <v>22.273800000000001</v>
      </c>
      <c r="GP24">
        <v>800</v>
      </c>
      <c r="GQ24">
        <v>18.0809</v>
      </c>
      <c r="GR24">
        <v>99.726699999999994</v>
      </c>
      <c r="GS24">
        <v>99.551500000000004</v>
      </c>
    </row>
    <row r="25" spans="1:201" x14ac:dyDescent="0.25">
      <c r="A25">
        <v>9</v>
      </c>
      <c r="B25">
        <v>1690221135</v>
      </c>
      <c r="C25">
        <v>252.5</v>
      </c>
      <c r="D25" t="s">
        <v>349</v>
      </c>
      <c r="E25" t="s">
        <v>350</v>
      </c>
      <c r="F25" t="s">
        <v>330</v>
      </c>
      <c r="H25">
        <v>1690221135</v>
      </c>
      <c r="I25">
        <f t="shared" si="0"/>
        <v>6.142212324524738E-4</v>
      </c>
      <c r="J25">
        <f t="shared" si="1"/>
        <v>0.61422123245247384</v>
      </c>
      <c r="K25">
        <f t="shared" si="2"/>
        <v>-0.81812366922988267</v>
      </c>
      <c r="L25">
        <f t="shared" si="3"/>
        <v>803.40800000000002</v>
      </c>
      <c r="M25">
        <f t="shared" si="4"/>
        <v>827.53532790841041</v>
      </c>
      <c r="N25">
        <f t="shared" si="5"/>
        <v>82.06520959347003</v>
      </c>
      <c r="O25">
        <f t="shared" si="6"/>
        <v>79.672545310800004</v>
      </c>
      <c r="P25">
        <f t="shared" si="7"/>
        <v>2.1134323490935261E-2</v>
      </c>
      <c r="Q25">
        <f t="shared" si="8"/>
        <v>2.1941516373192358</v>
      </c>
      <c r="R25">
        <f t="shared" si="9"/>
        <v>2.102187967196005E-2</v>
      </c>
      <c r="S25">
        <f t="shared" si="10"/>
        <v>1.314872745005782E-2</v>
      </c>
      <c r="T25">
        <f t="shared" si="11"/>
        <v>276.10716104758598</v>
      </c>
      <c r="U25">
        <f t="shared" si="12"/>
        <v>29.080248921710577</v>
      </c>
      <c r="V25">
        <f t="shared" si="13"/>
        <v>29.080248921710577</v>
      </c>
      <c r="W25">
        <f t="shared" si="14"/>
        <v>4.0404863026668378</v>
      </c>
      <c r="X25">
        <f t="shared" si="15"/>
        <v>33.754847975843049</v>
      </c>
      <c r="Y25">
        <f t="shared" si="16"/>
        <v>1.2198187516125001</v>
      </c>
      <c r="Z25">
        <f t="shared" si="17"/>
        <v>3.6137586887829385</v>
      </c>
      <c r="AA25">
        <f t="shared" si="18"/>
        <v>2.8206675510543375</v>
      </c>
      <c r="AB25">
        <f t="shared" si="19"/>
        <v>-27.087156351154096</v>
      </c>
      <c r="AC25">
        <f t="shared" si="20"/>
        <v>-226.68702781836174</v>
      </c>
      <c r="AD25">
        <f t="shared" si="21"/>
        <v>-22.547760654451071</v>
      </c>
      <c r="AE25">
        <f t="shared" si="22"/>
        <v>-0.21478377638095481</v>
      </c>
      <c r="AF25">
        <v>0</v>
      </c>
      <c r="AG25">
        <v>0</v>
      </c>
      <c r="AH25">
        <f t="shared" si="23"/>
        <v>1</v>
      </c>
      <c r="AI25">
        <f t="shared" si="24"/>
        <v>0</v>
      </c>
      <c r="AJ25">
        <f t="shared" si="25"/>
        <v>52358.871102457975</v>
      </c>
      <c r="AK25">
        <f t="shared" si="26"/>
        <v>1799.95</v>
      </c>
      <c r="AL25">
        <f t="shared" si="27"/>
        <v>1499.0700304090999</v>
      </c>
      <c r="AM25">
        <f t="shared" si="28"/>
        <v>0.83283981799999995</v>
      </c>
      <c r="AN25">
        <f t="shared" si="29"/>
        <v>0.15339712827999999</v>
      </c>
      <c r="AO25">
        <v>31.2</v>
      </c>
      <c r="AP25">
        <v>0.5</v>
      </c>
      <c r="AQ25" t="s">
        <v>331</v>
      </c>
      <c r="AR25">
        <v>2</v>
      </c>
      <c r="AS25">
        <v>1690221135</v>
      </c>
      <c r="AT25">
        <v>803.40800000000002</v>
      </c>
      <c r="AU25">
        <v>800.03399999999999</v>
      </c>
      <c r="AV25">
        <v>12.3005</v>
      </c>
      <c r="AW25">
        <v>5.9956500000000004</v>
      </c>
      <c r="AX25">
        <v>803.904</v>
      </c>
      <c r="AY25">
        <v>12.3184</v>
      </c>
      <c r="AZ25">
        <v>300.21300000000002</v>
      </c>
      <c r="BA25">
        <v>99.068200000000004</v>
      </c>
      <c r="BB25">
        <v>0.100025</v>
      </c>
      <c r="BC25">
        <v>27.163900000000002</v>
      </c>
      <c r="BD25">
        <v>28.202200000000001</v>
      </c>
      <c r="BE25">
        <v>29.099299999999999</v>
      </c>
      <c r="BF25">
        <v>0</v>
      </c>
      <c r="BG25">
        <v>0</v>
      </c>
      <c r="BH25">
        <v>10000.6</v>
      </c>
      <c r="BI25">
        <v>1082.92</v>
      </c>
      <c r="BJ25">
        <v>1.3455900000000001</v>
      </c>
      <c r="BK25">
        <v>3.3745699999999998</v>
      </c>
      <c r="BL25">
        <v>813.41399999999999</v>
      </c>
      <c r="BM25">
        <v>804.85900000000004</v>
      </c>
      <c r="BN25">
        <v>6.3048500000000001</v>
      </c>
      <c r="BO25">
        <v>800.03399999999999</v>
      </c>
      <c r="BP25">
        <v>5.9956500000000004</v>
      </c>
      <c r="BQ25">
        <v>1.2185900000000001</v>
      </c>
      <c r="BR25">
        <v>0.59397800000000001</v>
      </c>
      <c r="BS25">
        <v>9.8306000000000004</v>
      </c>
      <c r="BT25">
        <v>-0.44775700000000002</v>
      </c>
      <c r="BU25">
        <v>1799.95</v>
      </c>
      <c r="BV25">
        <v>0.91000300000000001</v>
      </c>
      <c r="BW25">
        <v>3.3996800000000001E-2</v>
      </c>
      <c r="BX25">
        <v>2.19974E-2</v>
      </c>
      <c r="BY25">
        <v>3.4002400000000002E-2</v>
      </c>
      <c r="BZ25">
        <v>26</v>
      </c>
      <c r="CA25">
        <v>33527.5</v>
      </c>
      <c r="CB25">
        <v>1690220522.5999999</v>
      </c>
      <c r="CC25" t="s">
        <v>332</v>
      </c>
      <c r="CD25">
        <v>1690220522.5999999</v>
      </c>
      <c r="CE25">
        <v>1690220510.5999999</v>
      </c>
      <c r="CF25">
        <v>10</v>
      </c>
      <c r="CG25">
        <v>-0.22</v>
      </c>
      <c r="CH25">
        <v>-2.7E-2</v>
      </c>
      <c r="CI25">
        <v>-0.49299999999999999</v>
      </c>
      <c r="CJ25">
        <v>0.152</v>
      </c>
      <c r="CK25">
        <v>800</v>
      </c>
      <c r="CL25">
        <v>19</v>
      </c>
      <c r="CM25">
        <v>0.1</v>
      </c>
      <c r="CN25">
        <v>0.03</v>
      </c>
      <c r="CO25">
        <v>4.5993389999999996</v>
      </c>
      <c r="CP25">
        <v>-6.4799945966229036</v>
      </c>
      <c r="CQ25">
        <v>0.62399447489460991</v>
      </c>
      <c r="CR25">
        <v>-1</v>
      </c>
      <c r="CS25">
        <v>6.8985174999999996</v>
      </c>
      <c r="CT25">
        <v>-3.5909092682926902</v>
      </c>
      <c r="CU25">
        <v>0.3459085089640756</v>
      </c>
      <c r="CV25">
        <v>-1</v>
      </c>
      <c r="CW25">
        <v>0</v>
      </c>
      <c r="CX25">
        <v>0</v>
      </c>
      <c r="CY25" t="s">
        <v>333</v>
      </c>
      <c r="CZ25">
        <v>2.3645499999999999</v>
      </c>
      <c r="DA25">
        <v>2.7138200000000001</v>
      </c>
      <c r="DB25">
        <v>0.146982</v>
      </c>
      <c r="DC25">
        <v>0.14607300000000001</v>
      </c>
      <c r="DD25">
        <v>7.0489099999999999E-2</v>
      </c>
      <c r="DE25">
        <v>3.9423300000000001E-2</v>
      </c>
      <c r="DF25">
        <v>31142.1</v>
      </c>
      <c r="DG25">
        <v>27514.799999999999</v>
      </c>
      <c r="DH25">
        <v>31167.599999999999</v>
      </c>
      <c r="DI25">
        <v>28077</v>
      </c>
      <c r="DJ25">
        <v>39348.9</v>
      </c>
      <c r="DK25">
        <v>38353.300000000003</v>
      </c>
      <c r="DL25">
        <v>44355.4</v>
      </c>
      <c r="DM25">
        <v>42554.3</v>
      </c>
      <c r="DN25">
        <v>1.47207</v>
      </c>
      <c r="DO25">
        <v>2.0350299999999999</v>
      </c>
      <c r="DP25">
        <v>0.14310300000000001</v>
      </c>
      <c r="DQ25">
        <v>0.19846900000000001</v>
      </c>
      <c r="DR25">
        <v>25.861999999999998</v>
      </c>
      <c r="DS25">
        <v>25.856000000000002</v>
      </c>
      <c r="DT25">
        <v>28.3</v>
      </c>
      <c r="DU25">
        <v>29.4</v>
      </c>
      <c r="DV25">
        <v>11.756600000000001</v>
      </c>
      <c r="DW25">
        <v>62.334200000000003</v>
      </c>
      <c r="DX25">
        <v>36.229999999999997</v>
      </c>
      <c r="DY25">
        <v>1</v>
      </c>
      <c r="DZ25">
        <v>-6.2240900000000002E-2</v>
      </c>
      <c r="EA25">
        <v>9.2810500000000005</v>
      </c>
      <c r="EB25">
        <v>19.872199999999999</v>
      </c>
      <c r="EC25">
        <v>5.2404999999999999</v>
      </c>
      <c r="ED25">
        <v>12.039899999999999</v>
      </c>
      <c r="EE25">
        <v>5.0170000000000003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1.8689</v>
      </c>
      <c r="EL25">
        <v>1.8646199999999999</v>
      </c>
      <c r="EM25">
        <v>1.86913</v>
      </c>
      <c r="EN25">
        <v>1.8672200000000001</v>
      </c>
      <c r="EO25">
        <v>1.8633900000000001</v>
      </c>
      <c r="EP25">
        <v>1.8645</v>
      </c>
      <c r="EQ25">
        <v>1.8701399999999999</v>
      </c>
      <c r="ER25">
        <v>1.8693900000000001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-0.496</v>
      </c>
      <c r="FG25">
        <v>-1.7899999999999999E-2</v>
      </c>
      <c r="FH25">
        <v>5.8509882529719233E-2</v>
      </c>
      <c r="FI25">
        <v>-6.1462078757559423E-4</v>
      </c>
      <c r="FJ25">
        <v>-1.8861989874597051E-7</v>
      </c>
      <c r="FK25">
        <v>1.1980462299894961E-10</v>
      </c>
      <c r="FL25">
        <v>-5.9863424041980147E-2</v>
      </c>
      <c r="FM25">
        <v>-1.6848085045870601E-2</v>
      </c>
      <c r="FN25">
        <v>1.9789084769509481E-3</v>
      </c>
      <c r="FO25">
        <v>-2.7142391389806329E-5</v>
      </c>
      <c r="FP25">
        <v>3</v>
      </c>
      <c r="FQ25">
        <v>2158</v>
      </c>
      <c r="FR25">
        <v>1</v>
      </c>
      <c r="FS25">
        <v>19</v>
      </c>
      <c r="FT25">
        <v>10.199999999999999</v>
      </c>
      <c r="FU25">
        <v>10.4</v>
      </c>
      <c r="FV25">
        <v>1.7773399999999999</v>
      </c>
      <c r="FW25">
        <v>2.5830099999999998</v>
      </c>
      <c r="FX25">
        <v>1.5490699999999999</v>
      </c>
      <c r="FY25">
        <v>2.3290999999999999</v>
      </c>
      <c r="FZ25">
        <v>1.50146</v>
      </c>
      <c r="GA25">
        <v>2.3791500000000001</v>
      </c>
      <c r="GB25">
        <v>33.805700000000002</v>
      </c>
      <c r="GC25">
        <v>23.868600000000001</v>
      </c>
      <c r="GD25">
        <v>19</v>
      </c>
      <c r="GE25">
        <v>281.19900000000001</v>
      </c>
      <c r="GF25">
        <v>582.173</v>
      </c>
      <c r="GG25">
        <v>22.467400000000001</v>
      </c>
      <c r="GH25">
        <v>26.314800000000002</v>
      </c>
      <c r="GI25">
        <v>30.001200000000001</v>
      </c>
      <c r="GJ25">
        <v>26.368099999999998</v>
      </c>
      <c r="GK25">
        <v>26.349499999999999</v>
      </c>
      <c r="GL25">
        <v>35.536099999999998</v>
      </c>
      <c r="GM25">
        <v>-30</v>
      </c>
      <c r="GN25">
        <v>-30</v>
      </c>
      <c r="GO25">
        <v>19.569900000000001</v>
      </c>
      <c r="GP25">
        <v>800</v>
      </c>
      <c r="GQ25">
        <v>18.0809</v>
      </c>
      <c r="GR25">
        <v>99.724199999999996</v>
      </c>
      <c r="GS25">
        <v>99.55</v>
      </c>
    </row>
    <row r="26" spans="1:201" x14ac:dyDescent="0.25">
      <c r="A26">
        <v>10</v>
      </c>
      <c r="B26">
        <v>1690221145</v>
      </c>
      <c r="C26">
        <v>262.5</v>
      </c>
      <c r="D26" t="s">
        <v>351</v>
      </c>
      <c r="E26" t="s">
        <v>352</v>
      </c>
      <c r="F26" t="s">
        <v>330</v>
      </c>
      <c r="H26">
        <v>1690221145</v>
      </c>
      <c r="I26">
        <f t="shared" si="0"/>
        <v>5.7265070497872206E-4</v>
      </c>
      <c r="J26">
        <f t="shared" si="1"/>
        <v>0.57265070497872206</v>
      </c>
      <c r="K26">
        <f t="shared" si="2"/>
        <v>-0.65349333393851516</v>
      </c>
      <c r="L26">
        <f t="shared" si="3"/>
        <v>801.96100000000001</v>
      </c>
      <c r="M26">
        <f t="shared" si="4"/>
        <v>817.29229377249158</v>
      </c>
      <c r="N26">
        <f t="shared" si="5"/>
        <v>81.054436898649655</v>
      </c>
      <c r="O26">
        <f t="shared" si="6"/>
        <v>79.533965712116</v>
      </c>
      <c r="P26">
        <f t="shared" si="7"/>
        <v>1.9899682426916268E-2</v>
      </c>
      <c r="Q26">
        <f t="shared" si="8"/>
        <v>2.1913858002641611</v>
      </c>
      <c r="R26">
        <f t="shared" si="9"/>
        <v>1.9799833883262279E-2</v>
      </c>
      <c r="S26">
        <f t="shared" si="10"/>
        <v>1.238382530835108E-2</v>
      </c>
      <c r="T26">
        <f t="shared" si="11"/>
        <v>276.10849313658252</v>
      </c>
      <c r="U26">
        <f t="shared" si="12"/>
        <v>28.772846898683198</v>
      </c>
      <c r="V26">
        <f t="shared" si="13"/>
        <v>28.772846898683198</v>
      </c>
      <c r="W26">
        <f t="shared" si="14"/>
        <v>3.9692112547259493</v>
      </c>
      <c r="X26">
        <f t="shared" si="15"/>
        <v>33.147907703437731</v>
      </c>
      <c r="Y26">
        <f t="shared" si="16"/>
        <v>1.1752855406492</v>
      </c>
      <c r="Z26">
        <f t="shared" si="17"/>
        <v>3.5455798633327094</v>
      </c>
      <c r="AA26">
        <f t="shared" si="18"/>
        <v>2.7939257140767495</v>
      </c>
      <c r="AB26">
        <f t="shared" si="19"/>
        <v>-25.253896089561643</v>
      </c>
      <c r="AC26">
        <f t="shared" si="20"/>
        <v>-228.39763821507896</v>
      </c>
      <c r="AD26">
        <f t="shared" si="21"/>
        <v>-22.675084262835767</v>
      </c>
      <c r="AE26">
        <f t="shared" si="22"/>
        <v>-0.21812543089382075</v>
      </c>
      <c r="AF26">
        <v>0</v>
      </c>
      <c r="AG26">
        <v>0</v>
      </c>
      <c r="AH26">
        <f t="shared" si="23"/>
        <v>1</v>
      </c>
      <c r="AI26">
        <f t="shared" si="24"/>
        <v>0</v>
      </c>
      <c r="AJ26">
        <f t="shared" si="25"/>
        <v>52302.560191462449</v>
      </c>
      <c r="AK26">
        <f t="shared" si="26"/>
        <v>1799.95</v>
      </c>
      <c r="AL26">
        <f t="shared" si="27"/>
        <v>1499.0715639665</v>
      </c>
      <c r="AM26">
        <f t="shared" si="28"/>
        <v>0.83284066999999995</v>
      </c>
      <c r="AN26">
        <f t="shared" si="29"/>
        <v>0.15339786834999999</v>
      </c>
      <c r="AO26">
        <v>31.2</v>
      </c>
      <c r="AP26">
        <v>0.5</v>
      </c>
      <c r="AQ26" t="s">
        <v>331</v>
      </c>
      <c r="AR26">
        <v>2</v>
      </c>
      <c r="AS26">
        <v>1690221145</v>
      </c>
      <c r="AT26">
        <v>801.96100000000001</v>
      </c>
      <c r="AU26">
        <v>799.94200000000001</v>
      </c>
      <c r="AV26">
        <v>11.8507</v>
      </c>
      <c r="AW26">
        <v>5.9691999999999998</v>
      </c>
      <c r="AX26">
        <v>802.45500000000004</v>
      </c>
      <c r="AY26">
        <v>11.877000000000001</v>
      </c>
      <c r="AZ26">
        <v>300.178</v>
      </c>
      <c r="BA26">
        <v>99.074299999999994</v>
      </c>
      <c r="BB26">
        <v>0.10005600000000001</v>
      </c>
      <c r="BC26">
        <v>26.839600000000001</v>
      </c>
      <c r="BD26">
        <v>27.927700000000002</v>
      </c>
      <c r="BE26">
        <v>28.7135</v>
      </c>
      <c r="BF26">
        <v>0</v>
      </c>
      <c r="BG26">
        <v>0</v>
      </c>
      <c r="BH26">
        <v>9977.5</v>
      </c>
      <c r="BI26">
        <v>1082.6199999999999</v>
      </c>
      <c r="BJ26">
        <v>1.2474700000000001</v>
      </c>
      <c r="BK26">
        <v>2.0194100000000001</v>
      </c>
      <c r="BL26">
        <v>811.57899999999995</v>
      </c>
      <c r="BM26">
        <v>804.745</v>
      </c>
      <c r="BN26">
        <v>5.8814900000000003</v>
      </c>
      <c r="BO26">
        <v>799.94200000000001</v>
      </c>
      <c r="BP26">
        <v>5.9691999999999998</v>
      </c>
      <c r="BQ26">
        <v>1.1740999999999999</v>
      </c>
      <c r="BR26">
        <v>0.591395</v>
      </c>
      <c r="BS26">
        <v>9.2771299999999997</v>
      </c>
      <c r="BT26">
        <v>-0.50753599999999999</v>
      </c>
      <c r="BU26">
        <v>1799.95</v>
      </c>
      <c r="BV26">
        <v>0.91</v>
      </c>
      <c r="BW26">
        <v>3.4000099999999998E-2</v>
      </c>
      <c r="BX26">
        <v>2.2007499999999999E-2</v>
      </c>
      <c r="BY26">
        <v>3.3992099999999997E-2</v>
      </c>
      <c r="BZ26">
        <v>26</v>
      </c>
      <c r="CA26">
        <v>33527.4</v>
      </c>
      <c r="CB26">
        <v>1690220522.5999999</v>
      </c>
      <c r="CC26" t="s">
        <v>332</v>
      </c>
      <c r="CD26">
        <v>1690220522.5999999</v>
      </c>
      <c r="CE26">
        <v>1690220510.5999999</v>
      </c>
      <c r="CF26">
        <v>10</v>
      </c>
      <c r="CG26">
        <v>-0.22</v>
      </c>
      <c r="CH26">
        <v>-2.7E-2</v>
      </c>
      <c r="CI26">
        <v>-0.49299999999999999</v>
      </c>
      <c r="CJ26">
        <v>0.152</v>
      </c>
      <c r="CK26">
        <v>800</v>
      </c>
      <c r="CL26">
        <v>19</v>
      </c>
      <c r="CM26">
        <v>0.1</v>
      </c>
      <c r="CN26">
        <v>0.03</v>
      </c>
      <c r="CO26">
        <v>3.5294514634146341</v>
      </c>
      <c r="CP26">
        <v>-7.3458424390243708</v>
      </c>
      <c r="CQ26">
        <v>0.72512649509286542</v>
      </c>
      <c r="CR26">
        <v>-1</v>
      </c>
      <c r="CS26">
        <v>6.3963563414634148</v>
      </c>
      <c r="CT26">
        <v>-2.9424719163763182</v>
      </c>
      <c r="CU26">
        <v>0.29065950881934499</v>
      </c>
      <c r="CV26">
        <v>-1</v>
      </c>
      <c r="CW26">
        <v>0</v>
      </c>
      <c r="CX26">
        <v>0</v>
      </c>
      <c r="CY26" t="s">
        <v>333</v>
      </c>
      <c r="CZ26">
        <v>2.3644599999999998</v>
      </c>
      <c r="DA26">
        <v>2.7138300000000002</v>
      </c>
      <c r="DB26">
        <v>0.14680399999999999</v>
      </c>
      <c r="DC26">
        <v>0.14607000000000001</v>
      </c>
      <c r="DD26">
        <v>6.8569599999999994E-2</v>
      </c>
      <c r="DE26">
        <v>3.9283400000000003E-2</v>
      </c>
      <c r="DF26">
        <v>31149.599999999999</v>
      </c>
      <c r="DG26">
        <v>27515.8</v>
      </c>
      <c r="DH26">
        <v>31168.6</v>
      </c>
      <c r="DI26">
        <v>28077.9</v>
      </c>
      <c r="DJ26">
        <v>39432</v>
      </c>
      <c r="DK26">
        <v>38360.199999999997</v>
      </c>
      <c r="DL26">
        <v>44356.9</v>
      </c>
      <c r="DM26">
        <v>42555.8</v>
      </c>
      <c r="DN26">
        <v>1.4726300000000001</v>
      </c>
      <c r="DO26">
        <v>2.03457</v>
      </c>
      <c r="DP26">
        <v>0.12449200000000001</v>
      </c>
      <c r="DQ26">
        <v>0.17517099999999999</v>
      </c>
      <c r="DR26">
        <v>25.891500000000001</v>
      </c>
      <c r="DS26">
        <v>25.85</v>
      </c>
      <c r="DT26">
        <v>27.3</v>
      </c>
      <c r="DU26">
        <v>29.4</v>
      </c>
      <c r="DV26">
        <v>11.343</v>
      </c>
      <c r="DW26">
        <v>62.684199999999997</v>
      </c>
      <c r="DX26">
        <v>36.201900000000002</v>
      </c>
      <c r="DY26">
        <v>1</v>
      </c>
      <c r="DZ26">
        <v>-6.3569600000000004E-2</v>
      </c>
      <c r="EA26">
        <v>9.2810500000000005</v>
      </c>
      <c r="EB26">
        <v>19.882300000000001</v>
      </c>
      <c r="EC26">
        <v>5.2400500000000001</v>
      </c>
      <c r="ED26">
        <v>12.039899999999999</v>
      </c>
      <c r="EE26">
        <v>5.0168499999999998</v>
      </c>
      <c r="EF26">
        <v>3.2879999999999998</v>
      </c>
      <c r="EG26">
        <v>9999</v>
      </c>
      <c r="EH26">
        <v>9999</v>
      </c>
      <c r="EI26">
        <v>9999</v>
      </c>
      <c r="EJ26">
        <v>999.9</v>
      </c>
      <c r="EK26">
        <v>1.8689</v>
      </c>
      <c r="EL26">
        <v>1.8646199999999999</v>
      </c>
      <c r="EM26">
        <v>1.86913</v>
      </c>
      <c r="EN26">
        <v>1.8672200000000001</v>
      </c>
      <c r="EO26">
        <v>1.86338</v>
      </c>
      <c r="EP26">
        <v>1.8645</v>
      </c>
      <c r="EQ26">
        <v>1.8701399999999999</v>
      </c>
      <c r="ER26">
        <v>1.86941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-0.49399999999999999</v>
      </c>
      <c r="FG26">
        <v>-2.63E-2</v>
      </c>
      <c r="FH26">
        <v>5.8509882529719233E-2</v>
      </c>
      <c r="FI26">
        <v>-6.1462078757559423E-4</v>
      </c>
      <c r="FJ26">
        <v>-1.8861989874597051E-7</v>
      </c>
      <c r="FK26">
        <v>1.1980462299894961E-10</v>
      </c>
      <c r="FL26">
        <v>-5.9863424041980147E-2</v>
      </c>
      <c r="FM26">
        <v>-1.6848085045870601E-2</v>
      </c>
      <c r="FN26">
        <v>1.9789084769509481E-3</v>
      </c>
      <c r="FO26">
        <v>-2.7142391389806329E-5</v>
      </c>
      <c r="FP26">
        <v>3</v>
      </c>
      <c r="FQ26">
        <v>2158</v>
      </c>
      <c r="FR26">
        <v>1</v>
      </c>
      <c r="FS26">
        <v>19</v>
      </c>
      <c r="FT26">
        <v>10.4</v>
      </c>
      <c r="FU26">
        <v>10.6</v>
      </c>
      <c r="FV26">
        <v>1.7773399999999999</v>
      </c>
      <c r="FW26">
        <v>2.5805699999999998</v>
      </c>
      <c r="FX26">
        <v>1.5490699999999999</v>
      </c>
      <c r="FY26">
        <v>2.3290999999999999</v>
      </c>
      <c r="FZ26">
        <v>1.50146</v>
      </c>
      <c r="GA26">
        <v>2.3559600000000001</v>
      </c>
      <c r="GB26">
        <v>33.805700000000002</v>
      </c>
      <c r="GC26">
        <v>23.868600000000001</v>
      </c>
      <c r="GD26">
        <v>19</v>
      </c>
      <c r="GE26">
        <v>281.44499999999999</v>
      </c>
      <c r="GF26">
        <v>581.82000000000005</v>
      </c>
      <c r="GG26">
        <v>20.869399999999999</v>
      </c>
      <c r="GH26">
        <v>26.322199999999999</v>
      </c>
      <c r="GI26">
        <v>29.9998</v>
      </c>
      <c r="GJ26">
        <v>26.370999999999999</v>
      </c>
      <c r="GK26">
        <v>26.351099999999999</v>
      </c>
      <c r="GL26">
        <v>35.539099999999998</v>
      </c>
      <c r="GM26">
        <v>-30</v>
      </c>
      <c r="GN26">
        <v>-30</v>
      </c>
      <c r="GO26">
        <v>17.481000000000002</v>
      </c>
      <c r="GP26">
        <v>800</v>
      </c>
      <c r="GQ26">
        <v>18.0809</v>
      </c>
      <c r="GR26">
        <v>99.727599999999995</v>
      </c>
      <c r="GS26">
        <v>99.553399999999996</v>
      </c>
    </row>
    <row r="27" spans="1:201" x14ac:dyDescent="0.25">
      <c r="A27">
        <v>11</v>
      </c>
      <c r="B27">
        <v>1690221155</v>
      </c>
      <c r="C27">
        <v>272.5</v>
      </c>
      <c r="D27" t="s">
        <v>353</v>
      </c>
      <c r="E27" t="s">
        <v>354</v>
      </c>
      <c r="F27" t="s">
        <v>330</v>
      </c>
      <c r="H27">
        <v>1690221155</v>
      </c>
      <c r="I27">
        <f t="shared" si="0"/>
        <v>5.3852607822842699E-4</v>
      </c>
      <c r="J27">
        <f t="shared" si="1"/>
        <v>0.53852607822842702</v>
      </c>
      <c r="K27">
        <f t="shared" si="2"/>
        <v>-0.43197292001688425</v>
      </c>
      <c r="L27">
        <f t="shared" si="3"/>
        <v>799.99599999999998</v>
      </c>
      <c r="M27">
        <f t="shared" si="4"/>
        <v>800.09188190039333</v>
      </c>
      <c r="N27">
        <f t="shared" si="5"/>
        <v>79.345039119700758</v>
      </c>
      <c r="O27">
        <f t="shared" si="6"/>
        <v>79.335530520364003</v>
      </c>
      <c r="P27">
        <f t="shared" si="7"/>
        <v>1.890691457888663E-2</v>
      </c>
      <c r="Q27">
        <f t="shared" si="8"/>
        <v>2.1934844042671129</v>
      </c>
      <c r="R27">
        <f t="shared" si="9"/>
        <v>1.8816841592253157E-2</v>
      </c>
      <c r="S27">
        <f t="shared" si="10"/>
        <v>1.1768582828773189E-2</v>
      </c>
      <c r="T27">
        <f t="shared" si="11"/>
        <v>276.11086083362073</v>
      </c>
      <c r="U27">
        <f t="shared" si="12"/>
        <v>28.490477345103532</v>
      </c>
      <c r="V27">
        <f t="shared" si="13"/>
        <v>28.490477345103532</v>
      </c>
      <c r="W27">
        <f t="shared" si="14"/>
        <v>3.9047090120553314</v>
      </c>
      <c r="X27">
        <f t="shared" si="15"/>
        <v>32.674366070189194</v>
      </c>
      <c r="Y27">
        <f t="shared" si="16"/>
        <v>1.1386986461107</v>
      </c>
      <c r="Z27">
        <f t="shared" si="17"/>
        <v>3.4849907834925187</v>
      </c>
      <c r="AA27">
        <f t="shared" si="18"/>
        <v>2.7660103659446316</v>
      </c>
      <c r="AB27">
        <f t="shared" si="19"/>
        <v>-23.749000049873629</v>
      </c>
      <c r="AC27">
        <f t="shared" si="20"/>
        <v>-229.84981946122247</v>
      </c>
      <c r="AD27">
        <f t="shared" si="21"/>
        <v>-22.732102425853967</v>
      </c>
      <c r="AE27">
        <f t="shared" si="22"/>
        <v>-0.22006110332932849</v>
      </c>
      <c r="AF27">
        <v>0</v>
      </c>
      <c r="AG27">
        <v>0</v>
      </c>
      <c r="AH27">
        <f t="shared" si="23"/>
        <v>1</v>
      </c>
      <c r="AI27">
        <f t="shared" si="24"/>
        <v>0</v>
      </c>
      <c r="AJ27">
        <f t="shared" si="25"/>
        <v>52439.455424826978</v>
      </c>
      <c r="AK27">
        <f t="shared" si="26"/>
        <v>1799.97</v>
      </c>
      <c r="AL27">
        <f t="shared" si="27"/>
        <v>1499.0846676391202</v>
      </c>
      <c r="AM27">
        <f t="shared" si="28"/>
        <v>0.83283869600000004</v>
      </c>
      <c r="AN27">
        <f t="shared" si="29"/>
        <v>0.15339747931</v>
      </c>
      <c r="AO27">
        <v>31.2</v>
      </c>
      <c r="AP27">
        <v>0.5</v>
      </c>
      <c r="AQ27" t="s">
        <v>331</v>
      </c>
      <c r="AR27">
        <v>2</v>
      </c>
      <c r="AS27">
        <v>1690221155</v>
      </c>
      <c r="AT27">
        <v>799.99599999999998</v>
      </c>
      <c r="AU27">
        <v>799.98400000000004</v>
      </c>
      <c r="AV27">
        <v>11.4823</v>
      </c>
      <c r="AW27">
        <v>5.9476899999999997</v>
      </c>
      <c r="AX27">
        <v>800.48900000000003</v>
      </c>
      <c r="AY27">
        <v>11.5152</v>
      </c>
      <c r="AZ27">
        <v>300.09500000000003</v>
      </c>
      <c r="BA27">
        <v>99.069900000000004</v>
      </c>
      <c r="BB27">
        <v>0.100009</v>
      </c>
      <c r="BC27">
        <v>26.546800000000001</v>
      </c>
      <c r="BD27">
        <v>27.573699999999999</v>
      </c>
      <c r="BE27">
        <v>28.334599999999998</v>
      </c>
      <c r="BF27">
        <v>0</v>
      </c>
      <c r="BG27">
        <v>0</v>
      </c>
      <c r="BH27">
        <v>9995</v>
      </c>
      <c r="BI27">
        <v>1081.83</v>
      </c>
      <c r="BJ27">
        <v>1.1773899999999999</v>
      </c>
      <c r="BK27">
        <v>1.17798E-2</v>
      </c>
      <c r="BL27">
        <v>809.28899999999999</v>
      </c>
      <c r="BM27">
        <v>804.77099999999996</v>
      </c>
      <c r="BN27">
        <v>5.5346299999999999</v>
      </c>
      <c r="BO27">
        <v>799.98400000000004</v>
      </c>
      <c r="BP27">
        <v>5.9476899999999997</v>
      </c>
      <c r="BQ27">
        <v>1.1375500000000001</v>
      </c>
      <c r="BR27">
        <v>0.58923800000000004</v>
      </c>
      <c r="BS27">
        <v>8.8084600000000002</v>
      </c>
      <c r="BT27">
        <v>-0.55762800000000001</v>
      </c>
      <c r="BU27">
        <v>1799.97</v>
      </c>
      <c r="BV27">
        <v>0.90998900000000005</v>
      </c>
      <c r="BW27">
        <v>3.4007599999999999E-2</v>
      </c>
      <c r="BX27">
        <v>2.1999299999999999E-2</v>
      </c>
      <c r="BY27">
        <v>3.4004300000000001E-2</v>
      </c>
      <c r="BZ27">
        <v>26</v>
      </c>
      <c r="CA27">
        <v>33527.800000000003</v>
      </c>
      <c r="CB27">
        <v>1690220522.5999999</v>
      </c>
      <c r="CC27" t="s">
        <v>332</v>
      </c>
      <c r="CD27">
        <v>1690220522.5999999</v>
      </c>
      <c r="CE27">
        <v>1690220510.5999999</v>
      </c>
      <c r="CF27">
        <v>10</v>
      </c>
      <c r="CG27">
        <v>-0.22</v>
      </c>
      <c r="CH27">
        <v>-2.7E-2</v>
      </c>
      <c r="CI27">
        <v>-0.49299999999999999</v>
      </c>
      <c r="CJ27">
        <v>0.152</v>
      </c>
      <c r="CK27">
        <v>800</v>
      </c>
      <c r="CL27">
        <v>19</v>
      </c>
      <c r="CM27">
        <v>0.1</v>
      </c>
      <c r="CN27">
        <v>0.03</v>
      </c>
      <c r="CO27">
        <v>1.9487482926829269</v>
      </c>
      <c r="CP27">
        <v>-9.9845476515679437</v>
      </c>
      <c r="CQ27">
        <v>0.98864163805795391</v>
      </c>
      <c r="CR27">
        <v>-1</v>
      </c>
      <c r="CS27">
        <v>5.9144707317073184</v>
      </c>
      <c r="CT27">
        <v>-2.3263745644599272</v>
      </c>
      <c r="CU27">
        <v>0.22969519245306369</v>
      </c>
      <c r="CV27">
        <v>-1</v>
      </c>
      <c r="CW27">
        <v>0</v>
      </c>
      <c r="CX27">
        <v>0</v>
      </c>
      <c r="CY27" t="s">
        <v>333</v>
      </c>
      <c r="CZ27">
        <v>2.36416</v>
      </c>
      <c r="DA27">
        <v>2.7137899999999999</v>
      </c>
      <c r="DB27">
        <v>0.14655000000000001</v>
      </c>
      <c r="DC27">
        <v>0.146068</v>
      </c>
      <c r="DD27">
        <v>6.6970799999999997E-2</v>
      </c>
      <c r="DE27">
        <v>3.9165800000000001E-2</v>
      </c>
      <c r="DF27">
        <v>31159.599999999999</v>
      </c>
      <c r="DG27">
        <v>27516.799999999999</v>
      </c>
      <c r="DH27">
        <v>31169.4</v>
      </c>
      <c r="DI27">
        <v>28079</v>
      </c>
      <c r="DJ27">
        <v>39500.800000000003</v>
      </c>
      <c r="DK27">
        <v>38366.1</v>
      </c>
      <c r="DL27">
        <v>44357.8</v>
      </c>
      <c r="DM27">
        <v>42557.1</v>
      </c>
      <c r="DN27">
        <v>1.4720299999999999</v>
      </c>
      <c r="DO27">
        <v>2.03437</v>
      </c>
      <c r="DP27">
        <v>0.10255</v>
      </c>
      <c r="DQ27">
        <v>0.15424199999999999</v>
      </c>
      <c r="DR27">
        <v>25.895900000000001</v>
      </c>
      <c r="DS27">
        <v>25.8124</v>
      </c>
      <c r="DT27">
        <v>26.4</v>
      </c>
      <c r="DU27">
        <v>29.4</v>
      </c>
      <c r="DV27">
        <v>10.9664</v>
      </c>
      <c r="DW27">
        <v>62.524099999999997</v>
      </c>
      <c r="DX27">
        <v>36.145800000000001</v>
      </c>
      <c r="DY27">
        <v>1</v>
      </c>
      <c r="DZ27">
        <v>-6.4242900000000006E-2</v>
      </c>
      <c r="EA27">
        <v>9.2810500000000005</v>
      </c>
      <c r="EB27">
        <v>19.889800000000001</v>
      </c>
      <c r="EC27">
        <v>5.2403500000000003</v>
      </c>
      <c r="ED27">
        <v>12.039899999999999</v>
      </c>
      <c r="EE27">
        <v>5.01675</v>
      </c>
      <c r="EF27">
        <v>3.2879999999999998</v>
      </c>
      <c r="EG27">
        <v>9999</v>
      </c>
      <c r="EH27">
        <v>9999</v>
      </c>
      <c r="EI27">
        <v>9999</v>
      </c>
      <c r="EJ27">
        <v>999.9</v>
      </c>
      <c r="EK27">
        <v>1.8689</v>
      </c>
      <c r="EL27">
        <v>1.8646199999999999</v>
      </c>
      <c r="EM27">
        <v>1.86917</v>
      </c>
      <c r="EN27">
        <v>1.8672299999999999</v>
      </c>
      <c r="EO27">
        <v>1.8633999999999999</v>
      </c>
      <c r="EP27">
        <v>1.8645099999999999</v>
      </c>
      <c r="EQ27">
        <v>1.87015</v>
      </c>
      <c r="ER27">
        <v>1.86941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-0.49299999999999999</v>
      </c>
      <c r="FG27">
        <v>-3.2899999999999999E-2</v>
      </c>
      <c r="FH27">
        <v>5.8509882529719233E-2</v>
      </c>
      <c r="FI27">
        <v>-6.1462078757559423E-4</v>
      </c>
      <c r="FJ27">
        <v>-1.8861989874597051E-7</v>
      </c>
      <c r="FK27">
        <v>1.1980462299894961E-10</v>
      </c>
      <c r="FL27">
        <v>-5.9863424041980147E-2</v>
      </c>
      <c r="FM27">
        <v>-1.6848085045870601E-2</v>
      </c>
      <c r="FN27">
        <v>1.9789084769509481E-3</v>
      </c>
      <c r="FO27">
        <v>-2.7142391389806329E-5</v>
      </c>
      <c r="FP27">
        <v>3</v>
      </c>
      <c r="FQ27">
        <v>2158</v>
      </c>
      <c r="FR27">
        <v>1</v>
      </c>
      <c r="FS27">
        <v>19</v>
      </c>
      <c r="FT27">
        <v>10.5</v>
      </c>
      <c r="FU27">
        <v>10.7</v>
      </c>
      <c r="FV27">
        <v>1.7773399999999999</v>
      </c>
      <c r="FW27">
        <v>2.5805699999999998</v>
      </c>
      <c r="FX27">
        <v>1.5490699999999999</v>
      </c>
      <c r="FY27">
        <v>2.3290999999999999</v>
      </c>
      <c r="FZ27">
        <v>1.50146</v>
      </c>
      <c r="GA27">
        <v>2.3913600000000002</v>
      </c>
      <c r="GB27">
        <v>33.805700000000002</v>
      </c>
      <c r="GC27">
        <v>23.877400000000002</v>
      </c>
      <c r="GD27">
        <v>19</v>
      </c>
      <c r="GE27">
        <v>281.20699999999999</v>
      </c>
      <c r="GF27">
        <v>581.69200000000001</v>
      </c>
      <c r="GG27">
        <v>19.6203</v>
      </c>
      <c r="GH27">
        <v>26.3339</v>
      </c>
      <c r="GI27">
        <v>29.999700000000001</v>
      </c>
      <c r="GJ27">
        <v>26.3749</v>
      </c>
      <c r="GK27">
        <v>26.354500000000002</v>
      </c>
      <c r="GL27">
        <v>35.536900000000003</v>
      </c>
      <c r="GM27">
        <v>-30</v>
      </c>
      <c r="GN27">
        <v>-30</v>
      </c>
      <c r="GO27">
        <v>16.0002</v>
      </c>
      <c r="GP27">
        <v>800</v>
      </c>
      <c r="GQ27">
        <v>18.0809</v>
      </c>
      <c r="GR27">
        <v>99.729799999999997</v>
      </c>
      <c r="GS27">
        <v>99.556700000000006</v>
      </c>
    </row>
    <row r="28" spans="1:201" x14ac:dyDescent="0.25">
      <c r="A28">
        <v>12</v>
      </c>
      <c r="B28">
        <v>1690221165</v>
      </c>
      <c r="C28">
        <v>282.5</v>
      </c>
      <c r="D28" t="s">
        <v>355</v>
      </c>
      <c r="E28" t="s">
        <v>356</v>
      </c>
      <c r="F28" t="s">
        <v>330</v>
      </c>
      <c r="H28">
        <v>1690221165</v>
      </c>
      <c r="I28">
        <f t="shared" si="0"/>
        <v>5.1080018989167362E-4</v>
      </c>
      <c r="J28">
        <f t="shared" si="1"/>
        <v>0.51080018989167364</v>
      </c>
      <c r="K28">
        <f t="shared" si="2"/>
        <v>-0.21376865876841356</v>
      </c>
      <c r="L28">
        <f t="shared" si="3"/>
        <v>798.00800000000004</v>
      </c>
      <c r="M28">
        <f t="shared" si="4"/>
        <v>781.21570022411674</v>
      </c>
      <c r="N28">
        <f t="shared" si="5"/>
        <v>77.473125602154425</v>
      </c>
      <c r="O28">
        <f t="shared" si="6"/>
        <v>79.138417210237606</v>
      </c>
      <c r="P28">
        <f t="shared" si="7"/>
        <v>1.8133183601018895E-2</v>
      </c>
      <c r="Q28">
        <f t="shared" si="8"/>
        <v>2.1914088174672655</v>
      </c>
      <c r="R28">
        <f t="shared" si="9"/>
        <v>1.8050236372241627E-2</v>
      </c>
      <c r="S28">
        <f t="shared" si="10"/>
        <v>1.1288818490591225E-2</v>
      </c>
      <c r="T28">
        <f t="shared" si="11"/>
        <v>276.10833749281403</v>
      </c>
      <c r="U28">
        <f t="shared" si="12"/>
        <v>28.225742477667072</v>
      </c>
      <c r="V28">
        <f t="shared" si="13"/>
        <v>28.225742477667072</v>
      </c>
      <c r="W28">
        <f t="shared" si="14"/>
        <v>3.8450674313907625</v>
      </c>
      <c r="X28">
        <f t="shared" si="15"/>
        <v>32.338401873337013</v>
      </c>
      <c r="Y28">
        <f t="shared" si="16"/>
        <v>1.1087696785233501</v>
      </c>
      <c r="Z28">
        <f t="shared" si="17"/>
        <v>3.4286471015672846</v>
      </c>
      <c r="AA28">
        <f t="shared" si="18"/>
        <v>2.7362977528674124</v>
      </c>
      <c r="AB28">
        <f t="shared" si="19"/>
        <v>-22.526288374222808</v>
      </c>
      <c r="AC28">
        <f t="shared" si="20"/>
        <v>-230.99866598237867</v>
      </c>
      <c r="AD28">
        <f t="shared" si="21"/>
        <v>-22.805666800175025</v>
      </c>
      <c r="AE28">
        <f t="shared" si="22"/>
        <v>-0.22228366396248589</v>
      </c>
      <c r="AF28">
        <v>0</v>
      </c>
      <c r="AG28">
        <v>0</v>
      </c>
      <c r="AH28">
        <f t="shared" si="23"/>
        <v>1</v>
      </c>
      <c r="AI28">
        <f t="shared" si="24"/>
        <v>0</v>
      </c>
      <c r="AJ28">
        <f t="shared" si="25"/>
        <v>52402.870423352659</v>
      </c>
      <c r="AK28">
        <f t="shared" si="26"/>
        <v>1799.96</v>
      </c>
      <c r="AL28">
        <f t="shared" si="27"/>
        <v>1499.0800543696</v>
      </c>
      <c r="AM28">
        <f t="shared" si="28"/>
        <v>0.83284075999999996</v>
      </c>
      <c r="AN28">
        <f t="shared" si="29"/>
        <v>0.15339692965000001</v>
      </c>
      <c r="AO28">
        <v>31.2</v>
      </c>
      <c r="AP28">
        <v>0.5</v>
      </c>
      <c r="AQ28" t="s">
        <v>331</v>
      </c>
      <c r="AR28">
        <v>2</v>
      </c>
      <c r="AS28">
        <v>1690221165</v>
      </c>
      <c r="AT28">
        <v>798.00800000000004</v>
      </c>
      <c r="AU28">
        <v>800.02300000000002</v>
      </c>
      <c r="AV28">
        <v>11.1805</v>
      </c>
      <c r="AW28">
        <v>5.9303900000000001</v>
      </c>
      <c r="AX28">
        <v>798.49900000000002</v>
      </c>
      <c r="AY28">
        <v>11.2187</v>
      </c>
      <c r="AZ28">
        <v>300.161</v>
      </c>
      <c r="BA28">
        <v>99.07</v>
      </c>
      <c r="BB28">
        <v>9.9954699999999994E-2</v>
      </c>
      <c r="BC28">
        <v>26.270499999999998</v>
      </c>
      <c r="BD28">
        <v>27.2837</v>
      </c>
      <c r="BE28">
        <v>27.977599999999999</v>
      </c>
      <c r="BF28">
        <v>0</v>
      </c>
      <c r="BG28">
        <v>0</v>
      </c>
      <c r="BH28">
        <v>9978.1200000000008</v>
      </c>
      <c r="BI28">
        <v>1080.46</v>
      </c>
      <c r="BJ28">
        <v>1.1773899999999999</v>
      </c>
      <c r="BK28">
        <v>-2.0151400000000002</v>
      </c>
      <c r="BL28">
        <v>807.03099999999995</v>
      </c>
      <c r="BM28">
        <v>804.79499999999996</v>
      </c>
      <c r="BN28">
        <v>5.25014</v>
      </c>
      <c r="BO28">
        <v>800.02300000000002</v>
      </c>
      <c r="BP28">
        <v>5.9303900000000001</v>
      </c>
      <c r="BQ28">
        <v>1.1076600000000001</v>
      </c>
      <c r="BR28">
        <v>0.58752400000000005</v>
      </c>
      <c r="BS28">
        <v>8.4150899999999993</v>
      </c>
      <c r="BT28">
        <v>-0.59754200000000002</v>
      </c>
      <c r="BU28">
        <v>1799.96</v>
      </c>
      <c r="BV28">
        <v>0.91001299999999996</v>
      </c>
      <c r="BW28">
        <v>3.3998599999999997E-2</v>
      </c>
      <c r="BX28">
        <v>2.1993499999999999E-2</v>
      </c>
      <c r="BY28">
        <v>3.3995299999999999E-2</v>
      </c>
      <c r="BZ28">
        <v>26</v>
      </c>
      <c r="CA28">
        <v>33527.800000000003</v>
      </c>
      <c r="CB28">
        <v>1690220522.5999999</v>
      </c>
      <c r="CC28" t="s">
        <v>332</v>
      </c>
      <c r="CD28">
        <v>1690220522.5999999</v>
      </c>
      <c r="CE28">
        <v>1690220510.5999999</v>
      </c>
      <c r="CF28">
        <v>10</v>
      </c>
      <c r="CG28">
        <v>-0.22</v>
      </c>
      <c r="CH28">
        <v>-2.7E-2</v>
      </c>
      <c r="CI28">
        <v>-0.49299999999999999</v>
      </c>
      <c r="CJ28">
        <v>0.152</v>
      </c>
      <c r="CK28">
        <v>800</v>
      </c>
      <c r="CL28">
        <v>19</v>
      </c>
      <c r="CM28">
        <v>0.1</v>
      </c>
      <c r="CN28">
        <v>0.03</v>
      </c>
      <c r="CO28">
        <v>0.15016487249999999</v>
      </c>
      <c r="CP28">
        <v>-12.16783813621014</v>
      </c>
      <c r="CQ28">
        <v>1.1707288774583211</v>
      </c>
      <c r="CR28">
        <v>-1</v>
      </c>
      <c r="CS28">
        <v>5.569337</v>
      </c>
      <c r="CT28">
        <v>-1.9181279549718699</v>
      </c>
      <c r="CU28">
        <v>0.18475186671858021</v>
      </c>
      <c r="CV28">
        <v>-1</v>
      </c>
      <c r="CW28">
        <v>0</v>
      </c>
      <c r="CX28">
        <v>0</v>
      </c>
      <c r="CY28" t="s">
        <v>333</v>
      </c>
      <c r="CZ28">
        <v>2.36436</v>
      </c>
      <c r="DA28">
        <v>2.71373</v>
      </c>
      <c r="DB28">
        <v>0.14629600000000001</v>
      </c>
      <c r="DC28">
        <v>0.146069</v>
      </c>
      <c r="DD28">
        <v>6.5647300000000006E-2</v>
      </c>
      <c r="DE28">
        <v>3.9071700000000001E-2</v>
      </c>
      <c r="DF28">
        <v>31169.1</v>
      </c>
      <c r="DG28">
        <v>27516.799999999999</v>
      </c>
      <c r="DH28">
        <v>31169.7</v>
      </c>
      <c r="DI28">
        <v>28079.1</v>
      </c>
      <c r="DJ28">
        <v>39557.699999999997</v>
      </c>
      <c r="DK28">
        <v>38369.9</v>
      </c>
      <c r="DL28">
        <v>44358.3</v>
      </c>
      <c r="DM28">
        <v>42557.1</v>
      </c>
      <c r="DN28">
        <v>1.4725699999999999</v>
      </c>
      <c r="DO28">
        <v>2.0342500000000001</v>
      </c>
      <c r="DP28">
        <v>8.5905200000000001E-2</v>
      </c>
      <c r="DQ28">
        <v>0.13625599999999999</v>
      </c>
      <c r="DR28">
        <v>25.877800000000001</v>
      </c>
      <c r="DS28">
        <v>25.748799999999999</v>
      </c>
      <c r="DT28">
        <v>25.8</v>
      </c>
      <c r="DU28">
        <v>29.4</v>
      </c>
      <c r="DV28">
        <v>10.7182</v>
      </c>
      <c r="DW28">
        <v>62.7241</v>
      </c>
      <c r="DX28">
        <v>36.089700000000001</v>
      </c>
      <c r="DY28">
        <v>1</v>
      </c>
      <c r="DZ28">
        <v>-6.4687499999999995E-2</v>
      </c>
      <c r="EA28">
        <v>9.2810500000000005</v>
      </c>
      <c r="EB28">
        <v>19.895099999999999</v>
      </c>
      <c r="EC28">
        <v>5.2406499999999996</v>
      </c>
      <c r="ED28">
        <v>12.039899999999999</v>
      </c>
      <c r="EE28">
        <v>5.0169499999999996</v>
      </c>
      <c r="EF28">
        <v>3.2879999999999998</v>
      </c>
      <c r="EG28">
        <v>9999</v>
      </c>
      <c r="EH28">
        <v>9999</v>
      </c>
      <c r="EI28">
        <v>9999</v>
      </c>
      <c r="EJ28">
        <v>999.9</v>
      </c>
      <c r="EK28">
        <v>1.8689</v>
      </c>
      <c r="EL28">
        <v>1.8646199999999999</v>
      </c>
      <c r="EM28">
        <v>1.8691599999999999</v>
      </c>
      <c r="EN28">
        <v>1.8672200000000001</v>
      </c>
      <c r="EO28">
        <v>1.8633999999999999</v>
      </c>
      <c r="EP28">
        <v>1.8645499999999999</v>
      </c>
      <c r="EQ28">
        <v>1.87018</v>
      </c>
      <c r="ER28">
        <v>1.86944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-0.49099999999999999</v>
      </c>
      <c r="FG28">
        <v>-3.8199999999999998E-2</v>
      </c>
      <c r="FH28">
        <v>5.8509882529719233E-2</v>
      </c>
      <c r="FI28">
        <v>-6.1462078757559423E-4</v>
      </c>
      <c r="FJ28">
        <v>-1.8861989874597051E-7</v>
      </c>
      <c r="FK28">
        <v>1.1980462299894961E-10</v>
      </c>
      <c r="FL28">
        <v>-5.9863424041980147E-2</v>
      </c>
      <c r="FM28">
        <v>-1.6848085045870601E-2</v>
      </c>
      <c r="FN28">
        <v>1.9789084769509481E-3</v>
      </c>
      <c r="FO28">
        <v>-2.7142391389806329E-5</v>
      </c>
      <c r="FP28">
        <v>3</v>
      </c>
      <c r="FQ28">
        <v>2158</v>
      </c>
      <c r="FR28">
        <v>1</v>
      </c>
      <c r="FS28">
        <v>19</v>
      </c>
      <c r="FT28">
        <v>10.7</v>
      </c>
      <c r="FU28">
        <v>10.9</v>
      </c>
      <c r="FV28">
        <v>1.7773399999999999</v>
      </c>
      <c r="FW28">
        <v>2.5781200000000002</v>
      </c>
      <c r="FX28">
        <v>1.5490699999999999</v>
      </c>
      <c r="FY28">
        <v>2.3290999999999999</v>
      </c>
      <c r="FZ28">
        <v>1.50146</v>
      </c>
      <c r="GA28">
        <v>2.4121100000000002</v>
      </c>
      <c r="GB28">
        <v>33.828299999999999</v>
      </c>
      <c r="GC28">
        <v>23.877400000000002</v>
      </c>
      <c r="GD28">
        <v>19</v>
      </c>
      <c r="GE28">
        <v>281.46800000000002</v>
      </c>
      <c r="GF28">
        <v>581.62099999999998</v>
      </c>
      <c r="GG28">
        <v>18.620799999999999</v>
      </c>
      <c r="GH28">
        <v>26.349499999999999</v>
      </c>
      <c r="GI28">
        <v>29.9999</v>
      </c>
      <c r="GJ28">
        <v>26.381</v>
      </c>
      <c r="GK28">
        <v>26.357199999999999</v>
      </c>
      <c r="GL28">
        <v>35.537100000000002</v>
      </c>
      <c r="GM28">
        <v>-30</v>
      </c>
      <c r="GN28">
        <v>-30</v>
      </c>
      <c r="GO28">
        <v>15.1609</v>
      </c>
      <c r="GP28">
        <v>800</v>
      </c>
      <c r="GQ28">
        <v>18.0809</v>
      </c>
      <c r="GR28">
        <v>99.730900000000005</v>
      </c>
      <c r="GS28">
        <v>99.556899999999999</v>
      </c>
    </row>
    <row r="29" spans="1:201" x14ac:dyDescent="0.25">
      <c r="A29">
        <v>13</v>
      </c>
      <c r="B29">
        <v>1690221175</v>
      </c>
      <c r="C29">
        <v>292.5</v>
      </c>
      <c r="D29" t="s">
        <v>357</v>
      </c>
      <c r="E29" t="s">
        <v>358</v>
      </c>
      <c r="F29" t="s">
        <v>330</v>
      </c>
      <c r="H29">
        <v>1690221175</v>
      </c>
      <c r="I29">
        <f t="shared" si="0"/>
        <v>4.8760967985610871E-4</v>
      </c>
      <c r="J29">
        <f t="shared" si="1"/>
        <v>0.4876096798561087</v>
      </c>
      <c r="K29">
        <f t="shared" si="2"/>
        <v>-4.3994753812151781E-2</v>
      </c>
      <c r="L29">
        <f t="shared" si="3"/>
        <v>796.42600000000004</v>
      </c>
      <c r="M29">
        <f t="shared" si="4"/>
        <v>765.52905236284323</v>
      </c>
      <c r="N29">
        <f t="shared" si="5"/>
        <v>75.915921525807079</v>
      </c>
      <c r="O29">
        <f t="shared" si="6"/>
        <v>78.979907464641997</v>
      </c>
      <c r="P29">
        <f t="shared" si="7"/>
        <v>1.7508342216158927E-2</v>
      </c>
      <c r="Q29">
        <f t="shared" si="8"/>
        <v>2.1926134879564025</v>
      </c>
      <c r="R29">
        <f t="shared" si="9"/>
        <v>1.7431042093926225E-2</v>
      </c>
      <c r="S29">
        <f t="shared" si="10"/>
        <v>1.0901317879664207E-2</v>
      </c>
      <c r="T29">
        <f t="shared" si="11"/>
        <v>276.11173016513158</v>
      </c>
      <c r="U29">
        <f t="shared" si="12"/>
        <v>27.976620387181153</v>
      </c>
      <c r="V29">
        <f t="shared" si="13"/>
        <v>27.976620387181153</v>
      </c>
      <c r="W29">
        <f t="shared" si="14"/>
        <v>3.7896705725876449</v>
      </c>
      <c r="X29">
        <f t="shared" si="15"/>
        <v>32.091474277575017</v>
      </c>
      <c r="Y29">
        <f t="shared" si="16"/>
        <v>1.0837466641427997</v>
      </c>
      <c r="Z29">
        <f t="shared" si="17"/>
        <v>3.3770547740154888</v>
      </c>
      <c r="AA29">
        <f t="shared" si="18"/>
        <v>2.705923908444845</v>
      </c>
      <c r="AB29">
        <f t="shared" si="19"/>
        <v>-21.503586881654392</v>
      </c>
      <c r="AC29">
        <f t="shared" si="20"/>
        <v>-231.99778078619215</v>
      </c>
      <c r="AD29">
        <f t="shared" si="21"/>
        <v>-22.833947616203538</v>
      </c>
      <c r="AE29">
        <f t="shared" si="22"/>
        <v>-0.22358511891852118</v>
      </c>
      <c r="AF29">
        <v>0</v>
      </c>
      <c r="AG29">
        <v>0</v>
      </c>
      <c r="AH29">
        <f t="shared" si="23"/>
        <v>1</v>
      </c>
      <c r="AI29">
        <f t="shared" si="24"/>
        <v>0</v>
      </c>
      <c r="AJ29">
        <f t="shared" si="25"/>
        <v>52497.144616913982</v>
      </c>
      <c r="AK29">
        <f t="shared" si="26"/>
        <v>1799.97</v>
      </c>
      <c r="AL29">
        <f t="shared" si="27"/>
        <v>1499.0866872054598</v>
      </c>
      <c r="AM29">
        <f t="shared" si="28"/>
        <v>0.83283981799999995</v>
      </c>
      <c r="AN29">
        <f t="shared" si="29"/>
        <v>0.15339796227999999</v>
      </c>
      <c r="AO29">
        <v>31.2</v>
      </c>
      <c r="AP29">
        <v>0.5</v>
      </c>
      <c r="AQ29" t="s">
        <v>331</v>
      </c>
      <c r="AR29">
        <v>2</v>
      </c>
      <c r="AS29">
        <v>1690221175</v>
      </c>
      <c r="AT29">
        <v>796.42600000000004</v>
      </c>
      <c r="AU29">
        <v>800.005</v>
      </c>
      <c r="AV29">
        <v>10.9284</v>
      </c>
      <c r="AW29">
        <v>5.9158200000000001</v>
      </c>
      <c r="AX29">
        <v>796.91700000000003</v>
      </c>
      <c r="AY29">
        <v>10.970700000000001</v>
      </c>
      <c r="AZ29">
        <v>300.18799999999999</v>
      </c>
      <c r="BA29">
        <v>99.067899999999995</v>
      </c>
      <c r="BB29">
        <v>0.10001699999999999</v>
      </c>
      <c r="BC29">
        <v>26.013999999999999</v>
      </c>
      <c r="BD29">
        <v>26.967300000000002</v>
      </c>
      <c r="BE29">
        <v>27.7057</v>
      </c>
      <c r="BF29">
        <v>0</v>
      </c>
      <c r="BG29">
        <v>0</v>
      </c>
      <c r="BH29">
        <v>9988.1200000000008</v>
      </c>
      <c r="BI29">
        <v>1078.92</v>
      </c>
      <c r="BJ29">
        <v>1.1213200000000001</v>
      </c>
      <c r="BK29">
        <v>-3.5788600000000002</v>
      </c>
      <c r="BL29">
        <v>805.226</v>
      </c>
      <c r="BM29">
        <v>804.76599999999996</v>
      </c>
      <c r="BN29">
        <v>5.0125500000000001</v>
      </c>
      <c r="BO29">
        <v>800.005</v>
      </c>
      <c r="BP29">
        <v>5.9158200000000001</v>
      </c>
      <c r="BQ29">
        <v>1.0826499999999999</v>
      </c>
      <c r="BR29">
        <v>0.58606800000000003</v>
      </c>
      <c r="BS29">
        <v>8.07883</v>
      </c>
      <c r="BT29">
        <v>-0.63152200000000003</v>
      </c>
      <c r="BU29">
        <v>1799.97</v>
      </c>
      <c r="BV29">
        <v>0.90999200000000002</v>
      </c>
      <c r="BW29">
        <v>3.4005500000000001E-2</v>
      </c>
      <c r="BX29">
        <v>2.20074E-2</v>
      </c>
      <c r="BY29">
        <v>3.3994999999999997E-2</v>
      </c>
      <c r="BZ29">
        <v>26</v>
      </c>
      <c r="CA29">
        <v>33527.699999999997</v>
      </c>
      <c r="CB29">
        <v>1690220522.5999999</v>
      </c>
      <c r="CC29" t="s">
        <v>332</v>
      </c>
      <c r="CD29">
        <v>1690220522.5999999</v>
      </c>
      <c r="CE29">
        <v>1690220510.5999999</v>
      </c>
      <c r="CF29">
        <v>10</v>
      </c>
      <c r="CG29">
        <v>-0.22</v>
      </c>
      <c r="CH29">
        <v>-2.7E-2</v>
      </c>
      <c r="CI29">
        <v>-0.49299999999999999</v>
      </c>
      <c r="CJ29">
        <v>0.152</v>
      </c>
      <c r="CK29">
        <v>800</v>
      </c>
      <c r="CL29">
        <v>19</v>
      </c>
      <c r="CM29">
        <v>0.1</v>
      </c>
      <c r="CN29">
        <v>0.03</v>
      </c>
      <c r="CO29">
        <v>-1.6299195390243899</v>
      </c>
      <c r="CP29">
        <v>-10.99816871498258</v>
      </c>
      <c r="CQ29">
        <v>1.0874927071543501</v>
      </c>
      <c r="CR29">
        <v>-1</v>
      </c>
      <c r="CS29">
        <v>5.2979958536585361</v>
      </c>
      <c r="CT29">
        <v>-1.606981254355401</v>
      </c>
      <c r="CU29">
        <v>0.15864751087614989</v>
      </c>
      <c r="CV29">
        <v>-1</v>
      </c>
      <c r="CW29">
        <v>0</v>
      </c>
      <c r="CX29">
        <v>0</v>
      </c>
      <c r="CY29" t="s">
        <v>333</v>
      </c>
      <c r="CZ29">
        <v>2.3644500000000002</v>
      </c>
      <c r="DA29">
        <v>2.7138</v>
      </c>
      <c r="DB29">
        <v>0.146097</v>
      </c>
      <c r="DC29">
        <v>0.146066</v>
      </c>
      <c r="DD29">
        <v>6.4532400000000004E-2</v>
      </c>
      <c r="DE29">
        <v>3.8993E-2</v>
      </c>
      <c r="DF29">
        <v>31175.7</v>
      </c>
      <c r="DG29">
        <v>27516.1</v>
      </c>
      <c r="DH29">
        <v>31169.1</v>
      </c>
      <c r="DI29">
        <v>28078.3</v>
      </c>
      <c r="DJ29">
        <v>39604.400000000001</v>
      </c>
      <c r="DK29">
        <v>38372</v>
      </c>
      <c r="DL29">
        <v>44357.5</v>
      </c>
      <c r="DM29">
        <v>42556.1</v>
      </c>
      <c r="DN29">
        <v>1.47268</v>
      </c>
      <c r="DO29">
        <v>2.0331700000000001</v>
      </c>
      <c r="DP29">
        <v>6.8850800000000004E-2</v>
      </c>
      <c r="DQ29">
        <v>0.12470000000000001</v>
      </c>
      <c r="DR29">
        <v>25.840199999999999</v>
      </c>
      <c r="DS29">
        <v>25.665299999999998</v>
      </c>
      <c r="DT29">
        <v>25.2</v>
      </c>
      <c r="DU29">
        <v>29.4</v>
      </c>
      <c r="DV29">
        <v>10.4687</v>
      </c>
      <c r="DW29">
        <v>62.624099999999999</v>
      </c>
      <c r="DX29">
        <v>36.310099999999998</v>
      </c>
      <c r="DY29">
        <v>1</v>
      </c>
      <c r="DZ29">
        <v>-6.3838900000000004E-2</v>
      </c>
      <c r="EA29">
        <v>9.2810500000000005</v>
      </c>
      <c r="EB29">
        <v>19.899100000000001</v>
      </c>
      <c r="EC29">
        <v>5.2398999999999996</v>
      </c>
      <c r="ED29">
        <v>12.039899999999999</v>
      </c>
      <c r="EE29">
        <v>5.0171000000000001</v>
      </c>
      <c r="EF29">
        <v>3.2879999999999998</v>
      </c>
      <c r="EG29">
        <v>9999</v>
      </c>
      <c r="EH29">
        <v>9999</v>
      </c>
      <c r="EI29">
        <v>9999</v>
      </c>
      <c r="EJ29">
        <v>999.9</v>
      </c>
      <c r="EK29">
        <v>1.8689</v>
      </c>
      <c r="EL29">
        <v>1.8646199999999999</v>
      </c>
      <c r="EM29">
        <v>1.8691500000000001</v>
      </c>
      <c r="EN29">
        <v>1.8672299999999999</v>
      </c>
      <c r="EO29">
        <v>1.8633999999999999</v>
      </c>
      <c r="EP29">
        <v>1.86452</v>
      </c>
      <c r="EQ29">
        <v>1.8701399999999999</v>
      </c>
      <c r="ER29">
        <v>1.86944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-0.49099999999999999</v>
      </c>
      <c r="FG29">
        <v>-4.2299999999999997E-2</v>
      </c>
      <c r="FH29">
        <v>5.8509882529719233E-2</v>
      </c>
      <c r="FI29">
        <v>-6.1462078757559423E-4</v>
      </c>
      <c r="FJ29">
        <v>-1.8861989874597051E-7</v>
      </c>
      <c r="FK29">
        <v>1.1980462299894961E-10</v>
      </c>
      <c r="FL29">
        <v>-5.9863424041980147E-2</v>
      </c>
      <c r="FM29">
        <v>-1.6848085045870601E-2</v>
      </c>
      <c r="FN29">
        <v>1.9789084769509481E-3</v>
      </c>
      <c r="FO29">
        <v>-2.7142391389806329E-5</v>
      </c>
      <c r="FP29">
        <v>3</v>
      </c>
      <c r="FQ29">
        <v>2158</v>
      </c>
      <c r="FR29">
        <v>1</v>
      </c>
      <c r="FS29">
        <v>19</v>
      </c>
      <c r="FT29">
        <v>10.9</v>
      </c>
      <c r="FU29">
        <v>11.1</v>
      </c>
      <c r="FV29">
        <v>1.7773399999999999</v>
      </c>
      <c r="FW29">
        <v>2.5744600000000002</v>
      </c>
      <c r="FX29">
        <v>1.5490699999999999</v>
      </c>
      <c r="FY29">
        <v>2.3290999999999999</v>
      </c>
      <c r="FZ29">
        <v>1.50146</v>
      </c>
      <c r="GA29">
        <v>2.3962400000000001</v>
      </c>
      <c r="GB29">
        <v>33.828299999999999</v>
      </c>
      <c r="GC29">
        <v>23.886099999999999</v>
      </c>
      <c r="GD29">
        <v>19</v>
      </c>
      <c r="GE29">
        <v>281.541</v>
      </c>
      <c r="GF29">
        <v>580.78499999999997</v>
      </c>
      <c r="GG29">
        <v>17.805800000000001</v>
      </c>
      <c r="GH29">
        <v>26.367999999999999</v>
      </c>
      <c r="GI29">
        <v>30.000499999999999</v>
      </c>
      <c r="GJ29">
        <v>26.388300000000001</v>
      </c>
      <c r="GK29">
        <v>26.361599999999999</v>
      </c>
      <c r="GL29">
        <v>35.539299999999997</v>
      </c>
      <c r="GM29">
        <v>-30</v>
      </c>
      <c r="GN29">
        <v>-30</v>
      </c>
      <c r="GO29">
        <v>14.8794</v>
      </c>
      <c r="GP29">
        <v>800</v>
      </c>
      <c r="GQ29">
        <v>18.0809</v>
      </c>
      <c r="GR29">
        <v>99.729100000000003</v>
      </c>
      <c r="GS29">
        <v>99.554299999999998</v>
      </c>
    </row>
    <row r="30" spans="1:201" x14ac:dyDescent="0.25">
      <c r="A30">
        <v>14</v>
      </c>
      <c r="B30">
        <v>1690221185</v>
      </c>
      <c r="C30">
        <v>302.5</v>
      </c>
      <c r="D30" t="s">
        <v>359</v>
      </c>
      <c r="E30" t="s">
        <v>360</v>
      </c>
      <c r="F30" t="s">
        <v>330</v>
      </c>
      <c r="H30">
        <v>1690221185</v>
      </c>
      <c r="I30">
        <f t="shared" si="0"/>
        <v>4.6849000176474157E-4</v>
      </c>
      <c r="J30">
        <f t="shared" si="1"/>
        <v>0.46849000176474159</v>
      </c>
      <c r="K30">
        <f t="shared" si="2"/>
        <v>7.4084166410642985E-2</v>
      </c>
      <c r="L30">
        <f t="shared" si="3"/>
        <v>795.27499999999998</v>
      </c>
      <c r="M30">
        <f t="shared" si="4"/>
        <v>753.93017047545311</v>
      </c>
      <c r="N30">
        <f t="shared" si="5"/>
        <v>74.767938066785135</v>
      </c>
      <c r="O30">
        <f t="shared" si="6"/>
        <v>78.868142269149999</v>
      </c>
      <c r="P30">
        <f t="shared" si="7"/>
        <v>1.6972792317317641E-2</v>
      </c>
      <c r="Q30">
        <f t="shared" si="8"/>
        <v>2.1934193398260895</v>
      </c>
      <c r="R30">
        <f t="shared" si="9"/>
        <v>1.6900164801443782E-2</v>
      </c>
      <c r="S30">
        <f t="shared" si="10"/>
        <v>1.0569102302772873E-2</v>
      </c>
      <c r="T30">
        <f t="shared" si="11"/>
        <v>276.11102247092674</v>
      </c>
      <c r="U30">
        <f t="shared" si="12"/>
        <v>27.776816248574573</v>
      </c>
      <c r="V30">
        <f t="shared" si="13"/>
        <v>27.776816248574573</v>
      </c>
      <c r="W30">
        <f t="shared" si="14"/>
        <v>3.7457449417131663</v>
      </c>
      <c r="X30">
        <f t="shared" si="15"/>
        <v>31.871850401069789</v>
      </c>
      <c r="Y30">
        <f t="shared" si="16"/>
        <v>1.0632807028602</v>
      </c>
      <c r="Z30">
        <f t="shared" si="17"/>
        <v>3.3361122416177964</v>
      </c>
      <c r="AA30">
        <f t="shared" si="18"/>
        <v>2.6824642388529663</v>
      </c>
      <c r="AB30">
        <f t="shared" si="19"/>
        <v>-20.660409077825104</v>
      </c>
      <c r="AC30">
        <f t="shared" si="20"/>
        <v>-232.81571766613069</v>
      </c>
      <c r="AD30">
        <f t="shared" si="21"/>
        <v>-22.85958862961834</v>
      </c>
      <c r="AE30">
        <f t="shared" si="22"/>
        <v>-0.22469290264740494</v>
      </c>
      <c r="AF30">
        <v>0</v>
      </c>
      <c r="AG30">
        <v>0</v>
      </c>
      <c r="AH30">
        <f t="shared" si="23"/>
        <v>1</v>
      </c>
      <c r="AI30">
        <f t="shared" si="24"/>
        <v>0</v>
      </c>
      <c r="AJ30">
        <f t="shared" si="25"/>
        <v>52566.460971993423</v>
      </c>
      <c r="AK30">
        <f t="shared" si="26"/>
        <v>1799.97</v>
      </c>
      <c r="AL30">
        <f t="shared" si="27"/>
        <v>1499.08686360252</v>
      </c>
      <c r="AM30">
        <f t="shared" si="28"/>
        <v>0.83283991599999996</v>
      </c>
      <c r="AN30">
        <f t="shared" si="29"/>
        <v>0.15339756911000002</v>
      </c>
      <c r="AO30">
        <v>31.2</v>
      </c>
      <c r="AP30">
        <v>0.5</v>
      </c>
      <c r="AQ30" t="s">
        <v>331</v>
      </c>
      <c r="AR30">
        <v>2</v>
      </c>
      <c r="AS30">
        <v>1690221185</v>
      </c>
      <c r="AT30">
        <v>795.27499999999998</v>
      </c>
      <c r="AU30">
        <v>799.91800000000001</v>
      </c>
      <c r="AV30">
        <v>10.7217</v>
      </c>
      <c r="AW30">
        <v>5.90402</v>
      </c>
      <c r="AX30">
        <v>795.76499999999999</v>
      </c>
      <c r="AY30">
        <v>10.7674</v>
      </c>
      <c r="AZ30">
        <v>300.14800000000002</v>
      </c>
      <c r="BA30">
        <v>99.070800000000006</v>
      </c>
      <c r="BB30">
        <v>0.100106</v>
      </c>
      <c r="BC30">
        <v>25.808</v>
      </c>
      <c r="BD30">
        <v>26.7471</v>
      </c>
      <c r="BE30">
        <v>27.465699999999998</v>
      </c>
      <c r="BF30">
        <v>0</v>
      </c>
      <c r="BG30">
        <v>0</v>
      </c>
      <c r="BH30">
        <v>9994.3799999999992</v>
      </c>
      <c r="BI30">
        <v>1077.03</v>
      </c>
      <c r="BJ30">
        <v>1.3736200000000001</v>
      </c>
      <c r="BK30">
        <v>-4.6431300000000002</v>
      </c>
      <c r="BL30">
        <v>803.89400000000001</v>
      </c>
      <c r="BM30">
        <v>804.66899999999998</v>
      </c>
      <c r="BN30">
        <v>4.8176500000000004</v>
      </c>
      <c r="BO30">
        <v>799.91800000000001</v>
      </c>
      <c r="BP30">
        <v>5.90402</v>
      </c>
      <c r="BQ30">
        <v>1.0622</v>
      </c>
      <c r="BR30">
        <v>0.58491599999999999</v>
      </c>
      <c r="BS30">
        <v>7.7987399999999996</v>
      </c>
      <c r="BT30">
        <v>-0.65847999999999995</v>
      </c>
      <c r="BU30">
        <v>1799.97</v>
      </c>
      <c r="BV30">
        <v>0.90999399999999997</v>
      </c>
      <c r="BW30">
        <v>3.3998500000000001E-2</v>
      </c>
      <c r="BX30">
        <v>2.2001300000000001E-2</v>
      </c>
      <c r="BY30">
        <v>3.4006500000000002E-2</v>
      </c>
      <c r="BZ30">
        <v>26</v>
      </c>
      <c r="CA30">
        <v>33527.9</v>
      </c>
      <c r="CB30">
        <v>1690220522.5999999</v>
      </c>
      <c r="CC30" t="s">
        <v>332</v>
      </c>
      <c r="CD30">
        <v>1690220522.5999999</v>
      </c>
      <c r="CE30">
        <v>1690220510.5999999</v>
      </c>
      <c r="CF30">
        <v>10</v>
      </c>
      <c r="CG30">
        <v>-0.22</v>
      </c>
      <c r="CH30">
        <v>-2.7E-2</v>
      </c>
      <c r="CI30">
        <v>-0.49299999999999999</v>
      </c>
      <c r="CJ30">
        <v>0.152</v>
      </c>
      <c r="CK30">
        <v>800</v>
      </c>
      <c r="CL30">
        <v>19</v>
      </c>
      <c r="CM30">
        <v>0.1</v>
      </c>
      <c r="CN30">
        <v>0.03</v>
      </c>
      <c r="CO30">
        <v>-3.3733547499999998</v>
      </c>
      <c r="CP30">
        <v>-8.2349316697936175</v>
      </c>
      <c r="CQ30">
        <v>0.79654824360482857</v>
      </c>
      <c r="CR30">
        <v>-1</v>
      </c>
      <c r="CS30">
        <v>5.0351222499999988</v>
      </c>
      <c r="CT30">
        <v>-1.324913133208262</v>
      </c>
      <c r="CU30">
        <v>0.12757206391854559</v>
      </c>
      <c r="CV30">
        <v>-1</v>
      </c>
      <c r="CW30">
        <v>0</v>
      </c>
      <c r="CX30">
        <v>0</v>
      </c>
      <c r="CY30" t="s">
        <v>333</v>
      </c>
      <c r="CZ30">
        <v>2.36429</v>
      </c>
      <c r="DA30">
        <v>2.7138900000000001</v>
      </c>
      <c r="DB30">
        <v>0.145951</v>
      </c>
      <c r="DC30">
        <v>0.14605599999999999</v>
      </c>
      <c r="DD30">
        <v>6.3611500000000001E-2</v>
      </c>
      <c r="DE30">
        <v>3.89293E-2</v>
      </c>
      <c r="DF30">
        <v>31180.400000000001</v>
      </c>
      <c r="DG30">
        <v>27515.8</v>
      </c>
      <c r="DH30">
        <v>31168.6</v>
      </c>
      <c r="DI30">
        <v>28077.8</v>
      </c>
      <c r="DJ30">
        <v>39642.699999999997</v>
      </c>
      <c r="DK30">
        <v>38373.800000000003</v>
      </c>
      <c r="DL30">
        <v>44356.6</v>
      </c>
      <c r="DM30">
        <v>42555.3</v>
      </c>
      <c r="DN30">
        <v>1.4761</v>
      </c>
      <c r="DO30">
        <v>2.0329299999999999</v>
      </c>
      <c r="DP30">
        <v>5.8680799999999998E-2</v>
      </c>
      <c r="DQ30">
        <v>0.115745</v>
      </c>
      <c r="DR30">
        <v>25.786300000000001</v>
      </c>
      <c r="DS30">
        <v>25.571400000000001</v>
      </c>
      <c r="DT30">
        <v>24.7</v>
      </c>
      <c r="DU30">
        <v>29.4</v>
      </c>
      <c r="DV30">
        <v>10.2613</v>
      </c>
      <c r="DW30">
        <v>62.4041</v>
      </c>
      <c r="DX30">
        <v>36.546500000000002</v>
      </c>
      <c r="DY30">
        <v>1</v>
      </c>
      <c r="DZ30">
        <v>-6.6458299999999998E-2</v>
      </c>
      <c r="EA30">
        <v>-6.6666699999999999</v>
      </c>
      <c r="EB30">
        <v>19.977799999999998</v>
      </c>
      <c r="EC30">
        <v>5.2406499999999996</v>
      </c>
      <c r="ED30">
        <v>12.039899999999999</v>
      </c>
      <c r="EE30">
        <v>5.0162500000000003</v>
      </c>
      <c r="EF30">
        <v>3.2879999999999998</v>
      </c>
      <c r="EG30">
        <v>9999</v>
      </c>
      <c r="EH30">
        <v>9999</v>
      </c>
      <c r="EI30">
        <v>9999</v>
      </c>
      <c r="EJ30">
        <v>999.9</v>
      </c>
      <c r="EK30">
        <v>1.8689</v>
      </c>
      <c r="EL30">
        <v>1.8646199999999999</v>
      </c>
      <c r="EM30">
        <v>1.8691500000000001</v>
      </c>
      <c r="EN30">
        <v>1.8672200000000001</v>
      </c>
      <c r="EO30">
        <v>1.8633999999999999</v>
      </c>
      <c r="EP30">
        <v>1.86453</v>
      </c>
      <c r="EQ30">
        <v>1.8701700000000001</v>
      </c>
      <c r="ER30">
        <v>1.8694599999999999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-0.49</v>
      </c>
      <c r="FG30">
        <v>-4.5699999999999998E-2</v>
      </c>
      <c r="FH30">
        <v>5.8509882529719233E-2</v>
      </c>
      <c r="FI30">
        <v>-6.1462078757559423E-4</v>
      </c>
      <c r="FJ30">
        <v>-1.8861989874597051E-7</v>
      </c>
      <c r="FK30">
        <v>1.1980462299894961E-10</v>
      </c>
      <c r="FL30">
        <v>-5.9863424041980147E-2</v>
      </c>
      <c r="FM30">
        <v>-1.6848085045870601E-2</v>
      </c>
      <c r="FN30">
        <v>1.9789084769509481E-3</v>
      </c>
      <c r="FO30">
        <v>-2.7142391389806329E-5</v>
      </c>
      <c r="FP30">
        <v>3</v>
      </c>
      <c r="FQ30">
        <v>2158</v>
      </c>
      <c r="FR30">
        <v>1</v>
      </c>
      <c r="FS30">
        <v>19</v>
      </c>
      <c r="FT30">
        <v>11</v>
      </c>
      <c r="FU30">
        <v>11.2</v>
      </c>
      <c r="FV30">
        <v>1.7773399999999999</v>
      </c>
      <c r="FW30">
        <v>2.5781200000000002</v>
      </c>
      <c r="FX30">
        <v>1.5490699999999999</v>
      </c>
      <c r="FY30">
        <v>2.3290999999999999</v>
      </c>
      <c r="FZ30">
        <v>1.50146</v>
      </c>
      <c r="GA30">
        <v>2.3925800000000002</v>
      </c>
      <c r="GB30">
        <v>33.828299999999999</v>
      </c>
      <c r="GC30">
        <v>23.912400000000002</v>
      </c>
      <c r="GD30">
        <v>19</v>
      </c>
      <c r="GE30">
        <v>283.03699999999998</v>
      </c>
      <c r="GF30">
        <v>580.63499999999999</v>
      </c>
      <c r="GG30">
        <v>19.25</v>
      </c>
      <c r="GH30">
        <v>26.388000000000002</v>
      </c>
      <c r="GI30">
        <v>29.998000000000001</v>
      </c>
      <c r="GJ30">
        <v>26.396599999999999</v>
      </c>
      <c r="GK30">
        <v>26.366599999999998</v>
      </c>
      <c r="GL30">
        <v>35.540199999999999</v>
      </c>
      <c r="GM30">
        <v>-30</v>
      </c>
      <c r="GN30">
        <v>-30</v>
      </c>
      <c r="GO30">
        <v>23.186</v>
      </c>
      <c r="GP30">
        <v>800</v>
      </c>
      <c r="GQ30">
        <v>18.0809</v>
      </c>
      <c r="GR30">
        <v>99.727199999999996</v>
      </c>
      <c r="GS30">
        <v>99.552400000000006</v>
      </c>
    </row>
    <row r="31" spans="1:201" x14ac:dyDescent="0.25">
      <c r="A31">
        <v>15</v>
      </c>
      <c r="B31">
        <v>1690221195</v>
      </c>
      <c r="C31">
        <v>312.5</v>
      </c>
      <c r="D31" t="s">
        <v>361</v>
      </c>
      <c r="E31" t="s">
        <v>362</v>
      </c>
      <c r="F31" t="s">
        <v>330</v>
      </c>
      <c r="H31">
        <v>1690221195</v>
      </c>
      <c r="I31">
        <f t="shared" si="0"/>
        <v>4.6401841950572927E-4</v>
      </c>
      <c r="J31">
        <f t="shared" si="1"/>
        <v>0.46401841950572925</v>
      </c>
      <c r="K31">
        <f t="shared" si="2"/>
        <v>0.16675313960801227</v>
      </c>
      <c r="L31">
        <f t="shared" si="3"/>
        <v>794.40700000000004</v>
      </c>
      <c r="M31">
        <f t="shared" si="4"/>
        <v>743.15315147143917</v>
      </c>
      <c r="N31">
        <f t="shared" si="5"/>
        <v>73.698993937520598</v>
      </c>
      <c r="O31">
        <f t="shared" si="6"/>
        <v>78.781872297791111</v>
      </c>
      <c r="P31">
        <f t="shared" si="7"/>
        <v>1.6399405860612365E-2</v>
      </c>
      <c r="Q31">
        <f t="shared" si="8"/>
        <v>2.2048221475331111</v>
      </c>
      <c r="R31">
        <f t="shared" si="9"/>
        <v>1.6331941138754722E-2</v>
      </c>
      <c r="S31">
        <f t="shared" si="10"/>
        <v>1.0213501431149886E-2</v>
      </c>
      <c r="T31">
        <f t="shared" si="11"/>
        <v>276.11150668028205</v>
      </c>
      <c r="U31">
        <f t="shared" si="12"/>
        <v>28.051057506415116</v>
      </c>
      <c r="V31">
        <f t="shared" si="13"/>
        <v>28.051057506415116</v>
      </c>
      <c r="W31">
        <f t="shared" si="14"/>
        <v>3.8061496102263335</v>
      </c>
      <c r="X31">
        <f t="shared" si="15"/>
        <v>31.176881334231926</v>
      </c>
      <c r="Y31">
        <f t="shared" si="16"/>
        <v>1.0576353326210401</v>
      </c>
      <c r="Z31">
        <f t="shared" si="17"/>
        <v>3.392370523795035</v>
      </c>
      <c r="AA31">
        <f t="shared" si="18"/>
        <v>2.7485142776052935</v>
      </c>
      <c r="AB31">
        <f t="shared" si="19"/>
        <v>-20.46321230020266</v>
      </c>
      <c r="AC31">
        <f t="shared" si="20"/>
        <v>-233.04435713561665</v>
      </c>
      <c r="AD31">
        <f t="shared" si="21"/>
        <v>-22.827165500260701</v>
      </c>
      <c r="AE31">
        <f t="shared" si="22"/>
        <v>-0.2232282557979488</v>
      </c>
      <c r="AF31">
        <v>0</v>
      </c>
      <c r="AG31">
        <v>0</v>
      </c>
      <c r="AH31">
        <f t="shared" si="23"/>
        <v>1</v>
      </c>
      <c r="AI31">
        <f t="shared" si="24"/>
        <v>0</v>
      </c>
      <c r="AJ31">
        <f t="shared" si="25"/>
        <v>52985.551499060406</v>
      </c>
      <c r="AK31">
        <f t="shared" si="26"/>
        <v>1799.98</v>
      </c>
      <c r="AL31">
        <f t="shared" si="27"/>
        <v>1499.0953611998</v>
      </c>
      <c r="AM31">
        <f t="shared" si="28"/>
        <v>0.83284000999999996</v>
      </c>
      <c r="AN31">
        <f t="shared" si="29"/>
        <v>0.15339698590000003</v>
      </c>
      <c r="AO31">
        <v>31.2</v>
      </c>
      <c r="AP31">
        <v>0.5</v>
      </c>
      <c r="AQ31" t="s">
        <v>331</v>
      </c>
      <c r="AR31">
        <v>2</v>
      </c>
      <c r="AS31">
        <v>1690221195</v>
      </c>
      <c r="AT31">
        <v>794.40700000000004</v>
      </c>
      <c r="AU31">
        <v>799.97199999999998</v>
      </c>
      <c r="AV31">
        <v>10.6648</v>
      </c>
      <c r="AW31">
        <v>5.8929400000000003</v>
      </c>
      <c r="AX31">
        <v>794.89599999999996</v>
      </c>
      <c r="AY31">
        <v>10.711499999999999</v>
      </c>
      <c r="AZ31">
        <v>300.15499999999997</v>
      </c>
      <c r="BA31">
        <v>99.070800000000006</v>
      </c>
      <c r="BB31">
        <v>9.9867300000000006E-2</v>
      </c>
      <c r="BC31">
        <v>26.090499999999999</v>
      </c>
      <c r="BD31">
        <v>26.949400000000001</v>
      </c>
      <c r="BE31">
        <v>27.596299999999999</v>
      </c>
      <c r="BF31">
        <v>0</v>
      </c>
      <c r="BG31">
        <v>0</v>
      </c>
      <c r="BH31">
        <v>10087.5</v>
      </c>
      <c r="BI31">
        <v>1075.97</v>
      </c>
      <c r="BJ31">
        <v>1.4577199999999999</v>
      </c>
      <c r="BK31">
        <v>-5.5653100000000002</v>
      </c>
      <c r="BL31">
        <v>802.97</v>
      </c>
      <c r="BM31">
        <v>804.71400000000006</v>
      </c>
      <c r="BN31">
        <v>4.7719100000000001</v>
      </c>
      <c r="BO31">
        <v>799.97199999999998</v>
      </c>
      <c r="BP31">
        <v>5.8929400000000003</v>
      </c>
      <c r="BQ31">
        <v>1.0565800000000001</v>
      </c>
      <c r="BR31">
        <v>0.58381899999999998</v>
      </c>
      <c r="BS31">
        <v>7.7207999999999997</v>
      </c>
      <c r="BT31">
        <v>-0.68418100000000004</v>
      </c>
      <c r="BU31">
        <v>1799.98</v>
      </c>
      <c r="BV31">
        <v>0.91000800000000004</v>
      </c>
      <c r="BW31">
        <v>3.3997100000000002E-2</v>
      </c>
      <c r="BX31">
        <v>2.1996000000000002E-2</v>
      </c>
      <c r="BY31">
        <v>3.3998399999999998E-2</v>
      </c>
      <c r="BZ31">
        <v>26</v>
      </c>
      <c r="CA31">
        <v>33528.1</v>
      </c>
      <c r="CB31">
        <v>1690220522.5999999</v>
      </c>
      <c r="CC31" t="s">
        <v>332</v>
      </c>
      <c r="CD31">
        <v>1690220522.5999999</v>
      </c>
      <c r="CE31">
        <v>1690220510.5999999</v>
      </c>
      <c r="CF31">
        <v>10</v>
      </c>
      <c r="CG31">
        <v>-0.22</v>
      </c>
      <c r="CH31">
        <v>-2.7E-2</v>
      </c>
      <c r="CI31">
        <v>-0.49299999999999999</v>
      </c>
      <c r="CJ31">
        <v>0.152</v>
      </c>
      <c r="CK31">
        <v>800</v>
      </c>
      <c r="CL31">
        <v>19</v>
      </c>
      <c r="CM31">
        <v>0.1</v>
      </c>
      <c r="CN31">
        <v>0.03</v>
      </c>
      <c r="CO31">
        <v>-4.5840620000000003</v>
      </c>
      <c r="CP31">
        <v>-6.0724385741088032</v>
      </c>
      <c r="CQ31">
        <v>0.58607906416796707</v>
      </c>
      <c r="CR31">
        <v>-1</v>
      </c>
      <c r="CS31">
        <v>4.8582844999999999</v>
      </c>
      <c r="CT31">
        <v>-0.78413110694185295</v>
      </c>
      <c r="CU31">
        <v>7.8829585022058835E-2</v>
      </c>
      <c r="CV31">
        <v>-1</v>
      </c>
      <c r="CW31">
        <v>0</v>
      </c>
      <c r="CX31">
        <v>0</v>
      </c>
      <c r="CY31" t="s">
        <v>333</v>
      </c>
      <c r="CZ31">
        <v>2.3642799999999999</v>
      </c>
      <c r="DA31">
        <v>2.71374</v>
      </c>
      <c r="DB31">
        <v>0.145841</v>
      </c>
      <c r="DC31">
        <v>0.146061</v>
      </c>
      <c r="DD31">
        <v>6.3356099999999999E-2</v>
      </c>
      <c r="DE31">
        <v>3.88692E-2</v>
      </c>
      <c r="DF31">
        <v>31185.3</v>
      </c>
      <c r="DG31">
        <v>27516.400000000001</v>
      </c>
      <c r="DH31">
        <v>31169.5</v>
      </c>
      <c r="DI31">
        <v>28078.7</v>
      </c>
      <c r="DJ31">
        <v>39654.400000000001</v>
      </c>
      <c r="DK31">
        <v>38377.300000000003</v>
      </c>
      <c r="DL31">
        <v>44357.5</v>
      </c>
      <c r="DM31">
        <v>42556.5</v>
      </c>
      <c r="DN31">
        <v>1.47715</v>
      </c>
      <c r="DO31">
        <v>2.0327000000000002</v>
      </c>
      <c r="DP31">
        <v>7.4662300000000001E-2</v>
      </c>
      <c r="DQ31">
        <v>0.129417</v>
      </c>
      <c r="DR31">
        <v>25.7271</v>
      </c>
      <c r="DS31">
        <v>25.478300000000001</v>
      </c>
      <c r="DT31">
        <v>24.3</v>
      </c>
      <c r="DU31">
        <v>29.4</v>
      </c>
      <c r="DV31">
        <v>10.092599999999999</v>
      </c>
      <c r="DW31">
        <v>61.164099999999998</v>
      </c>
      <c r="DX31">
        <v>36.971200000000003</v>
      </c>
      <c r="DY31">
        <v>1</v>
      </c>
      <c r="DZ31">
        <v>-7.5652899999999995E-2</v>
      </c>
      <c r="EA31">
        <v>-2.2306900000000001</v>
      </c>
      <c r="EB31">
        <v>20.156700000000001</v>
      </c>
      <c r="EC31">
        <v>5.2409499999999998</v>
      </c>
      <c r="ED31">
        <v>12.039899999999999</v>
      </c>
      <c r="EE31">
        <v>5.01675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1.8689499999999999</v>
      </c>
      <c r="EL31">
        <v>1.8646499999999999</v>
      </c>
      <c r="EM31">
        <v>1.8692</v>
      </c>
      <c r="EN31">
        <v>1.8672299999999999</v>
      </c>
      <c r="EO31">
        <v>1.8633999999999999</v>
      </c>
      <c r="EP31">
        <v>1.8645700000000001</v>
      </c>
      <c r="EQ31">
        <v>1.87022</v>
      </c>
      <c r="ER31">
        <v>1.8694900000000001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-0.48899999999999999</v>
      </c>
      <c r="FG31">
        <v>-4.6699999999999998E-2</v>
      </c>
      <c r="FH31">
        <v>5.8509882529719233E-2</v>
      </c>
      <c r="FI31">
        <v>-6.1462078757559423E-4</v>
      </c>
      <c r="FJ31">
        <v>-1.8861989874597051E-7</v>
      </c>
      <c r="FK31">
        <v>1.1980462299894961E-10</v>
      </c>
      <c r="FL31">
        <v>-5.9863424041980147E-2</v>
      </c>
      <c r="FM31">
        <v>-1.6848085045870601E-2</v>
      </c>
      <c r="FN31">
        <v>1.9789084769509481E-3</v>
      </c>
      <c r="FO31">
        <v>-2.7142391389806329E-5</v>
      </c>
      <c r="FP31">
        <v>3</v>
      </c>
      <c r="FQ31">
        <v>2158</v>
      </c>
      <c r="FR31">
        <v>1</v>
      </c>
      <c r="FS31">
        <v>19</v>
      </c>
      <c r="FT31">
        <v>11.2</v>
      </c>
      <c r="FU31">
        <v>11.4</v>
      </c>
      <c r="FV31">
        <v>1.7773399999999999</v>
      </c>
      <c r="FW31">
        <v>2.5756800000000002</v>
      </c>
      <c r="FX31">
        <v>1.5490699999999999</v>
      </c>
      <c r="FY31">
        <v>2.3290999999999999</v>
      </c>
      <c r="FZ31">
        <v>1.50146</v>
      </c>
      <c r="GA31">
        <v>2.3938000000000001</v>
      </c>
      <c r="GB31">
        <v>33.828299999999999</v>
      </c>
      <c r="GC31">
        <v>23.973700000000001</v>
      </c>
      <c r="GD31">
        <v>19</v>
      </c>
      <c r="GE31">
        <v>283.53300000000002</v>
      </c>
      <c r="GF31">
        <v>580.51800000000003</v>
      </c>
      <c r="GG31">
        <v>23.628599999999999</v>
      </c>
      <c r="GH31">
        <v>26.410299999999999</v>
      </c>
      <c r="GI31">
        <v>29.994700000000002</v>
      </c>
      <c r="GJ31">
        <v>26.4072</v>
      </c>
      <c r="GK31">
        <v>26.372599999999998</v>
      </c>
      <c r="GL31">
        <v>35.541600000000003</v>
      </c>
      <c r="GM31">
        <v>-30</v>
      </c>
      <c r="GN31">
        <v>-30</v>
      </c>
      <c r="GO31">
        <v>23.461200000000002</v>
      </c>
      <c r="GP31">
        <v>800</v>
      </c>
      <c r="GQ31">
        <v>18.0809</v>
      </c>
      <c r="GR31">
        <v>99.729600000000005</v>
      </c>
      <c r="GS31">
        <v>99.555400000000006</v>
      </c>
    </row>
    <row r="32" spans="1:201" x14ac:dyDescent="0.25">
      <c r="A32">
        <v>16</v>
      </c>
      <c r="B32">
        <v>1690221205</v>
      </c>
      <c r="C32">
        <v>322.5</v>
      </c>
      <c r="D32" t="s">
        <v>363</v>
      </c>
      <c r="E32" t="s">
        <v>364</v>
      </c>
      <c r="F32" t="s">
        <v>330</v>
      </c>
      <c r="H32">
        <v>1690221205</v>
      </c>
      <c r="I32">
        <f t="shared" si="0"/>
        <v>4.5799441191976645E-4</v>
      </c>
      <c r="J32">
        <f t="shared" si="1"/>
        <v>0.45799441191976648</v>
      </c>
      <c r="K32">
        <f t="shared" si="2"/>
        <v>0.23866247095853171</v>
      </c>
      <c r="L32">
        <f t="shared" si="3"/>
        <v>793.63699999999994</v>
      </c>
      <c r="M32">
        <f t="shared" si="4"/>
        <v>733.76180685698728</v>
      </c>
      <c r="N32">
        <f t="shared" si="5"/>
        <v>72.767865512260698</v>
      </c>
      <c r="O32">
        <f t="shared" si="6"/>
        <v>78.705746117976901</v>
      </c>
      <c r="P32">
        <f t="shared" si="7"/>
        <v>1.5778008856740661E-2</v>
      </c>
      <c r="Q32">
        <f t="shared" si="8"/>
        <v>2.1944198317199826</v>
      </c>
      <c r="R32">
        <f t="shared" si="9"/>
        <v>1.5715254623061101E-2</v>
      </c>
      <c r="S32">
        <f t="shared" si="10"/>
        <v>9.827651473453481E-3</v>
      </c>
      <c r="T32">
        <f t="shared" si="11"/>
        <v>276.10963406406722</v>
      </c>
      <c r="U32">
        <f t="shared" si="12"/>
        <v>28.333179630783249</v>
      </c>
      <c r="V32">
        <f t="shared" si="13"/>
        <v>28.333179630783249</v>
      </c>
      <c r="W32">
        <f t="shared" si="14"/>
        <v>3.869175219569327</v>
      </c>
      <c r="X32">
        <f t="shared" si="15"/>
        <v>30.478477439335684</v>
      </c>
      <c r="Y32">
        <f t="shared" si="16"/>
        <v>1.05069652620876</v>
      </c>
      <c r="Z32">
        <f t="shared" si="17"/>
        <v>3.4473392849103592</v>
      </c>
      <c r="AA32">
        <f t="shared" si="18"/>
        <v>2.818478693360567</v>
      </c>
      <c r="AB32">
        <f t="shared" si="19"/>
        <v>-20.1975535656617</v>
      </c>
      <c r="AC32">
        <f t="shared" si="20"/>
        <v>-233.13053062189078</v>
      </c>
      <c r="AD32">
        <f t="shared" si="21"/>
        <v>-23.007480853057299</v>
      </c>
      <c r="AE32">
        <f t="shared" si="22"/>
        <v>-0.22593097654257122</v>
      </c>
      <c r="AF32">
        <v>0</v>
      </c>
      <c r="AG32">
        <v>0</v>
      </c>
      <c r="AH32">
        <f t="shared" si="23"/>
        <v>1</v>
      </c>
      <c r="AI32">
        <f t="shared" si="24"/>
        <v>0</v>
      </c>
      <c r="AJ32">
        <f t="shared" si="25"/>
        <v>52510.069617143585</v>
      </c>
      <c r="AK32">
        <f t="shared" si="26"/>
        <v>1799.97</v>
      </c>
      <c r="AL32">
        <f t="shared" si="27"/>
        <v>1499.08795258437</v>
      </c>
      <c r="AM32">
        <f t="shared" si="28"/>
        <v>0.83284052099999994</v>
      </c>
      <c r="AN32">
        <f t="shared" si="29"/>
        <v>0.15339679776000001</v>
      </c>
      <c r="AO32">
        <v>31.2</v>
      </c>
      <c r="AP32">
        <v>0.5</v>
      </c>
      <c r="AQ32" t="s">
        <v>331</v>
      </c>
      <c r="AR32">
        <v>2</v>
      </c>
      <c r="AS32">
        <v>1690221205</v>
      </c>
      <c r="AT32">
        <v>793.63699999999994</v>
      </c>
      <c r="AU32">
        <v>799.89700000000005</v>
      </c>
      <c r="AV32">
        <v>10.594799999999999</v>
      </c>
      <c r="AW32">
        <v>5.8838499999999998</v>
      </c>
      <c r="AX32">
        <v>794.125</v>
      </c>
      <c r="AY32">
        <v>10.6425</v>
      </c>
      <c r="AZ32">
        <v>300.11</v>
      </c>
      <c r="BA32">
        <v>99.070999999999998</v>
      </c>
      <c r="BB32">
        <v>9.9963700000000003E-2</v>
      </c>
      <c r="BC32">
        <v>26.3626</v>
      </c>
      <c r="BD32">
        <v>27.272099999999998</v>
      </c>
      <c r="BE32">
        <v>27.944299999999998</v>
      </c>
      <c r="BF32">
        <v>0</v>
      </c>
      <c r="BG32">
        <v>0</v>
      </c>
      <c r="BH32">
        <v>10002.5</v>
      </c>
      <c r="BI32">
        <v>1075.8599999999999</v>
      </c>
      <c r="BJ32">
        <v>1.41567</v>
      </c>
      <c r="BK32">
        <v>-6.2606200000000003</v>
      </c>
      <c r="BL32">
        <v>802.13499999999999</v>
      </c>
      <c r="BM32">
        <v>804.63199999999995</v>
      </c>
      <c r="BN32">
        <v>4.7109100000000002</v>
      </c>
      <c r="BO32">
        <v>799.89700000000005</v>
      </c>
      <c r="BP32">
        <v>5.8838499999999998</v>
      </c>
      <c r="BQ32">
        <v>1.0496300000000001</v>
      </c>
      <c r="BR32">
        <v>0.58291899999999996</v>
      </c>
      <c r="BS32">
        <v>7.6241700000000003</v>
      </c>
      <c r="BT32">
        <v>-0.70528299999999999</v>
      </c>
      <c r="BU32">
        <v>1799.97</v>
      </c>
      <c r="BV32">
        <v>0.91001500000000002</v>
      </c>
      <c r="BW32">
        <v>3.4003199999999997E-2</v>
      </c>
      <c r="BX32">
        <v>2.1991299999999998E-2</v>
      </c>
      <c r="BY32">
        <v>3.3991E-2</v>
      </c>
      <c r="BZ32">
        <v>26</v>
      </c>
      <c r="CA32">
        <v>33528</v>
      </c>
      <c r="CB32">
        <v>1690220522.5999999</v>
      </c>
      <c r="CC32" t="s">
        <v>332</v>
      </c>
      <c r="CD32">
        <v>1690220522.5999999</v>
      </c>
      <c r="CE32">
        <v>1690220510.5999999</v>
      </c>
      <c r="CF32">
        <v>10</v>
      </c>
      <c r="CG32">
        <v>-0.22</v>
      </c>
      <c r="CH32">
        <v>-2.7E-2</v>
      </c>
      <c r="CI32">
        <v>-0.49299999999999999</v>
      </c>
      <c r="CJ32">
        <v>0.152</v>
      </c>
      <c r="CK32">
        <v>800</v>
      </c>
      <c r="CL32">
        <v>19</v>
      </c>
      <c r="CM32">
        <v>0.1</v>
      </c>
      <c r="CN32">
        <v>0.03</v>
      </c>
      <c r="CO32">
        <v>-5.434677317073171</v>
      </c>
      <c r="CP32">
        <v>-5.1336917770034773</v>
      </c>
      <c r="CQ32">
        <v>0.50889314411949627</v>
      </c>
      <c r="CR32">
        <v>-1</v>
      </c>
      <c r="CS32">
        <v>4.7746258536585362</v>
      </c>
      <c r="CT32">
        <v>-0.28661979094076673</v>
      </c>
      <c r="CU32">
        <v>2.880869550094884E-2</v>
      </c>
      <c r="CV32">
        <v>-1</v>
      </c>
      <c r="CW32">
        <v>0</v>
      </c>
      <c r="CX32">
        <v>0</v>
      </c>
      <c r="CY32" t="s">
        <v>333</v>
      </c>
      <c r="CZ32">
        <v>2.3641200000000002</v>
      </c>
      <c r="DA32">
        <v>2.7137600000000002</v>
      </c>
      <c r="DB32">
        <v>0.14574000000000001</v>
      </c>
      <c r="DC32">
        <v>0.14604900000000001</v>
      </c>
      <c r="DD32">
        <v>6.3039600000000001E-2</v>
      </c>
      <c r="DE32">
        <v>3.8819199999999998E-2</v>
      </c>
      <c r="DF32">
        <v>31190.3</v>
      </c>
      <c r="DG32">
        <v>27518.3</v>
      </c>
      <c r="DH32">
        <v>31171</v>
      </c>
      <c r="DI32">
        <v>28080.2</v>
      </c>
      <c r="DJ32">
        <v>39669.5</v>
      </c>
      <c r="DK32">
        <v>38381.599999999999</v>
      </c>
      <c r="DL32">
        <v>44359.3</v>
      </c>
      <c r="DM32">
        <v>42559</v>
      </c>
      <c r="DN32">
        <v>1.4751300000000001</v>
      </c>
      <c r="DO32">
        <v>2.0325299999999999</v>
      </c>
      <c r="DP32">
        <v>9.71109E-2</v>
      </c>
      <c r="DQ32">
        <v>0.154056</v>
      </c>
      <c r="DR32">
        <v>25.682600000000001</v>
      </c>
      <c r="DS32">
        <v>25.4236</v>
      </c>
      <c r="DT32">
        <v>23.8</v>
      </c>
      <c r="DU32">
        <v>29.4</v>
      </c>
      <c r="DV32">
        <v>9.8859999999999992</v>
      </c>
      <c r="DW32">
        <v>62.024099999999997</v>
      </c>
      <c r="DX32">
        <v>37.1554</v>
      </c>
      <c r="DY32">
        <v>1</v>
      </c>
      <c r="DZ32">
        <v>-8.2708299999999998E-2</v>
      </c>
      <c r="EA32">
        <v>1.51535</v>
      </c>
      <c r="EB32">
        <v>20.181799999999999</v>
      </c>
      <c r="EC32">
        <v>5.2404999999999999</v>
      </c>
      <c r="ED32">
        <v>12.039899999999999</v>
      </c>
      <c r="EE32">
        <v>5.0168999999999997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1.86894</v>
      </c>
      <c r="EL32">
        <v>1.86467</v>
      </c>
      <c r="EM32">
        <v>1.8691800000000001</v>
      </c>
      <c r="EN32">
        <v>1.8672500000000001</v>
      </c>
      <c r="EO32">
        <v>1.8633999999999999</v>
      </c>
      <c r="EP32">
        <v>1.86453</v>
      </c>
      <c r="EQ32">
        <v>1.87018</v>
      </c>
      <c r="ER32">
        <v>1.8694599999999999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-0.48799999999999999</v>
      </c>
      <c r="FG32">
        <v>-4.7699999999999999E-2</v>
      </c>
      <c r="FH32">
        <v>5.8509882529719233E-2</v>
      </c>
      <c r="FI32">
        <v>-6.1462078757559423E-4</v>
      </c>
      <c r="FJ32">
        <v>-1.8861989874597051E-7</v>
      </c>
      <c r="FK32">
        <v>1.1980462299894961E-10</v>
      </c>
      <c r="FL32">
        <v>-5.9863424041980147E-2</v>
      </c>
      <c r="FM32">
        <v>-1.6848085045870601E-2</v>
      </c>
      <c r="FN32">
        <v>1.9789084769509481E-3</v>
      </c>
      <c r="FO32">
        <v>-2.7142391389806329E-5</v>
      </c>
      <c r="FP32">
        <v>3</v>
      </c>
      <c r="FQ32">
        <v>2158</v>
      </c>
      <c r="FR32">
        <v>1</v>
      </c>
      <c r="FS32">
        <v>19</v>
      </c>
      <c r="FT32">
        <v>11.4</v>
      </c>
      <c r="FU32">
        <v>11.6</v>
      </c>
      <c r="FV32">
        <v>1.7773399999999999</v>
      </c>
      <c r="FW32">
        <v>2.5781200000000002</v>
      </c>
      <c r="FX32">
        <v>1.5490699999999999</v>
      </c>
      <c r="FY32">
        <v>2.3290999999999999</v>
      </c>
      <c r="FZ32">
        <v>1.50146</v>
      </c>
      <c r="GA32">
        <v>2.3730500000000001</v>
      </c>
      <c r="GB32">
        <v>33.850900000000003</v>
      </c>
      <c r="GC32">
        <v>23.973700000000001</v>
      </c>
      <c r="GD32">
        <v>19</v>
      </c>
      <c r="GE32">
        <v>282.721</v>
      </c>
      <c r="GF32">
        <v>580.45399999999995</v>
      </c>
      <c r="GG32">
        <v>23.770299999999999</v>
      </c>
      <c r="GH32">
        <v>26.430199999999999</v>
      </c>
      <c r="GI32">
        <v>29.9983</v>
      </c>
      <c r="GJ32">
        <v>26.4193</v>
      </c>
      <c r="GK32">
        <v>26.379799999999999</v>
      </c>
      <c r="GL32">
        <v>35.5456</v>
      </c>
      <c r="GM32">
        <v>-30</v>
      </c>
      <c r="GN32">
        <v>-30</v>
      </c>
      <c r="GO32">
        <v>23.238700000000001</v>
      </c>
      <c r="GP32">
        <v>800</v>
      </c>
      <c r="GQ32">
        <v>18.0809</v>
      </c>
      <c r="GR32">
        <v>99.733999999999995</v>
      </c>
      <c r="GS32">
        <v>99.561099999999996</v>
      </c>
    </row>
    <row r="33" spans="1:201" x14ac:dyDescent="0.25">
      <c r="A33">
        <v>17</v>
      </c>
      <c r="B33">
        <v>1690221215</v>
      </c>
      <c r="C33">
        <v>332.5</v>
      </c>
      <c r="D33" t="s">
        <v>365</v>
      </c>
      <c r="E33" t="s">
        <v>366</v>
      </c>
      <c r="F33" t="s">
        <v>330</v>
      </c>
      <c r="H33">
        <v>1690221215</v>
      </c>
      <c r="I33">
        <f t="shared" si="0"/>
        <v>4.5136830236193525E-4</v>
      </c>
      <c r="J33">
        <f t="shared" si="1"/>
        <v>0.45136830236193526</v>
      </c>
      <c r="K33">
        <f t="shared" si="2"/>
        <v>0.31244200952646528</v>
      </c>
      <c r="L33">
        <f t="shared" si="3"/>
        <v>793.01599999999996</v>
      </c>
      <c r="M33">
        <f t="shared" si="4"/>
        <v>724.8433304949574</v>
      </c>
      <c r="N33">
        <f t="shared" si="5"/>
        <v>71.885933201680643</v>
      </c>
      <c r="O33">
        <f t="shared" si="6"/>
        <v>78.646919693580003</v>
      </c>
      <c r="P33">
        <f t="shared" si="7"/>
        <v>1.5424098631760787E-2</v>
      </c>
      <c r="Q33">
        <f t="shared" si="8"/>
        <v>2.1939249967853933</v>
      </c>
      <c r="R33">
        <f t="shared" si="9"/>
        <v>1.5364108807726564E-2</v>
      </c>
      <c r="S33">
        <f t="shared" si="10"/>
        <v>9.607938326265511E-3</v>
      </c>
      <c r="T33">
        <f t="shared" si="11"/>
        <v>276.11475796660034</v>
      </c>
      <c r="U33">
        <f t="shared" si="12"/>
        <v>28.400260949479687</v>
      </c>
      <c r="V33">
        <f t="shared" si="13"/>
        <v>28.400260949479687</v>
      </c>
      <c r="W33">
        <f t="shared" si="14"/>
        <v>3.8842943446795837</v>
      </c>
      <c r="X33">
        <f t="shared" si="15"/>
        <v>30.143677593899572</v>
      </c>
      <c r="Y33">
        <f t="shared" si="16"/>
        <v>1.0431167862150001</v>
      </c>
      <c r="Z33">
        <f t="shared" si="17"/>
        <v>3.4604828258450606</v>
      </c>
      <c r="AA33">
        <f t="shared" si="18"/>
        <v>2.8411775584645835</v>
      </c>
      <c r="AB33">
        <f t="shared" si="19"/>
        <v>-19.905342134161344</v>
      </c>
      <c r="AC33">
        <f t="shared" si="20"/>
        <v>-233.38327589877403</v>
      </c>
      <c r="AD33">
        <f t="shared" si="21"/>
        <v>-23.052761914738198</v>
      </c>
      <c r="AE33">
        <f t="shared" si="22"/>
        <v>-0.22662198107323661</v>
      </c>
      <c r="AF33">
        <v>0</v>
      </c>
      <c r="AG33">
        <v>0</v>
      </c>
      <c r="AH33">
        <f t="shared" si="23"/>
        <v>1</v>
      </c>
      <c r="AI33">
        <f t="shared" si="24"/>
        <v>0</v>
      </c>
      <c r="AJ33">
        <f t="shared" si="25"/>
        <v>52478.563135171658</v>
      </c>
      <c r="AK33">
        <f t="shared" si="26"/>
        <v>1799.99</v>
      </c>
      <c r="AL33">
        <f t="shared" si="27"/>
        <v>1499.1037741994298</v>
      </c>
      <c r="AM33">
        <f t="shared" si="28"/>
        <v>0.83284005699999997</v>
      </c>
      <c r="AN33">
        <f t="shared" si="29"/>
        <v>0.15339793997000001</v>
      </c>
      <c r="AO33">
        <v>31.2</v>
      </c>
      <c r="AP33">
        <v>0.5</v>
      </c>
      <c r="AQ33" t="s">
        <v>331</v>
      </c>
      <c r="AR33">
        <v>2</v>
      </c>
      <c r="AS33">
        <v>1690221215</v>
      </c>
      <c r="AT33">
        <v>793.01599999999996</v>
      </c>
      <c r="AU33">
        <v>799.98500000000001</v>
      </c>
      <c r="AV33">
        <v>10.518000000000001</v>
      </c>
      <c r="AW33">
        <v>5.87514</v>
      </c>
      <c r="AX33">
        <v>793.50400000000002</v>
      </c>
      <c r="AY33">
        <v>10.567</v>
      </c>
      <c r="AZ33">
        <v>300.12900000000002</v>
      </c>
      <c r="BA33">
        <v>99.0745</v>
      </c>
      <c r="BB33">
        <v>9.9942500000000004E-2</v>
      </c>
      <c r="BC33">
        <v>26.427099999999999</v>
      </c>
      <c r="BD33">
        <v>27.324400000000001</v>
      </c>
      <c r="BE33">
        <v>28.099</v>
      </c>
      <c r="BF33">
        <v>0</v>
      </c>
      <c r="BG33">
        <v>0</v>
      </c>
      <c r="BH33">
        <v>9998.1200000000008</v>
      </c>
      <c r="BI33">
        <v>1075.82</v>
      </c>
      <c r="BJ33">
        <v>1.1773899999999999</v>
      </c>
      <c r="BK33">
        <v>-6.9695999999999998</v>
      </c>
      <c r="BL33">
        <v>801.44500000000005</v>
      </c>
      <c r="BM33">
        <v>804.71299999999997</v>
      </c>
      <c r="BN33">
        <v>4.6428599999999998</v>
      </c>
      <c r="BO33">
        <v>799.98500000000001</v>
      </c>
      <c r="BP33">
        <v>5.87514</v>
      </c>
      <c r="BQ33">
        <v>1.0420700000000001</v>
      </c>
      <c r="BR33">
        <v>0.58207699999999996</v>
      </c>
      <c r="BS33">
        <v>7.5181899999999997</v>
      </c>
      <c r="BT33">
        <v>-0.725074</v>
      </c>
      <c r="BU33">
        <v>1799.99</v>
      </c>
      <c r="BV33">
        <v>0.90998999999999997</v>
      </c>
      <c r="BW33">
        <v>3.3996100000000001E-2</v>
      </c>
      <c r="BX33">
        <v>2.2007599999999999E-2</v>
      </c>
      <c r="BY33">
        <v>3.4006099999999997E-2</v>
      </c>
      <c r="BZ33">
        <v>26</v>
      </c>
      <c r="CA33">
        <v>33528.1</v>
      </c>
      <c r="CB33">
        <v>1690220522.5999999</v>
      </c>
      <c r="CC33" t="s">
        <v>332</v>
      </c>
      <c r="CD33">
        <v>1690220522.5999999</v>
      </c>
      <c r="CE33">
        <v>1690220510.5999999</v>
      </c>
      <c r="CF33">
        <v>10</v>
      </c>
      <c r="CG33">
        <v>-0.22</v>
      </c>
      <c r="CH33">
        <v>-2.7E-2</v>
      </c>
      <c r="CI33">
        <v>-0.49299999999999999</v>
      </c>
      <c r="CJ33">
        <v>0.152</v>
      </c>
      <c r="CK33">
        <v>800</v>
      </c>
      <c r="CL33">
        <v>19</v>
      </c>
      <c r="CM33">
        <v>0.1</v>
      </c>
      <c r="CN33">
        <v>0.03</v>
      </c>
      <c r="CO33">
        <v>-6.2478897500000006</v>
      </c>
      <c r="CP33">
        <v>-4.213414671669784</v>
      </c>
      <c r="CQ33">
        <v>0.40788269263041482</v>
      </c>
      <c r="CR33">
        <v>-1</v>
      </c>
      <c r="CS33">
        <v>4.7150024999999998</v>
      </c>
      <c r="CT33">
        <v>-0.39540968105065871</v>
      </c>
      <c r="CU33">
        <v>3.8076212439658461E-2</v>
      </c>
      <c r="CV33">
        <v>-1</v>
      </c>
      <c r="CW33">
        <v>0</v>
      </c>
      <c r="CX33">
        <v>0</v>
      </c>
      <c r="CY33" t="s">
        <v>333</v>
      </c>
      <c r="CZ33">
        <v>2.3641800000000002</v>
      </c>
      <c r="DA33">
        <v>2.71373</v>
      </c>
      <c r="DB33">
        <v>0.14566399999999999</v>
      </c>
      <c r="DC33">
        <v>0.146062</v>
      </c>
      <c r="DD33">
        <v>6.2695100000000004E-2</v>
      </c>
      <c r="DE33">
        <v>3.87727E-2</v>
      </c>
      <c r="DF33">
        <v>31191.7</v>
      </c>
      <c r="DG33">
        <v>27515.200000000001</v>
      </c>
      <c r="DH33">
        <v>31169.7</v>
      </c>
      <c r="DI33">
        <v>28077.5</v>
      </c>
      <c r="DJ33">
        <v>39682.300000000003</v>
      </c>
      <c r="DK33">
        <v>38380</v>
      </c>
      <c r="DL33">
        <v>44357.3</v>
      </c>
      <c r="DM33">
        <v>42555.199999999997</v>
      </c>
      <c r="DN33">
        <v>1.4735</v>
      </c>
      <c r="DO33">
        <v>2.0319500000000001</v>
      </c>
      <c r="DP33">
        <v>0.101827</v>
      </c>
      <c r="DQ33">
        <v>0.164904</v>
      </c>
      <c r="DR33">
        <v>25.657699999999998</v>
      </c>
      <c r="DS33">
        <v>25.4011</v>
      </c>
      <c r="DT33">
        <v>23.4</v>
      </c>
      <c r="DU33">
        <v>29.5</v>
      </c>
      <c r="DV33">
        <v>9.7774300000000007</v>
      </c>
      <c r="DW33">
        <v>61.624099999999999</v>
      </c>
      <c r="DX33">
        <v>37.263599999999997</v>
      </c>
      <c r="DY33">
        <v>1</v>
      </c>
      <c r="DZ33">
        <v>-7.4994900000000003E-2</v>
      </c>
      <c r="EA33">
        <v>3.6537000000000002</v>
      </c>
      <c r="EB33">
        <v>20.140599999999999</v>
      </c>
      <c r="EC33">
        <v>5.2411000000000003</v>
      </c>
      <c r="ED33">
        <v>12.039899999999999</v>
      </c>
      <c r="EE33">
        <v>5.0171000000000001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1.8689100000000001</v>
      </c>
      <c r="EL33">
        <v>1.8646400000000001</v>
      </c>
      <c r="EM33">
        <v>1.8691800000000001</v>
      </c>
      <c r="EN33">
        <v>1.8672500000000001</v>
      </c>
      <c r="EO33">
        <v>1.8633999999999999</v>
      </c>
      <c r="EP33">
        <v>1.8645799999999999</v>
      </c>
      <c r="EQ33">
        <v>1.8702099999999999</v>
      </c>
      <c r="ER33">
        <v>1.86948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-0.48799999999999999</v>
      </c>
      <c r="FG33">
        <v>-4.9000000000000002E-2</v>
      </c>
      <c r="FH33">
        <v>5.8509882529719233E-2</v>
      </c>
      <c r="FI33">
        <v>-6.1462078757559423E-4</v>
      </c>
      <c r="FJ33">
        <v>-1.8861989874597051E-7</v>
      </c>
      <c r="FK33">
        <v>1.1980462299894961E-10</v>
      </c>
      <c r="FL33">
        <v>-5.9863424041980147E-2</v>
      </c>
      <c r="FM33">
        <v>-1.6848085045870601E-2</v>
      </c>
      <c r="FN33">
        <v>1.9789084769509481E-3</v>
      </c>
      <c r="FO33">
        <v>-2.7142391389806329E-5</v>
      </c>
      <c r="FP33">
        <v>3</v>
      </c>
      <c r="FQ33">
        <v>2158</v>
      </c>
      <c r="FR33">
        <v>1</v>
      </c>
      <c r="FS33">
        <v>19</v>
      </c>
      <c r="FT33">
        <v>11.5</v>
      </c>
      <c r="FU33">
        <v>11.7</v>
      </c>
      <c r="FV33">
        <v>1.7773399999999999</v>
      </c>
      <c r="FW33">
        <v>2.5756800000000002</v>
      </c>
      <c r="FX33">
        <v>1.5490699999999999</v>
      </c>
      <c r="FY33">
        <v>2.3290999999999999</v>
      </c>
      <c r="FZ33">
        <v>1.50146</v>
      </c>
      <c r="GA33">
        <v>2.323</v>
      </c>
      <c r="GB33">
        <v>33.850900000000003</v>
      </c>
      <c r="GC33">
        <v>23.9649</v>
      </c>
      <c r="GD33">
        <v>19</v>
      </c>
      <c r="GE33">
        <v>282.07799999999997</v>
      </c>
      <c r="GF33">
        <v>580.07399999999996</v>
      </c>
      <c r="GG33">
        <v>23.100100000000001</v>
      </c>
      <c r="GH33">
        <v>26.446999999999999</v>
      </c>
      <c r="GI33">
        <v>30.003299999999999</v>
      </c>
      <c r="GJ33">
        <v>26.430399999999999</v>
      </c>
      <c r="GK33">
        <v>26.388100000000001</v>
      </c>
      <c r="GL33">
        <v>35.545699999999997</v>
      </c>
      <c r="GM33">
        <v>-30</v>
      </c>
      <c r="GN33">
        <v>-30</v>
      </c>
      <c r="GO33">
        <v>22.565300000000001</v>
      </c>
      <c r="GP33">
        <v>800</v>
      </c>
      <c r="GQ33">
        <v>18.0809</v>
      </c>
      <c r="GR33">
        <v>99.729500000000002</v>
      </c>
      <c r="GS33">
        <v>99.552099999999996</v>
      </c>
    </row>
    <row r="34" spans="1:201" x14ac:dyDescent="0.25">
      <c r="A34">
        <v>18</v>
      </c>
      <c r="B34">
        <v>1690221225</v>
      </c>
      <c r="C34">
        <v>342.5</v>
      </c>
      <c r="D34" t="s">
        <v>367</v>
      </c>
      <c r="E34" t="s">
        <v>368</v>
      </c>
      <c r="F34" t="s">
        <v>330</v>
      </c>
      <c r="H34">
        <v>1690221225</v>
      </c>
      <c r="I34">
        <f t="shared" si="0"/>
        <v>4.4540663673267215E-4</v>
      </c>
      <c r="J34">
        <f t="shared" si="1"/>
        <v>0.44540663673267217</v>
      </c>
      <c r="K34">
        <f t="shared" si="2"/>
        <v>0.36646983329099542</v>
      </c>
      <c r="L34">
        <f t="shared" si="3"/>
        <v>792.572</v>
      </c>
      <c r="M34">
        <f t="shared" si="4"/>
        <v>718.60914669672354</v>
      </c>
      <c r="N34">
        <f t="shared" si="5"/>
        <v>71.267233279857749</v>
      </c>
      <c r="O34">
        <f t="shared" si="6"/>
        <v>78.60241394745519</v>
      </c>
      <c r="P34">
        <f t="shared" si="7"/>
        <v>1.5258196137668552E-2</v>
      </c>
      <c r="Q34">
        <f t="shared" si="8"/>
        <v>2.1965306912503326</v>
      </c>
      <c r="R34">
        <f t="shared" si="9"/>
        <v>1.5199556585924512E-2</v>
      </c>
      <c r="S34">
        <f t="shared" si="10"/>
        <v>9.5049725357452854E-3</v>
      </c>
      <c r="T34">
        <f t="shared" si="11"/>
        <v>276.11273478863626</v>
      </c>
      <c r="U34">
        <f t="shared" si="12"/>
        <v>28.339442502125078</v>
      </c>
      <c r="V34">
        <f t="shared" si="13"/>
        <v>28.339442502125078</v>
      </c>
      <c r="W34">
        <f t="shared" si="14"/>
        <v>3.8705846010764953</v>
      </c>
      <c r="X34">
        <f t="shared" si="15"/>
        <v>30.054222819388798</v>
      </c>
      <c r="Y34">
        <f t="shared" si="16"/>
        <v>1.0362972752773798</v>
      </c>
      <c r="Z34">
        <f t="shared" si="17"/>
        <v>3.4480920751304076</v>
      </c>
      <c r="AA34">
        <f t="shared" si="18"/>
        <v>2.8342873257991155</v>
      </c>
      <c r="AB34">
        <f t="shared" si="19"/>
        <v>-19.64243267991084</v>
      </c>
      <c r="AC34">
        <f t="shared" si="20"/>
        <v>-233.65827747328004</v>
      </c>
      <c r="AD34">
        <f t="shared" si="21"/>
        <v>-23.038550549563304</v>
      </c>
      <c r="AE34">
        <f t="shared" si="22"/>
        <v>-0.22652591411790013</v>
      </c>
      <c r="AF34">
        <v>0</v>
      </c>
      <c r="AG34">
        <v>0</v>
      </c>
      <c r="AH34">
        <f t="shared" si="23"/>
        <v>1</v>
      </c>
      <c r="AI34">
        <f t="shared" si="24"/>
        <v>0</v>
      </c>
      <c r="AJ34">
        <f t="shared" si="25"/>
        <v>52596.026407797304</v>
      </c>
      <c r="AK34">
        <f t="shared" si="26"/>
        <v>1799.98</v>
      </c>
      <c r="AL34">
        <f t="shared" si="27"/>
        <v>1499.0941624131201</v>
      </c>
      <c r="AM34">
        <f t="shared" si="28"/>
        <v>0.83283934400000004</v>
      </c>
      <c r="AN34">
        <f t="shared" si="29"/>
        <v>0.15339766819000003</v>
      </c>
      <c r="AO34">
        <v>31.2</v>
      </c>
      <c r="AP34">
        <v>0.5</v>
      </c>
      <c r="AQ34" t="s">
        <v>331</v>
      </c>
      <c r="AR34">
        <v>2</v>
      </c>
      <c r="AS34">
        <v>1690221225</v>
      </c>
      <c r="AT34">
        <v>792.572</v>
      </c>
      <c r="AU34">
        <v>800.05</v>
      </c>
      <c r="AV34">
        <v>10.449299999999999</v>
      </c>
      <c r="AW34">
        <v>5.8683300000000003</v>
      </c>
      <c r="AX34">
        <v>793.06</v>
      </c>
      <c r="AY34">
        <v>10.4994</v>
      </c>
      <c r="AZ34">
        <v>300.18700000000001</v>
      </c>
      <c r="BA34">
        <v>99.073899999999995</v>
      </c>
      <c r="BB34">
        <v>9.9946599999999997E-2</v>
      </c>
      <c r="BC34">
        <v>26.366299999999999</v>
      </c>
      <c r="BD34">
        <v>27.2927</v>
      </c>
      <c r="BE34">
        <v>28.1145</v>
      </c>
      <c r="BF34">
        <v>0</v>
      </c>
      <c r="BG34">
        <v>0</v>
      </c>
      <c r="BH34">
        <v>10019.4</v>
      </c>
      <c r="BI34">
        <v>1075.32</v>
      </c>
      <c r="BJ34">
        <v>1.1773899999999999</v>
      </c>
      <c r="BK34">
        <v>-7.47858</v>
      </c>
      <c r="BL34">
        <v>800.94100000000003</v>
      </c>
      <c r="BM34">
        <v>804.77300000000002</v>
      </c>
      <c r="BN34">
        <v>4.58101</v>
      </c>
      <c r="BO34">
        <v>800.05</v>
      </c>
      <c r="BP34">
        <v>5.8683300000000003</v>
      </c>
      <c r="BQ34">
        <v>1.0352600000000001</v>
      </c>
      <c r="BR34">
        <v>0.581399</v>
      </c>
      <c r="BS34">
        <v>7.4222599999999996</v>
      </c>
      <c r="BT34">
        <v>-0.741031</v>
      </c>
      <c r="BU34">
        <v>1799.98</v>
      </c>
      <c r="BV34">
        <v>0.90998900000000005</v>
      </c>
      <c r="BW34">
        <v>3.3997699999999999E-2</v>
      </c>
      <c r="BX34">
        <v>2.2003700000000001E-2</v>
      </c>
      <c r="BY34">
        <v>3.4009299999999999E-2</v>
      </c>
      <c r="BZ34">
        <v>26</v>
      </c>
      <c r="CA34">
        <v>33528</v>
      </c>
      <c r="CB34">
        <v>1690220522.5999999</v>
      </c>
      <c r="CC34" t="s">
        <v>332</v>
      </c>
      <c r="CD34">
        <v>1690220522.5999999</v>
      </c>
      <c r="CE34">
        <v>1690220510.5999999</v>
      </c>
      <c r="CF34">
        <v>10</v>
      </c>
      <c r="CG34">
        <v>-0.22</v>
      </c>
      <c r="CH34">
        <v>-2.7E-2</v>
      </c>
      <c r="CI34">
        <v>-0.49299999999999999</v>
      </c>
      <c r="CJ34">
        <v>0.152</v>
      </c>
      <c r="CK34">
        <v>800</v>
      </c>
      <c r="CL34">
        <v>19</v>
      </c>
      <c r="CM34">
        <v>0.1</v>
      </c>
      <c r="CN34">
        <v>0.03</v>
      </c>
      <c r="CO34">
        <v>-6.8903712499999994</v>
      </c>
      <c r="CP34">
        <v>-3.6246917448405029</v>
      </c>
      <c r="CQ34">
        <v>0.35197439279859211</v>
      </c>
      <c r="CR34">
        <v>-1</v>
      </c>
      <c r="CS34">
        <v>4.6489384999999999</v>
      </c>
      <c r="CT34">
        <v>-0.39244412757974079</v>
      </c>
      <c r="CU34">
        <v>3.7760508375153018E-2</v>
      </c>
      <c r="CV34">
        <v>-1</v>
      </c>
      <c r="CW34">
        <v>0</v>
      </c>
      <c r="CX34">
        <v>0</v>
      </c>
      <c r="CY34" t="s">
        <v>333</v>
      </c>
      <c r="CZ34">
        <v>2.3643399999999999</v>
      </c>
      <c r="DA34">
        <v>2.7137500000000001</v>
      </c>
      <c r="DB34">
        <v>0.14560600000000001</v>
      </c>
      <c r="DC34">
        <v>0.146068</v>
      </c>
      <c r="DD34">
        <v>6.2384299999999997E-2</v>
      </c>
      <c r="DE34">
        <v>3.87353E-2</v>
      </c>
      <c r="DF34">
        <v>31191.200000000001</v>
      </c>
      <c r="DG34">
        <v>27512.1</v>
      </c>
      <c r="DH34">
        <v>31167.1</v>
      </c>
      <c r="DI34">
        <v>28074.6</v>
      </c>
      <c r="DJ34">
        <v>39692.199999999997</v>
      </c>
      <c r="DK34">
        <v>38377.699999999997</v>
      </c>
      <c r="DL34">
        <v>44353.5</v>
      </c>
      <c r="DM34">
        <v>42551</v>
      </c>
      <c r="DN34">
        <v>1.4734700000000001</v>
      </c>
      <c r="DO34">
        <v>2.0316000000000001</v>
      </c>
      <c r="DP34">
        <v>0.10068000000000001</v>
      </c>
      <c r="DQ34">
        <v>0.166409</v>
      </c>
      <c r="DR34">
        <v>25.6448</v>
      </c>
      <c r="DS34">
        <v>25.391999999999999</v>
      </c>
      <c r="DT34">
        <v>23.1</v>
      </c>
      <c r="DU34">
        <v>29.5</v>
      </c>
      <c r="DV34">
        <v>9.6528500000000008</v>
      </c>
      <c r="DW34">
        <v>61.704099999999997</v>
      </c>
      <c r="DX34">
        <v>37.279600000000002</v>
      </c>
      <c r="DY34">
        <v>1</v>
      </c>
      <c r="DZ34">
        <v>-6.9540099999999994E-2</v>
      </c>
      <c r="EA34">
        <v>4.3652199999999999</v>
      </c>
      <c r="EB34">
        <v>20.119599999999998</v>
      </c>
      <c r="EC34">
        <v>5.2404999999999999</v>
      </c>
      <c r="ED34">
        <v>12.039899999999999</v>
      </c>
      <c r="EE34">
        <v>5.01715</v>
      </c>
      <c r="EF34">
        <v>3.2879999999999998</v>
      </c>
      <c r="EG34">
        <v>9999</v>
      </c>
      <c r="EH34">
        <v>9999</v>
      </c>
      <c r="EI34">
        <v>9999</v>
      </c>
      <c r="EJ34">
        <v>999.9</v>
      </c>
      <c r="EK34">
        <v>1.8689100000000001</v>
      </c>
      <c r="EL34">
        <v>1.8646400000000001</v>
      </c>
      <c r="EM34">
        <v>1.86917</v>
      </c>
      <c r="EN34">
        <v>1.86724</v>
      </c>
      <c r="EO34">
        <v>1.8633999999999999</v>
      </c>
      <c r="EP34">
        <v>1.8645400000000001</v>
      </c>
      <c r="EQ34">
        <v>1.87018</v>
      </c>
      <c r="ER34">
        <v>1.86947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-0.48799999999999999</v>
      </c>
      <c r="FG34">
        <v>-5.0099999999999999E-2</v>
      </c>
      <c r="FH34">
        <v>5.8509882529719233E-2</v>
      </c>
      <c r="FI34">
        <v>-6.1462078757559423E-4</v>
      </c>
      <c r="FJ34">
        <v>-1.8861989874597051E-7</v>
      </c>
      <c r="FK34">
        <v>1.1980462299894961E-10</v>
      </c>
      <c r="FL34">
        <v>-5.9863424041980147E-2</v>
      </c>
      <c r="FM34">
        <v>-1.6848085045870601E-2</v>
      </c>
      <c r="FN34">
        <v>1.9789084769509481E-3</v>
      </c>
      <c r="FO34">
        <v>-2.7142391389806329E-5</v>
      </c>
      <c r="FP34">
        <v>3</v>
      </c>
      <c r="FQ34">
        <v>2158</v>
      </c>
      <c r="FR34">
        <v>1</v>
      </c>
      <c r="FS34">
        <v>19</v>
      </c>
      <c r="FT34">
        <v>11.7</v>
      </c>
      <c r="FU34">
        <v>11.9</v>
      </c>
      <c r="FV34">
        <v>1.7773399999999999</v>
      </c>
      <c r="FW34">
        <v>2.5744600000000002</v>
      </c>
      <c r="FX34">
        <v>1.5490699999999999</v>
      </c>
      <c r="FY34">
        <v>2.3290999999999999</v>
      </c>
      <c r="FZ34">
        <v>1.50146</v>
      </c>
      <c r="GA34">
        <v>2.32544</v>
      </c>
      <c r="GB34">
        <v>33.850900000000003</v>
      </c>
      <c r="GC34">
        <v>23.956199999999999</v>
      </c>
      <c r="GD34">
        <v>19</v>
      </c>
      <c r="GE34">
        <v>282.11599999999999</v>
      </c>
      <c r="GF34">
        <v>579.86699999999996</v>
      </c>
      <c r="GG34">
        <v>22.264299999999999</v>
      </c>
      <c r="GH34">
        <v>26.460899999999999</v>
      </c>
      <c r="GI34">
        <v>30.002600000000001</v>
      </c>
      <c r="GJ34">
        <v>26.441500000000001</v>
      </c>
      <c r="GK34">
        <v>26.395199999999999</v>
      </c>
      <c r="GL34">
        <v>35.541499999999999</v>
      </c>
      <c r="GM34">
        <v>-30</v>
      </c>
      <c r="GN34">
        <v>-30</v>
      </c>
      <c r="GO34">
        <v>21.907399999999999</v>
      </c>
      <c r="GP34">
        <v>800</v>
      </c>
      <c r="GQ34">
        <v>18.0809</v>
      </c>
      <c r="GR34">
        <v>99.721100000000007</v>
      </c>
      <c r="GS34">
        <v>99.542000000000002</v>
      </c>
    </row>
    <row r="35" spans="1:201" x14ac:dyDescent="0.25">
      <c r="A35">
        <v>19</v>
      </c>
      <c r="B35">
        <v>1690221235</v>
      </c>
      <c r="C35">
        <v>352.5</v>
      </c>
      <c r="D35" t="s">
        <v>369</v>
      </c>
      <c r="E35" t="s">
        <v>370</v>
      </c>
      <c r="F35" t="s">
        <v>330</v>
      </c>
      <c r="H35">
        <v>1690221235</v>
      </c>
      <c r="I35">
        <f t="shared" si="0"/>
        <v>4.3990799171126374E-4</v>
      </c>
      <c r="J35">
        <f t="shared" si="1"/>
        <v>0.43990799171126377</v>
      </c>
      <c r="K35">
        <f t="shared" si="2"/>
        <v>0.40845341109426675</v>
      </c>
      <c r="L35">
        <f t="shared" si="3"/>
        <v>792.08100000000002</v>
      </c>
      <c r="M35">
        <f t="shared" si="4"/>
        <v>713.77298245738268</v>
      </c>
      <c r="N35">
        <f t="shared" si="5"/>
        <v>70.786694000511019</v>
      </c>
      <c r="O35">
        <f t="shared" si="6"/>
        <v>78.5527005765681</v>
      </c>
      <c r="P35">
        <f t="shared" si="7"/>
        <v>1.5162693128559303E-2</v>
      </c>
      <c r="Q35">
        <f t="shared" si="8"/>
        <v>2.1965145619400168</v>
      </c>
      <c r="R35">
        <f t="shared" si="9"/>
        <v>1.5104783417179364E-2</v>
      </c>
      <c r="S35">
        <f t="shared" si="10"/>
        <v>9.4456740819461576E-3</v>
      </c>
      <c r="T35">
        <f t="shared" si="11"/>
        <v>276.11379680794016</v>
      </c>
      <c r="U35">
        <f t="shared" si="12"/>
        <v>28.235715679579688</v>
      </c>
      <c r="V35">
        <f t="shared" si="13"/>
        <v>28.235715679579688</v>
      </c>
      <c r="W35">
        <f t="shared" si="14"/>
        <v>3.8472997840594427</v>
      </c>
      <c r="X35">
        <f t="shared" si="15"/>
        <v>30.06008868510774</v>
      </c>
      <c r="Y35">
        <f t="shared" si="16"/>
        <v>1.0300458782226398</v>
      </c>
      <c r="Z35">
        <f t="shared" si="17"/>
        <v>3.4266228852908922</v>
      </c>
      <c r="AA35">
        <f t="shared" si="18"/>
        <v>2.8172539058368029</v>
      </c>
      <c r="AB35">
        <f t="shared" si="19"/>
        <v>-19.39994243446673</v>
      </c>
      <c r="AC35">
        <f t="shared" si="20"/>
        <v>-233.90206425084872</v>
      </c>
      <c r="AD35">
        <f t="shared" si="21"/>
        <v>-23.038633283328863</v>
      </c>
      <c r="AE35">
        <f t="shared" si="22"/>
        <v>-0.22684316070416344</v>
      </c>
      <c r="AF35">
        <v>0</v>
      </c>
      <c r="AG35">
        <v>0</v>
      </c>
      <c r="AH35">
        <f t="shared" si="23"/>
        <v>1</v>
      </c>
      <c r="AI35">
        <f t="shared" si="24"/>
        <v>0</v>
      </c>
      <c r="AJ35">
        <f t="shared" si="25"/>
        <v>52613.930725331011</v>
      </c>
      <c r="AK35">
        <f t="shared" si="26"/>
        <v>1799.99</v>
      </c>
      <c r="AL35">
        <f t="shared" si="27"/>
        <v>1499.1018428101602</v>
      </c>
      <c r="AM35">
        <f t="shared" si="28"/>
        <v>0.83283898400000012</v>
      </c>
      <c r="AN35">
        <f t="shared" si="29"/>
        <v>0.15339740599000004</v>
      </c>
      <c r="AO35">
        <v>31.2</v>
      </c>
      <c r="AP35">
        <v>0.5</v>
      </c>
      <c r="AQ35" t="s">
        <v>331</v>
      </c>
      <c r="AR35">
        <v>2</v>
      </c>
      <c r="AS35">
        <v>1690221235</v>
      </c>
      <c r="AT35">
        <v>792.08100000000002</v>
      </c>
      <c r="AU35">
        <v>799.94799999999998</v>
      </c>
      <c r="AV35">
        <v>10.3864</v>
      </c>
      <c r="AW35">
        <v>5.8615899999999996</v>
      </c>
      <c r="AX35">
        <v>792.56799999999998</v>
      </c>
      <c r="AY35">
        <v>10.4374</v>
      </c>
      <c r="AZ35">
        <v>300.18</v>
      </c>
      <c r="BA35">
        <v>99.072599999999994</v>
      </c>
      <c r="BB35">
        <v>9.9960099999999996E-2</v>
      </c>
      <c r="BC35">
        <v>26.2605</v>
      </c>
      <c r="BD35">
        <v>27.229199999999999</v>
      </c>
      <c r="BE35">
        <v>28.019600000000001</v>
      </c>
      <c r="BF35">
        <v>0</v>
      </c>
      <c r="BG35">
        <v>0</v>
      </c>
      <c r="BH35">
        <v>10019.4</v>
      </c>
      <c r="BI35">
        <v>1074.6199999999999</v>
      </c>
      <c r="BJ35">
        <v>1.3455900000000001</v>
      </c>
      <c r="BK35">
        <v>-7.8673099999999998</v>
      </c>
      <c r="BL35">
        <v>800.39400000000001</v>
      </c>
      <c r="BM35">
        <v>804.66499999999996</v>
      </c>
      <c r="BN35">
        <v>4.5247999999999999</v>
      </c>
      <c r="BO35">
        <v>799.94799999999998</v>
      </c>
      <c r="BP35">
        <v>5.8615899999999996</v>
      </c>
      <c r="BQ35">
        <v>1.02901</v>
      </c>
      <c r="BR35">
        <v>0.58072299999999999</v>
      </c>
      <c r="BS35">
        <v>7.3336899999999998</v>
      </c>
      <c r="BT35">
        <v>-0.75692999999999999</v>
      </c>
      <c r="BU35">
        <v>1799.99</v>
      </c>
      <c r="BV35">
        <v>0.90999300000000005</v>
      </c>
      <c r="BW35">
        <v>3.4004E-2</v>
      </c>
      <c r="BX35">
        <v>2.1999700000000001E-2</v>
      </c>
      <c r="BY35">
        <v>3.4003100000000001E-2</v>
      </c>
      <c r="BZ35">
        <v>26</v>
      </c>
      <c r="CA35">
        <v>33528.1</v>
      </c>
      <c r="CB35">
        <v>1690220522.5999999</v>
      </c>
      <c r="CC35" t="s">
        <v>332</v>
      </c>
      <c r="CD35">
        <v>1690220522.5999999</v>
      </c>
      <c r="CE35">
        <v>1690220510.5999999</v>
      </c>
      <c r="CF35">
        <v>10</v>
      </c>
      <c r="CG35">
        <v>-0.22</v>
      </c>
      <c r="CH35">
        <v>-2.7E-2</v>
      </c>
      <c r="CI35">
        <v>-0.49299999999999999</v>
      </c>
      <c r="CJ35">
        <v>0.152</v>
      </c>
      <c r="CK35">
        <v>800</v>
      </c>
      <c r="CL35">
        <v>19</v>
      </c>
      <c r="CM35">
        <v>0.1</v>
      </c>
      <c r="CN35">
        <v>0.03</v>
      </c>
      <c r="CO35">
        <v>-7.3786585365853652</v>
      </c>
      <c r="CP35">
        <v>-2.6371952613240262</v>
      </c>
      <c r="CQ35">
        <v>0.2617318381479361</v>
      </c>
      <c r="CR35">
        <v>-1</v>
      </c>
      <c r="CS35">
        <v>4.5906197560975608</v>
      </c>
      <c r="CT35">
        <v>-0.36335749128918959</v>
      </c>
      <c r="CU35">
        <v>3.5838689033610503E-2</v>
      </c>
      <c r="CV35">
        <v>-1</v>
      </c>
      <c r="CW35">
        <v>0</v>
      </c>
      <c r="CX35">
        <v>0</v>
      </c>
      <c r="CY35" t="s">
        <v>333</v>
      </c>
      <c r="CZ35">
        <v>2.3643200000000002</v>
      </c>
      <c r="DA35">
        <v>2.7137699999999998</v>
      </c>
      <c r="DB35">
        <v>0.145537</v>
      </c>
      <c r="DC35">
        <v>0.14605000000000001</v>
      </c>
      <c r="DD35">
        <v>6.2096699999999998E-2</v>
      </c>
      <c r="DE35">
        <v>3.8697200000000001E-2</v>
      </c>
      <c r="DF35">
        <v>31192.2</v>
      </c>
      <c r="DG35">
        <v>27511.4</v>
      </c>
      <c r="DH35">
        <v>31165.599999999999</v>
      </c>
      <c r="DI35">
        <v>28073.3</v>
      </c>
      <c r="DJ35">
        <v>39702.5</v>
      </c>
      <c r="DK35">
        <v>38377.599999999999</v>
      </c>
      <c r="DL35">
        <v>44351.4</v>
      </c>
      <c r="DM35">
        <v>42549.2</v>
      </c>
      <c r="DN35">
        <v>1.47298</v>
      </c>
      <c r="DO35">
        <v>2.0312199999999998</v>
      </c>
      <c r="DP35">
        <v>9.76548E-2</v>
      </c>
      <c r="DQ35">
        <v>0.16138</v>
      </c>
      <c r="DR35">
        <v>25.630700000000001</v>
      </c>
      <c r="DS35">
        <v>25.379100000000001</v>
      </c>
      <c r="DT35">
        <v>22.8</v>
      </c>
      <c r="DU35">
        <v>29.5</v>
      </c>
      <c r="DV35">
        <v>9.5269399999999997</v>
      </c>
      <c r="DW35">
        <v>61.214100000000002</v>
      </c>
      <c r="DX35">
        <v>37.179499999999997</v>
      </c>
      <c r="DY35">
        <v>1</v>
      </c>
      <c r="DZ35">
        <v>-6.7769300000000005E-2</v>
      </c>
      <c r="EA35">
        <v>4.4175199999999997</v>
      </c>
      <c r="EB35">
        <v>20.1189</v>
      </c>
      <c r="EC35">
        <v>5.2411000000000003</v>
      </c>
      <c r="ED35">
        <v>12.039899999999999</v>
      </c>
      <c r="EE35">
        <v>5.0171999999999999</v>
      </c>
      <c r="EF35">
        <v>3.2879999999999998</v>
      </c>
      <c r="EG35">
        <v>9999</v>
      </c>
      <c r="EH35">
        <v>9999</v>
      </c>
      <c r="EI35">
        <v>9999</v>
      </c>
      <c r="EJ35">
        <v>999.9</v>
      </c>
      <c r="EK35">
        <v>1.8689100000000001</v>
      </c>
      <c r="EL35">
        <v>1.8646199999999999</v>
      </c>
      <c r="EM35">
        <v>1.86917</v>
      </c>
      <c r="EN35">
        <v>1.8672299999999999</v>
      </c>
      <c r="EO35">
        <v>1.8633999999999999</v>
      </c>
      <c r="EP35">
        <v>1.86456</v>
      </c>
      <c r="EQ35">
        <v>1.87018</v>
      </c>
      <c r="ER35">
        <v>1.8694599999999999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-0.48699999999999999</v>
      </c>
      <c r="FG35">
        <v>-5.0999999999999997E-2</v>
      </c>
      <c r="FH35">
        <v>5.8509882529719233E-2</v>
      </c>
      <c r="FI35">
        <v>-6.1462078757559423E-4</v>
      </c>
      <c r="FJ35">
        <v>-1.8861989874597051E-7</v>
      </c>
      <c r="FK35">
        <v>1.1980462299894961E-10</v>
      </c>
      <c r="FL35">
        <v>-5.9863424041980147E-2</v>
      </c>
      <c r="FM35">
        <v>-1.6848085045870601E-2</v>
      </c>
      <c r="FN35">
        <v>1.9789084769509481E-3</v>
      </c>
      <c r="FO35">
        <v>-2.7142391389806329E-5</v>
      </c>
      <c r="FP35">
        <v>3</v>
      </c>
      <c r="FQ35">
        <v>2158</v>
      </c>
      <c r="FR35">
        <v>1</v>
      </c>
      <c r="FS35">
        <v>19</v>
      </c>
      <c r="FT35">
        <v>11.9</v>
      </c>
      <c r="FU35">
        <v>12.1</v>
      </c>
      <c r="FV35">
        <v>1.7773399999999999</v>
      </c>
      <c r="FW35">
        <v>2.5854499999999998</v>
      </c>
      <c r="FX35">
        <v>1.5490699999999999</v>
      </c>
      <c r="FY35">
        <v>2.3290999999999999</v>
      </c>
      <c r="FZ35">
        <v>1.50146</v>
      </c>
      <c r="GA35">
        <v>2.2607400000000002</v>
      </c>
      <c r="GB35">
        <v>33.8735</v>
      </c>
      <c r="GC35">
        <v>23.956199999999999</v>
      </c>
      <c r="GD35">
        <v>19</v>
      </c>
      <c r="GE35">
        <v>281.95100000000002</v>
      </c>
      <c r="GF35">
        <v>579.63900000000001</v>
      </c>
      <c r="GG35">
        <v>21.588100000000001</v>
      </c>
      <c r="GH35">
        <v>26.473800000000001</v>
      </c>
      <c r="GI35">
        <v>30.001200000000001</v>
      </c>
      <c r="GJ35">
        <v>26.4527</v>
      </c>
      <c r="GK35">
        <v>26.4024</v>
      </c>
      <c r="GL35">
        <v>35.543799999999997</v>
      </c>
      <c r="GM35">
        <v>-30</v>
      </c>
      <c r="GN35">
        <v>-30</v>
      </c>
      <c r="GO35">
        <v>21.324200000000001</v>
      </c>
      <c r="GP35">
        <v>800</v>
      </c>
      <c r="GQ35">
        <v>18.0809</v>
      </c>
      <c r="GR35">
        <v>99.716300000000004</v>
      </c>
      <c r="GS35">
        <v>99.537700000000001</v>
      </c>
    </row>
    <row r="36" spans="1:201" x14ac:dyDescent="0.25">
      <c r="A36">
        <v>20</v>
      </c>
      <c r="B36">
        <v>1690221245</v>
      </c>
      <c r="C36">
        <v>362.5</v>
      </c>
      <c r="D36" t="s">
        <v>371</v>
      </c>
      <c r="E36" t="s">
        <v>372</v>
      </c>
      <c r="F36" t="s">
        <v>330</v>
      </c>
      <c r="H36">
        <v>1690221245</v>
      </c>
      <c r="I36">
        <f t="shared" si="0"/>
        <v>4.3545079488332934E-4</v>
      </c>
      <c r="J36">
        <f t="shared" si="1"/>
        <v>0.43545079488332933</v>
      </c>
      <c r="K36">
        <f t="shared" si="2"/>
        <v>0.47067321298543796</v>
      </c>
      <c r="L36">
        <f t="shared" si="3"/>
        <v>791.55200000000002</v>
      </c>
      <c r="M36">
        <f t="shared" si="4"/>
        <v>706.96281845717886</v>
      </c>
      <c r="N36">
        <f t="shared" si="5"/>
        <v>70.111794679855876</v>
      </c>
      <c r="O36">
        <f t="shared" si="6"/>
        <v>78.500778051583993</v>
      </c>
      <c r="P36">
        <f t="shared" si="7"/>
        <v>1.5123338023527879E-2</v>
      </c>
      <c r="Q36">
        <f t="shared" si="8"/>
        <v>2.1991939688352304</v>
      </c>
      <c r="R36">
        <f t="shared" si="9"/>
        <v>1.5065797818847098E-2</v>
      </c>
      <c r="S36">
        <f t="shared" si="10"/>
        <v>9.4212750717161328E-3</v>
      </c>
      <c r="T36">
        <f t="shared" si="11"/>
        <v>276.11157093956808</v>
      </c>
      <c r="U36">
        <f t="shared" si="12"/>
        <v>28.11912030059711</v>
      </c>
      <c r="V36">
        <f t="shared" si="13"/>
        <v>28.11912030059711</v>
      </c>
      <c r="W36">
        <f t="shared" si="14"/>
        <v>3.8212721666867626</v>
      </c>
      <c r="X36">
        <f t="shared" si="15"/>
        <v>30.115089175716008</v>
      </c>
      <c r="Y36">
        <f t="shared" si="16"/>
        <v>1.0248761174763998</v>
      </c>
      <c r="Z36">
        <f t="shared" si="17"/>
        <v>3.4031980164376603</v>
      </c>
      <c r="AA36">
        <f t="shared" si="18"/>
        <v>2.7963960492103626</v>
      </c>
      <c r="AB36">
        <f t="shared" si="19"/>
        <v>-19.203380054354824</v>
      </c>
      <c r="AC36">
        <f t="shared" si="20"/>
        <v>-234.12865487950302</v>
      </c>
      <c r="AD36">
        <f t="shared" si="21"/>
        <v>-23.006089645888188</v>
      </c>
      <c r="AE36">
        <f t="shared" si="22"/>
        <v>-0.22655364017794</v>
      </c>
      <c r="AF36">
        <v>0</v>
      </c>
      <c r="AG36">
        <v>0</v>
      </c>
      <c r="AH36">
        <f t="shared" si="23"/>
        <v>1</v>
      </c>
      <c r="AI36">
        <f t="shared" si="24"/>
        <v>0</v>
      </c>
      <c r="AJ36">
        <f t="shared" si="25"/>
        <v>52744.421579764603</v>
      </c>
      <c r="AK36">
        <f t="shared" si="26"/>
        <v>1799.98</v>
      </c>
      <c r="AL36">
        <f t="shared" si="27"/>
        <v>1499.0955231979999</v>
      </c>
      <c r="AM36">
        <f t="shared" si="28"/>
        <v>0.83284009999999997</v>
      </c>
      <c r="AN36">
        <f t="shared" si="29"/>
        <v>0.15339702160000004</v>
      </c>
      <c r="AO36">
        <v>31.2</v>
      </c>
      <c r="AP36">
        <v>0.5</v>
      </c>
      <c r="AQ36" t="s">
        <v>331</v>
      </c>
      <c r="AR36">
        <v>2</v>
      </c>
      <c r="AS36">
        <v>1690221245</v>
      </c>
      <c r="AT36">
        <v>791.55200000000002</v>
      </c>
      <c r="AU36">
        <v>800.02499999999998</v>
      </c>
      <c r="AV36">
        <v>10.334199999999999</v>
      </c>
      <c r="AW36">
        <v>5.8558500000000002</v>
      </c>
      <c r="AX36">
        <v>792.04</v>
      </c>
      <c r="AY36">
        <v>10.385999999999999</v>
      </c>
      <c r="AZ36">
        <v>300.23700000000002</v>
      </c>
      <c r="BA36">
        <v>99.0732</v>
      </c>
      <c r="BB36">
        <v>0.10004200000000001</v>
      </c>
      <c r="BC36">
        <v>26.144400000000001</v>
      </c>
      <c r="BD36">
        <v>27.110800000000001</v>
      </c>
      <c r="BE36">
        <v>27.843800000000002</v>
      </c>
      <c r="BF36">
        <v>0</v>
      </c>
      <c r="BG36">
        <v>0</v>
      </c>
      <c r="BH36">
        <v>10041.200000000001</v>
      </c>
      <c r="BI36">
        <v>1074.01</v>
      </c>
      <c r="BJ36">
        <v>1.43109</v>
      </c>
      <c r="BK36">
        <v>-8.47241</v>
      </c>
      <c r="BL36">
        <v>799.81799999999998</v>
      </c>
      <c r="BM36">
        <v>804.73699999999997</v>
      </c>
      <c r="BN36">
        <v>4.4783499999999998</v>
      </c>
      <c r="BO36">
        <v>800.02499999999998</v>
      </c>
      <c r="BP36">
        <v>5.8558500000000002</v>
      </c>
      <c r="BQ36">
        <v>1.0238400000000001</v>
      </c>
      <c r="BR36">
        <v>0.58015799999999995</v>
      </c>
      <c r="BS36">
        <v>7.2601500000000003</v>
      </c>
      <c r="BT36">
        <v>-0.77026300000000003</v>
      </c>
      <c r="BU36">
        <v>1799.98</v>
      </c>
      <c r="BV36">
        <v>0.91000800000000004</v>
      </c>
      <c r="BW36">
        <v>3.3998300000000002E-2</v>
      </c>
      <c r="BX36">
        <v>2.1996000000000002E-2</v>
      </c>
      <c r="BY36">
        <v>3.3997399999999997E-2</v>
      </c>
      <c r="BZ36">
        <v>26</v>
      </c>
      <c r="CA36">
        <v>33528.1</v>
      </c>
      <c r="CB36">
        <v>1690220522.5999999</v>
      </c>
      <c r="CC36" t="s">
        <v>332</v>
      </c>
      <c r="CD36">
        <v>1690220522.5999999</v>
      </c>
      <c r="CE36">
        <v>1690220510.5999999</v>
      </c>
      <c r="CF36">
        <v>10</v>
      </c>
      <c r="CG36">
        <v>-0.22</v>
      </c>
      <c r="CH36">
        <v>-2.7E-2</v>
      </c>
      <c r="CI36">
        <v>-0.49299999999999999</v>
      </c>
      <c r="CJ36">
        <v>0.152</v>
      </c>
      <c r="CK36">
        <v>800</v>
      </c>
      <c r="CL36">
        <v>19</v>
      </c>
      <c r="CM36">
        <v>0.1</v>
      </c>
      <c r="CN36">
        <v>0.03</v>
      </c>
      <c r="CO36">
        <v>-7.8988674999999997</v>
      </c>
      <c r="CP36">
        <v>-3.0799936210131178</v>
      </c>
      <c r="CQ36">
        <v>0.29977267440303829</v>
      </c>
      <c r="CR36">
        <v>-1</v>
      </c>
      <c r="CS36">
        <v>4.5304512499999996</v>
      </c>
      <c r="CT36">
        <v>-0.30640356472796548</v>
      </c>
      <c r="CU36">
        <v>2.9523428170480061E-2</v>
      </c>
      <c r="CV36">
        <v>-1</v>
      </c>
      <c r="CW36">
        <v>0</v>
      </c>
      <c r="CX36">
        <v>0</v>
      </c>
      <c r="CY36" t="s">
        <v>333</v>
      </c>
      <c r="CZ36">
        <v>2.36449</v>
      </c>
      <c r="DA36">
        <v>2.71387</v>
      </c>
      <c r="DB36">
        <v>0.14546600000000001</v>
      </c>
      <c r="DC36">
        <v>0.14605499999999999</v>
      </c>
      <c r="DD36">
        <v>6.1858499999999997E-2</v>
      </c>
      <c r="DE36">
        <v>3.8664999999999998E-2</v>
      </c>
      <c r="DF36">
        <v>31194.400000000001</v>
      </c>
      <c r="DG36">
        <v>27510.6</v>
      </c>
      <c r="DH36">
        <v>31165.3</v>
      </c>
      <c r="DI36">
        <v>28072.799999999999</v>
      </c>
      <c r="DJ36">
        <v>39712.199999999997</v>
      </c>
      <c r="DK36">
        <v>38378.1</v>
      </c>
      <c r="DL36">
        <v>44350.9</v>
      </c>
      <c r="DM36">
        <v>42548.3</v>
      </c>
      <c r="DN36">
        <v>1.4732700000000001</v>
      </c>
      <c r="DO36">
        <v>2.0309699999999999</v>
      </c>
      <c r="DP36">
        <v>9.1586299999999995E-2</v>
      </c>
      <c r="DQ36">
        <v>0.15190200000000001</v>
      </c>
      <c r="DR36">
        <v>25.611499999999999</v>
      </c>
      <c r="DS36">
        <v>25.358000000000001</v>
      </c>
      <c r="DT36">
        <v>22.5</v>
      </c>
      <c r="DU36">
        <v>29.5</v>
      </c>
      <c r="DV36">
        <v>9.4002999999999997</v>
      </c>
      <c r="DW36">
        <v>60.844099999999997</v>
      </c>
      <c r="DX36">
        <v>36.991199999999999</v>
      </c>
      <c r="DY36">
        <v>1</v>
      </c>
      <c r="DZ36">
        <v>-6.7080799999999996E-2</v>
      </c>
      <c r="EA36">
        <v>4.3127199999999997</v>
      </c>
      <c r="EB36">
        <v>20.123200000000001</v>
      </c>
      <c r="EC36">
        <v>5.2404999999999999</v>
      </c>
      <c r="ED36">
        <v>12.039899999999999</v>
      </c>
      <c r="EE36">
        <v>5.0169499999999996</v>
      </c>
      <c r="EF36">
        <v>3.2879999999999998</v>
      </c>
      <c r="EG36">
        <v>9999</v>
      </c>
      <c r="EH36">
        <v>9999</v>
      </c>
      <c r="EI36">
        <v>9999</v>
      </c>
      <c r="EJ36">
        <v>999.9</v>
      </c>
      <c r="EK36">
        <v>1.8689100000000001</v>
      </c>
      <c r="EL36">
        <v>1.86463</v>
      </c>
      <c r="EM36">
        <v>1.86917</v>
      </c>
      <c r="EN36">
        <v>1.8672500000000001</v>
      </c>
      <c r="EO36">
        <v>1.8633999999999999</v>
      </c>
      <c r="EP36">
        <v>1.8645499999999999</v>
      </c>
      <c r="EQ36">
        <v>1.87018</v>
      </c>
      <c r="ER36">
        <v>1.86948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-0.48799999999999999</v>
      </c>
      <c r="FG36">
        <v>-5.1799999999999999E-2</v>
      </c>
      <c r="FH36">
        <v>5.8509882529719233E-2</v>
      </c>
      <c r="FI36">
        <v>-6.1462078757559423E-4</v>
      </c>
      <c r="FJ36">
        <v>-1.8861989874597051E-7</v>
      </c>
      <c r="FK36">
        <v>1.1980462299894961E-10</v>
      </c>
      <c r="FL36">
        <v>-5.9863424041980147E-2</v>
      </c>
      <c r="FM36">
        <v>-1.6848085045870601E-2</v>
      </c>
      <c r="FN36">
        <v>1.9789084769509481E-3</v>
      </c>
      <c r="FO36">
        <v>-2.7142391389806329E-5</v>
      </c>
      <c r="FP36">
        <v>3</v>
      </c>
      <c r="FQ36">
        <v>2158</v>
      </c>
      <c r="FR36">
        <v>1</v>
      </c>
      <c r="FS36">
        <v>19</v>
      </c>
      <c r="FT36">
        <v>12</v>
      </c>
      <c r="FU36">
        <v>12.2</v>
      </c>
      <c r="FV36">
        <v>1.7773399999999999</v>
      </c>
      <c r="FW36">
        <v>2.5793499999999998</v>
      </c>
      <c r="FX36">
        <v>1.5490699999999999</v>
      </c>
      <c r="FY36">
        <v>2.3290999999999999</v>
      </c>
      <c r="FZ36">
        <v>1.50146</v>
      </c>
      <c r="GA36">
        <v>2.32666</v>
      </c>
      <c r="GB36">
        <v>33.8735</v>
      </c>
      <c r="GC36">
        <v>23.956199999999999</v>
      </c>
      <c r="GD36">
        <v>19</v>
      </c>
      <c r="GE36">
        <v>282.12099999999998</v>
      </c>
      <c r="GF36">
        <v>579.51900000000001</v>
      </c>
      <c r="GG36">
        <v>21.0595</v>
      </c>
      <c r="GH36">
        <v>26.485900000000001</v>
      </c>
      <c r="GI36">
        <v>30.000499999999999</v>
      </c>
      <c r="GJ36">
        <v>26.462</v>
      </c>
      <c r="GK36">
        <v>26.41</v>
      </c>
      <c r="GL36">
        <v>35.539499999999997</v>
      </c>
      <c r="GM36">
        <v>-30</v>
      </c>
      <c r="GN36">
        <v>-30</v>
      </c>
      <c r="GO36">
        <v>20.9422</v>
      </c>
      <c r="GP36">
        <v>800</v>
      </c>
      <c r="GQ36">
        <v>18.0809</v>
      </c>
      <c r="GR36">
        <v>99.715199999999996</v>
      </c>
      <c r="GS36">
        <v>99.535499999999999</v>
      </c>
    </row>
    <row r="37" spans="1:201" x14ac:dyDescent="0.25">
      <c r="A37">
        <v>21</v>
      </c>
      <c r="B37">
        <v>1690221255</v>
      </c>
      <c r="C37">
        <v>372.5</v>
      </c>
      <c r="D37" t="s">
        <v>373</v>
      </c>
      <c r="E37" t="s">
        <v>374</v>
      </c>
      <c r="F37" t="s">
        <v>330</v>
      </c>
      <c r="H37">
        <v>1690221255</v>
      </c>
      <c r="I37">
        <f t="shared" si="0"/>
        <v>4.3168795148864269E-4</v>
      </c>
      <c r="J37">
        <f t="shared" si="1"/>
        <v>0.4316879514886427</v>
      </c>
      <c r="K37">
        <f t="shared" si="2"/>
        <v>0.52616725618228299</v>
      </c>
      <c r="L37">
        <f t="shared" si="3"/>
        <v>790.97400000000005</v>
      </c>
      <c r="M37">
        <f t="shared" si="4"/>
        <v>700.84765408585463</v>
      </c>
      <c r="N37">
        <f t="shared" si="5"/>
        <v>69.505778060862369</v>
      </c>
      <c r="O37">
        <f t="shared" si="6"/>
        <v>78.443957078834401</v>
      </c>
      <c r="P37">
        <f t="shared" si="7"/>
        <v>1.5106733668764256E-2</v>
      </c>
      <c r="Q37">
        <f t="shared" si="8"/>
        <v>2.1929191588727548</v>
      </c>
      <c r="R37">
        <f t="shared" si="9"/>
        <v>1.5049155877209805E-2</v>
      </c>
      <c r="S37">
        <f t="shared" si="10"/>
        <v>9.4108771913332633E-3</v>
      </c>
      <c r="T37">
        <f t="shared" si="11"/>
        <v>276.11276559366911</v>
      </c>
      <c r="U37">
        <f t="shared" si="12"/>
        <v>28.006966245516946</v>
      </c>
      <c r="V37">
        <f t="shared" si="13"/>
        <v>28.006966245516946</v>
      </c>
      <c r="W37">
        <f t="shared" si="14"/>
        <v>3.7963810680472956</v>
      </c>
      <c r="X37">
        <f t="shared" si="15"/>
        <v>30.202284832933696</v>
      </c>
      <c r="Y37">
        <f t="shared" si="16"/>
        <v>1.0206479407373998</v>
      </c>
      <c r="Z37">
        <f t="shared" si="17"/>
        <v>3.3793732705429207</v>
      </c>
      <c r="AA37">
        <f t="shared" si="18"/>
        <v>2.7757331273098957</v>
      </c>
      <c r="AB37">
        <f t="shared" si="19"/>
        <v>-19.037438660649144</v>
      </c>
      <c r="AC37">
        <f t="shared" si="20"/>
        <v>-234.24634614099861</v>
      </c>
      <c r="AD37">
        <f t="shared" si="21"/>
        <v>-23.056884586437047</v>
      </c>
      <c r="AE37">
        <f t="shared" si="22"/>
        <v>-0.2279037944156812</v>
      </c>
      <c r="AF37">
        <v>0</v>
      </c>
      <c r="AG37">
        <v>0</v>
      </c>
      <c r="AH37">
        <f t="shared" si="23"/>
        <v>1</v>
      </c>
      <c r="AI37">
        <f t="shared" si="24"/>
        <v>0</v>
      </c>
      <c r="AJ37">
        <f t="shared" si="25"/>
        <v>52507.767559065331</v>
      </c>
      <c r="AK37">
        <f t="shared" si="26"/>
        <v>1799.99</v>
      </c>
      <c r="AL37">
        <f t="shared" si="27"/>
        <v>1499.1063877849101</v>
      </c>
      <c r="AM37">
        <f t="shared" si="28"/>
        <v>0.83284150900000009</v>
      </c>
      <c r="AN37">
        <f t="shared" si="29"/>
        <v>0.15339683309000002</v>
      </c>
      <c r="AO37">
        <v>31.2</v>
      </c>
      <c r="AP37">
        <v>0.5</v>
      </c>
      <c r="AQ37" t="s">
        <v>331</v>
      </c>
      <c r="AR37">
        <v>2</v>
      </c>
      <c r="AS37">
        <v>1690221255</v>
      </c>
      <c r="AT37">
        <v>790.97400000000005</v>
      </c>
      <c r="AU37">
        <v>799.99199999999996</v>
      </c>
      <c r="AV37">
        <v>10.291499999999999</v>
      </c>
      <c r="AW37">
        <v>5.8507400000000001</v>
      </c>
      <c r="AX37">
        <v>791.46100000000001</v>
      </c>
      <c r="AY37">
        <v>10.3439</v>
      </c>
      <c r="AZ37">
        <v>300.17500000000001</v>
      </c>
      <c r="BA37">
        <v>99.073899999999995</v>
      </c>
      <c r="BB37">
        <v>9.9975599999999998E-2</v>
      </c>
      <c r="BC37">
        <v>26.025600000000001</v>
      </c>
      <c r="BD37">
        <v>26.975899999999999</v>
      </c>
      <c r="BE37">
        <v>27.743400000000001</v>
      </c>
      <c r="BF37">
        <v>0</v>
      </c>
      <c r="BG37">
        <v>0</v>
      </c>
      <c r="BH37">
        <v>9990</v>
      </c>
      <c r="BI37">
        <v>1073.3900000000001</v>
      </c>
      <c r="BJ37">
        <v>1.4577199999999999</v>
      </c>
      <c r="BK37">
        <v>-9.0186200000000003</v>
      </c>
      <c r="BL37">
        <v>799.19899999999996</v>
      </c>
      <c r="BM37">
        <v>804.70100000000002</v>
      </c>
      <c r="BN37">
        <v>4.4407199999999998</v>
      </c>
      <c r="BO37">
        <v>799.99199999999996</v>
      </c>
      <c r="BP37">
        <v>5.8507400000000001</v>
      </c>
      <c r="BQ37">
        <v>1.01962</v>
      </c>
      <c r="BR37">
        <v>0.57965599999999995</v>
      </c>
      <c r="BS37">
        <v>7.1997299999999997</v>
      </c>
      <c r="BT37">
        <v>-0.78210299999999999</v>
      </c>
      <c r="BU37">
        <v>1799.99</v>
      </c>
      <c r="BV37">
        <v>0.91002000000000005</v>
      </c>
      <c r="BW37">
        <v>3.3994000000000003E-2</v>
      </c>
      <c r="BX37">
        <v>2.1993200000000001E-2</v>
      </c>
      <c r="BY37">
        <v>3.3993099999999998E-2</v>
      </c>
      <c r="BZ37">
        <v>26</v>
      </c>
      <c r="CA37">
        <v>33528.400000000001</v>
      </c>
      <c r="CB37">
        <v>1690220522.5999999</v>
      </c>
      <c r="CC37" t="s">
        <v>332</v>
      </c>
      <c r="CD37">
        <v>1690220522.5999999</v>
      </c>
      <c r="CE37">
        <v>1690220510.5999999</v>
      </c>
      <c r="CF37">
        <v>10</v>
      </c>
      <c r="CG37">
        <v>-0.22</v>
      </c>
      <c r="CH37">
        <v>-2.7E-2</v>
      </c>
      <c r="CI37">
        <v>-0.49299999999999999</v>
      </c>
      <c r="CJ37">
        <v>0.152</v>
      </c>
      <c r="CK37">
        <v>800</v>
      </c>
      <c r="CL37">
        <v>19</v>
      </c>
      <c r="CM37">
        <v>0.1</v>
      </c>
      <c r="CN37">
        <v>0.03</v>
      </c>
      <c r="CO37">
        <v>-8.4142334999999999</v>
      </c>
      <c r="CP37">
        <v>-3.0538750469043019</v>
      </c>
      <c r="CQ37">
        <v>0.2953773561272936</v>
      </c>
      <c r="CR37">
        <v>-1</v>
      </c>
      <c r="CS37">
        <v>4.48333125</v>
      </c>
      <c r="CT37">
        <v>-0.25659388367730868</v>
      </c>
      <c r="CU37">
        <v>2.4725953893378939E-2</v>
      </c>
      <c r="CV37">
        <v>-1</v>
      </c>
      <c r="CW37">
        <v>0</v>
      </c>
      <c r="CX37">
        <v>0</v>
      </c>
      <c r="CY37" t="s">
        <v>333</v>
      </c>
      <c r="CZ37">
        <v>2.3642699999999999</v>
      </c>
      <c r="DA37">
        <v>2.7137600000000002</v>
      </c>
      <c r="DB37">
        <v>0.145395</v>
      </c>
      <c r="DC37">
        <v>0.14605199999999999</v>
      </c>
      <c r="DD37">
        <v>6.1664799999999999E-2</v>
      </c>
      <c r="DE37">
        <v>3.8637499999999998E-2</v>
      </c>
      <c r="DF37">
        <v>31196.799999999999</v>
      </c>
      <c r="DG37">
        <v>27510.799999999999</v>
      </c>
      <c r="DH37">
        <v>31165.200000000001</v>
      </c>
      <c r="DI37">
        <v>28072.9</v>
      </c>
      <c r="DJ37">
        <v>39720.1</v>
      </c>
      <c r="DK37">
        <v>38379.4</v>
      </c>
      <c r="DL37">
        <v>44350.400000000001</v>
      </c>
      <c r="DM37">
        <v>42548.6</v>
      </c>
      <c r="DN37">
        <v>1.4733000000000001</v>
      </c>
      <c r="DO37">
        <v>2.03077</v>
      </c>
      <c r="DP37">
        <v>8.4783899999999995E-2</v>
      </c>
      <c r="DQ37">
        <v>0.147671</v>
      </c>
      <c r="DR37">
        <v>25.587800000000001</v>
      </c>
      <c r="DS37">
        <v>25.326599999999999</v>
      </c>
      <c r="DT37">
        <v>22.3</v>
      </c>
      <c r="DU37">
        <v>29.5</v>
      </c>
      <c r="DV37">
        <v>9.3172899999999998</v>
      </c>
      <c r="DW37">
        <v>61.494100000000003</v>
      </c>
      <c r="DX37">
        <v>36.774799999999999</v>
      </c>
      <c r="DY37">
        <v>1</v>
      </c>
      <c r="DZ37">
        <v>-6.8503599999999998E-2</v>
      </c>
      <c r="EA37">
        <v>3.59727</v>
      </c>
      <c r="EB37">
        <v>20.1447</v>
      </c>
      <c r="EC37">
        <v>5.2403500000000003</v>
      </c>
      <c r="ED37">
        <v>12.039899999999999</v>
      </c>
      <c r="EE37">
        <v>5.0164499999999999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1.8689100000000001</v>
      </c>
      <c r="EL37">
        <v>1.86463</v>
      </c>
      <c r="EM37">
        <v>1.86917</v>
      </c>
      <c r="EN37">
        <v>1.8672299999999999</v>
      </c>
      <c r="EO37">
        <v>1.8633999999999999</v>
      </c>
      <c r="EP37">
        <v>1.8645400000000001</v>
      </c>
      <c r="EQ37">
        <v>1.87018</v>
      </c>
      <c r="ER37">
        <v>1.8694500000000001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-0.48699999999999999</v>
      </c>
      <c r="FG37">
        <v>-5.2400000000000002E-2</v>
      </c>
      <c r="FH37">
        <v>5.8509882529719233E-2</v>
      </c>
      <c r="FI37">
        <v>-6.1462078757559423E-4</v>
      </c>
      <c r="FJ37">
        <v>-1.8861989874597051E-7</v>
      </c>
      <c r="FK37">
        <v>1.1980462299894961E-10</v>
      </c>
      <c r="FL37">
        <v>-5.9863424041980147E-2</v>
      </c>
      <c r="FM37">
        <v>-1.6848085045870601E-2</v>
      </c>
      <c r="FN37">
        <v>1.9789084769509481E-3</v>
      </c>
      <c r="FO37">
        <v>-2.7142391389806329E-5</v>
      </c>
      <c r="FP37">
        <v>3</v>
      </c>
      <c r="FQ37">
        <v>2158</v>
      </c>
      <c r="FR37">
        <v>1</v>
      </c>
      <c r="FS37">
        <v>19</v>
      </c>
      <c r="FT37">
        <v>12.2</v>
      </c>
      <c r="FU37">
        <v>12.4</v>
      </c>
      <c r="FV37">
        <v>1.7773399999999999</v>
      </c>
      <c r="FW37">
        <v>2.5866699999999998</v>
      </c>
      <c r="FX37">
        <v>1.5490699999999999</v>
      </c>
      <c r="FY37">
        <v>2.3290999999999999</v>
      </c>
      <c r="FZ37">
        <v>1.50146</v>
      </c>
      <c r="GA37">
        <v>2.31812</v>
      </c>
      <c r="GB37">
        <v>33.8735</v>
      </c>
      <c r="GC37">
        <v>23.9649</v>
      </c>
      <c r="GD37">
        <v>19</v>
      </c>
      <c r="GE37">
        <v>282.17200000000003</v>
      </c>
      <c r="GF37">
        <v>579.43600000000004</v>
      </c>
      <c r="GG37">
        <v>20.795000000000002</v>
      </c>
      <c r="GH37">
        <v>26.497</v>
      </c>
      <c r="GI37">
        <v>29.999500000000001</v>
      </c>
      <c r="GJ37">
        <v>26.471399999999999</v>
      </c>
      <c r="GK37">
        <v>26.417300000000001</v>
      </c>
      <c r="GL37">
        <v>35.541499999999999</v>
      </c>
      <c r="GM37">
        <v>-30</v>
      </c>
      <c r="GN37">
        <v>-30</v>
      </c>
      <c r="GO37">
        <v>20.8626</v>
      </c>
      <c r="GP37">
        <v>800</v>
      </c>
      <c r="GQ37">
        <v>18.0809</v>
      </c>
      <c r="GR37">
        <v>99.714600000000004</v>
      </c>
      <c r="GS37">
        <v>99.536199999999994</v>
      </c>
    </row>
    <row r="38" spans="1:201" x14ac:dyDescent="0.25">
      <c r="A38">
        <v>22</v>
      </c>
      <c r="B38">
        <v>1690221265</v>
      </c>
      <c r="C38">
        <v>382.5</v>
      </c>
      <c r="D38" t="s">
        <v>375</v>
      </c>
      <c r="E38" t="s">
        <v>376</v>
      </c>
      <c r="F38" t="s">
        <v>330</v>
      </c>
      <c r="H38">
        <v>1690221265</v>
      </c>
      <c r="I38">
        <f t="shared" si="0"/>
        <v>4.2999029493736934E-4</v>
      </c>
      <c r="J38">
        <f t="shared" si="1"/>
        <v>0.42999029493736934</v>
      </c>
      <c r="K38">
        <f t="shared" si="2"/>
        <v>0.58877911845784114</v>
      </c>
      <c r="L38">
        <f t="shared" si="3"/>
        <v>790.322</v>
      </c>
      <c r="M38">
        <f t="shared" si="4"/>
        <v>693.87582107599326</v>
      </c>
      <c r="N38">
        <f t="shared" si="5"/>
        <v>68.81383076254383</v>
      </c>
      <c r="O38">
        <f t="shared" si="6"/>
        <v>78.378699334962008</v>
      </c>
      <c r="P38">
        <f t="shared" si="7"/>
        <v>1.5110699120168386E-2</v>
      </c>
      <c r="Q38">
        <f t="shared" si="8"/>
        <v>2.1883632944197013</v>
      </c>
      <c r="R38">
        <f t="shared" si="9"/>
        <v>1.5052971721989853E-2</v>
      </c>
      <c r="S38">
        <f t="shared" si="10"/>
        <v>9.4132754454494191E-3</v>
      </c>
      <c r="T38">
        <f t="shared" si="11"/>
        <v>276.11256487678423</v>
      </c>
      <c r="U38">
        <f t="shared" si="12"/>
        <v>27.943920360069214</v>
      </c>
      <c r="V38">
        <f t="shared" si="13"/>
        <v>27.943920360069214</v>
      </c>
      <c r="W38">
        <f t="shared" si="14"/>
        <v>3.7824510770921131</v>
      </c>
      <c r="X38">
        <f t="shared" si="15"/>
        <v>30.248097916240752</v>
      </c>
      <c r="Y38">
        <f t="shared" si="16"/>
        <v>1.0181211774981</v>
      </c>
      <c r="Z38">
        <f t="shared" si="17"/>
        <v>3.3659014868219281</v>
      </c>
      <c r="AA38">
        <f t="shared" si="18"/>
        <v>2.7643298995940131</v>
      </c>
      <c r="AB38">
        <f t="shared" si="19"/>
        <v>-18.962572006737986</v>
      </c>
      <c r="AC38">
        <f t="shared" si="20"/>
        <v>-234.2851835235808</v>
      </c>
      <c r="AD38">
        <f t="shared" si="21"/>
        <v>-23.093638104739952</v>
      </c>
      <c r="AE38">
        <f t="shared" si="22"/>
        <v>-0.22882875827451699</v>
      </c>
      <c r="AF38">
        <v>0</v>
      </c>
      <c r="AG38">
        <v>0</v>
      </c>
      <c r="AH38">
        <f t="shared" si="23"/>
        <v>1</v>
      </c>
      <c r="AI38">
        <f t="shared" si="24"/>
        <v>0</v>
      </c>
      <c r="AJ38">
        <f t="shared" si="25"/>
        <v>52332.986249765258</v>
      </c>
      <c r="AK38">
        <f t="shared" si="26"/>
        <v>1799.99</v>
      </c>
      <c r="AL38">
        <f t="shared" si="27"/>
        <v>1499.10262400582</v>
      </c>
      <c r="AM38">
        <f t="shared" si="28"/>
        <v>0.83283941799999994</v>
      </c>
      <c r="AN38">
        <f t="shared" si="29"/>
        <v>0.15339672158000001</v>
      </c>
      <c r="AO38">
        <v>31.2</v>
      </c>
      <c r="AP38">
        <v>0.5</v>
      </c>
      <c r="AQ38" t="s">
        <v>331</v>
      </c>
      <c r="AR38">
        <v>2</v>
      </c>
      <c r="AS38">
        <v>1690221265</v>
      </c>
      <c r="AT38">
        <v>790.322</v>
      </c>
      <c r="AU38">
        <v>799.96799999999996</v>
      </c>
      <c r="AV38">
        <v>10.2661</v>
      </c>
      <c r="AW38">
        <v>5.8453999999999997</v>
      </c>
      <c r="AX38">
        <v>790.80799999999999</v>
      </c>
      <c r="AY38">
        <v>10.318899999999999</v>
      </c>
      <c r="AZ38">
        <v>300.35899999999998</v>
      </c>
      <c r="BA38">
        <v>99.072900000000004</v>
      </c>
      <c r="BB38">
        <v>0.100221</v>
      </c>
      <c r="BC38">
        <v>25.958100000000002</v>
      </c>
      <c r="BD38">
        <v>26.914899999999999</v>
      </c>
      <c r="BE38">
        <v>27.641300000000001</v>
      </c>
      <c r="BF38">
        <v>0</v>
      </c>
      <c r="BG38">
        <v>0</v>
      </c>
      <c r="BH38">
        <v>9953.1200000000008</v>
      </c>
      <c r="BI38">
        <v>1072.75</v>
      </c>
      <c r="BJ38">
        <v>1.5123800000000001</v>
      </c>
      <c r="BK38">
        <v>-9.6456900000000001</v>
      </c>
      <c r="BL38">
        <v>798.52</v>
      </c>
      <c r="BM38">
        <v>804.67200000000003</v>
      </c>
      <c r="BN38">
        <v>4.4206599999999998</v>
      </c>
      <c r="BO38">
        <v>799.96799999999996</v>
      </c>
      <c r="BP38">
        <v>5.8453999999999997</v>
      </c>
      <c r="BQ38">
        <v>1.01709</v>
      </c>
      <c r="BR38">
        <v>0.579121</v>
      </c>
      <c r="BS38">
        <v>7.1634900000000004</v>
      </c>
      <c r="BT38">
        <v>-0.79474</v>
      </c>
      <c r="BU38">
        <v>1799.99</v>
      </c>
      <c r="BV38">
        <v>0.91001100000000001</v>
      </c>
      <c r="BW38">
        <v>3.4009900000000003E-2</v>
      </c>
      <c r="BX38">
        <v>2.19904E-2</v>
      </c>
      <c r="BY38">
        <v>3.39888E-2</v>
      </c>
      <c r="BZ38">
        <v>26</v>
      </c>
      <c r="CA38">
        <v>33528.300000000003</v>
      </c>
      <c r="CB38">
        <v>1690220522.5999999</v>
      </c>
      <c r="CC38" t="s">
        <v>332</v>
      </c>
      <c r="CD38">
        <v>1690220522.5999999</v>
      </c>
      <c r="CE38">
        <v>1690220510.5999999</v>
      </c>
      <c r="CF38">
        <v>10</v>
      </c>
      <c r="CG38">
        <v>-0.22</v>
      </c>
      <c r="CH38">
        <v>-2.7E-2</v>
      </c>
      <c r="CI38">
        <v>-0.49299999999999999</v>
      </c>
      <c r="CJ38">
        <v>0.152</v>
      </c>
      <c r="CK38">
        <v>800</v>
      </c>
      <c r="CL38">
        <v>19</v>
      </c>
      <c r="CM38">
        <v>0.1</v>
      </c>
      <c r="CN38">
        <v>0.03</v>
      </c>
      <c r="CO38">
        <v>-8.9281056097560967</v>
      </c>
      <c r="CP38">
        <v>-3.592672891986088</v>
      </c>
      <c r="CQ38">
        <v>0.35533032830715711</v>
      </c>
      <c r="CR38">
        <v>-1</v>
      </c>
      <c r="CS38">
        <v>4.4486253658536583</v>
      </c>
      <c r="CT38">
        <v>-0.19127142857143259</v>
      </c>
      <c r="CU38">
        <v>1.9002201040362321E-2</v>
      </c>
      <c r="CV38">
        <v>-1</v>
      </c>
      <c r="CW38">
        <v>0</v>
      </c>
      <c r="CX38">
        <v>0</v>
      </c>
      <c r="CY38" t="s">
        <v>333</v>
      </c>
      <c r="CZ38">
        <v>2.3648600000000002</v>
      </c>
      <c r="DA38">
        <v>2.7139700000000002</v>
      </c>
      <c r="DB38">
        <v>0.14530999999999999</v>
      </c>
      <c r="DC38">
        <v>0.14604500000000001</v>
      </c>
      <c r="DD38">
        <v>6.1547400000000002E-2</v>
      </c>
      <c r="DE38">
        <v>3.8607500000000003E-2</v>
      </c>
      <c r="DF38">
        <v>31200</v>
      </c>
      <c r="DG38">
        <v>27511</v>
      </c>
      <c r="DH38">
        <v>31165.3</v>
      </c>
      <c r="DI38">
        <v>28072.9</v>
      </c>
      <c r="DJ38">
        <v>39725.199999999997</v>
      </c>
      <c r="DK38">
        <v>38380.5</v>
      </c>
      <c r="DL38">
        <v>44350.7</v>
      </c>
      <c r="DM38">
        <v>42548.5</v>
      </c>
      <c r="DN38">
        <v>1.4749300000000001</v>
      </c>
      <c r="DO38">
        <v>2.0302500000000001</v>
      </c>
      <c r="DP38">
        <v>8.2891400000000004E-2</v>
      </c>
      <c r="DQ38">
        <v>0.14372199999999999</v>
      </c>
      <c r="DR38">
        <v>25.557700000000001</v>
      </c>
      <c r="DS38">
        <v>25.288799999999998</v>
      </c>
      <c r="DT38">
        <v>22.1</v>
      </c>
      <c r="DU38">
        <v>29.5</v>
      </c>
      <c r="DV38">
        <v>9.2343799999999998</v>
      </c>
      <c r="DW38">
        <v>62.024099999999997</v>
      </c>
      <c r="DX38">
        <v>36.478400000000001</v>
      </c>
      <c r="DY38">
        <v>1</v>
      </c>
      <c r="DZ38">
        <v>-7.0871400000000001E-2</v>
      </c>
      <c r="EA38">
        <v>-1.5323599999999999</v>
      </c>
      <c r="EB38">
        <v>20.1692</v>
      </c>
      <c r="EC38">
        <v>5.2398999999999996</v>
      </c>
      <c r="ED38">
        <v>12.039899999999999</v>
      </c>
      <c r="EE38">
        <v>5.01675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1.8689100000000001</v>
      </c>
      <c r="EL38">
        <v>1.8646400000000001</v>
      </c>
      <c r="EM38">
        <v>1.86917</v>
      </c>
      <c r="EN38">
        <v>1.8672299999999999</v>
      </c>
      <c r="EO38">
        <v>1.8633999999999999</v>
      </c>
      <c r="EP38">
        <v>1.8645400000000001</v>
      </c>
      <c r="EQ38">
        <v>1.8702000000000001</v>
      </c>
      <c r="ER38">
        <v>1.86948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-0.48599999999999999</v>
      </c>
      <c r="FG38">
        <v>-5.28E-2</v>
      </c>
      <c r="FH38">
        <v>5.8509882529719233E-2</v>
      </c>
      <c r="FI38">
        <v>-6.1462078757559423E-4</v>
      </c>
      <c r="FJ38">
        <v>-1.8861989874597051E-7</v>
      </c>
      <c r="FK38">
        <v>1.1980462299894961E-10</v>
      </c>
      <c r="FL38">
        <v>-5.9863424041980147E-2</v>
      </c>
      <c r="FM38">
        <v>-1.6848085045870601E-2</v>
      </c>
      <c r="FN38">
        <v>1.9789084769509481E-3</v>
      </c>
      <c r="FO38">
        <v>-2.7142391389806329E-5</v>
      </c>
      <c r="FP38">
        <v>3</v>
      </c>
      <c r="FQ38">
        <v>2158</v>
      </c>
      <c r="FR38">
        <v>1</v>
      </c>
      <c r="FS38">
        <v>19</v>
      </c>
      <c r="FT38">
        <v>12.4</v>
      </c>
      <c r="FU38">
        <v>12.6</v>
      </c>
      <c r="FV38">
        <v>1.7773399999999999</v>
      </c>
      <c r="FW38">
        <v>2.5854499999999998</v>
      </c>
      <c r="FX38">
        <v>1.5490699999999999</v>
      </c>
      <c r="FY38">
        <v>2.3290999999999999</v>
      </c>
      <c r="FZ38">
        <v>1.50146</v>
      </c>
      <c r="GA38">
        <v>2.3022499999999999</v>
      </c>
      <c r="GB38">
        <v>33.8735</v>
      </c>
      <c r="GC38">
        <v>23.973700000000001</v>
      </c>
      <c r="GD38">
        <v>19</v>
      </c>
      <c r="GE38">
        <v>282.90699999999998</v>
      </c>
      <c r="GF38">
        <v>579.08500000000004</v>
      </c>
      <c r="GG38">
        <v>21.606200000000001</v>
      </c>
      <c r="GH38">
        <v>26.508199999999999</v>
      </c>
      <c r="GI38">
        <v>29.998799999999999</v>
      </c>
      <c r="GJ38">
        <v>26.480899999999998</v>
      </c>
      <c r="GK38">
        <v>26.424399999999999</v>
      </c>
      <c r="GL38">
        <v>35.543100000000003</v>
      </c>
      <c r="GM38">
        <v>-30</v>
      </c>
      <c r="GN38">
        <v>-30</v>
      </c>
      <c r="GO38">
        <v>22.185300000000002</v>
      </c>
      <c r="GP38">
        <v>800</v>
      </c>
      <c r="GQ38">
        <v>18.0809</v>
      </c>
      <c r="GR38">
        <v>99.715000000000003</v>
      </c>
      <c r="GS38">
        <v>99.536100000000005</v>
      </c>
    </row>
    <row r="39" spans="1:201" x14ac:dyDescent="0.25">
      <c r="A39">
        <v>23</v>
      </c>
      <c r="B39">
        <v>1690221275</v>
      </c>
      <c r="C39">
        <v>392.5</v>
      </c>
      <c r="D39" t="s">
        <v>377</v>
      </c>
      <c r="E39" t="s">
        <v>378</v>
      </c>
      <c r="F39" t="s">
        <v>330</v>
      </c>
      <c r="H39">
        <v>1690221275</v>
      </c>
      <c r="I39">
        <f t="shared" si="0"/>
        <v>4.308962662719633E-4</v>
      </c>
      <c r="J39">
        <f t="shared" si="1"/>
        <v>0.43089626627196331</v>
      </c>
      <c r="K39">
        <f t="shared" si="2"/>
        <v>0.66467977339168283</v>
      </c>
      <c r="L39">
        <f t="shared" si="3"/>
        <v>789.58600000000001</v>
      </c>
      <c r="M39">
        <f t="shared" si="4"/>
        <v>684.95760722723219</v>
      </c>
      <c r="N39">
        <f t="shared" si="5"/>
        <v>67.9300647832614</v>
      </c>
      <c r="O39">
        <f t="shared" si="6"/>
        <v>78.306493082224407</v>
      </c>
      <c r="P39">
        <f t="shared" si="7"/>
        <v>1.5071659807330108E-2</v>
      </c>
      <c r="Q39">
        <f t="shared" si="8"/>
        <v>2.1936914120448083</v>
      </c>
      <c r="R39">
        <f t="shared" si="9"/>
        <v>1.5014368611581034E-2</v>
      </c>
      <c r="S39">
        <f t="shared" si="10"/>
        <v>9.3891095405612725E-3</v>
      </c>
      <c r="T39">
        <f t="shared" si="11"/>
        <v>276.11508039880897</v>
      </c>
      <c r="U39">
        <f t="shared" si="12"/>
        <v>28.00521996638485</v>
      </c>
      <c r="V39">
        <f t="shared" si="13"/>
        <v>28.00521996638485</v>
      </c>
      <c r="W39">
        <f t="shared" si="14"/>
        <v>3.7959946257517405</v>
      </c>
      <c r="X39">
        <f t="shared" si="15"/>
        <v>30.152911232192153</v>
      </c>
      <c r="Y39">
        <f t="shared" si="16"/>
        <v>1.01889502679652</v>
      </c>
      <c r="Z39">
        <f t="shared" si="17"/>
        <v>3.3790933782497161</v>
      </c>
      <c r="AA39">
        <f t="shared" si="18"/>
        <v>2.7770995989552203</v>
      </c>
      <c r="AB39">
        <f t="shared" si="19"/>
        <v>-19.002525342593582</v>
      </c>
      <c r="AC39">
        <f t="shared" si="20"/>
        <v>-234.28788462589131</v>
      </c>
      <c r="AD39">
        <f t="shared" si="21"/>
        <v>-23.052492266920837</v>
      </c>
      <c r="AE39">
        <f t="shared" si="22"/>
        <v>-0.22782183659674615</v>
      </c>
      <c r="AF39">
        <v>0</v>
      </c>
      <c r="AG39">
        <v>0</v>
      </c>
      <c r="AH39">
        <f t="shared" si="23"/>
        <v>1</v>
      </c>
      <c r="AI39">
        <f t="shared" si="24"/>
        <v>0</v>
      </c>
      <c r="AJ39">
        <f t="shared" si="25"/>
        <v>52539.685201526096</v>
      </c>
      <c r="AK39">
        <f t="shared" si="26"/>
        <v>1799.99</v>
      </c>
      <c r="AL39">
        <f t="shared" si="27"/>
        <v>1499.1057235885999</v>
      </c>
      <c r="AM39">
        <f t="shared" si="28"/>
        <v>0.83284113999999998</v>
      </c>
      <c r="AN39">
        <f t="shared" si="29"/>
        <v>0.15339811909999998</v>
      </c>
      <c r="AO39">
        <v>31.2</v>
      </c>
      <c r="AP39">
        <v>0.5</v>
      </c>
      <c r="AQ39" t="s">
        <v>331</v>
      </c>
      <c r="AR39">
        <v>2</v>
      </c>
      <c r="AS39">
        <v>1690221275</v>
      </c>
      <c r="AT39">
        <v>789.58600000000001</v>
      </c>
      <c r="AU39">
        <v>800.03099999999995</v>
      </c>
      <c r="AV39">
        <v>10.2738</v>
      </c>
      <c r="AW39">
        <v>5.8410900000000003</v>
      </c>
      <c r="AX39">
        <v>790.07100000000003</v>
      </c>
      <c r="AY39">
        <v>10.326499999999999</v>
      </c>
      <c r="AZ39">
        <v>300.17399999999998</v>
      </c>
      <c r="BA39">
        <v>99.074200000000005</v>
      </c>
      <c r="BB39">
        <v>9.9915400000000001E-2</v>
      </c>
      <c r="BC39">
        <v>26.0242</v>
      </c>
      <c r="BD39">
        <v>26.935099999999998</v>
      </c>
      <c r="BE39">
        <v>27.695399999999999</v>
      </c>
      <c r="BF39">
        <v>0</v>
      </c>
      <c r="BG39">
        <v>0</v>
      </c>
      <c r="BH39">
        <v>9996.25</v>
      </c>
      <c r="BI39">
        <v>1072.46</v>
      </c>
      <c r="BJ39">
        <v>1.5137799999999999</v>
      </c>
      <c r="BK39">
        <v>-10.4451</v>
      </c>
      <c r="BL39">
        <v>797.78200000000004</v>
      </c>
      <c r="BM39">
        <v>804.73099999999999</v>
      </c>
      <c r="BN39">
        <v>4.4326699999999999</v>
      </c>
      <c r="BO39">
        <v>800.03099999999995</v>
      </c>
      <c r="BP39">
        <v>5.8410900000000003</v>
      </c>
      <c r="BQ39">
        <v>1.01786</v>
      </c>
      <c r="BR39">
        <v>0.57870100000000002</v>
      </c>
      <c r="BS39">
        <v>7.1746400000000001</v>
      </c>
      <c r="BT39">
        <v>-0.804647</v>
      </c>
      <c r="BU39">
        <v>1799.99</v>
      </c>
      <c r="BV39">
        <v>0.91</v>
      </c>
      <c r="BW39">
        <v>3.4006300000000003E-2</v>
      </c>
      <c r="BX39">
        <v>2.2009000000000001E-2</v>
      </c>
      <c r="BY39">
        <v>3.39852E-2</v>
      </c>
      <c r="BZ39">
        <v>25.75</v>
      </c>
      <c r="CA39">
        <v>33528</v>
      </c>
      <c r="CB39">
        <v>1690220522.5999999</v>
      </c>
      <c r="CC39" t="s">
        <v>332</v>
      </c>
      <c r="CD39">
        <v>1690220522.5999999</v>
      </c>
      <c r="CE39">
        <v>1690220510.5999999</v>
      </c>
      <c r="CF39">
        <v>10</v>
      </c>
      <c r="CG39">
        <v>-0.22</v>
      </c>
      <c r="CH39">
        <v>-2.7E-2</v>
      </c>
      <c r="CI39">
        <v>-0.49299999999999999</v>
      </c>
      <c r="CJ39">
        <v>0.152</v>
      </c>
      <c r="CK39">
        <v>800</v>
      </c>
      <c r="CL39">
        <v>19</v>
      </c>
      <c r="CM39">
        <v>0.1</v>
      </c>
      <c r="CN39">
        <v>0.03</v>
      </c>
      <c r="CO39">
        <v>-9.6178802500000007</v>
      </c>
      <c r="CP39">
        <v>-4.1440224765478133</v>
      </c>
      <c r="CQ39">
        <v>0.40035846877821568</v>
      </c>
      <c r="CR39">
        <v>-1</v>
      </c>
      <c r="CS39">
        <v>4.4282262499999998</v>
      </c>
      <c r="CT39">
        <v>-2.8614146341469259E-2</v>
      </c>
      <c r="CU39">
        <v>5.7942418345716612E-3</v>
      </c>
      <c r="CV39">
        <v>-1</v>
      </c>
      <c r="CW39">
        <v>0</v>
      </c>
      <c r="CX39">
        <v>0</v>
      </c>
      <c r="CY39" t="s">
        <v>333</v>
      </c>
      <c r="CZ39">
        <v>2.3642500000000002</v>
      </c>
      <c r="DA39">
        <v>2.7136999999999998</v>
      </c>
      <c r="DB39">
        <v>0.14521899999999999</v>
      </c>
      <c r="DC39">
        <v>0.14605299999999999</v>
      </c>
      <c r="DD39">
        <v>6.1581999999999998E-2</v>
      </c>
      <c r="DE39">
        <v>3.8584E-2</v>
      </c>
      <c r="DF39">
        <v>31203.8</v>
      </c>
      <c r="DG39">
        <v>27510.9</v>
      </c>
      <c r="DH39">
        <v>31165.8</v>
      </c>
      <c r="DI39">
        <v>28073.1</v>
      </c>
      <c r="DJ39">
        <v>39724.199999999997</v>
      </c>
      <c r="DK39">
        <v>38381.699999999997</v>
      </c>
      <c r="DL39">
        <v>44351.1</v>
      </c>
      <c r="DM39">
        <v>42548.800000000003</v>
      </c>
      <c r="DN39">
        <v>1.4741500000000001</v>
      </c>
      <c r="DO39">
        <v>2.0303</v>
      </c>
      <c r="DP39">
        <v>8.60654E-2</v>
      </c>
      <c r="DQ39">
        <v>0.14930599999999999</v>
      </c>
      <c r="DR39">
        <v>25.5258</v>
      </c>
      <c r="DS39">
        <v>25.2515</v>
      </c>
      <c r="DT39">
        <v>21.8</v>
      </c>
      <c r="DU39">
        <v>29.5</v>
      </c>
      <c r="DV39">
        <v>9.1087500000000006</v>
      </c>
      <c r="DW39">
        <v>61.804099999999998</v>
      </c>
      <c r="DX39">
        <v>36.322099999999999</v>
      </c>
      <c r="DY39">
        <v>1</v>
      </c>
      <c r="DZ39">
        <v>-7.3775400000000005E-2</v>
      </c>
      <c r="EA39">
        <v>1.0757399999999999</v>
      </c>
      <c r="EB39">
        <v>20.186399999999999</v>
      </c>
      <c r="EC39">
        <v>5.2393000000000001</v>
      </c>
      <c r="ED39">
        <v>12.039899999999999</v>
      </c>
      <c r="EE39">
        <v>5.0164499999999999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1.86893</v>
      </c>
      <c r="EL39">
        <v>1.8646400000000001</v>
      </c>
      <c r="EM39">
        <v>1.8691899999999999</v>
      </c>
      <c r="EN39">
        <v>1.8672299999999999</v>
      </c>
      <c r="EO39">
        <v>1.8633999999999999</v>
      </c>
      <c r="EP39">
        <v>1.8645499999999999</v>
      </c>
      <c r="EQ39">
        <v>1.87019</v>
      </c>
      <c r="ER39">
        <v>1.86948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-0.48499999999999999</v>
      </c>
      <c r="FG39">
        <v>-5.2699999999999997E-2</v>
      </c>
      <c r="FH39">
        <v>5.8509882529719233E-2</v>
      </c>
      <c r="FI39">
        <v>-6.1462078757559423E-4</v>
      </c>
      <c r="FJ39">
        <v>-1.8861989874597051E-7</v>
      </c>
      <c r="FK39">
        <v>1.1980462299894961E-10</v>
      </c>
      <c r="FL39">
        <v>-5.9863424041980147E-2</v>
      </c>
      <c r="FM39">
        <v>-1.6848085045870601E-2</v>
      </c>
      <c r="FN39">
        <v>1.9789084769509481E-3</v>
      </c>
      <c r="FO39">
        <v>-2.7142391389806329E-5</v>
      </c>
      <c r="FP39">
        <v>3</v>
      </c>
      <c r="FQ39">
        <v>2158</v>
      </c>
      <c r="FR39">
        <v>1</v>
      </c>
      <c r="FS39">
        <v>19</v>
      </c>
      <c r="FT39">
        <v>12.5</v>
      </c>
      <c r="FU39">
        <v>12.7</v>
      </c>
      <c r="FV39">
        <v>1.7773399999999999</v>
      </c>
      <c r="FW39">
        <v>2.5830099999999998</v>
      </c>
      <c r="FX39">
        <v>1.5490699999999999</v>
      </c>
      <c r="FY39">
        <v>2.3290999999999999</v>
      </c>
      <c r="FZ39">
        <v>1.50146</v>
      </c>
      <c r="GA39">
        <v>2.32056</v>
      </c>
      <c r="GB39">
        <v>33.8735</v>
      </c>
      <c r="GC39">
        <v>23.973700000000001</v>
      </c>
      <c r="GD39">
        <v>19</v>
      </c>
      <c r="GE39">
        <v>282.613</v>
      </c>
      <c r="GF39">
        <v>579.20699999999999</v>
      </c>
      <c r="GG39">
        <v>22.371099999999998</v>
      </c>
      <c r="GH39">
        <v>26.516500000000001</v>
      </c>
      <c r="GI39">
        <v>29.999700000000001</v>
      </c>
      <c r="GJ39">
        <v>26.4892</v>
      </c>
      <c r="GK39">
        <v>26.4316</v>
      </c>
      <c r="GL39">
        <v>35.543199999999999</v>
      </c>
      <c r="GM39">
        <v>-30</v>
      </c>
      <c r="GN39">
        <v>-30</v>
      </c>
      <c r="GO39">
        <v>22.285</v>
      </c>
      <c r="GP39">
        <v>800</v>
      </c>
      <c r="GQ39">
        <v>18.0809</v>
      </c>
      <c r="GR39">
        <v>99.716300000000004</v>
      </c>
      <c r="GS39">
        <v>99.536799999999999</v>
      </c>
    </row>
    <row r="40" spans="1:201" x14ac:dyDescent="0.25">
      <c r="A40">
        <v>24</v>
      </c>
      <c r="B40">
        <v>1690221285</v>
      </c>
      <c r="C40">
        <v>402.5</v>
      </c>
      <c r="D40" t="s">
        <v>379</v>
      </c>
      <c r="E40" t="s">
        <v>380</v>
      </c>
      <c r="F40" t="s">
        <v>330</v>
      </c>
      <c r="H40">
        <v>1690221285</v>
      </c>
      <c r="I40">
        <f t="shared" si="0"/>
        <v>4.3205094993163179E-4</v>
      </c>
      <c r="J40">
        <f t="shared" si="1"/>
        <v>0.43205094993163179</v>
      </c>
      <c r="K40">
        <f t="shared" si="2"/>
        <v>0.73390529404718519</v>
      </c>
      <c r="L40">
        <f t="shared" si="3"/>
        <v>788.86</v>
      </c>
      <c r="M40">
        <f t="shared" si="4"/>
        <v>676.96304051130858</v>
      </c>
      <c r="N40">
        <f t="shared" si="5"/>
        <v>67.13662891916637</v>
      </c>
      <c r="O40">
        <f t="shared" si="6"/>
        <v>78.233814728159999</v>
      </c>
      <c r="P40">
        <f t="shared" si="7"/>
        <v>1.5070902512324551E-2</v>
      </c>
      <c r="Q40">
        <f t="shared" si="8"/>
        <v>2.1938326647067456</v>
      </c>
      <c r="R40">
        <f t="shared" si="9"/>
        <v>1.5013620735220168E-2</v>
      </c>
      <c r="S40">
        <f t="shared" si="10"/>
        <v>9.3886412766706999E-3</v>
      </c>
      <c r="T40">
        <f t="shared" si="11"/>
        <v>276.11475863259665</v>
      </c>
      <c r="U40">
        <f t="shared" si="12"/>
        <v>28.04194314268619</v>
      </c>
      <c r="V40">
        <f t="shared" si="13"/>
        <v>28.04194314268619</v>
      </c>
      <c r="W40">
        <f t="shared" si="14"/>
        <v>3.8041285014016442</v>
      </c>
      <c r="X40">
        <f t="shared" si="15"/>
        <v>30.107277563254513</v>
      </c>
      <c r="Y40">
        <f t="shared" si="16"/>
        <v>1.019600244936</v>
      </c>
      <c r="Z40">
        <f t="shared" si="17"/>
        <v>3.3865574288271318</v>
      </c>
      <c r="AA40">
        <f t="shared" si="18"/>
        <v>2.7845282564656442</v>
      </c>
      <c r="AB40">
        <f t="shared" si="19"/>
        <v>-19.053446891984962</v>
      </c>
      <c r="AC40">
        <f t="shared" si="20"/>
        <v>-234.23474732363252</v>
      </c>
      <c r="AD40">
        <f t="shared" si="21"/>
        <v>-23.054309989971539</v>
      </c>
      <c r="AE40">
        <f t="shared" si="22"/>
        <v>-0.22774557299237586</v>
      </c>
      <c r="AF40">
        <v>0</v>
      </c>
      <c r="AG40">
        <v>0</v>
      </c>
      <c r="AH40">
        <f t="shared" si="23"/>
        <v>1</v>
      </c>
      <c r="AI40">
        <f t="shared" si="24"/>
        <v>0</v>
      </c>
      <c r="AJ40">
        <f t="shared" si="25"/>
        <v>52538.903049760891</v>
      </c>
      <c r="AK40">
        <f t="shared" si="26"/>
        <v>1799.99</v>
      </c>
      <c r="AL40">
        <f t="shared" si="27"/>
        <v>1499.1021578084099</v>
      </c>
      <c r="AM40">
        <f t="shared" si="28"/>
        <v>0.83283915899999994</v>
      </c>
      <c r="AN40">
        <f t="shared" si="29"/>
        <v>0.15339794034000001</v>
      </c>
      <c r="AO40">
        <v>31.2</v>
      </c>
      <c r="AP40">
        <v>0.5</v>
      </c>
      <c r="AQ40" t="s">
        <v>331</v>
      </c>
      <c r="AR40">
        <v>2</v>
      </c>
      <c r="AS40">
        <v>1690221285</v>
      </c>
      <c r="AT40">
        <v>788.86</v>
      </c>
      <c r="AU40">
        <v>800.03</v>
      </c>
      <c r="AV40">
        <v>10.281000000000001</v>
      </c>
      <c r="AW40">
        <v>5.8367399999999998</v>
      </c>
      <c r="AX40">
        <v>789.346</v>
      </c>
      <c r="AY40">
        <v>10.333600000000001</v>
      </c>
      <c r="AZ40">
        <v>300.19400000000002</v>
      </c>
      <c r="BA40">
        <v>99.0732</v>
      </c>
      <c r="BB40">
        <v>0.10005600000000001</v>
      </c>
      <c r="BC40">
        <v>26.061499999999999</v>
      </c>
      <c r="BD40">
        <v>26.970400000000001</v>
      </c>
      <c r="BE40">
        <v>27.748799999999999</v>
      </c>
      <c r="BF40">
        <v>0</v>
      </c>
      <c r="BG40">
        <v>0</v>
      </c>
      <c r="BH40">
        <v>9997.5</v>
      </c>
      <c r="BI40">
        <v>1072.1099999999999</v>
      </c>
      <c r="BJ40">
        <v>1.56985</v>
      </c>
      <c r="BK40">
        <v>-11.169600000000001</v>
      </c>
      <c r="BL40">
        <v>797.05499999999995</v>
      </c>
      <c r="BM40">
        <v>804.72699999999998</v>
      </c>
      <c r="BN40">
        <v>4.4442399999999997</v>
      </c>
      <c r="BO40">
        <v>800.03</v>
      </c>
      <c r="BP40">
        <v>5.8367399999999998</v>
      </c>
      <c r="BQ40">
        <v>1.01857</v>
      </c>
      <c r="BR40">
        <v>0.57826500000000003</v>
      </c>
      <c r="BS40">
        <v>7.1847599999999998</v>
      </c>
      <c r="BT40">
        <v>-0.81495600000000001</v>
      </c>
      <c r="BU40">
        <v>1799.99</v>
      </c>
      <c r="BV40">
        <v>0.90998199999999996</v>
      </c>
      <c r="BW40">
        <v>3.4001099999999999E-2</v>
      </c>
      <c r="BX40">
        <v>2.20057E-2</v>
      </c>
      <c r="BY40">
        <v>3.4011399999999997E-2</v>
      </c>
      <c r="BZ40">
        <v>25.666699999999999</v>
      </c>
      <c r="CA40">
        <v>33528</v>
      </c>
      <c r="CB40">
        <v>1690220522.5999999</v>
      </c>
      <c r="CC40" t="s">
        <v>332</v>
      </c>
      <c r="CD40">
        <v>1690220522.5999999</v>
      </c>
      <c r="CE40">
        <v>1690220510.5999999</v>
      </c>
      <c r="CF40">
        <v>10</v>
      </c>
      <c r="CG40">
        <v>-0.22</v>
      </c>
      <c r="CH40">
        <v>-2.7E-2</v>
      </c>
      <c r="CI40">
        <v>-0.49299999999999999</v>
      </c>
      <c r="CJ40">
        <v>0.152</v>
      </c>
      <c r="CK40">
        <v>800</v>
      </c>
      <c r="CL40">
        <v>19</v>
      </c>
      <c r="CM40">
        <v>0.1</v>
      </c>
      <c r="CN40">
        <v>0.03</v>
      </c>
      <c r="CO40">
        <v>-10.353144</v>
      </c>
      <c r="CP40">
        <v>-4.7166137335834843</v>
      </c>
      <c r="CQ40">
        <v>0.4546600677583198</v>
      </c>
      <c r="CR40">
        <v>-1</v>
      </c>
      <c r="CS40">
        <v>4.4316017499999996</v>
      </c>
      <c r="CT40">
        <v>6.9897523452142687E-2</v>
      </c>
      <c r="CU40">
        <v>6.7341171980817181E-3</v>
      </c>
      <c r="CV40">
        <v>-1</v>
      </c>
      <c r="CW40">
        <v>0</v>
      </c>
      <c r="CX40">
        <v>0</v>
      </c>
      <c r="CY40" t="s">
        <v>333</v>
      </c>
      <c r="CZ40">
        <v>2.3643000000000001</v>
      </c>
      <c r="DA40">
        <v>2.7138399999999998</v>
      </c>
      <c r="DB40">
        <v>0.145125</v>
      </c>
      <c r="DC40">
        <v>0.14604800000000001</v>
      </c>
      <c r="DD40">
        <v>6.1612699999999999E-2</v>
      </c>
      <c r="DE40">
        <v>3.8559299999999998E-2</v>
      </c>
      <c r="DF40">
        <v>31206.6</v>
      </c>
      <c r="DG40">
        <v>27510.400000000001</v>
      </c>
      <c r="DH40">
        <v>31165.200000000001</v>
      </c>
      <c r="DI40">
        <v>28072.5</v>
      </c>
      <c r="DJ40">
        <v>39722.199999999997</v>
      </c>
      <c r="DK40">
        <v>38382</v>
      </c>
      <c r="DL40">
        <v>44350.400000000001</v>
      </c>
      <c r="DM40">
        <v>42548.1</v>
      </c>
      <c r="DN40">
        <v>1.4737499999999999</v>
      </c>
      <c r="DO40">
        <v>2.0301499999999999</v>
      </c>
      <c r="DP40">
        <v>8.9965799999999999E-2</v>
      </c>
      <c r="DQ40">
        <v>0.15436900000000001</v>
      </c>
      <c r="DR40">
        <v>25.497299999999999</v>
      </c>
      <c r="DS40">
        <v>25.222200000000001</v>
      </c>
      <c r="DT40">
        <v>21.7</v>
      </c>
      <c r="DU40">
        <v>29.5</v>
      </c>
      <c r="DV40">
        <v>9.0665300000000002</v>
      </c>
      <c r="DW40">
        <v>61.824199999999998</v>
      </c>
      <c r="DX40">
        <v>36.113799999999998</v>
      </c>
      <c r="DY40">
        <v>1</v>
      </c>
      <c r="DZ40">
        <v>-7.1476100000000001E-2</v>
      </c>
      <c r="EA40">
        <v>1.75776</v>
      </c>
      <c r="EB40">
        <v>20.179400000000001</v>
      </c>
      <c r="EC40">
        <v>5.2403500000000003</v>
      </c>
      <c r="ED40">
        <v>12.039899999999999</v>
      </c>
      <c r="EE40">
        <v>5.0170000000000003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1.86896</v>
      </c>
      <c r="EL40">
        <v>1.8646400000000001</v>
      </c>
      <c r="EM40">
        <v>1.8692</v>
      </c>
      <c r="EN40">
        <v>1.8672299999999999</v>
      </c>
      <c r="EO40">
        <v>1.8633999999999999</v>
      </c>
      <c r="EP40">
        <v>1.86459</v>
      </c>
      <c r="EQ40">
        <v>1.87019</v>
      </c>
      <c r="ER40">
        <v>1.8694900000000001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-0.48599999999999999</v>
      </c>
      <c r="FG40">
        <v>-5.2600000000000001E-2</v>
      </c>
      <c r="FH40">
        <v>5.8509882529719233E-2</v>
      </c>
      <c r="FI40">
        <v>-6.1462078757559423E-4</v>
      </c>
      <c r="FJ40">
        <v>-1.8861989874597051E-7</v>
      </c>
      <c r="FK40">
        <v>1.1980462299894961E-10</v>
      </c>
      <c r="FL40">
        <v>-5.9863424041980147E-2</v>
      </c>
      <c r="FM40">
        <v>-1.6848085045870601E-2</v>
      </c>
      <c r="FN40">
        <v>1.9789084769509481E-3</v>
      </c>
      <c r="FO40">
        <v>-2.7142391389806329E-5</v>
      </c>
      <c r="FP40">
        <v>3</v>
      </c>
      <c r="FQ40">
        <v>2158</v>
      </c>
      <c r="FR40">
        <v>1</v>
      </c>
      <c r="FS40">
        <v>19</v>
      </c>
      <c r="FT40">
        <v>12.7</v>
      </c>
      <c r="FU40">
        <v>12.9</v>
      </c>
      <c r="FV40">
        <v>1.7773399999999999</v>
      </c>
      <c r="FW40">
        <v>2.5830099999999998</v>
      </c>
      <c r="FX40">
        <v>1.5490699999999999</v>
      </c>
      <c r="FY40">
        <v>2.3290999999999999</v>
      </c>
      <c r="FZ40">
        <v>1.50146</v>
      </c>
      <c r="GA40">
        <v>2.3559600000000001</v>
      </c>
      <c r="GB40">
        <v>33.8735</v>
      </c>
      <c r="GC40">
        <v>23.973700000000001</v>
      </c>
      <c r="GD40">
        <v>19</v>
      </c>
      <c r="GE40">
        <v>282.48200000000003</v>
      </c>
      <c r="GF40">
        <v>579.16300000000001</v>
      </c>
      <c r="GG40">
        <v>22.380400000000002</v>
      </c>
      <c r="GH40">
        <v>26.523900000000001</v>
      </c>
      <c r="GI40">
        <v>30.000800000000002</v>
      </c>
      <c r="GJ40">
        <v>26.498100000000001</v>
      </c>
      <c r="GK40">
        <v>26.438700000000001</v>
      </c>
      <c r="GL40">
        <v>35.540799999999997</v>
      </c>
      <c r="GM40">
        <v>-30</v>
      </c>
      <c r="GN40">
        <v>-30</v>
      </c>
      <c r="GO40">
        <v>22.341000000000001</v>
      </c>
      <c r="GP40">
        <v>800</v>
      </c>
      <c r="GQ40">
        <v>18.0809</v>
      </c>
      <c r="GR40">
        <v>99.714600000000004</v>
      </c>
      <c r="GS40">
        <v>99.534899999999993</v>
      </c>
    </row>
    <row r="41" spans="1:201" x14ac:dyDescent="0.25">
      <c r="A41">
        <v>25</v>
      </c>
      <c r="B41">
        <v>1690221295</v>
      </c>
      <c r="C41">
        <v>412.5</v>
      </c>
      <c r="D41" t="s">
        <v>381</v>
      </c>
      <c r="E41" t="s">
        <v>382</v>
      </c>
      <c r="F41" t="s">
        <v>330</v>
      </c>
      <c r="H41">
        <v>1690221295</v>
      </c>
      <c r="I41">
        <f t="shared" si="0"/>
        <v>4.3383473792780954E-4</v>
      </c>
      <c r="J41">
        <f t="shared" si="1"/>
        <v>0.43383473792780952</v>
      </c>
      <c r="K41">
        <f t="shared" si="2"/>
        <v>0.81325978631531037</v>
      </c>
      <c r="L41">
        <f t="shared" si="3"/>
        <v>788.02200000000005</v>
      </c>
      <c r="M41">
        <f t="shared" si="4"/>
        <v>668.34285281884172</v>
      </c>
      <c r="N41">
        <f t="shared" si="5"/>
        <v>66.280938168664193</v>
      </c>
      <c r="O41">
        <f t="shared" si="6"/>
        <v>78.149765853342004</v>
      </c>
      <c r="P41">
        <f t="shared" si="7"/>
        <v>1.5145557295219839E-2</v>
      </c>
      <c r="Q41">
        <f t="shared" si="8"/>
        <v>2.1928193330852741</v>
      </c>
      <c r="R41">
        <f t="shared" si="9"/>
        <v>1.5087681166928719E-2</v>
      </c>
      <c r="S41">
        <f t="shared" si="10"/>
        <v>9.4349821588472129E-3</v>
      </c>
      <c r="T41">
        <f t="shared" si="11"/>
        <v>276.11412842009781</v>
      </c>
      <c r="U41">
        <f t="shared" si="12"/>
        <v>28.038172930048898</v>
      </c>
      <c r="V41">
        <f t="shared" si="13"/>
        <v>28.038172930048898</v>
      </c>
      <c r="W41">
        <f t="shared" si="14"/>
        <v>3.8032927311043103</v>
      </c>
      <c r="X41">
        <f t="shared" si="15"/>
        <v>30.156803355677024</v>
      </c>
      <c r="Y41">
        <f t="shared" si="16"/>
        <v>1.0210358712316001</v>
      </c>
      <c r="Z41">
        <f t="shared" si="17"/>
        <v>3.3857563057637203</v>
      </c>
      <c r="AA41">
        <f t="shared" si="18"/>
        <v>2.7822568598727102</v>
      </c>
      <c r="AB41">
        <f t="shared" si="19"/>
        <v>-19.132111942616401</v>
      </c>
      <c r="AC41">
        <f t="shared" si="20"/>
        <v>-234.1537195559828</v>
      </c>
      <c r="AD41">
        <f t="shared" si="21"/>
        <v>-23.056089383746851</v>
      </c>
      <c r="AE41">
        <f t="shared" si="22"/>
        <v>-0.22779246224823169</v>
      </c>
      <c r="AF41">
        <v>0</v>
      </c>
      <c r="AG41">
        <v>0</v>
      </c>
      <c r="AH41">
        <f t="shared" si="23"/>
        <v>1</v>
      </c>
      <c r="AI41">
        <f t="shared" si="24"/>
        <v>0</v>
      </c>
      <c r="AJ41">
        <f t="shared" si="25"/>
        <v>52498.033804406608</v>
      </c>
      <c r="AK41">
        <f t="shared" si="26"/>
        <v>1799.99</v>
      </c>
      <c r="AL41">
        <f t="shared" si="27"/>
        <v>1499.1027662050299</v>
      </c>
      <c r="AM41">
        <f t="shared" si="28"/>
        <v>0.83283949699999993</v>
      </c>
      <c r="AN41">
        <f t="shared" si="29"/>
        <v>0.15339759022000002</v>
      </c>
      <c r="AO41">
        <v>31.2</v>
      </c>
      <c r="AP41">
        <v>0.5</v>
      </c>
      <c r="AQ41" t="s">
        <v>331</v>
      </c>
      <c r="AR41">
        <v>2</v>
      </c>
      <c r="AS41">
        <v>1690221295</v>
      </c>
      <c r="AT41">
        <v>788.02200000000005</v>
      </c>
      <c r="AU41">
        <v>800.02700000000004</v>
      </c>
      <c r="AV41">
        <v>10.2956</v>
      </c>
      <c r="AW41">
        <v>5.8332800000000002</v>
      </c>
      <c r="AX41">
        <v>788.50699999999995</v>
      </c>
      <c r="AY41">
        <v>10.348000000000001</v>
      </c>
      <c r="AZ41">
        <v>300.209</v>
      </c>
      <c r="BA41">
        <v>99.072000000000003</v>
      </c>
      <c r="BB41">
        <v>0.100061</v>
      </c>
      <c r="BC41">
        <v>26.057500000000001</v>
      </c>
      <c r="BD41">
        <v>27.023900000000001</v>
      </c>
      <c r="BE41">
        <v>27.7348</v>
      </c>
      <c r="BF41">
        <v>0</v>
      </c>
      <c r="BG41">
        <v>0</v>
      </c>
      <c r="BH41">
        <v>9989.3799999999992</v>
      </c>
      <c r="BI41">
        <v>1071.8499999999999</v>
      </c>
      <c r="BJ41">
        <v>1.56985</v>
      </c>
      <c r="BK41">
        <v>-12.0052</v>
      </c>
      <c r="BL41">
        <v>796.22</v>
      </c>
      <c r="BM41">
        <v>804.721</v>
      </c>
      <c r="BN41">
        <v>4.4623499999999998</v>
      </c>
      <c r="BO41">
        <v>800.02700000000004</v>
      </c>
      <c r="BP41">
        <v>5.8332800000000002</v>
      </c>
      <c r="BQ41">
        <v>1.0200100000000001</v>
      </c>
      <c r="BR41">
        <v>0.57791499999999996</v>
      </c>
      <c r="BS41">
        <v>7.2053599999999998</v>
      </c>
      <c r="BT41">
        <v>-0.823237</v>
      </c>
      <c r="BU41">
        <v>1799.99</v>
      </c>
      <c r="BV41">
        <v>0.90999200000000002</v>
      </c>
      <c r="BW41">
        <v>3.3997100000000002E-2</v>
      </c>
      <c r="BX41">
        <v>2.2003100000000001E-2</v>
      </c>
      <c r="BY41">
        <v>3.40074E-2</v>
      </c>
      <c r="BZ41">
        <v>25.666699999999999</v>
      </c>
      <c r="CA41">
        <v>33528.1</v>
      </c>
      <c r="CB41">
        <v>1690220522.5999999</v>
      </c>
      <c r="CC41" t="s">
        <v>332</v>
      </c>
      <c r="CD41">
        <v>1690220522.5999999</v>
      </c>
      <c r="CE41">
        <v>1690220510.5999999</v>
      </c>
      <c r="CF41">
        <v>10</v>
      </c>
      <c r="CG41">
        <v>-0.22</v>
      </c>
      <c r="CH41">
        <v>-2.7E-2</v>
      </c>
      <c r="CI41">
        <v>-0.49299999999999999</v>
      </c>
      <c r="CJ41">
        <v>0.152</v>
      </c>
      <c r="CK41">
        <v>800</v>
      </c>
      <c r="CL41">
        <v>19</v>
      </c>
      <c r="CM41">
        <v>0.1</v>
      </c>
      <c r="CN41">
        <v>0.03</v>
      </c>
      <c r="CO41">
        <v>-11.06740243902439</v>
      </c>
      <c r="CP41">
        <v>-4.4415909407665506</v>
      </c>
      <c r="CQ41">
        <v>0.43846901466730748</v>
      </c>
      <c r="CR41">
        <v>-1</v>
      </c>
      <c r="CS41">
        <v>4.4433199999999999</v>
      </c>
      <c r="CT41">
        <v>8.2082299651566437E-2</v>
      </c>
      <c r="CU41">
        <v>8.1537269646852102E-3</v>
      </c>
      <c r="CV41">
        <v>-1</v>
      </c>
      <c r="CW41">
        <v>0</v>
      </c>
      <c r="CX41">
        <v>0</v>
      </c>
      <c r="CY41" t="s">
        <v>333</v>
      </c>
      <c r="CZ41">
        <v>2.36436</v>
      </c>
      <c r="DA41">
        <v>2.7138399999999998</v>
      </c>
      <c r="DB41">
        <v>0.14501800000000001</v>
      </c>
      <c r="DC41">
        <v>0.14604400000000001</v>
      </c>
      <c r="DD41">
        <v>6.1677200000000001E-2</v>
      </c>
      <c r="DE41">
        <v>3.8539400000000001E-2</v>
      </c>
      <c r="DF41">
        <v>31210</v>
      </c>
      <c r="DG41">
        <v>27509.599999999999</v>
      </c>
      <c r="DH41">
        <v>31164.799999999999</v>
      </c>
      <c r="DI41">
        <v>28071.5</v>
      </c>
      <c r="DJ41">
        <v>39718.699999999997</v>
      </c>
      <c r="DK41">
        <v>38381.4</v>
      </c>
      <c r="DL41">
        <v>44349.599999999999</v>
      </c>
      <c r="DM41">
        <v>42546.5</v>
      </c>
      <c r="DN41">
        <v>1.4735</v>
      </c>
      <c r="DO41">
        <v>2.03003</v>
      </c>
      <c r="DP41">
        <v>9.4682000000000002E-2</v>
      </c>
      <c r="DQ41">
        <v>0.15484200000000001</v>
      </c>
      <c r="DR41">
        <v>25.473600000000001</v>
      </c>
      <c r="DS41">
        <v>25.200299999999999</v>
      </c>
      <c r="DT41">
        <v>21.5</v>
      </c>
      <c r="DU41">
        <v>29.5</v>
      </c>
      <c r="DV41">
        <v>8.9830299999999994</v>
      </c>
      <c r="DW41">
        <v>62.174100000000003</v>
      </c>
      <c r="DX41">
        <v>36.033700000000003</v>
      </c>
      <c r="DY41">
        <v>1</v>
      </c>
      <c r="DZ41">
        <v>-7.0393800000000006E-2</v>
      </c>
      <c r="EA41">
        <v>1.79999</v>
      </c>
      <c r="EB41">
        <v>20.1783</v>
      </c>
      <c r="EC41">
        <v>5.2406499999999996</v>
      </c>
      <c r="ED41">
        <v>12.039899999999999</v>
      </c>
      <c r="EE41">
        <v>5.01675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1.86893</v>
      </c>
      <c r="EL41">
        <v>1.86463</v>
      </c>
      <c r="EM41">
        <v>1.8691899999999999</v>
      </c>
      <c r="EN41">
        <v>1.8672500000000001</v>
      </c>
      <c r="EO41">
        <v>1.8633999999999999</v>
      </c>
      <c r="EP41">
        <v>1.8645499999999999</v>
      </c>
      <c r="EQ41">
        <v>1.87016</v>
      </c>
      <c r="ER41">
        <v>1.8694999999999999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-0.48499999999999999</v>
      </c>
      <c r="FG41">
        <v>-5.2400000000000002E-2</v>
      </c>
      <c r="FH41">
        <v>5.8509882529719233E-2</v>
      </c>
      <c r="FI41">
        <v>-6.1462078757559423E-4</v>
      </c>
      <c r="FJ41">
        <v>-1.8861989874597051E-7</v>
      </c>
      <c r="FK41">
        <v>1.1980462299894961E-10</v>
      </c>
      <c r="FL41">
        <v>-5.9863424041980147E-2</v>
      </c>
      <c r="FM41">
        <v>-1.6848085045870601E-2</v>
      </c>
      <c r="FN41">
        <v>1.9789084769509481E-3</v>
      </c>
      <c r="FO41">
        <v>-2.7142391389806329E-5</v>
      </c>
      <c r="FP41">
        <v>3</v>
      </c>
      <c r="FQ41">
        <v>2158</v>
      </c>
      <c r="FR41">
        <v>1</v>
      </c>
      <c r="FS41">
        <v>19</v>
      </c>
      <c r="FT41">
        <v>12.9</v>
      </c>
      <c r="FU41">
        <v>13.1</v>
      </c>
      <c r="FV41">
        <v>1.7773399999999999</v>
      </c>
      <c r="FW41">
        <v>2.5817899999999998</v>
      </c>
      <c r="FX41">
        <v>1.5490699999999999</v>
      </c>
      <c r="FY41">
        <v>2.3290999999999999</v>
      </c>
      <c r="FZ41">
        <v>1.50146</v>
      </c>
      <c r="GA41">
        <v>2.36694</v>
      </c>
      <c r="GB41">
        <v>33.8735</v>
      </c>
      <c r="GC41">
        <v>23.982399999999998</v>
      </c>
      <c r="GD41">
        <v>19</v>
      </c>
      <c r="GE41">
        <v>282.40699999999998</v>
      </c>
      <c r="GF41">
        <v>579.13599999999997</v>
      </c>
      <c r="GG41">
        <v>22.352599999999999</v>
      </c>
      <c r="GH41">
        <v>26.53</v>
      </c>
      <c r="GI41">
        <v>30.000499999999999</v>
      </c>
      <c r="GJ41">
        <v>26.505400000000002</v>
      </c>
      <c r="GK41">
        <v>26.445399999999999</v>
      </c>
      <c r="GL41">
        <v>35.540100000000002</v>
      </c>
      <c r="GM41">
        <v>-30</v>
      </c>
      <c r="GN41">
        <v>-30</v>
      </c>
      <c r="GO41">
        <v>22.2333</v>
      </c>
      <c r="GP41">
        <v>800</v>
      </c>
      <c r="GQ41">
        <v>18.0809</v>
      </c>
      <c r="GR41">
        <v>99.712900000000005</v>
      </c>
      <c r="GS41">
        <v>99.531199999999998</v>
      </c>
    </row>
    <row r="42" spans="1:201" x14ac:dyDescent="0.25">
      <c r="A42">
        <v>26</v>
      </c>
      <c r="B42">
        <v>1690221305</v>
      </c>
      <c r="C42">
        <v>422.5</v>
      </c>
      <c r="D42" t="s">
        <v>383</v>
      </c>
      <c r="E42" t="s">
        <v>384</v>
      </c>
      <c r="F42" t="s">
        <v>330</v>
      </c>
      <c r="H42">
        <v>1690221305</v>
      </c>
      <c r="I42">
        <f t="shared" si="0"/>
        <v>4.3617913118075785E-4</v>
      </c>
      <c r="J42">
        <f t="shared" si="1"/>
        <v>0.43617913118075785</v>
      </c>
      <c r="K42">
        <f t="shared" si="2"/>
        <v>0.91160761158232251</v>
      </c>
      <c r="L42">
        <f t="shared" si="3"/>
        <v>786.96699999999998</v>
      </c>
      <c r="M42">
        <f t="shared" si="4"/>
        <v>657.9002250776075</v>
      </c>
      <c r="N42">
        <f t="shared" si="5"/>
        <v>65.247626996229044</v>
      </c>
      <c r="O42">
        <f t="shared" si="6"/>
        <v>78.04789741223189</v>
      </c>
      <c r="P42">
        <f t="shared" si="7"/>
        <v>1.5257665867909912E-2</v>
      </c>
      <c r="Q42">
        <f t="shared" si="8"/>
        <v>2.188088246674992</v>
      </c>
      <c r="R42">
        <f t="shared" si="9"/>
        <v>1.5198805088522572E-2</v>
      </c>
      <c r="S42">
        <f t="shared" si="10"/>
        <v>9.5045225835455882E-3</v>
      </c>
      <c r="T42">
        <f t="shared" si="11"/>
        <v>276.11390700332788</v>
      </c>
      <c r="U42">
        <f t="shared" si="12"/>
        <v>28.02350575233951</v>
      </c>
      <c r="V42">
        <f t="shared" si="13"/>
        <v>28.02350575233951</v>
      </c>
      <c r="W42">
        <f t="shared" si="14"/>
        <v>3.8000428753917284</v>
      </c>
      <c r="X42">
        <f t="shared" si="15"/>
        <v>30.249164461015877</v>
      </c>
      <c r="Y42">
        <f t="shared" si="16"/>
        <v>1.0230852182046299</v>
      </c>
      <c r="Z42">
        <f t="shared" si="17"/>
        <v>3.3821933148703938</v>
      </c>
      <c r="AA42">
        <f t="shared" si="18"/>
        <v>2.7769576571870984</v>
      </c>
      <c r="AB42">
        <f t="shared" si="19"/>
        <v>-19.235499685071421</v>
      </c>
      <c r="AC42">
        <f t="shared" si="20"/>
        <v>-234.01808542010392</v>
      </c>
      <c r="AD42">
        <f t="shared" si="21"/>
        <v>-23.088809979512241</v>
      </c>
      <c r="AE42">
        <f t="shared" si="22"/>
        <v>-0.22848808135969989</v>
      </c>
      <c r="AF42">
        <v>0</v>
      </c>
      <c r="AG42">
        <v>0</v>
      </c>
      <c r="AH42">
        <f t="shared" si="23"/>
        <v>1</v>
      </c>
      <c r="AI42">
        <f t="shared" si="24"/>
        <v>0</v>
      </c>
      <c r="AJ42">
        <f t="shared" si="25"/>
        <v>52307.511946603765</v>
      </c>
      <c r="AK42">
        <f t="shared" si="26"/>
        <v>1799.99</v>
      </c>
      <c r="AL42">
        <f t="shared" si="27"/>
        <v>1499.1051493917898</v>
      </c>
      <c r="AM42">
        <f t="shared" si="28"/>
        <v>0.8328408209999999</v>
      </c>
      <c r="AN42">
        <f t="shared" si="29"/>
        <v>0.15339746721</v>
      </c>
      <c r="AO42">
        <v>31.2</v>
      </c>
      <c r="AP42">
        <v>0.5</v>
      </c>
      <c r="AQ42" t="s">
        <v>331</v>
      </c>
      <c r="AR42">
        <v>2</v>
      </c>
      <c r="AS42">
        <v>1690221305</v>
      </c>
      <c r="AT42">
        <v>786.96699999999998</v>
      </c>
      <c r="AU42">
        <v>800.01</v>
      </c>
      <c r="AV42">
        <v>10.315899999999999</v>
      </c>
      <c r="AW42">
        <v>5.8290499999999996</v>
      </c>
      <c r="AX42">
        <v>787.45100000000002</v>
      </c>
      <c r="AY42">
        <v>10.368</v>
      </c>
      <c r="AZ42">
        <v>300.17500000000001</v>
      </c>
      <c r="BA42">
        <v>99.075599999999994</v>
      </c>
      <c r="BB42">
        <v>9.9965700000000005E-2</v>
      </c>
      <c r="BC42">
        <v>26.0397</v>
      </c>
      <c r="BD42">
        <v>26.9908</v>
      </c>
      <c r="BE42">
        <v>27.7486</v>
      </c>
      <c r="BF42">
        <v>0</v>
      </c>
      <c r="BG42">
        <v>0</v>
      </c>
      <c r="BH42">
        <v>9950.6200000000008</v>
      </c>
      <c r="BI42">
        <v>1071.58</v>
      </c>
      <c r="BJ42">
        <v>1.3736200000000001</v>
      </c>
      <c r="BK42">
        <v>-13.042999999999999</v>
      </c>
      <c r="BL42">
        <v>795.17</v>
      </c>
      <c r="BM42">
        <v>804.7</v>
      </c>
      <c r="BN42">
        <v>4.4868699999999997</v>
      </c>
      <c r="BO42">
        <v>800.01</v>
      </c>
      <c r="BP42">
        <v>5.8290499999999996</v>
      </c>
      <c r="BQ42">
        <v>1.02206</v>
      </c>
      <c r="BR42">
        <v>0.57751699999999995</v>
      </c>
      <c r="BS42">
        <v>7.2346500000000002</v>
      </c>
      <c r="BT42">
        <v>-0.83265699999999998</v>
      </c>
      <c r="BU42">
        <v>1799.99</v>
      </c>
      <c r="BV42">
        <v>0.91000199999999998</v>
      </c>
      <c r="BW42">
        <v>3.3993599999999999E-2</v>
      </c>
      <c r="BX42">
        <v>2.2000800000000001E-2</v>
      </c>
      <c r="BY42">
        <v>3.4003899999999997E-2</v>
      </c>
      <c r="BZ42">
        <v>25.541699999999999</v>
      </c>
      <c r="CA42">
        <v>33528.199999999997</v>
      </c>
      <c r="CB42">
        <v>1690220522.5999999</v>
      </c>
      <c r="CC42" t="s">
        <v>332</v>
      </c>
      <c r="CD42">
        <v>1690220522.5999999</v>
      </c>
      <c r="CE42">
        <v>1690220510.5999999</v>
      </c>
      <c r="CF42">
        <v>10</v>
      </c>
      <c r="CG42">
        <v>-0.22</v>
      </c>
      <c r="CH42">
        <v>-2.7E-2</v>
      </c>
      <c r="CI42">
        <v>-0.49299999999999999</v>
      </c>
      <c r="CJ42">
        <v>0.152</v>
      </c>
      <c r="CK42">
        <v>800</v>
      </c>
      <c r="CL42">
        <v>19</v>
      </c>
      <c r="CM42">
        <v>0.1</v>
      </c>
      <c r="CN42">
        <v>0.03</v>
      </c>
      <c r="CO42">
        <v>-11.964195</v>
      </c>
      <c r="CP42">
        <v>-5.5923939962476252</v>
      </c>
      <c r="CQ42">
        <v>0.53910852151955446</v>
      </c>
      <c r="CR42">
        <v>-1</v>
      </c>
      <c r="CS42">
        <v>4.4615809999999998</v>
      </c>
      <c r="CT42">
        <v>0.12266454033769</v>
      </c>
      <c r="CU42">
        <v>1.182357048441797E-2</v>
      </c>
      <c r="CV42">
        <v>-1</v>
      </c>
      <c r="CW42">
        <v>0</v>
      </c>
      <c r="CX42">
        <v>0</v>
      </c>
      <c r="CY42" t="s">
        <v>333</v>
      </c>
      <c r="CZ42">
        <v>2.3642400000000001</v>
      </c>
      <c r="DA42">
        <v>2.7137099999999998</v>
      </c>
      <c r="DB42">
        <v>0.14489099999999999</v>
      </c>
      <c r="DC42">
        <v>0.14604500000000001</v>
      </c>
      <c r="DD42">
        <v>6.1770100000000001E-2</v>
      </c>
      <c r="DE42">
        <v>3.8517099999999999E-2</v>
      </c>
      <c r="DF42">
        <v>31213.7</v>
      </c>
      <c r="DG42">
        <v>27509</v>
      </c>
      <c r="DH42">
        <v>31163.8</v>
      </c>
      <c r="DI42">
        <v>28070.9</v>
      </c>
      <c r="DJ42">
        <v>39713.599999999999</v>
      </c>
      <c r="DK42">
        <v>38381.699999999997</v>
      </c>
      <c r="DL42">
        <v>44348.3</v>
      </c>
      <c r="DM42">
        <v>42545.8</v>
      </c>
      <c r="DN42">
        <v>1.4734</v>
      </c>
      <c r="DO42">
        <v>2.0299499999999999</v>
      </c>
      <c r="DP42">
        <v>9.3836299999999997E-2</v>
      </c>
      <c r="DQ42">
        <v>0.15684999999999999</v>
      </c>
      <c r="DR42">
        <v>25.4543</v>
      </c>
      <c r="DS42">
        <v>25.1812</v>
      </c>
      <c r="DT42">
        <v>21.3</v>
      </c>
      <c r="DU42">
        <v>29.5</v>
      </c>
      <c r="DV42">
        <v>8.8996099999999991</v>
      </c>
      <c r="DW42">
        <v>62.374200000000002</v>
      </c>
      <c r="DX42">
        <v>35.989600000000003</v>
      </c>
      <c r="DY42">
        <v>1</v>
      </c>
      <c r="DZ42">
        <v>-6.9316600000000006E-2</v>
      </c>
      <c r="EA42">
        <v>2.0008699999999999</v>
      </c>
      <c r="EB42">
        <v>20.175599999999999</v>
      </c>
      <c r="EC42">
        <v>5.2404999999999999</v>
      </c>
      <c r="ED42">
        <v>12.039899999999999</v>
      </c>
      <c r="EE42">
        <v>5.0167999999999999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1.8689199999999999</v>
      </c>
      <c r="EL42">
        <v>1.8646199999999999</v>
      </c>
      <c r="EM42">
        <v>1.8691800000000001</v>
      </c>
      <c r="EN42">
        <v>1.8672200000000001</v>
      </c>
      <c r="EO42">
        <v>1.8633999999999999</v>
      </c>
      <c r="EP42">
        <v>1.8645700000000001</v>
      </c>
      <c r="EQ42">
        <v>1.87015</v>
      </c>
      <c r="ER42">
        <v>1.86947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-0.48399999999999999</v>
      </c>
      <c r="FG42">
        <v>-5.21E-2</v>
      </c>
      <c r="FH42">
        <v>5.8509882529719233E-2</v>
      </c>
      <c r="FI42">
        <v>-6.1462078757559423E-4</v>
      </c>
      <c r="FJ42">
        <v>-1.8861989874597051E-7</v>
      </c>
      <c r="FK42">
        <v>1.1980462299894961E-10</v>
      </c>
      <c r="FL42">
        <v>-5.9863424041980147E-2</v>
      </c>
      <c r="FM42">
        <v>-1.6848085045870601E-2</v>
      </c>
      <c r="FN42">
        <v>1.9789084769509481E-3</v>
      </c>
      <c r="FO42">
        <v>-2.7142391389806329E-5</v>
      </c>
      <c r="FP42">
        <v>3</v>
      </c>
      <c r="FQ42">
        <v>2158</v>
      </c>
      <c r="FR42">
        <v>1</v>
      </c>
      <c r="FS42">
        <v>19</v>
      </c>
      <c r="FT42">
        <v>13</v>
      </c>
      <c r="FU42">
        <v>13.2</v>
      </c>
      <c r="FV42">
        <v>1.7773399999999999</v>
      </c>
      <c r="FW42">
        <v>2.5817899999999998</v>
      </c>
      <c r="FX42">
        <v>1.5490699999999999</v>
      </c>
      <c r="FY42">
        <v>2.3290999999999999</v>
      </c>
      <c r="FZ42">
        <v>1.50146</v>
      </c>
      <c r="GA42">
        <v>2.3889200000000002</v>
      </c>
      <c r="GB42">
        <v>33.896099999999997</v>
      </c>
      <c r="GC42">
        <v>23.973700000000001</v>
      </c>
      <c r="GD42">
        <v>19</v>
      </c>
      <c r="GE42">
        <v>282.399</v>
      </c>
      <c r="GF42">
        <v>579.14800000000002</v>
      </c>
      <c r="GG42">
        <v>22.2134</v>
      </c>
      <c r="GH42">
        <v>26.533999999999999</v>
      </c>
      <c r="GI42">
        <v>30.000299999999999</v>
      </c>
      <c r="GJ42">
        <v>26.513100000000001</v>
      </c>
      <c r="GK42">
        <v>26.452100000000002</v>
      </c>
      <c r="GL42">
        <v>35.54</v>
      </c>
      <c r="GM42">
        <v>-30</v>
      </c>
      <c r="GN42">
        <v>-30</v>
      </c>
      <c r="GO42">
        <v>22.223299999999998</v>
      </c>
      <c r="GP42">
        <v>800</v>
      </c>
      <c r="GQ42">
        <v>18.0809</v>
      </c>
      <c r="GR42">
        <v>99.709900000000005</v>
      </c>
      <c r="GS42">
        <v>99.529499999999999</v>
      </c>
    </row>
    <row r="43" spans="1:201" x14ac:dyDescent="0.25">
      <c r="A43">
        <v>27</v>
      </c>
      <c r="B43">
        <v>1690221315</v>
      </c>
      <c r="C43">
        <v>432.5</v>
      </c>
      <c r="D43" t="s">
        <v>385</v>
      </c>
      <c r="E43" t="s">
        <v>386</v>
      </c>
      <c r="F43" t="s">
        <v>330</v>
      </c>
      <c r="H43">
        <v>1690221315</v>
      </c>
      <c r="I43">
        <f t="shared" si="0"/>
        <v>4.390699127130199E-4</v>
      </c>
      <c r="J43">
        <f t="shared" si="1"/>
        <v>0.43906991271301993</v>
      </c>
      <c r="K43">
        <f t="shared" si="2"/>
        <v>1.0049528524537132</v>
      </c>
      <c r="L43">
        <f t="shared" si="3"/>
        <v>786</v>
      </c>
      <c r="M43">
        <f t="shared" si="4"/>
        <v>648.58677724543406</v>
      </c>
      <c r="N43">
        <f t="shared" si="5"/>
        <v>64.322504007530156</v>
      </c>
      <c r="O43">
        <f t="shared" si="6"/>
        <v>77.950229520000008</v>
      </c>
      <c r="P43">
        <f t="shared" si="7"/>
        <v>1.5419806636254481E-2</v>
      </c>
      <c r="Q43">
        <f t="shared" si="8"/>
        <v>2.1955168800500018</v>
      </c>
      <c r="R43">
        <f t="shared" si="9"/>
        <v>1.5359893413499309E-2</v>
      </c>
      <c r="S43">
        <f t="shared" si="10"/>
        <v>9.6052968668334255E-3</v>
      </c>
      <c r="T43">
        <f t="shared" si="11"/>
        <v>276.11362660088565</v>
      </c>
      <c r="U43">
        <f t="shared" si="12"/>
        <v>27.986258440451564</v>
      </c>
      <c r="V43">
        <f t="shared" si="13"/>
        <v>27.986258440451564</v>
      </c>
      <c r="W43">
        <f t="shared" si="14"/>
        <v>3.7918007497447359</v>
      </c>
      <c r="X43">
        <f t="shared" si="15"/>
        <v>30.381884399100191</v>
      </c>
      <c r="Y43">
        <f t="shared" si="16"/>
        <v>1.0257397314280001</v>
      </c>
      <c r="Z43">
        <f t="shared" si="17"/>
        <v>3.376155731335674</v>
      </c>
      <c r="AA43">
        <f t="shared" si="18"/>
        <v>2.7660610183167358</v>
      </c>
      <c r="AB43">
        <f t="shared" si="19"/>
        <v>-19.362983150644176</v>
      </c>
      <c r="AC43">
        <f t="shared" si="20"/>
        <v>-233.97843171071358</v>
      </c>
      <c r="AD43">
        <f t="shared" si="21"/>
        <v>-22.999030053772813</v>
      </c>
      <c r="AE43">
        <f t="shared" si="22"/>
        <v>-0.22681831424489474</v>
      </c>
      <c r="AF43">
        <v>0</v>
      </c>
      <c r="AG43">
        <v>0</v>
      </c>
      <c r="AH43">
        <f t="shared" si="23"/>
        <v>1</v>
      </c>
      <c r="AI43">
        <f t="shared" si="24"/>
        <v>0</v>
      </c>
      <c r="AJ43">
        <f t="shared" si="25"/>
        <v>52617.149216388054</v>
      </c>
      <c r="AK43">
        <f t="shared" si="26"/>
        <v>1799.99</v>
      </c>
      <c r="AL43">
        <f t="shared" si="27"/>
        <v>1499.1033170019698</v>
      </c>
      <c r="AM43">
        <f t="shared" si="28"/>
        <v>0.83283980299999993</v>
      </c>
      <c r="AN43">
        <f t="shared" si="29"/>
        <v>0.15339731142999999</v>
      </c>
      <c r="AO43">
        <v>31.2</v>
      </c>
      <c r="AP43">
        <v>0.5</v>
      </c>
      <c r="AQ43" t="s">
        <v>331</v>
      </c>
      <c r="AR43">
        <v>2</v>
      </c>
      <c r="AS43">
        <v>1690221315</v>
      </c>
      <c r="AT43">
        <v>786</v>
      </c>
      <c r="AU43">
        <v>800.03399999999999</v>
      </c>
      <c r="AV43">
        <v>10.3429</v>
      </c>
      <c r="AW43">
        <v>5.8259400000000001</v>
      </c>
      <c r="AX43">
        <v>786.48400000000004</v>
      </c>
      <c r="AY43">
        <v>10.394600000000001</v>
      </c>
      <c r="AZ43">
        <v>300.142</v>
      </c>
      <c r="BA43">
        <v>99.073300000000003</v>
      </c>
      <c r="BB43">
        <v>0.10002</v>
      </c>
      <c r="BC43">
        <v>26.009499999999999</v>
      </c>
      <c r="BD43">
        <v>26.944800000000001</v>
      </c>
      <c r="BE43">
        <v>27.720199999999998</v>
      </c>
      <c r="BF43">
        <v>0</v>
      </c>
      <c r="BG43">
        <v>0</v>
      </c>
      <c r="BH43">
        <v>10011.200000000001</v>
      </c>
      <c r="BI43">
        <v>1071.1400000000001</v>
      </c>
      <c r="BJ43">
        <v>1.4016500000000001</v>
      </c>
      <c r="BK43">
        <v>-14.0334</v>
      </c>
      <c r="BL43">
        <v>794.21500000000003</v>
      </c>
      <c r="BM43">
        <v>804.72199999999998</v>
      </c>
      <c r="BN43">
        <v>4.51701</v>
      </c>
      <c r="BO43">
        <v>800.03399999999999</v>
      </c>
      <c r="BP43">
        <v>5.8259400000000001</v>
      </c>
      <c r="BQ43">
        <v>1.02471</v>
      </c>
      <c r="BR43">
        <v>0.57719500000000001</v>
      </c>
      <c r="BS43">
        <v>7.2725299999999997</v>
      </c>
      <c r="BT43">
        <v>-0.84028099999999994</v>
      </c>
      <c r="BU43">
        <v>1799.99</v>
      </c>
      <c r="BV43">
        <v>0.91</v>
      </c>
      <c r="BW43">
        <v>3.40016E-2</v>
      </c>
      <c r="BX43">
        <v>2.1998400000000001E-2</v>
      </c>
      <c r="BY43">
        <v>3.4000099999999998E-2</v>
      </c>
      <c r="BZ43">
        <v>25.666699999999999</v>
      </c>
      <c r="CA43">
        <v>33528.300000000003</v>
      </c>
      <c r="CB43">
        <v>1690220522.5999999</v>
      </c>
      <c r="CC43" t="s">
        <v>332</v>
      </c>
      <c r="CD43">
        <v>1690220522.5999999</v>
      </c>
      <c r="CE43">
        <v>1690220510.5999999</v>
      </c>
      <c r="CF43">
        <v>10</v>
      </c>
      <c r="CG43">
        <v>-0.22</v>
      </c>
      <c r="CH43">
        <v>-2.7E-2</v>
      </c>
      <c r="CI43">
        <v>-0.49299999999999999</v>
      </c>
      <c r="CJ43">
        <v>0.152</v>
      </c>
      <c r="CK43">
        <v>800</v>
      </c>
      <c r="CL43">
        <v>19</v>
      </c>
      <c r="CM43">
        <v>0.1</v>
      </c>
      <c r="CN43">
        <v>0.03</v>
      </c>
      <c r="CO43">
        <v>-12.925857499999999</v>
      </c>
      <c r="CP43">
        <v>-5.9156544090056107</v>
      </c>
      <c r="CQ43">
        <v>0.56999905170425502</v>
      </c>
      <c r="CR43">
        <v>-1</v>
      </c>
      <c r="CS43">
        <v>4.4856059999999998</v>
      </c>
      <c r="CT43">
        <v>0.16188923076923339</v>
      </c>
      <c r="CU43">
        <v>1.5613339777254509E-2</v>
      </c>
      <c r="CV43">
        <v>-1</v>
      </c>
      <c r="CW43">
        <v>0</v>
      </c>
      <c r="CX43">
        <v>0</v>
      </c>
      <c r="CY43" t="s">
        <v>333</v>
      </c>
      <c r="CZ43">
        <v>2.3641200000000002</v>
      </c>
      <c r="DA43">
        <v>2.7138200000000001</v>
      </c>
      <c r="DB43">
        <v>0.14476800000000001</v>
      </c>
      <c r="DC43">
        <v>0.14604200000000001</v>
      </c>
      <c r="DD43">
        <v>6.1890100000000003E-2</v>
      </c>
      <c r="DE43">
        <v>3.8498699999999997E-2</v>
      </c>
      <c r="DF43">
        <v>31217.8</v>
      </c>
      <c r="DG43">
        <v>27507.9</v>
      </c>
      <c r="DH43">
        <v>31163.4</v>
      </c>
      <c r="DI43">
        <v>28069.7</v>
      </c>
      <c r="DJ43">
        <v>39707.800000000003</v>
      </c>
      <c r="DK43">
        <v>38381.199999999997</v>
      </c>
      <c r="DL43">
        <v>44347.5</v>
      </c>
      <c r="DM43">
        <v>42544.5</v>
      </c>
      <c r="DN43">
        <v>1.47312</v>
      </c>
      <c r="DO43">
        <v>2.0299200000000002</v>
      </c>
      <c r="DP43">
        <v>9.2204700000000001E-2</v>
      </c>
      <c r="DQ43">
        <v>0.156276</v>
      </c>
      <c r="DR43">
        <v>25.434999999999999</v>
      </c>
      <c r="DS43">
        <v>25.162199999999999</v>
      </c>
      <c r="DT43">
        <v>21.1</v>
      </c>
      <c r="DU43">
        <v>29.5</v>
      </c>
      <c r="DV43">
        <v>8.8162199999999995</v>
      </c>
      <c r="DW43">
        <v>61.914200000000001</v>
      </c>
      <c r="DX43">
        <v>36.125799999999998</v>
      </c>
      <c r="DY43">
        <v>1</v>
      </c>
      <c r="DZ43">
        <v>-6.9448700000000002E-2</v>
      </c>
      <c r="EA43">
        <v>1.6926000000000001</v>
      </c>
      <c r="EB43">
        <v>20.1797</v>
      </c>
      <c r="EC43">
        <v>5.2404999999999999</v>
      </c>
      <c r="ED43">
        <v>12.039899999999999</v>
      </c>
      <c r="EE43">
        <v>5.0167999999999999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1.8689199999999999</v>
      </c>
      <c r="EL43">
        <v>1.86463</v>
      </c>
      <c r="EM43">
        <v>1.8691899999999999</v>
      </c>
      <c r="EN43">
        <v>1.8672200000000001</v>
      </c>
      <c r="EO43">
        <v>1.8633999999999999</v>
      </c>
      <c r="EP43">
        <v>1.8645400000000001</v>
      </c>
      <c r="EQ43">
        <v>1.87016</v>
      </c>
      <c r="ER43">
        <v>1.8694500000000001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-0.48399999999999999</v>
      </c>
      <c r="FG43">
        <v>-5.1700000000000003E-2</v>
      </c>
      <c r="FH43">
        <v>5.8509882529719233E-2</v>
      </c>
      <c r="FI43">
        <v>-6.1462078757559423E-4</v>
      </c>
      <c r="FJ43">
        <v>-1.8861989874597051E-7</v>
      </c>
      <c r="FK43">
        <v>1.1980462299894961E-10</v>
      </c>
      <c r="FL43">
        <v>-5.9863424041980147E-2</v>
      </c>
      <c r="FM43">
        <v>-1.6848085045870601E-2</v>
      </c>
      <c r="FN43">
        <v>1.9789084769509481E-3</v>
      </c>
      <c r="FO43">
        <v>-2.7142391389806329E-5</v>
      </c>
      <c r="FP43">
        <v>3</v>
      </c>
      <c r="FQ43">
        <v>2158</v>
      </c>
      <c r="FR43">
        <v>1</v>
      </c>
      <c r="FS43">
        <v>19</v>
      </c>
      <c r="FT43">
        <v>13.2</v>
      </c>
      <c r="FU43">
        <v>13.4</v>
      </c>
      <c r="FV43">
        <v>1.7773399999999999</v>
      </c>
      <c r="FW43">
        <v>2.5793499999999998</v>
      </c>
      <c r="FX43">
        <v>1.5490699999999999</v>
      </c>
      <c r="FY43">
        <v>2.3290999999999999</v>
      </c>
      <c r="FZ43">
        <v>1.50146</v>
      </c>
      <c r="GA43">
        <v>2.3840300000000001</v>
      </c>
      <c r="GB43">
        <v>33.896099999999997</v>
      </c>
      <c r="GC43">
        <v>23.982399999999998</v>
      </c>
      <c r="GD43">
        <v>19</v>
      </c>
      <c r="GE43">
        <v>282.30799999999999</v>
      </c>
      <c r="GF43">
        <v>579.202</v>
      </c>
      <c r="GG43">
        <v>22.213100000000001</v>
      </c>
      <c r="GH43">
        <v>26.5367</v>
      </c>
      <c r="GI43">
        <v>30</v>
      </c>
      <c r="GJ43">
        <v>26.519200000000001</v>
      </c>
      <c r="GK43">
        <v>26.4587</v>
      </c>
      <c r="GL43">
        <v>35.540500000000002</v>
      </c>
      <c r="GM43">
        <v>-30</v>
      </c>
      <c r="GN43">
        <v>-30</v>
      </c>
      <c r="GO43">
        <v>22.2743</v>
      </c>
      <c r="GP43">
        <v>800</v>
      </c>
      <c r="GQ43">
        <v>18.0809</v>
      </c>
      <c r="GR43">
        <v>99.708299999999994</v>
      </c>
      <c r="GS43">
        <v>99.525899999999993</v>
      </c>
    </row>
    <row r="44" spans="1:201" x14ac:dyDescent="0.25">
      <c r="A44">
        <v>28</v>
      </c>
      <c r="B44">
        <v>1690221325</v>
      </c>
      <c r="C44">
        <v>442.5</v>
      </c>
      <c r="D44" t="s">
        <v>387</v>
      </c>
      <c r="E44" t="s">
        <v>388</v>
      </c>
      <c r="F44" t="s">
        <v>330</v>
      </c>
      <c r="H44">
        <v>1690221325</v>
      </c>
      <c r="I44">
        <f t="shared" si="0"/>
        <v>4.4303500446767958E-4</v>
      </c>
      <c r="J44">
        <f t="shared" si="1"/>
        <v>0.44303500446767957</v>
      </c>
      <c r="K44">
        <f t="shared" si="2"/>
        <v>1.1053230319705616</v>
      </c>
      <c r="L44">
        <f t="shared" si="3"/>
        <v>784.88599999999997</v>
      </c>
      <c r="M44">
        <f t="shared" si="4"/>
        <v>638.76955855185315</v>
      </c>
      <c r="N44">
        <f t="shared" si="5"/>
        <v>63.349212749914038</v>
      </c>
      <c r="O44">
        <f t="shared" si="6"/>
        <v>77.840137390318006</v>
      </c>
      <c r="P44">
        <f t="shared" si="7"/>
        <v>1.5609319771588135E-2</v>
      </c>
      <c r="Q44">
        <f t="shared" si="8"/>
        <v>2.1976822059239849</v>
      </c>
      <c r="R44">
        <f t="shared" si="9"/>
        <v>1.5547988199323071E-2</v>
      </c>
      <c r="S44">
        <f t="shared" si="10"/>
        <v>9.722982857110294E-3</v>
      </c>
      <c r="T44">
        <f t="shared" si="11"/>
        <v>276.11190317987638</v>
      </c>
      <c r="U44">
        <f t="shared" si="12"/>
        <v>27.9630603201248</v>
      </c>
      <c r="V44">
        <f t="shared" si="13"/>
        <v>27.9630603201248</v>
      </c>
      <c r="W44">
        <f t="shared" si="14"/>
        <v>3.7866753301158989</v>
      </c>
      <c r="X44">
        <f t="shared" si="15"/>
        <v>30.525538485730873</v>
      </c>
      <c r="Y44">
        <f t="shared" si="16"/>
        <v>1.0293646746522003</v>
      </c>
      <c r="Z44">
        <f t="shared" si="17"/>
        <v>3.372142559035856</v>
      </c>
      <c r="AA44">
        <f t="shared" si="18"/>
        <v>2.7573106554636988</v>
      </c>
      <c r="AB44">
        <f t="shared" si="19"/>
        <v>-19.53784369702467</v>
      </c>
      <c r="AC44">
        <f t="shared" si="20"/>
        <v>-233.84212288951676</v>
      </c>
      <c r="AD44">
        <f t="shared" si="21"/>
        <v>-22.958012601334456</v>
      </c>
      <c r="AE44">
        <f t="shared" si="22"/>
        <v>-0.22607600799949523</v>
      </c>
      <c r="AF44">
        <v>0</v>
      </c>
      <c r="AG44">
        <v>0</v>
      </c>
      <c r="AH44">
        <f t="shared" si="23"/>
        <v>1</v>
      </c>
      <c r="AI44">
        <f t="shared" si="24"/>
        <v>0</v>
      </c>
      <c r="AJ44">
        <f t="shared" si="25"/>
        <v>52709.632498775121</v>
      </c>
      <c r="AK44">
        <f t="shared" si="26"/>
        <v>1799.98</v>
      </c>
      <c r="AL44">
        <f t="shared" si="27"/>
        <v>1499.09489860494</v>
      </c>
      <c r="AM44">
        <f t="shared" si="28"/>
        <v>0.83283975300000002</v>
      </c>
      <c r="AN44">
        <f t="shared" si="29"/>
        <v>0.15339720618</v>
      </c>
      <c r="AO44">
        <v>31.2</v>
      </c>
      <c r="AP44">
        <v>0.5</v>
      </c>
      <c r="AQ44" t="s">
        <v>331</v>
      </c>
      <c r="AR44">
        <v>2</v>
      </c>
      <c r="AS44">
        <v>1690221325</v>
      </c>
      <c r="AT44">
        <v>784.88599999999997</v>
      </c>
      <c r="AU44">
        <v>799.98699999999997</v>
      </c>
      <c r="AV44">
        <v>10.3794</v>
      </c>
      <c r="AW44">
        <v>5.8229100000000003</v>
      </c>
      <c r="AX44">
        <v>785.36900000000003</v>
      </c>
      <c r="AY44">
        <v>10.4305</v>
      </c>
      <c r="AZ44">
        <v>300.214</v>
      </c>
      <c r="BA44">
        <v>99.073800000000006</v>
      </c>
      <c r="BB44">
        <v>0.100013</v>
      </c>
      <c r="BC44">
        <v>25.9894</v>
      </c>
      <c r="BD44">
        <v>26.9072</v>
      </c>
      <c r="BE44">
        <v>27.6843</v>
      </c>
      <c r="BF44">
        <v>0</v>
      </c>
      <c r="BG44">
        <v>0</v>
      </c>
      <c r="BH44">
        <v>10028.799999999999</v>
      </c>
      <c r="BI44">
        <v>1070.71</v>
      </c>
      <c r="BJ44">
        <v>1.38764</v>
      </c>
      <c r="BK44">
        <v>-15.1008</v>
      </c>
      <c r="BL44">
        <v>793.11800000000005</v>
      </c>
      <c r="BM44">
        <v>804.673</v>
      </c>
      <c r="BN44">
        <v>4.5564999999999998</v>
      </c>
      <c r="BO44">
        <v>799.98699999999997</v>
      </c>
      <c r="BP44">
        <v>5.8229100000000003</v>
      </c>
      <c r="BQ44">
        <v>1.02833</v>
      </c>
      <c r="BR44">
        <v>0.57689800000000002</v>
      </c>
      <c r="BS44">
        <v>7.3240400000000001</v>
      </c>
      <c r="BT44">
        <v>-0.84731699999999999</v>
      </c>
      <c r="BU44">
        <v>1799.98</v>
      </c>
      <c r="BV44">
        <v>0.91000199999999998</v>
      </c>
      <c r="BW44">
        <v>3.40062E-2</v>
      </c>
      <c r="BX44">
        <v>2.1995899999999999E-2</v>
      </c>
      <c r="BY44">
        <v>3.3996400000000003E-2</v>
      </c>
      <c r="BZ44">
        <v>25.666699999999999</v>
      </c>
      <c r="CA44">
        <v>33528.1</v>
      </c>
      <c r="CB44">
        <v>1690220522.5999999</v>
      </c>
      <c r="CC44" t="s">
        <v>332</v>
      </c>
      <c r="CD44">
        <v>1690220522.5999999</v>
      </c>
      <c r="CE44">
        <v>1690220510.5999999</v>
      </c>
      <c r="CF44">
        <v>10</v>
      </c>
      <c r="CG44">
        <v>-0.22</v>
      </c>
      <c r="CH44">
        <v>-2.7E-2</v>
      </c>
      <c r="CI44">
        <v>-0.49299999999999999</v>
      </c>
      <c r="CJ44">
        <v>0.152</v>
      </c>
      <c r="CK44">
        <v>800</v>
      </c>
      <c r="CL44">
        <v>19</v>
      </c>
      <c r="CM44">
        <v>0.1</v>
      </c>
      <c r="CN44">
        <v>0.03</v>
      </c>
      <c r="CO44">
        <v>-13.871875609756099</v>
      </c>
      <c r="CP44">
        <v>-6.1835205574912981</v>
      </c>
      <c r="CQ44">
        <v>0.6112330008731004</v>
      </c>
      <c r="CR44">
        <v>-1</v>
      </c>
      <c r="CS44">
        <v>4.5135417073170716</v>
      </c>
      <c r="CT44">
        <v>0.1980813240418261</v>
      </c>
      <c r="CU44">
        <v>1.9593357622896719E-2</v>
      </c>
      <c r="CV44">
        <v>-1</v>
      </c>
      <c r="CW44">
        <v>0</v>
      </c>
      <c r="CX44">
        <v>0</v>
      </c>
      <c r="CY44" t="s">
        <v>333</v>
      </c>
      <c r="CZ44">
        <v>2.36436</v>
      </c>
      <c r="DA44">
        <v>2.7138300000000002</v>
      </c>
      <c r="DB44">
        <v>0.14463000000000001</v>
      </c>
      <c r="DC44">
        <v>0.146035</v>
      </c>
      <c r="DD44">
        <v>6.2054400000000003E-2</v>
      </c>
      <c r="DE44">
        <v>3.8481899999999999E-2</v>
      </c>
      <c r="DF44">
        <v>31222.3</v>
      </c>
      <c r="DG44">
        <v>27508.3</v>
      </c>
      <c r="DH44">
        <v>31162.799999999999</v>
      </c>
      <c r="DI44">
        <v>28070</v>
      </c>
      <c r="DJ44">
        <v>39700</v>
      </c>
      <c r="DK44">
        <v>38381.9</v>
      </c>
      <c r="DL44">
        <v>44346.6</v>
      </c>
      <c r="DM44">
        <v>42544.5</v>
      </c>
      <c r="DN44">
        <v>1.4735499999999999</v>
      </c>
      <c r="DO44">
        <v>2.0299499999999999</v>
      </c>
      <c r="DP44">
        <v>9.1079599999999997E-2</v>
      </c>
      <c r="DQ44">
        <v>0.15510599999999999</v>
      </c>
      <c r="DR44">
        <v>25.415700000000001</v>
      </c>
      <c r="DS44">
        <v>25.145199999999999</v>
      </c>
      <c r="DT44">
        <v>21</v>
      </c>
      <c r="DU44">
        <v>29.5</v>
      </c>
      <c r="DV44">
        <v>8.7747899999999994</v>
      </c>
      <c r="DW44">
        <v>61.514200000000002</v>
      </c>
      <c r="DX44">
        <v>36.073700000000002</v>
      </c>
      <c r="DY44">
        <v>1</v>
      </c>
      <c r="DZ44">
        <v>-6.9192100000000006E-2</v>
      </c>
      <c r="EA44">
        <v>1.50081</v>
      </c>
      <c r="EB44">
        <v>20.181799999999999</v>
      </c>
      <c r="EC44">
        <v>5.2411000000000003</v>
      </c>
      <c r="ED44">
        <v>12.039899999999999</v>
      </c>
      <c r="EE44">
        <v>5.0170500000000002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1.86894</v>
      </c>
      <c r="EL44">
        <v>1.8646400000000001</v>
      </c>
      <c r="EM44">
        <v>1.8691899999999999</v>
      </c>
      <c r="EN44">
        <v>1.8672500000000001</v>
      </c>
      <c r="EO44">
        <v>1.8633999999999999</v>
      </c>
      <c r="EP44">
        <v>1.86456</v>
      </c>
      <c r="EQ44">
        <v>1.8702399999999999</v>
      </c>
      <c r="ER44">
        <v>1.8694900000000001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-0.48299999999999998</v>
      </c>
      <c r="FG44">
        <v>-5.11E-2</v>
      </c>
      <c r="FH44">
        <v>5.8509882529719233E-2</v>
      </c>
      <c r="FI44">
        <v>-6.1462078757559423E-4</v>
      </c>
      <c r="FJ44">
        <v>-1.8861989874597051E-7</v>
      </c>
      <c r="FK44">
        <v>1.1980462299894961E-10</v>
      </c>
      <c r="FL44">
        <v>-5.9863424041980147E-2</v>
      </c>
      <c r="FM44">
        <v>-1.6848085045870601E-2</v>
      </c>
      <c r="FN44">
        <v>1.9789084769509481E-3</v>
      </c>
      <c r="FO44">
        <v>-2.7142391389806329E-5</v>
      </c>
      <c r="FP44">
        <v>3</v>
      </c>
      <c r="FQ44">
        <v>2158</v>
      </c>
      <c r="FR44">
        <v>1</v>
      </c>
      <c r="FS44">
        <v>19</v>
      </c>
      <c r="FT44">
        <v>13.4</v>
      </c>
      <c r="FU44">
        <v>13.6</v>
      </c>
      <c r="FV44">
        <v>1.7773399999999999</v>
      </c>
      <c r="FW44">
        <v>2.5744600000000002</v>
      </c>
      <c r="FX44">
        <v>1.5490699999999999</v>
      </c>
      <c r="FY44">
        <v>2.3290999999999999</v>
      </c>
      <c r="FZ44">
        <v>1.50146</v>
      </c>
      <c r="GA44">
        <v>2.3999000000000001</v>
      </c>
      <c r="GB44">
        <v>33.8735</v>
      </c>
      <c r="GC44">
        <v>23.982399999999998</v>
      </c>
      <c r="GD44">
        <v>19</v>
      </c>
      <c r="GE44">
        <v>282.51600000000002</v>
      </c>
      <c r="GF44">
        <v>579.29100000000005</v>
      </c>
      <c r="GG44">
        <v>22.287600000000001</v>
      </c>
      <c r="GH44">
        <v>26.538399999999999</v>
      </c>
      <c r="GI44">
        <v>30.000299999999999</v>
      </c>
      <c r="GJ44">
        <v>26.525400000000001</v>
      </c>
      <c r="GK44">
        <v>26.4648</v>
      </c>
      <c r="GL44">
        <v>35.537999999999997</v>
      </c>
      <c r="GM44">
        <v>-30</v>
      </c>
      <c r="GN44">
        <v>-30</v>
      </c>
      <c r="GO44">
        <v>22.3459</v>
      </c>
      <c r="GP44">
        <v>800</v>
      </c>
      <c r="GQ44">
        <v>18.0809</v>
      </c>
      <c r="GR44">
        <v>99.706500000000005</v>
      </c>
      <c r="GS44">
        <v>99.526200000000003</v>
      </c>
    </row>
    <row r="45" spans="1:201" x14ac:dyDescent="0.25">
      <c r="A45">
        <v>29</v>
      </c>
      <c r="B45">
        <v>1690221335</v>
      </c>
      <c r="C45">
        <v>452.5</v>
      </c>
      <c r="D45" t="s">
        <v>389</v>
      </c>
      <c r="E45" t="s">
        <v>390</v>
      </c>
      <c r="F45" t="s">
        <v>330</v>
      </c>
      <c r="H45">
        <v>1690221335</v>
      </c>
      <c r="I45">
        <f t="shared" si="0"/>
        <v>4.4731888270713426E-4</v>
      </c>
      <c r="J45">
        <f t="shared" si="1"/>
        <v>0.44731888270713427</v>
      </c>
      <c r="K45">
        <f t="shared" si="2"/>
        <v>1.2191063925636447</v>
      </c>
      <c r="L45">
        <f t="shared" si="3"/>
        <v>783.71900000000005</v>
      </c>
      <c r="M45">
        <f t="shared" si="4"/>
        <v>627.7679370412942</v>
      </c>
      <c r="N45">
        <f t="shared" si="5"/>
        <v>62.258309743979261</v>
      </c>
      <c r="O45">
        <f t="shared" si="6"/>
        <v>77.724613468164605</v>
      </c>
      <c r="P45">
        <f t="shared" si="7"/>
        <v>1.5800273865813574E-2</v>
      </c>
      <c r="Q45">
        <f t="shared" si="8"/>
        <v>2.1989112261076751</v>
      </c>
      <c r="R45">
        <f t="shared" si="9"/>
        <v>1.5737470766782148E-2</v>
      </c>
      <c r="S45">
        <f t="shared" si="10"/>
        <v>9.8415409504875005E-3</v>
      </c>
      <c r="T45">
        <f t="shared" si="11"/>
        <v>276.11288624699881</v>
      </c>
      <c r="U45">
        <f t="shared" si="12"/>
        <v>27.950727286486529</v>
      </c>
      <c r="V45">
        <f t="shared" si="13"/>
        <v>27.950727286486529</v>
      </c>
      <c r="W45">
        <f t="shared" si="14"/>
        <v>3.783952917124179</v>
      </c>
      <c r="X45">
        <f t="shared" si="15"/>
        <v>30.666516488702701</v>
      </c>
      <c r="Y45">
        <f t="shared" si="16"/>
        <v>1.0335129579280802</v>
      </c>
      <c r="Z45">
        <f t="shared" si="17"/>
        <v>3.3701674538378628</v>
      </c>
      <c r="AA45">
        <f t="shared" si="18"/>
        <v>2.7504399591960986</v>
      </c>
      <c r="AB45">
        <f t="shared" si="19"/>
        <v>-19.726762727384621</v>
      </c>
      <c r="AC45">
        <f t="shared" si="20"/>
        <v>-233.68446497587689</v>
      </c>
      <c r="AD45">
        <f t="shared" si="21"/>
        <v>-22.9271613804715</v>
      </c>
      <c r="AE45">
        <f t="shared" si="22"/>
        <v>-0.22550283673419358</v>
      </c>
      <c r="AF45">
        <v>0</v>
      </c>
      <c r="AG45">
        <v>0</v>
      </c>
      <c r="AH45">
        <f t="shared" si="23"/>
        <v>1</v>
      </c>
      <c r="AI45">
        <f t="shared" si="24"/>
        <v>0</v>
      </c>
      <c r="AJ45">
        <f t="shared" si="25"/>
        <v>52761.90562138932</v>
      </c>
      <c r="AK45">
        <f t="shared" si="26"/>
        <v>1799.99</v>
      </c>
      <c r="AL45">
        <f t="shared" si="27"/>
        <v>1499.1038371990799</v>
      </c>
      <c r="AM45">
        <f t="shared" si="28"/>
        <v>0.83284009199999998</v>
      </c>
      <c r="AN45">
        <f t="shared" si="29"/>
        <v>0.15339690012000001</v>
      </c>
      <c r="AO45">
        <v>31.2</v>
      </c>
      <c r="AP45">
        <v>0.5</v>
      </c>
      <c r="AQ45" t="s">
        <v>331</v>
      </c>
      <c r="AR45">
        <v>2</v>
      </c>
      <c r="AS45">
        <v>1690221335</v>
      </c>
      <c r="AT45">
        <v>783.71900000000005</v>
      </c>
      <c r="AU45">
        <v>800.03300000000002</v>
      </c>
      <c r="AV45">
        <v>10.421200000000001</v>
      </c>
      <c r="AW45">
        <v>5.82057</v>
      </c>
      <c r="AX45">
        <v>784.2</v>
      </c>
      <c r="AY45">
        <v>10.4716</v>
      </c>
      <c r="AZ45">
        <v>300.19600000000003</v>
      </c>
      <c r="BA45">
        <v>99.074100000000001</v>
      </c>
      <c r="BB45">
        <v>9.99834E-2</v>
      </c>
      <c r="BC45">
        <v>25.979500000000002</v>
      </c>
      <c r="BD45">
        <v>26.921500000000002</v>
      </c>
      <c r="BE45">
        <v>27.6708</v>
      </c>
      <c r="BF45">
        <v>0</v>
      </c>
      <c r="BG45">
        <v>0</v>
      </c>
      <c r="BH45">
        <v>10038.799999999999</v>
      </c>
      <c r="BI45">
        <v>1070.3599999999999</v>
      </c>
      <c r="BJ45">
        <v>1.4969699999999999</v>
      </c>
      <c r="BK45">
        <v>-16.3139</v>
      </c>
      <c r="BL45">
        <v>791.97199999999998</v>
      </c>
      <c r="BM45">
        <v>804.71600000000001</v>
      </c>
      <c r="BN45">
        <v>4.6005900000000004</v>
      </c>
      <c r="BO45">
        <v>800.03300000000002</v>
      </c>
      <c r="BP45">
        <v>5.82057</v>
      </c>
      <c r="BQ45">
        <v>1.03247</v>
      </c>
      <c r="BR45">
        <v>0.57666799999999996</v>
      </c>
      <c r="BS45">
        <v>7.38279</v>
      </c>
      <c r="BT45">
        <v>-0.85277099999999995</v>
      </c>
      <c r="BU45">
        <v>1799.99</v>
      </c>
      <c r="BV45">
        <v>0.91001100000000001</v>
      </c>
      <c r="BW45">
        <v>3.4002600000000001E-2</v>
      </c>
      <c r="BX45">
        <v>2.1993599999999999E-2</v>
      </c>
      <c r="BY45">
        <v>3.3992799999999997E-2</v>
      </c>
      <c r="BZ45">
        <v>25.666699999999999</v>
      </c>
      <c r="CA45">
        <v>33528.199999999997</v>
      </c>
      <c r="CB45">
        <v>1690220522.5999999</v>
      </c>
      <c r="CC45" t="s">
        <v>332</v>
      </c>
      <c r="CD45">
        <v>1690220522.5999999</v>
      </c>
      <c r="CE45">
        <v>1690220510.5999999</v>
      </c>
      <c r="CF45">
        <v>10</v>
      </c>
      <c r="CG45">
        <v>-0.22</v>
      </c>
      <c r="CH45">
        <v>-2.7E-2</v>
      </c>
      <c r="CI45">
        <v>-0.49299999999999999</v>
      </c>
      <c r="CJ45">
        <v>0.152</v>
      </c>
      <c r="CK45">
        <v>800</v>
      </c>
      <c r="CL45">
        <v>19</v>
      </c>
      <c r="CM45">
        <v>0.1</v>
      </c>
      <c r="CN45">
        <v>0.03</v>
      </c>
      <c r="CO45">
        <v>-14.956246341463419</v>
      </c>
      <c r="CP45">
        <v>-6.5592794425087293</v>
      </c>
      <c r="CQ45">
        <v>0.64794303991509938</v>
      </c>
      <c r="CR45">
        <v>-1</v>
      </c>
      <c r="CS45">
        <v>4.5509431707317072</v>
      </c>
      <c r="CT45">
        <v>0.25000473867596318</v>
      </c>
      <c r="CU45">
        <v>2.4670973014023111E-2</v>
      </c>
      <c r="CV45">
        <v>-1</v>
      </c>
      <c r="CW45">
        <v>0</v>
      </c>
      <c r="CX45">
        <v>0</v>
      </c>
      <c r="CY45" t="s">
        <v>333</v>
      </c>
      <c r="CZ45">
        <v>2.3642799999999999</v>
      </c>
      <c r="DA45">
        <v>2.7138100000000001</v>
      </c>
      <c r="DB45">
        <v>0.144485</v>
      </c>
      <c r="DC45">
        <v>0.14604</v>
      </c>
      <c r="DD45">
        <v>6.2242499999999999E-2</v>
      </c>
      <c r="DE45">
        <v>3.8468700000000002E-2</v>
      </c>
      <c r="DF45">
        <v>31227.200000000001</v>
      </c>
      <c r="DG45">
        <v>27507.599999999999</v>
      </c>
      <c r="DH45">
        <v>31162.5</v>
      </c>
      <c r="DI45">
        <v>28069.4</v>
      </c>
      <c r="DJ45">
        <v>39691.599999999999</v>
      </c>
      <c r="DK45">
        <v>38381.9</v>
      </c>
      <c r="DL45">
        <v>44346.3</v>
      </c>
      <c r="DM45">
        <v>42543.9</v>
      </c>
      <c r="DN45">
        <v>1.4734</v>
      </c>
      <c r="DO45">
        <v>2.0297800000000001</v>
      </c>
      <c r="DP45">
        <v>9.3162099999999998E-2</v>
      </c>
      <c r="DQ45">
        <v>0.15531900000000001</v>
      </c>
      <c r="DR45">
        <v>25.395900000000001</v>
      </c>
      <c r="DS45">
        <v>25.128299999999999</v>
      </c>
      <c r="DT45">
        <v>20.9</v>
      </c>
      <c r="DU45">
        <v>29.5</v>
      </c>
      <c r="DV45">
        <v>8.7324599999999997</v>
      </c>
      <c r="DW45">
        <v>61.294199999999996</v>
      </c>
      <c r="DX45">
        <v>36.161900000000003</v>
      </c>
      <c r="DY45">
        <v>1</v>
      </c>
      <c r="DZ45">
        <v>-6.9296200000000002E-2</v>
      </c>
      <c r="EA45">
        <v>1.3049299999999999</v>
      </c>
      <c r="EB45">
        <v>20.183800000000002</v>
      </c>
      <c r="EC45">
        <v>5.2409499999999998</v>
      </c>
      <c r="ED45">
        <v>12.039899999999999</v>
      </c>
      <c r="EE45">
        <v>5.0167999999999999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1.86894</v>
      </c>
      <c r="EL45">
        <v>1.86463</v>
      </c>
      <c r="EM45">
        <v>1.8692</v>
      </c>
      <c r="EN45">
        <v>1.86724</v>
      </c>
      <c r="EO45">
        <v>1.8633999999999999</v>
      </c>
      <c r="EP45">
        <v>1.8645799999999999</v>
      </c>
      <c r="EQ45">
        <v>1.87019</v>
      </c>
      <c r="ER45">
        <v>1.86947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-0.48099999999999998</v>
      </c>
      <c r="FG45">
        <v>-5.04E-2</v>
      </c>
      <c r="FH45">
        <v>5.8509882529719233E-2</v>
      </c>
      <c r="FI45">
        <v>-6.1462078757559423E-4</v>
      </c>
      <c r="FJ45">
        <v>-1.8861989874597051E-7</v>
      </c>
      <c r="FK45">
        <v>1.1980462299894961E-10</v>
      </c>
      <c r="FL45">
        <v>-5.9863424041980147E-2</v>
      </c>
      <c r="FM45">
        <v>-1.6848085045870601E-2</v>
      </c>
      <c r="FN45">
        <v>1.9789084769509481E-3</v>
      </c>
      <c r="FO45">
        <v>-2.7142391389806329E-5</v>
      </c>
      <c r="FP45">
        <v>3</v>
      </c>
      <c r="FQ45">
        <v>2158</v>
      </c>
      <c r="FR45">
        <v>1</v>
      </c>
      <c r="FS45">
        <v>19</v>
      </c>
      <c r="FT45">
        <v>13.5</v>
      </c>
      <c r="FU45">
        <v>13.7</v>
      </c>
      <c r="FV45">
        <v>1.7773399999999999</v>
      </c>
      <c r="FW45">
        <v>2.5793499999999998</v>
      </c>
      <c r="FX45">
        <v>1.5490699999999999</v>
      </c>
      <c r="FY45">
        <v>2.3290999999999999</v>
      </c>
      <c r="FZ45">
        <v>1.50146</v>
      </c>
      <c r="GA45">
        <v>2.3950200000000001</v>
      </c>
      <c r="GB45">
        <v>33.896099999999997</v>
      </c>
      <c r="GC45">
        <v>23.982399999999998</v>
      </c>
      <c r="GD45">
        <v>19</v>
      </c>
      <c r="GE45">
        <v>282.47399999999999</v>
      </c>
      <c r="GF45">
        <v>579.20899999999995</v>
      </c>
      <c r="GG45">
        <v>22.385100000000001</v>
      </c>
      <c r="GH45">
        <v>26.540600000000001</v>
      </c>
      <c r="GI45">
        <v>30.0001</v>
      </c>
      <c r="GJ45">
        <v>26.5303</v>
      </c>
      <c r="GK45">
        <v>26.470300000000002</v>
      </c>
      <c r="GL45">
        <v>35.5381</v>
      </c>
      <c r="GM45">
        <v>-30</v>
      </c>
      <c r="GN45">
        <v>-30</v>
      </c>
      <c r="GO45">
        <v>22.441800000000001</v>
      </c>
      <c r="GP45">
        <v>800</v>
      </c>
      <c r="GQ45">
        <v>18.0809</v>
      </c>
      <c r="GR45">
        <v>99.705500000000001</v>
      </c>
      <c r="GS45">
        <v>99.524600000000007</v>
      </c>
    </row>
    <row r="46" spans="1:201" x14ac:dyDescent="0.25">
      <c r="A46">
        <v>30</v>
      </c>
      <c r="B46">
        <v>1690221345</v>
      </c>
      <c r="C46">
        <v>462.5</v>
      </c>
      <c r="D46" t="s">
        <v>391</v>
      </c>
      <c r="E46" t="s">
        <v>392</v>
      </c>
      <c r="F46" t="s">
        <v>330</v>
      </c>
      <c r="H46">
        <v>1690221345</v>
      </c>
      <c r="I46">
        <f t="shared" si="0"/>
        <v>4.5236322394117377E-4</v>
      </c>
      <c r="J46">
        <f t="shared" si="1"/>
        <v>0.45236322394117379</v>
      </c>
      <c r="K46">
        <f t="shared" si="2"/>
        <v>1.3288181061461064</v>
      </c>
      <c r="L46">
        <f t="shared" si="3"/>
        <v>782.48900000000003</v>
      </c>
      <c r="M46">
        <f t="shared" si="4"/>
        <v>617.42601161982293</v>
      </c>
      <c r="N46">
        <f t="shared" si="5"/>
        <v>61.23293852543955</v>
      </c>
      <c r="O46">
        <f t="shared" si="6"/>
        <v>77.602983891348501</v>
      </c>
      <c r="P46">
        <f t="shared" si="7"/>
        <v>1.6005103223535242E-2</v>
      </c>
      <c r="Q46">
        <f t="shared" si="8"/>
        <v>2.1959994630179942</v>
      </c>
      <c r="R46">
        <f t="shared" si="9"/>
        <v>1.5940579769071983E-2</v>
      </c>
      <c r="S46">
        <f t="shared" si="10"/>
        <v>9.9686377681849174E-3</v>
      </c>
      <c r="T46">
        <f t="shared" si="11"/>
        <v>276.11105479530306</v>
      </c>
      <c r="U46">
        <f t="shared" si="12"/>
        <v>27.952880156448412</v>
      </c>
      <c r="V46">
        <f t="shared" si="13"/>
        <v>27.952880156448412</v>
      </c>
      <c r="W46">
        <f t="shared" si="14"/>
        <v>3.784428021916876</v>
      </c>
      <c r="X46">
        <f t="shared" si="15"/>
        <v>30.811057200335402</v>
      </c>
      <c r="Y46">
        <f t="shared" si="16"/>
        <v>1.0384764065987999</v>
      </c>
      <c r="Z46">
        <f t="shared" si="17"/>
        <v>3.3704666472382367</v>
      </c>
      <c r="AA46">
        <f t="shared" si="18"/>
        <v>2.7459516153180763</v>
      </c>
      <c r="AB46">
        <f t="shared" si="19"/>
        <v>-19.949218175805765</v>
      </c>
      <c r="AC46">
        <f t="shared" si="20"/>
        <v>-233.4523174903203</v>
      </c>
      <c r="AD46">
        <f t="shared" si="21"/>
        <v>-22.935173951007464</v>
      </c>
      <c r="AE46">
        <f t="shared" si="22"/>
        <v>-0.22565482183046015</v>
      </c>
      <c r="AF46">
        <v>0</v>
      </c>
      <c r="AG46">
        <v>0</v>
      </c>
      <c r="AH46">
        <f t="shared" si="23"/>
        <v>1</v>
      </c>
      <c r="AI46">
        <f t="shared" si="24"/>
        <v>0</v>
      </c>
      <c r="AJ46">
        <f t="shared" si="25"/>
        <v>52642.006833413572</v>
      </c>
      <c r="AK46">
        <f t="shared" si="26"/>
        <v>1799.98</v>
      </c>
      <c r="AL46">
        <f t="shared" si="27"/>
        <v>1499.0972151792</v>
      </c>
      <c r="AM46">
        <f t="shared" si="28"/>
        <v>0.83284104000000003</v>
      </c>
      <c r="AN46">
        <f t="shared" si="29"/>
        <v>0.15339673485000002</v>
      </c>
      <c r="AO46">
        <v>31.2</v>
      </c>
      <c r="AP46">
        <v>0.5</v>
      </c>
      <c r="AQ46" t="s">
        <v>331</v>
      </c>
      <c r="AR46">
        <v>2</v>
      </c>
      <c r="AS46">
        <v>1690221345</v>
      </c>
      <c r="AT46">
        <v>782.48900000000003</v>
      </c>
      <c r="AU46">
        <v>799.98199999999997</v>
      </c>
      <c r="AV46">
        <v>10.4712</v>
      </c>
      <c r="AW46">
        <v>5.8180100000000001</v>
      </c>
      <c r="AX46">
        <v>782.97</v>
      </c>
      <c r="AY46">
        <v>10.520899999999999</v>
      </c>
      <c r="AZ46">
        <v>300.137</v>
      </c>
      <c r="BA46">
        <v>99.074600000000004</v>
      </c>
      <c r="BB46">
        <v>9.9936499999999998E-2</v>
      </c>
      <c r="BC46">
        <v>25.981000000000002</v>
      </c>
      <c r="BD46">
        <v>26.91</v>
      </c>
      <c r="BE46">
        <v>27.682099999999998</v>
      </c>
      <c r="BF46">
        <v>0</v>
      </c>
      <c r="BG46">
        <v>0</v>
      </c>
      <c r="BH46">
        <v>10015</v>
      </c>
      <c r="BI46">
        <v>1069.98</v>
      </c>
      <c r="BJ46">
        <v>1.68058</v>
      </c>
      <c r="BK46">
        <v>-17.492699999999999</v>
      </c>
      <c r="BL46">
        <v>790.76900000000001</v>
      </c>
      <c r="BM46">
        <v>804.66300000000001</v>
      </c>
      <c r="BN46">
        <v>4.6532099999999996</v>
      </c>
      <c r="BO46">
        <v>799.98199999999997</v>
      </c>
      <c r="BP46">
        <v>5.8180100000000001</v>
      </c>
      <c r="BQ46">
        <v>1.0374300000000001</v>
      </c>
      <c r="BR46">
        <v>0.57641699999999996</v>
      </c>
      <c r="BS46">
        <v>7.45296</v>
      </c>
      <c r="BT46">
        <v>-0.85871600000000003</v>
      </c>
      <c r="BU46">
        <v>1799.98</v>
      </c>
      <c r="BV46">
        <v>0.91002000000000005</v>
      </c>
      <c r="BW46">
        <v>3.3999300000000003E-2</v>
      </c>
      <c r="BX46">
        <v>2.1991500000000001E-2</v>
      </c>
      <c r="BY46">
        <v>3.3989499999999999E-2</v>
      </c>
      <c r="BZ46">
        <v>25.666699999999999</v>
      </c>
      <c r="CA46">
        <v>33528.199999999997</v>
      </c>
      <c r="CB46">
        <v>1690220522.5999999</v>
      </c>
      <c r="CC46" t="s">
        <v>332</v>
      </c>
      <c r="CD46">
        <v>1690220522.5999999</v>
      </c>
      <c r="CE46">
        <v>1690220510.5999999</v>
      </c>
      <c r="CF46">
        <v>10</v>
      </c>
      <c r="CG46">
        <v>-0.22</v>
      </c>
      <c r="CH46">
        <v>-2.7E-2</v>
      </c>
      <c r="CI46">
        <v>-0.49299999999999999</v>
      </c>
      <c r="CJ46">
        <v>0.152</v>
      </c>
      <c r="CK46">
        <v>800</v>
      </c>
      <c r="CL46">
        <v>19</v>
      </c>
      <c r="CM46">
        <v>0.1</v>
      </c>
      <c r="CN46">
        <v>0.03</v>
      </c>
      <c r="CO46">
        <v>-16.239121951219509</v>
      </c>
      <c r="CP46">
        <v>-7.1982564459930218</v>
      </c>
      <c r="CQ46">
        <v>0.71061734051463687</v>
      </c>
      <c r="CR46">
        <v>-1</v>
      </c>
      <c r="CS46">
        <v>4.6002882926829258</v>
      </c>
      <c r="CT46">
        <v>0.28731658536584531</v>
      </c>
      <c r="CU46">
        <v>2.8361542314389799E-2</v>
      </c>
      <c r="CV46">
        <v>-1</v>
      </c>
      <c r="CW46">
        <v>0</v>
      </c>
      <c r="CX46">
        <v>0</v>
      </c>
      <c r="CY46" t="s">
        <v>333</v>
      </c>
      <c r="CZ46">
        <v>2.36409</v>
      </c>
      <c r="DA46">
        <v>2.71374</v>
      </c>
      <c r="DB46">
        <v>0.14433399999999999</v>
      </c>
      <c r="DC46">
        <v>0.146032</v>
      </c>
      <c r="DD46">
        <v>6.2467799999999997E-2</v>
      </c>
      <c r="DE46">
        <v>3.84544E-2</v>
      </c>
      <c r="DF46">
        <v>31232.400000000001</v>
      </c>
      <c r="DG46">
        <v>27507.8</v>
      </c>
      <c r="DH46">
        <v>31162.2</v>
      </c>
      <c r="DI46">
        <v>28069.4</v>
      </c>
      <c r="DJ46">
        <v>39681.800000000003</v>
      </c>
      <c r="DK46">
        <v>38382.400000000001</v>
      </c>
      <c r="DL46">
        <v>44346</v>
      </c>
      <c r="DM46">
        <v>42543.8</v>
      </c>
      <c r="DN46">
        <v>1.4730300000000001</v>
      </c>
      <c r="DO46">
        <v>2.0299999999999998</v>
      </c>
      <c r="DP46">
        <v>9.3724600000000005E-2</v>
      </c>
      <c r="DQ46">
        <v>0.156976</v>
      </c>
      <c r="DR46">
        <v>25.3751</v>
      </c>
      <c r="DS46">
        <v>25.112400000000001</v>
      </c>
      <c r="DT46">
        <v>20.7</v>
      </c>
      <c r="DU46">
        <v>29.5</v>
      </c>
      <c r="DV46">
        <v>8.6499799999999993</v>
      </c>
      <c r="DW46">
        <v>61.764200000000002</v>
      </c>
      <c r="DX46">
        <v>36.494399999999999</v>
      </c>
      <c r="DY46">
        <v>1</v>
      </c>
      <c r="DZ46">
        <v>-6.9288600000000006E-2</v>
      </c>
      <c r="EA46">
        <v>1.1139699999999999</v>
      </c>
      <c r="EB46">
        <v>20.185400000000001</v>
      </c>
      <c r="EC46">
        <v>5.2404999999999999</v>
      </c>
      <c r="ED46">
        <v>12.039899999999999</v>
      </c>
      <c r="EE46">
        <v>5.01675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1.8689199999999999</v>
      </c>
      <c r="EL46">
        <v>1.8646400000000001</v>
      </c>
      <c r="EM46">
        <v>1.8691899999999999</v>
      </c>
      <c r="EN46">
        <v>1.86724</v>
      </c>
      <c r="EO46">
        <v>1.86341</v>
      </c>
      <c r="EP46">
        <v>1.8645700000000001</v>
      </c>
      <c r="EQ46">
        <v>1.87019</v>
      </c>
      <c r="ER46">
        <v>1.86951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-0.48099999999999998</v>
      </c>
      <c r="FG46">
        <v>-4.9700000000000001E-2</v>
      </c>
      <c r="FH46">
        <v>5.8509882529719233E-2</v>
      </c>
      <c r="FI46">
        <v>-6.1462078757559423E-4</v>
      </c>
      <c r="FJ46">
        <v>-1.8861989874597051E-7</v>
      </c>
      <c r="FK46">
        <v>1.1980462299894961E-10</v>
      </c>
      <c r="FL46">
        <v>-5.9863424041980147E-2</v>
      </c>
      <c r="FM46">
        <v>-1.6848085045870601E-2</v>
      </c>
      <c r="FN46">
        <v>1.9789084769509481E-3</v>
      </c>
      <c r="FO46">
        <v>-2.7142391389806329E-5</v>
      </c>
      <c r="FP46">
        <v>3</v>
      </c>
      <c r="FQ46">
        <v>2158</v>
      </c>
      <c r="FR46">
        <v>1</v>
      </c>
      <c r="FS46">
        <v>19</v>
      </c>
      <c r="FT46">
        <v>13.7</v>
      </c>
      <c r="FU46">
        <v>13.9</v>
      </c>
      <c r="FV46">
        <v>1.7773399999999999</v>
      </c>
      <c r="FW46">
        <v>2.5769000000000002</v>
      </c>
      <c r="FX46">
        <v>1.5490699999999999</v>
      </c>
      <c r="FY46">
        <v>2.3290999999999999</v>
      </c>
      <c r="FZ46">
        <v>1.50146</v>
      </c>
      <c r="GA46">
        <v>2.4011200000000001</v>
      </c>
      <c r="GB46">
        <v>33.896099999999997</v>
      </c>
      <c r="GC46">
        <v>23.973700000000001</v>
      </c>
      <c r="GD46">
        <v>19</v>
      </c>
      <c r="GE46">
        <v>282.334</v>
      </c>
      <c r="GF46">
        <v>579.45600000000002</v>
      </c>
      <c r="GG46">
        <v>22.503699999999998</v>
      </c>
      <c r="GH46">
        <v>26.540600000000001</v>
      </c>
      <c r="GI46">
        <v>30.0001</v>
      </c>
      <c r="GJ46">
        <v>26.534800000000001</v>
      </c>
      <c r="GK46">
        <v>26.475899999999999</v>
      </c>
      <c r="GL46">
        <v>35.537399999999998</v>
      </c>
      <c r="GM46">
        <v>-30</v>
      </c>
      <c r="GN46">
        <v>-30</v>
      </c>
      <c r="GO46">
        <v>22.589300000000001</v>
      </c>
      <c r="GP46">
        <v>800</v>
      </c>
      <c r="GQ46">
        <v>18.0809</v>
      </c>
      <c r="GR46">
        <v>99.704800000000006</v>
      </c>
      <c r="GS46">
        <v>99.524500000000003</v>
      </c>
    </row>
    <row r="47" spans="1:201" x14ac:dyDescent="0.25">
      <c r="A47">
        <v>31</v>
      </c>
      <c r="B47">
        <v>1690221355</v>
      </c>
      <c r="C47">
        <v>472.5</v>
      </c>
      <c r="D47" t="s">
        <v>393</v>
      </c>
      <c r="E47" t="s">
        <v>394</v>
      </c>
      <c r="F47" t="s">
        <v>330</v>
      </c>
      <c r="H47">
        <v>1690221355</v>
      </c>
      <c r="I47">
        <f t="shared" si="0"/>
        <v>4.579646538663796E-4</v>
      </c>
      <c r="J47">
        <f t="shared" si="1"/>
        <v>0.45796465386637958</v>
      </c>
      <c r="K47">
        <f t="shared" si="2"/>
        <v>1.4546767869678765</v>
      </c>
      <c r="L47">
        <f t="shared" si="3"/>
        <v>781.21100000000001</v>
      </c>
      <c r="M47">
        <f t="shared" si="4"/>
        <v>605.90536006299942</v>
      </c>
      <c r="N47">
        <f t="shared" si="5"/>
        <v>60.090278183124134</v>
      </c>
      <c r="O47">
        <f t="shared" si="6"/>
        <v>77.476103371714103</v>
      </c>
      <c r="P47">
        <f t="shared" si="7"/>
        <v>1.6232598160871203E-2</v>
      </c>
      <c r="Q47">
        <f t="shared" si="8"/>
        <v>2.1927716033591702</v>
      </c>
      <c r="R47">
        <f t="shared" si="9"/>
        <v>1.6166134253070466E-2</v>
      </c>
      <c r="S47">
        <f t="shared" si="10"/>
        <v>1.010978265992531E-2</v>
      </c>
      <c r="T47">
        <f t="shared" si="11"/>
        <v>276.11494559755789</v>
      </c>
      <c r="U47">
        <f t="shared" si="12"/>
        <v>27.955847218413368</v>
      </c>
      <c r="V47">
        <f t="shared" si="13"/>
        <v>27.955847218413368</v>
      </c>
      <c r="W47">
        <f t="shared" si="14"/>
        <v>3.7850828914663937</v>
      </c>
      <c r="X47">
        <f t="shared" si="15"/>
        <v>30.971159483309368</v>
      </c>
      <c r="Y47">
        <f t="shared" si="16"/>
        <v>1.0440085203537</v>
      </c>
      <c r="Z47">
        <f t="shared" si="17"/>
        <v>3.3709055061897999</v>
      </c>
      <c r="AA47">
        <f t="shared" si="18"/>
        <v>2.7410743711126937</v>
      </c>
      <c r="AB47">
        <f t="shared" si="19"/>
        <v>-20.19624123550734</v>
      </c>
      <c r="AC47">
        <f t="shared" si="20"/>
        <v>-233.19984971229312</v>
      </c>
      <c r="AD47">
        <f t="shared" si="21"/>
        <v>-22.944688767336935</v>
      </c>
      <c r="AE47">
        <f t="shared" si="22"/>
        <v>-0.22583411757949534</v>
      </c>
      <c r="AF47">
        <v>0</v>
      </c>
      <c r="AG47">
        <v>0</v>
      </c>
      <c r="AH47">
        <f t="shared" si="23"/>
        <v>1</v>
      </c>
      <c r="AI47">
        <f t="shared" si="24"/>
        <v>0</v>
      </c>
      <c r="AJ47">
        <f t="shared" si="25"/>
        <v>52509.174796358879</v>
      </c>
      <c r="AK47">
        <f t="shared" si="26"/>
        <v>1799.99</v>
      </c>
      <c r="AL47">
        <f t="shared" si="27"/>
        <v>1499.10761537809</v>
      </c>
      <c r="AM47">
        <f t="shared" si="28"/>
        <v>0.83284219100000001</v>
      </c>
      <c r="AN47">
        <f t="shared" si="29"/>
        <v>0.15339804421</v>
      </c>
      <c r="AO47">
        <v>31.2</v>
      </c>
      <c r="AP47">
        <v>0.5</v>
      </c>
      <c r="AQ47" t="s">
        <v>331</v>
      </c>
      <c r="AR47">
        <v>2</v>
      </c>
      <c r="AS47">
        <v>1690221355</v>
      </c>
      <c r="AT47">
        <v>781.21100000000001</v>
      </c>
      <c r="AU47">
        <v>800.05200000000002</v>
      </c>
      <c r="AV47">
        <v>10.526999999999999</v>
      </c>
      <c r="AW47">
        <v>5.8164100000000003</v>
      </c>
      <c r="AX47">
        <v>781.69100000000003</v>
      </c>
      <c r="AY47">
        <v>10.575900000000001</v>
      </c>
      <c r="AZ47">
        <v>300.13400000000001</v>
      </c>
      <c r="BA47">
        <v>99.074399999999997</v>
      </c>
      <c r="BB47">
        <v>9.9963099999999999E-2</v>
      </c>
      <c r="BC47">
        <v>25.9832</v>
      </c>
      <c r="BD47">
        <v>26.917200000000001</v>
      </c>
      <c r="BE47">
        <v>27.6816</v>
      </c>
      <c r="BF47">
        <v>0</v>
      </c>
      <c r="BG47">
        <v>0</v>
      </c>
      <c r="BH47">
        <v>9988.75</v>
      </c>
      <c r="BI47">
        <v>1069.8900000000001</v>
      </c>
      <c r="BJ47">
        <v>1.68198</v>
      </c>
      <c r="BK47">
        <v>-18.840800000000002</v>
      </c>
      <c r="BL47">
        <v>789.52200000000005</v>
      </c>
      <c r="BM47">
        <v>804.73199999999997</v>
      </c>
      <c r="BN47">
        <v>4.7106399999999997</v>
      </c>
      <c r="BO47">
        <v>800.05200000000002</v>
      </c>
      <c r="BP47">
        <v>5.8164100000000003</v>
      </c>
      <c r="BQ47">
        <v>1.0429600000000001</v>
      </c>
      <c r="BR47">
        <v>0.57625700000000002</v>
      </c>
      <c r="BS47">
        <v>7.5307599999999999</v>
      </c>
      <c r="BT47">
        <v>-0.86252099999999998</v>
      </c>
      <c r="BU47">
        <v>1799.99</v>
      </c>
      <c r="BV47">
        <v>0.91000700000000001</v>
      </c>
      <c r="BW47">
        <v>3.3995299999999999E-2</v>
      </c>
      <c r="BX47">
        <v>2.20098E-2</v>
      </c>
      <c r="BY47">
        <v>3.39881E-2</v>
      </c>
      <c r="BZ47">
        <v>25.375</v>
      </c>
      <c r="CA47">
        <v>33528.1</v>
      </c>
      <c r="CB47">
        <v>1690220522.5999999</v>
      </c>
      <c r="CC47" t="s">
        <v>332</v>
      </c>
      <c r="CD47">
        <v>1690220522.5999999</v>
      </c>
      <c r="CE47">
        <v>1690220510.5999999</v>
      </c>
      <c r="CF47">
        <v>10</v>
      </c>
      <c r="CG47">
        <v>-0.22</v>
      </c>
      <c r="CH47">
        <v>-2.7E-2</v>
      </c>
      <c r="CI47">
        <v>-0.49299999999999999</v>
      </c>
      <c r="CJ47">
        <v>0.152</v>
      </c>
      <c r="CK47">
        <v>800</v>
      </c>
      <c r="CL47">
        <v>19</v>
      </c>
      <c r="CM47">
        <v>0.1</v>
      </c>
      <c r="CN47">
        <v>0.03</v>
      </c>
      <c r="CO47">
        <v>-17.333417073170729</v>
      </c>
      <c r="CP47">
        <v>-7.3812418118466452</v>
      </c>
      <c r="CQ47">
        <v>0.72892913466745402</v>
      </c>
      <c r="CR47">
        <v>-1</v>
      </c>
      <c r="CS47">
        <v>4.6458592682926829</v>
      </c>
      <c r="CT47">
        <v>0.32294926829268139</v>
      </c>
      <c r="CU47">
        <v>3.1858093001755537E-2</v>
      </c>
      <c r="CV47">
        <v>-1</v>
      </c>
      <c r="CW47">
        <v>0</v>
      </c>
      <c r="CX47">
        <v>0</v>
      </c>
      <c r="CY47" t="s">
        <v>333</v>
      </c>
      <c r="CZ47">
        <v>2.3641000000000001</v>
      </c>
      <c r="DA47">
        <v>2.71374</v>
      </c>
      <c r="DB47">
        <v>0.144175</v>
      </c>
      <c r="DC47">
        <v>0.146039</v>
      </c>
      <c r="DD47">
        <v>6.2718300000000005E-2</v>
      </c>
      <c r="DE47">
        <v>3.8445199999999999E-2</v>
      </c>
      <c r="DF47">
        <v>31238.2</v>
      </c>
      <c r="DG47">
        <v>27507.5</v>
      </c>
      <c r="DH47">
        <v>31162.2</v>
      </c>
      <c r="DI47">
        <v>28069.3</v>
      </c>
      <c r="DJ47">
        <v>39671</v>
      </c>
      <c r="DK47">
        <v>38382.800000000003</v>
      </c>
      <c r="DL47">
        <v>44345.9</v>
      </c>
      <c r="DM47">
        <v>42543.8</v>
      </c>
      <c r="DN47">
        <v>1.4734499999999999</v>
      </c>
      <c r="DO47">
        <v>2.0299</v>
      </c>
      <c r="DP47">
        <v>9.5341400000000007E-2</v>
      </c>
      <c r="DQ47">
        <v>0.15778800000000001</v>
      </c>
      <c r="DR47">
        <v>25.355799999999999</v>
      </c>
      <c r="DS47">
        <v>25.098600000000001</v>
      </c>
      <c r="DT47">
        <v>20.6</v>
      </c>
      <c r="DU47">
        <v>29.5</v>
      </c>
      <c r="DV47">
        <v>8.6070700000000002</v>
      </c>
      <c r="DW47">
        <v>61.994199999999999</v>
      </c>
      <c r="DX47">
        <v>36.5304</v>
      </c>
      <c r="DY47">
        <v>1</v>
      </c>
      <c r="DZ47">
        <v>-6.9314000000000001E-2</v>
      </c>
      <c r="EA47">
        <v>0.997699</v>
      </c>
      <c r="EB47">
        <v>20.186299999999999</v>
      </c>
      <c r="EC47">
        <v>5.2406499999999996</v>
      </c>
      <c r="ED47">
        <v>12.039899999999999</v>
      </c>
      <c r="EE47">
        <v>5.0170500000000002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1.86893</v>
      </c>
      <c r="EL47">
        <v>1.8646400000000001</v>
      </c>
      <c r="EM47">
        <v>1.8692</v>
      </c>
      <c r="EN47">
        <v>1.86724</v>
      </c>
      <c r="EO47">
        <v>1.8633999999999999</v>
      </c>
      <c r="EP47">
        <v>1.8645799999999999</v>
      </c>
      <c r="EQ47">
        <v>1.8702000000000001</v>
      </c>
      <c r="ER47">
        <v>1.8694900000000001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-0.48</v>
      </c>
      <c r="FG47">
        <v>-4.8899999999999999E-2</v>
      </c>
      <c r="FH47">
        <v>5.8509882529719233E-2</v>
      </c>
      <c r="FI47">
        <v>-6.1462078757559423E-4</v>
      </c>
      <c r="FJ47">
        <v>-1.8861989874597051E-7</v>
      </c>
      <c r="FK47">
        <v>1.1980462299894961E-10</v>
      </c>
      <c r="FL47">
        <v>-5.9863424041980147E-2</v>
      </c>
      <c r="FM47">
        <v>-1.6848085045870601E-2</v>
      </c>
      <c r="FN47">
        <v>1.9789084769509481E-3</v>
      </c>
      <c r="FO47">
        <v>-2.7142391389806329E-5</v>
      </c>
      <c r="FP47">
        <v>3</v>
      </c>
      <c r="FQ47">
        <v>2158</v>
      </c>
      <c r="FR47">
        <v>1</v>
      </c>
      <c r="FS47">
        <v>19</v>
      </c>
      <c r="FT47">
        <v>13.9</v>
      </c>
      <c r="FU47">
        <v>14.1</v>
      </c>
      <c r="FV47">
        <v>1.7773399999999999</v>
      </c>
      <c r="FW47">
        <v>2.5769000000000002</v>
      </c>
      <c r="FX47">
        <v>1.5490699999999999</v>
      </c>
      <c r="FY47">
        <v>2.3290999999999999</v>
      </c>
      <c r="FZ47">
        <v>1.50146</v>
      </c>
      <c r="GA47">
        <v>2.3803700000000001</v>
      </c>
      <c r="GB47">
        <v>33.896099999999997</v>
      </c>
      <c r="GC47">
        <v>23.982399999999998</v>
      </c>
      <c r="GD47">
        <v>19</v>
      </c>
      <c r="GE47">
        <v>282.53199999999998</v>
      </c>
      <c r="GF47">
        <v>579.42399999999998</v>
      </c>
      <c r="GG47">
        <v>22.649899999999999</v>
      </c>
      <c r="GH47">
        <v>26.538399999999999</v>
      </c>
      <c r="GI47">
        <v>30.0001</v>
      </c>
      <c r="GJ47">
        <v>26.538699999999999</v>
      </c>
      <c r="GK47">
        <v>26.4803</v>
      </c>
      <c r="GL47">
        <v>35.536799999999999</v>
      </c>
      <c r="GM47">
        <v>-30</v>
      </c>
      <c r="GN47">
        <v>-30</v>
      </c>
      <c r="GO47">
        <v>22.7014</v>
      </c>
      <c r="GP47">
        <v>800</v>
      </c>
      <c r="GQ47">
        <v>18.0809</v>
      </c>
      <c r="GR47">
        <v>99.704499999999996</v>
      </c>
      <c r="GS47">
        <v>99.5244</v>
      </c>
    </row>
    <row r="48" spans="1:201" x14ac:dyDescent="0.25">
      <c r="A48">
        <v>32</v>
      </c>
      <c r="B48">
        <v>1690221365</v>
      </c>
      <c r="C48">
        <v>482.5</v>
      </c>
      <c r="D48" t="s">
        <v>395</v>
      </c>
      <c r="E48" t="s">
        <v>396</v>
      </c>
      <c r="F48" t="s">
        <v>330</v>
      </c>
      <c r="H48">
        <v>1690221365</v>
      </c>
      <c r="I48">
        <f t="shared" si="0"/>
        <v>4.6402985166181613E-4</v>
      </c>
      <c r="J48">
        <f t="shared" si="1"/>
        <v>0.46402985166181615</v>
      </c>
      <c r="K48">
        <f t="shared" si="2"/>
        <v>1.5776469474030608</v>
      </c>
      <c r="L48">
        <f t="shared" si="3"/>
        <v>779.90700000000004</v>
      </c>
      <c r="M48">
        <f t="shared" si="4"/>
        <v>595.2135497497859</v>
      </c>
      <c r="N48">
        <f t="shared" si="5"/>
        <v>59.029949049159363</v>
      </c>
      <c r="O48">
        <f t="shared" si="6"/>
        <v>77.346811900428008</v>
      </c>
      <c r="P48">
        <f t="shared" si="7"/>
        <v>1.6489690434007758E-2</v>
      </c>
      <c r="Q48">
        <f t="shared" si="8"/>
        <v>2.1983759498452247</v>
      </c>
      <c r="R48">
        <f t="shared" si="9"/>
        <v>1.6421283393001015E-2</v>
      </c>
      <c r="S48">
        <f t="shared" si="10"/>
        <v>1.0269424482526367E-2</v>
      </c>
      <c r="T48">
        <f t="shared" si="11"/>
        <v>276.11477513850491</v>
      </c>
      <c r="U48">
        <f t="shared" si="12"/>
        <v>27.951102155147026</v>
      </c>
      <c r="V48">
        <f t="shared" si="13"/>
        <v>27.951102155147026</v>
      </c>
      <c r="W48">
        <f t="shared" si="14"/>
        <v>3.7840356410436176</v>
      </c>
      <c r="X48">
        <f t="shared" si="15"/>
        <v>31.141840941004983</v>
      </c>
      <c r="Y48">
        <f t="shared" si="16"/>
        <v>1.0498800756247999</v>
      </c>
      <c r="Z48">
        <f t="shared" si="17"/>
        <v>3.3712845609021311</v>
      </c>
      <c r="AA48">
        <f t="shared" si="18"/>
        <v>2.7341555654188179</v>
      </c>
      <c r="AB48">
        <f t="shared" si="19"/>
        <v>-20.46371645828609</v>
      </c>
      <c r="AC48">
        <f t="shared" si="20"/>
        <v>-233.00830313857239</v>
      </c>
      <c r="AD48">
        <f t="shared" si="21"/>
        <v>-22.867070256087029</v>
      </c>
      <c r="AE48">
        <f t="shared" si="22"/>
        <v>-0.22431471444059525</v>
      </c>
      <c r="AF48">
        <v>0</v>
      </c>
      <c r="AG48">
        <v>0</v>
      </c>
      <c r="AH48">
        <f t="shared" si="23"/>
        <v>1</v>
      </c>
      <c r="AI48">
        <f t="shared" si="24"/>
        <v>0</v>
      </c>
      <c r="AJ48">
        <f t="shared" si="25"/>
        <v>52738.917321483066</v>
      </c>
      <c r="AK48">
        <f t="shared" si="26"/>
        <v>1799.99</v>
      </c>
      <c r="AL48">
        <f t="shared" si="27"/>
        <v>1499.10338540159</v>
      </c>
      <c r="AM48">
        <f t="shared" si="28"/>
        <v>0.83283984099999997</v>
      </c>
      <c r="AN48">
        <f t="shared" si="29"/>
        <v>0.15339794950999999</v>
      </c>
      <c r="AO48">
        <v>31.2</v>
      </c>
      <c r="AP48">
        <v>0.5</v>
      </c>
      <c r="AQ48" t="s">
        <v>331</v>
      </c>
      <c r="AR48">
        <v>2</v>
      </c>
      <c r="AS48">
        <v>1690221365</v>
      </c>
      <c r="AT48">
        <v>779.90700000000004</v>
      </c>
      <c r="AU48">
        <v>800.06700000000001</v>
      </c>
      <c r="AV48">
        <v>10.5862</v>
      </c>
      <c r="AW48">
        <v>5.8140499999999999</v>
      </c>
      <c r="AX48">
        <v>780.38599999999997</v>
      </c>
      <c r="AY48">
        <v>10.6341</v>
      </c>
      <c r="AZ48">
        <v>300.16800000000001</v>
      </c>
      <c r="BA48">
        <v>99.074399999999997</v>
      </c>
      <c r="BB48">
        <v>0.100004</v>
      </c>
      <c r="BC48">
        <v>25.985099999999999</v>
      </c>
      <c r="BD48">
        <v>26.892900000000001</v>
      </c>
      <c r="BE48">
        <v>27.689</v>
      </c>
      <c r="BF48">
        <v>0</v>
      </c>
      <c r="BG48">
        <v>0</v>
      </c>
      <c r="BH48">
        <v>10034.4</v>
      </c>
      <c r="BI48">
        <v>1069.8399999999999</v>
      </c>
      <c r="BJ48">
        <v>1.68198</v>
      </c>
      <c r="BK48">
        <v>-20.16</v>
      </c>
      <c r="BL48">
        <v>788.25099999999998</v>
      </c>
      <c r="BM48">
        <v>804.74599999999998</v>
      </c>
      <c r="BN48">
        <v>4.7721799999999996</v>
      </c>
      <c r="BO48">
        <v>800.06700000000001</v>
      </c>
      <c r="BP48">
        <v>5.8140499999999999</v>
      </c>
      <c r="BQ48">
        <v>1.0488200000000001</v>
      </c>
      <c r="BR48">
        <v>0.57602399999999998</v>
      </c>
      <c r="BS48">
        <v>7.61287</v>
      </c>
      <c r="BT48">
        <v>-0.86805100000000002</v>
      </c>
      <c r="BU48">
        <v>1799.99</v>
      </c>
      <c r="BV48">
        <v>0.90998599999999996</v>
      </c>
      <c r="BW48">
        <v>3.39922E-2</v>
      </c>
      <c r="BX48">
        <v>2.2007800000000001E-2</v>
      </c>
      <c r="BY48">
        <v>3.4013700000000001E-2</v>
      </c>
      <c r="BZ48">
        <v>25.041699999999999</v>
      </c>
      <c r="CA48">
        <v>33528.1</v>
      </c>
      <c r="CB48">
        <v>1690220522.5999999</v>
      </c>
      <c r="CC48" t="s">
        <v>332</v>
      </c>
      <c r="CD48">
        <v>1690220522.5999999</v>
      </c>
      <c r="CE48">
        <v>1690220510.5999999</v>
      </c>
      <c r="CF48">
        <v>10</v>
      </c>
      <c r="CG48">
        <v>-0.22</v>
      </c>
      <c r="CH48">
        <v>-2.7E-2</v>
      </c>
      <c r="CI48">
        <v>-0.49299999999999999</v>
      </c>
      <c r="CJ48">
        <v>0.152</v>
      </c>
      <c r="CK48">
        <v>800</v>
      </c>
      <c r="CL48">
        <v>19</v>
      </c>
      <c r="CM48">
        <v>0.1</v>
      </c>
      <c r="CN48">
        <v>0.03</v>
      </c>
      <c r="CO48">
        <v>-18.712700000000002</v>
      </c>
      <c r="CP48">
        <v>-8.1159849906190988</v>
      </c>
      <c r="CQ48">
        <v>0.78155950829095555</v>
      </c>
      <c r="CR48">
        <v>-1</v>
      </c>
      <c r="CS48">
        <v>4.7065747499999997</v>
      </c>
      <c r="CT48">
        <v>0.35639493433395769</v>
      </c>
      <c r="CU48">
        <v>3.4288649943348647E-2</v>
      </c>
      <c r="CV48">
        <v>-1</v>
      </c>
      <c r="CW48">
        <v>0</v>
      </c>
      <c r="CX48">
        <v>0</v>
      </c>
      <c r="CY48" t="s">
        <v>333</v>
      </c>
      <c r="CZ48">
        <v>2.3641999999999999</v>
      </c>
      <c r="DA48">
        <v>2.7138300000000002</v>
      </c>
      <c r="DB48">
        <v>0.144014</v>
      </c>
      <c r="DC48">
        <v>0.146039</v>
      </c>
      <c r="DD48">
        <v>6.2983700000000004E-2</v>
      </c>
      <c r="DE48">
        <v>3.8432000000000001E-2</v>
      </c>
      <c r="DF48">
        <v>31243.8</v>
      </c>
      <c r="DG48">
        <v>27507.599999999999</v>
      </c>
      <c r="DH48">
        <v>31162</v>
      </c>
      <c r="DI48">
        <v>28069.4</v>
      </c>
      <c r="DJ48">
        <v>39659.4</v>
      </c>
      <c r="DK48">
        <v>38383.4</v>
      </c>
      <c r="DL48">
        <v>44345.5</v>
      </c>
      <c r="DM48">
        <v>42543.9</v>
      </c>
      <c r="DN48">
        <v>1.47353</v>
      </c>
      <c r="DO48">
        <v>2.0297299999999998</v>
      </c>
      <c r="DP48">
        <v>9.4901799999999994E-2</v>
      </c>
      <c r="DQ48">
        <v>0.15898399999999999</v>
      </c>
      <c r="DR48">
        <v>25.338699999999999</v>
      </c>
      <c r="DS48">
        <v>25.086400000000001</v>
      </c>
      <c r="DT48">
        <v>20.399999999999999</v>
      </c>
      <c r="DU48">
        <v>29.5</v>
      </c>
      <c r="DV48">
        <v>8.5229599999999994</v>
      </c>
      <c r="DW48">
        <v>61.354199999999999</v>
      </c>
      <c r="DX48">
        <v>36.8429</v>
      </c>
      <c r="DY48">
        <v>1</v>
      </c>
      <c r="DZ48">
        <v>-6.9260699999999994E-2</v>
      </c>
      <c r="EA48">
        <v>1.01417</v>
      </c>
      <c r="EB48">
        <v>20.186199999999999</v>
      </c>
      <c r="EC48">
        <v>5.2401999999999997</v>
      </c>
      <c r="ED48">
        <v>12.039899999999999</v>
      </c>
      <c r="EE48">
        <v>5.0162000000000004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1.86893</v>
      </c>
      <c r="EL48">
        <v>1.86463</v>
      </c>
      <c r="EM48">
        <v>1.8691899999999999</v>
      </c>
      <c r="EN48">
        <v>1.86724</v>
      </c>
      <c r="EO48">
        <v>1.8633999999999999</v>
      </c>
      <c r="EP48">
        <v>1.8645799999999999</v>
      </c>
      <c r="EQ48">
        <v>1.8702099999999999</v>
      </c>
      <c r="ER48">
        <v>1.86951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-0.47899999999999998</v>
      </c>
      <c r="FG48">
        <v>-4.7899999999999998E-2</v>
      </c>
      <c r="FH48">
        <v>5.8509882529719233E-2</v>
      </c>
      <c r="FI48">
        <v>-6.1462078757559423E-4</v>
      </c>
      <c r="FJ48">
        <v>-1.8861989874597051E-7</v>
      </c>
      <c r="FK48">
        <v>1.1980462299894961E-10</v>
      </c>
      <c r="FL48">
        <v>-5.9863424041980147E-2</v>
      </c>
      <c r="FM48">
        <v>-1.6848085045870601E-2</v>
      </c>
      <c r="FN48">
        <v>1.9789084769509481E-3</v>
      </c>
      <c r="FO48">
        <v>-2.7142391389806329E-5</v>
      </c>
      <c r="FP48">
        <v>3</v>
      </c>
      <c r="FQ48">
        <v>2158</v>
      </c>
      <c r="FR48">
        <v>1</v>
      </c>
      <c r="FS48">
        <v>19</v>
      </c>
      <c r="FT48">
        <v>14</v>
      </c>
      <c r="FU48">
        <v>14.2</v>
      </c>
      <c r="FV48">
        <v>1.7773399999999999</v>
      </c>
      <c r="FW48">
        <v>2.5805699999999998</v>
      </c>
      <c r="FX48">
        <v>1.5490699999999999</v>
      </c>
      <c r="FY48">
        <v>2.3290999999999999</v>
      </c>
      <c r="FZ48">
        <v>1.50146</v>
      </c>
      <c r="GA48">
        <v>2.3901400000000002</v>
      </c>
      <c r="GB48">
        <v>33.896099999999997</v>
      </c>
      <c r="GC48">
        <v>23.982399999999998</v>
      </c>
      <c r="GD48">
        <v>19</v>
      </c>
      <c r="GE48">
        <v>282.57900000000001</v>
      </c>
      <c r="GF48">
        <v>579.33000000000004</v>
      </c>
      <c r="GG48">
        <v>22.7502</v>
      </c>
      <c r="GH48">
        <v>26.538399999999999</v>
      </c>
      <c r="GI48">
        <v>30.0001</v>
      </c>
      <c r="GJ48">
        <v>26.542100000000001</v>
      </c>
      <c r="GK48">
        <v>26.4848</v>
      </c>
      <c r="GL48">
        <v>35.534399999999998</v>
      </c>
      <c r="GM48">
        <v>-30</v>
      </c>
      <c r="GN48">
        <v>-30</v>
      </c>
      <c r="GO48">
        <v>22.809100000000001</v>
      </c>
      <c r="GP48">
        <v>800</v>
      </c>
      <c r="GQ48">
        <v>18.0809</v>
      </c>
      <c r="GR48">
        <v>99.703800000000001</v>
      </c>
      <c r="GS48">
        <v>99.524600000000007</v>
      </c>
    </row>
    <row r="49" spans="1:201" x14ac:dyDescent="0.25">
      <c r="A49">
        <v>33</v>
      </c>
      <c r="B49">
        <v>1690221375</v>
      </c>
      <c r="C49">
        <v>492.5</v>
      </c>
      <c r="D49" t="s">
        <v>397</v>
      </c>
      <c r="E49" t="s">
        <v>398</v>
      </c>
      <c r="F49" t="s">
        <v>330</v>
      </c>
      <c r="H49">
        <v>1690221375</v>
      </c>
      <c r="I49">
        <f t="shared" si="0"/>
        <v>4.7058879648887824E-4</v>
      </c>
      <c r="J49">
        <f t="shared" si="1"/>
        <v>0.47058879648887825</v>
      </c>
      <c r="K49">
        <f t="shared" si="2"/>
        <v>1.69569586626382</v>
      </c>
      <c r="L49">
        <f t="shared" si="3"/>
        <v>778.524</v>
      </c>
      <c r="M49">
        <f t="shared" si="4"/>
        <v>585.15017249078358</v>
      </c>
      <c r="N49">
        <f t="shared" si="5"/>
        <v>58.031324451030223</v>
      </c>
      <c r="O49">
        <f t="shared" si="6"/>
        <v>77.208861862935606</v>
      </c>
      <c r="P49">
        <f t="shared" si="7"/>
        <v>1.6745906771853381E-2</v>
      </c>
      <c r="Q49">
        <f t="shared" si="8"/>
        <v>2.1918363108614871</v>
      </c>
      <c r="R49">
        <f t="shared" si="9"/>
        <v>1.6675152792059562E-2</v>
      </c>
      <c r="S49">
        <f t="shared" si="10"/>
        <v>1.0428302454660842E-2</v>
      </c>
      <c r="T49">
        <f t="shared" si="11"/>
        <v>276.116037156</v>
      </c>
      <c r="U49">
        <f t="shared" si="12"/>
        <v>27.963510029330177</v>
      </c>
      <c r="V49">
        <f t="shared" si="13"/>
        <v>27.963510029330177</v>
      </c>
      <c r="W49">
        <f t="shared" si="14"/>
        <v>3.7867746319077611</v>
      </c>
      <c r="X49">
        <f t="shared" si="15"/>
        <v>31.316375336793005</v>
      </c>
      <c r="Y49">
        <f t="shared" si="16"/>
        <v>1.0563453305653503</v>
      </c>
      <c r="Z49">
        <f t="shared" si="17"/>
        <v>3.3731404710949113</v>
      </c>
      <c r="AA49">
        <f t="shared" si="18"/>
        <v>2.7304293013424106</v>
      </c>
      <c r="AB49">
        <f t="shared" si="19"/>
        <v>-20.752965925159529</v>
      </c>
      <c r="AC49">
        <f t="shared" si="20"/>
        <v>-232.68240548395195</v>
      </c>
      <c r="AD49">
        <f t="shared" si="21"/>
        <v>-22.905705745548051</v>
      </c>
      <c r="AE49">
        <f t="shared" si="22"/>
        <v>-0.22503999865952551</v>
      </c>
      <c r="AF49">
        <v>0</v>
      </c>
      <c r="AG49">
        <v>0</v>
      </c>
      <c r="AH49">
        <f t="shared" si="23"/>
        <v>1</v>
      </c>
      <c r="AI49">
        <f t="shared" si="24"/>
        <v>0</v>
      </c>
      <c r="AJ49">
        <f t="shared" si="25"/>
        <v>52468.850075081908</v>
      </c>
      <c r="AK49">
        <f t="shared" si="26"/>
        <v>1800</v>
      </c>
      <c r="AL49">
        <f t="shared" si="27"/>
        <v>1499.1122286</v>
      </c>
      <c r="AM49">
        <f t="shared" si="28"/>
        <v>0.83284012699999999</v>
      </c>
      <c r="AN49">
        <f t="shared" si="29"/>
        <v>0.15339779842000001</v>
      </c>
      <c r="AO49">
        <v>31.2</v>
      </c>
      <c r="AP49">
        <v>0.5</v>
      </c>
      <c r="AQ49" t="s">
        <v>331</v>
      </c>
      <c r="AR49">
        <v>2</v>
      </c>
      <c r="AS49">
        <v>1690221375</v>
      </c>
      <c r="AT49">
        <v>778.524</v>
      </c>
      <c r="AU49">
        <v>799.95399999999995</v>
      </c>
      <c r="AV49">
        <v>10.6515</v>
      </c>
      <c r="AW49">
        <v>5.8129900000000001</v>
      </c>
      <c r="AX49">
        <v>779.00199999999995</v>
      </c>
      <c r="AY49">
        <v>10.6983</v>
      </c>
      <c r="AZ49">
        <v>300.21600000000001</v>
      </c>
      <c r="BA49">
        <v>99.073400000000007</v>
      </c>
      <c r="BB49">
        <v>9.9986900000000004E-2</v>
      </c>
      <c r="BC49">
        <v>25.994399999999999</v>
      </c>
      <c r="BD49">
        <v>26.927</v>
      </c>
      <c r="BE49">
        <v>27.695499999999999</v>
      </c>
      <c r="BF49">
        <v>0</v>
      </c>
      <c r="BG49">
        <v>0</v>
      </c>
      <c r="BH49">
        <v>9981.25</v>
      </c>
      <c r="BI49">
        <v>1069.78</v>
      </c>
      <c r="BJ49">
        <v>1.68198</v>
      </c>
      <c r="BK49">
        <v>-21.429400000000001</v>
      </c>
      <c r="BL49">
        <v>786.90599999999995</v>
      </c>
      <c r="BM49">
        <v>804.63099999999997</v>
      </c>
      <c r="BN49">
        <v>4.8384900000000002</v>
      </c>
      <c r="BO49">
        <v>799.95399999999995</v>
      </c>
      <c r="BP49">
        <v>5.8129900000000001</v>
      </c>
      <c r="BQ49">
        <v>1.05528</v>
      </c>
      <c r="BR49">
        <v>0.57591300000000001</v>
      </c>
      <c r="BS49">
        <v>7.7027999999999999</v>
      </c>
      <c r="BT49">
        <v>-0.87068400000000001</v>
      </c>
      <c r="BU49">
        <v>1800</v>
      </c>
      <c r="BV49">
        <v>0.90999099999999999</v>
      </c>
      <c r="BW49">
        <v>3.3991399999999998E-2</v>
      </c>
      <c r="BX49">
        <v>2.2006100000000001E-2</v>
      </c>
      <c r="BY49">
        <v>3.4011199999999998E-2</v>
      </c>
      <c r="BZ49">
        <v>25</v>
      </c>
      <c r="CA49">
        <v>33528.300000000003</v>
      </c>
      <c r="CB49">
        <v>1690220522.5999999</v>
      </c>
      <c r="CC49" t="s">
        <v>332</v>
      </c>
      <c r="CD49">
        <v>1690220522.5999999</v>
      </c>
      <c r="CE49">
        <v>1690220510.5999999</v>
      </c>
      <c r="CF49">
        <v>10</v>
      </c>
      <c r="CG49">
        <v>-0.22</v>
      </c>
      <c r="CH49">
        <v>-2.7E-2</v>
      </c>
      <c r="CI49">
        <v>-0.49299999999999999</v>
      </c>
      <c r="CJ49">
        <v>0.152</v>
      </c>
      <c r="CK49">
        <v>800</v>
      </c>
      <c r="CL49">
        <v>19</v>
      </c>
      <c r="CM49">
        <v>0.1</v>
      </c>
      <c r="CN49">
        <v>0.03</v>
      </c>
      <c r="CO49">
        <v>-20.058890243902439</v>
      </c>
      <c r="CP49">
        <v>-7.7324926829268774</v>
      </c>
      <c r="CQ49">
        <v>0.76339264417016184</v>
      </c>
      <c r="CR49">
        <v>-1</v>
      </c>
      <c r="CS49">
        <v>4.7699495121951214</v>
      </c>
      <c r="CT49">
        <v>0.38474174216027918</v>
      </c>
      <c r="CU49">
        <v>3.79469471088782E-2</v>
      </c>
      <c r="CV49">
        <v>-1</v>
      </c>
      <c r="CW49">
        <v>0</v>
      </c>
      <c r="CX49">
        <v>0</v>
      </c>
      <c r="CY49" t="s">
        <v>333</v>
      </c>
      <c r="CZ49">
        <v>2.3643399999999999</v>
      </c>
      <c r="DA49">
        <v>2.7137600000000002</v>
      </c>
      <c r="DB49">
        <v>0.143841</v>
      </c>
      <c r="DC49">
        <v>0.14602200000000001</v>
      </c>
      <c r="DD49">
        <v>6.3275100000000001E-2</v>
      </c>
      <c r="DE49">
        <v>3.8425399999999998E-2</v>
      </c>
      <c r="DF49">
        <v>31249.9</v>
      </c>
      <c r="DG49">
        <v>27507.7</v>
      </c>
      <c r="DH49">
        <v>31161.7</v>
      </c>
      <c r="DI49">
        <v>28069</v>
      </c>
      <c r="DJ49">
        <v>39646.5</v>
      </c>
      <c r="DK49">
        <v>38383.199999999997</v>
      </c>
      <c r="DL49">
        <v>44345</v>
      </c>
      <c r="DM49">
        <v>42543.4</v>
      </c>
      <c r="DN49">
        <v>1.4734</v>
      </c>
      <c r="DO49">
        <v>2.0297000000000001</v>
      </c>
      <c r="DP49">
        <v>9.80906E-2</v>
      </c>
      <c r="DQ49">
        <v>0.160057</v>
      </c>
      <c r="DR49">
        <v>25.320499999999999</v>
      </c>
      <c r="DS49">
        <v>25.075299999999999</v>
      </c>
      <c r="DT49">
        <v>20.399999999999999</v>
      </c>
      <c r="DU49">
        <v>29.5</v>
      </c>
      <c r="DV49">
        <v>8.5233100000000004</v>
      </c>
      <c r="DW49">
        <v>61.7042</v>
      </c>
      <c r="DX49">
        <v>36.875</v>
      </c>
      <c r="DY49">
        <v>1</v>
      </c>
      <c r="DZ49">
        <v>-6.9527400000000003E-2</v>
      </c>
      <c r="EA49">
        <v>0.799875</v>
      </c>
      <c r="EB49">
        <v>20.1877</v>
      </c>
      <c r="EC49">
        <v>5.2393000000000001</v>
      </c>
      <c r="ED49">
        <v>12.039899999999999</v>
      </c>
      <c r="EE49">
        <v>5.0164999999999997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1.8689100000000001</v>
      </c>
      <c r="EL49">
        <v>1.86463</v>
      </c>
      <c r="EM49">
        <v>1.8691899999999999</v>
      </c>
      <c r="EN49">
        <v>1.8672299999999999</v>
      </c>
      <c r="EO49">
        <v>1.8633999999999999</v>
      </c>
      <c r="EP49">
        <v>1.86456</v>
      </c>
      <c r="EQ49">
        <v>1.87018</v>
      </c>
      <c r="ER49">
        <v>1.86948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-0.47799999999999998</v>
      </c>
      <c r="FG49">
        <v>-4.6800000000000001E-2</v>
      </c>
      <c r="FH49">
        <v>5.8509882529719233E-2</v>
      </c>
      <c r="FI49">
        <v>-6.1462078757559423E-4</v>
      </c>
      <c r="FJ49">
        <v>-1.8861989874597051E-7</v>
      </c>
      <c r="FK49">
        <v>1.1980462299894961E-10</v>
      </c>
      <c r="FL49">
        <v>-5.9863424041980147E-2</v>
      </c>
      <c r="FM49">
        <v>-1.6848085045870601E-2</v>
      </c>
      <c r="FN49">
        <v>1.9789084769509481E-3</v>
      </c>
      <c r="FO49">
        <v>-2.7142391389806329E-5</v>
      </c>
      <c r="FP49">
        <v>3</v>
      </c>
      <c r="FQ49">
        <v>2158</v>
      </c>
      <c r="FR49">
        <v>1</v>
      </c>
      <c r="FS49">
        <v>19</v>
      </c>
      <c r="FT49">
        <v>14.2</v>
      </c>
      <c r="FU49">
        <v>14.4</v>
      </c>
      <c r="FV49">
        <v>1.7773399999999999</v>
      </c>
      <c r="FW49">
        <v>2.5805699999999998</v>
      </c>
      <c r="FX49">
        <v>1.5490699999999999</v>
      </c>
      <c r="FY49">
        <v>2.3290999999999999</v>
      </c>
      <c r="FZ49">
        <v>1.50146</v>
      </c>
      <c r="GA49">
        <v>2.3950200000000001</v>
      </c>
      <c r="GB49">
        <v>33.896099999999997</v>
      </c>
      <c r="GC49">
        <v>23.982399999999998</v>
      </c>
      <c r="GD49">
        <v>19</v>
      </c>
      <c r="GE49">
        <v>282.541</v>
      </c>
      <c r="GF49">
        <v>579.35900000000004</v>
      </c>
      <c r="GG49">
        <v>22.874099999999999</v>
      </c>
      <c r="GH49">
        <v>26.536100000000001</v>
      </c>
      <c r="GI49">
        <v>29.9999</v>
      </c>
      <c r="GJ49">
        <v>26.545500000000001</v>
      </c>
      <c r="GK49">
        <v>26.4892</v>
      </c>
      <c r="GL49">
        <v>35.535299999999999</v>
      </c>
      <c r="GM49">
        <v>-30</v>
      </c>
      <c r="GN49">
        <v>-30</v>
      </c>
      <c r="GO49">
        <v>22.963899999999999</v>
      </c>
      <c r="GP49">
        <v>800</v>
      </c>
      <c r="GQ49">
        <v>18.0809</v>
      </c>
      <c r="GR49">
        <v>99.702799999999996</v>
      </c>
      <c r="GS49">
        <v>99.523300000000006</v>
      </c>
    </row>
    <row r="50" spans="1:201" x14ac:dyDescent="0.25">
      <c r="A50">
        <v>34</v>
      </c>
      <c r="B50">
        <v>1690221385</v>
      </c>
      <c r="C50">
        <v>502.5</v>
      </c>
      <c r="D50" t="s">
        <v>399</v>
      </c>
      <c r="E50" t="s">
        <v>400</v>
      </c>
      <c r="F50" t="s">
        <v>330</v>
      </c>
      <c r="H50">
        <v>1690221385</v>
      </c>
      <c r="I50">
        <f t="shared" si="0"/>
        <v>4.7756775364227552E-4</v>
      </c>
      <c r="J50">
        <f t="shared" si="1"/>
        <v>0.47756775364227549</v>
      </c>
      <c r="K50">
        <f t="shared" si="2"/>
        <v>1.8260108355539026</v>
      </c>
      <c r="L50">
        <f t="shared" si="3"/>
        <v>777.17399999999998</v>
      </c>
      <c r="M50">
        <f t="shared" si="4"/>
        <v>574.46353638070445</v>
      </c>
      <c r="N50">
        <f t="shared" si="5"/>
        <v>56.969708029274038</v>
      </c>
      <c r="O50">
        <f t="shared" si="6"/>
        <v>77.072560857197999</v>
      </c>
      <c r="P50">
        <f t="shared" si="7"/>
        <v>1.7022945054690663E-2</v>
      </c>
      <c r="Q50">
        <f t="shared" si="8"/>
        <v>2.1892549683535578</v>
      </c>
      <c r="R50">
        <f t="shared" si="9"/>
        <v>1.694975036738056E-2</v>
      </c>
      <c r="S50">
        <f t="shared" si="10"/>
        <v>1.0600143910594474E-2</v>
      </c>
      <c r="T50">
        <f t="shared" si="11"/>
        <v>276.11615437199998</v>
      </c>
      <c r="U50">
        <f t="shared" si="12"/>
        <v>27.974330986576316</v>
      </c>
      <c r="V50">
        <f t="shared" si="13"/>
        <v>27.974330986576316</v>
      </c>
      <c r="W50">
        <f t="shared" si="14"/>
        <v>3.7891647287800652</v>
      </c>
      <c r="X50">
        <f t="shared" si="15"/>
        <v>31.503434197873865</v>
      </c>
      <c r="Y50">
        <f t="shared" si="16"/>
        <v>1.0633532951325</v>
      </c>
      <c r="Z50">
        <f t="shared" si="17"/>
        <v>3.3753567577856787</v>
      </c>
      <c r="AA50">
        <f t="shared" si="18"/>
        <v>2.7258114336475652</v>
      </c>
      <c r="AB50">
        <f t="shared" si="19"/>
        <v>-21.060737935624349</v>
      </c>
      <c r="AC50">
        <f t="shared" si="20"/>
        <v>-232.37543901168368</v>
      </c>
      <c r="AD50">
        <f t="shared" si="21"/>
        <v>-22.904970175080344</v>
      </c>
      <c r="AE50">
        <f t="shared" si="22"/>
        <v>-0.22499275038839528</v>
      </c>
      <c r="AF50">
        <v>0</v>
      </c>
      <c r="AG50">
        <v>0</v>
      </c>
      <c r="AH50">
        <f t="shared" si="23"/>
        <v>1</v>
      </c>
      <c r="AI50">
        <f t="shared" si="24"/>
        <v>0</v>
      </c>
      <c r="AJ50">
        <f t="shared" si="25"/>
        <v>52361.120417405866</v>
      </c>
      <c r="AK50">
        <f t="shared" si="26"/>
        <v>1800</v>
      </c>
      <c r="AL50">
        <f t="shared" si="27"/>
        <v>1499.1094871999999</v>
      </c>
      <c r="AM50">
        <f t="shared" si="28"/>
        <v>0.83283860399999998</v>
      </c>
      <c r="AN50">
        <f t="shared" si="29"/>
        <v>0.15339786353999998</v>
      </c>
      <c r="AO50">
        <v>31.2</v>
      </c>
      <c r="AP50">
        <v>0.5</v>
      </c>
      <c r="AQ50" t="s">
        <v>331</v>
      </c>
      <c r="AR50">
        <v>2</v>
      </c>
      <c r="AS50">
        <v>1690221385</v>
      </c>
      <c r="AT50">
        <v>777.17399999999998</v>
      </c>
      <c r="AU50">
        <v>800.01400000000001</v>
      </c>
      <c r="AV50">
        <v>10.7225</v>
      </c>
      <c r="AW50">
        <v>5.8113099999999998</v>
      </c>
      <c r="AX50">
        <v>777.65099999999995</v>
      </c>
      <c r="AY50">
        <v>10.7682</v>
      </c>
      <c r="AZ50">
        <v>300.13799999999998</v>
      </c>
      <c r="BA50">
        <v>99.0702</v>
      </c>
      <c r="BB50">
        <v>0.100077</v>
      </c>
      <c r="BC50">
        <v>26.005500000000001</v>
      </c>
      <c r="BD50">
        <v>26.9575</v>
      </c>
      <c r="BE50">
        <v>27.709599999999998</v>
      </c>
      <c r="BF50">
        <v>0</v>
      </c>
      <c r="BG50">
        <v>0</v>
      </c>
      <c r="BH50">
        <v>9960.6200000000008</v>
      </c>
      <c r="BI50">
        <v>1069.77</v>
      </c>
      <c r="BJ50">
        <v>1.68198</v>
      </c>
      <c r="BK50">
        <v>-22.840499999999999</v>
      </c>
      <c r="BL50">
        <v>785.59699999999998</v>
      </c>
      <c r="BM50">
        <v>804.69100000000003</v>
      </c>
      <c r="BN50">
        <v>4.9111599999999997</v>
      </c>
      <c r="BO50">
        <v>800.01400000000001</v>
      </c>
      <c r="BP50">
        <v>5.8113099999999998</v>
      </c>
      <c r="BQ50">
        <v>1.0622799999999999</v>
      </c>
      <c r="BR50">
        <v>0.57572699999999999</v>
      </c>
      <c r="BS50">
        <v>7.7997500000000004</v>
      </c>
      <c r="BT50">
        <v>-0.87508900000000001</v>
      </c>
      <c r="BU50">
        <v>1800</v>
      </c>
      <c r="BV50">
        <v>0.90998100000000004</v>
      </c>
      <c r="BW50">
        <v>3.4006799999999997E-2</v>
      </c>
      <c r="BX50">
        <v>2.2004200000000002E-2</v>
      </c>
      <c r="BY50">
        <v>3.4008200000000002E-2</v>
      </c>
      <c r="BZ50">
        <v>25</v>
      </c>
      <c r="CA50">
        <v>33528.199999999997</v>
      </c>
      <c r="CB50">
        <v>1690220522.5999999</v>
      </c>
      <c r="CC50" t="s">
        <v>332</v>
      </c>
      <c r="CD50">
        <v>1690220522.5999999</v>
      </c>
      <c r="CE50">
        <v>1690220510.5999999</v>
      </c>
      <c r="CF50">
        <v>10</v>
      </c>
      <c r="CG50">
        <v>-0.22</v>
      </c>
      <c r="CH50">
        <v>-2.7E-2</v>
      </c>
      <c r="CI50">
        <v>-0.49299999999999999</v>
      </c>
      <c r="CJ50">
        <v>0.152</v>
      </c>
      <c r="CK50">
        <v>800</v>
      </c>
      <c r="CL50">
        <v>19</v>
      </c>
      <c r="CM50">
        <v>0.1</v>
      </c>
      <c r="CN50">
        <v>0.03</v>
      </c>
      <c r="CO50">
        <v>-21.274151219512191</v>
      </c>
      <c r="CP50">
        <v>-8.3425484320557857</v>
      </c>
      <c r="CQ50">
        <v>0.82447274655720793</v>
      </c>
      <c r="CR50">
        <v>-1</v>
      </c>
      <c r="CS50">
        <v>4.8294173170731707</v>
      </c>
      <c r="CT50">
        <v>0.40946571428571632</v>
      </c>
      <c r="CU50">
        <v>4.0386455591459459E-2</v>
      </c>
      <c r="CV50">
        <v>-1</v>
      </c>
      <c r="CW50">
        <v>0</v>
      </c>
      <c r="CX50">
        <v>0</v>
      </c>
      <c r="CY50" t="s">
        <v>333</v>
      </c>
      <c r="CZ50">
        <v>2.3641100000000002</v>
      </c>
      <c r="DA50">
        <v>2.7138300000000002</v>
      </c>
      <c r="DB50">
        <v>0.14366999999999999</v>
      </c>
      <c r="DC50">
        <v>0.14602399999999999</v>
      </c>
      <c r="DD50">
        <v>6.3590099999999997E-2</v>
      </c>
      <c r="DE50">
        <v>3.84146E-2</v>
      </c>
      <c r="DF50">
        <v>31256.3</v>
      </c>
      <c r="DG50">
        <v>27508</v>
      </c>
      <c r="DH50">
        <v>31161.8</v>
      </c>
      <c r="DI50">
        <v>28069.200000000001</v>
      </c>
      <c r="DJ50">
        <v>39633.300000000003</v>
      </c>
      <c r="DK50">
        <v>38384.1</v>
      </c>
      <c r="DL50">
        <v>44345.3</v>
      </c>
      <c r="DM50">
        <v>42544</v>
      </c>
      <c r="DN50">
        <v>1.4732499999999999</v>
      </c>
      <c r="DO50">
        <v>2.0296500000000002</v>
      </c>
      <c r="DP50">
        <v>0.10106</v>
      </c>
      <c r="DQ50">
        <v>0.16152900000000001</v>
      </c>
      <c r="DR50">
        <v>25.302399999999999</v>
      </c>
      <c r="DS50">
        <v>25.065300000000001</v>
      </c>
      <c r="DT50">
        <v>20.3</v>
      </c>
      <c r="DU50">
        <v>29.5</v>
      </c>
      <c r="DV50">
        <v>8.4824000000000002</v>
      </c>
      <c r="DW50">
        <v>61.784199999999998</v>
      </c>
      <c r="DX50">
        <v>36.991199999999999</v>
      </c>
      <c r="DY50">
        <v>1</v>
      </c>
      <c r="DZ50">
        <v>-6.9090399999999996E-2</v>
      </c>
      <c r="EA50">
        <v>0.831708</v>
      </c>
      <c r="EB50">
        <v>20.1875</v>
      </c>
      <c r="EC50">
        <v>5.2401999999999997</v>
      </c>
      <c r="ED50">
        <v>12.039899999999999</v>
      </c>
      <c r="EE50">
        <v>5.0167000000000002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1.8689100000000001</v>
      </c>
      <c r="EL50">
        <v>1.8646400000000001</v>
      </c>
      <c r="EM50">
        <v>1.8692</v>
      </c>
      <c r="EN50">
        <v>1.8672299999999999</v>
      </c>
      <c r="EO50">
        <v>1.8633999999999999</v>
      </c>
      <c r="EP50">
        <v>1.8645499999999999</v>
      </c>
      <c r="EQ50">
        <v>1.87019</v>
      </c>
      <c r="ER50">
        <v>1.8694599999999999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-0.47699999999999998</v>
      </c>
      <c r="FG50">
        <v>-4.5699999999999998E-2</v>
      </c>
      <c r="FH50">
        <v>5.8509882529719233E-2</v>
      </c>
      <c r="FI50">
        <v>-6.1462078757559423E-4</v>
      </c>
      <c r="FJ50">
        <v>-1.8861989874597051E-7</v>
      </c>
      <c r="FK50">
        <v>1.1980462299894961E-10</v>
      </c>
      <c r="FL50">
        <v>-5.9863424041980147E-2</v>
      </c>
      <c r="FM50">
        <v>-1.6848085045870601E-2</v>
      </c>
      <c r="FN50">
        <v>1.9789084769509481E-3</v>
      </c>
      <c r="FO50">
        <v>-2.7142391389806329E-5</v>
      </c>
      <c r="FP50">
        <v>3</v>
      </c>
      <c r="FQ50">
        <v>2158</v>
      </c>
      <c r="FR50">
        <v>1</v>
      </c>
      <c r="FS50">
        <v>19</v>
      </c>
      <c r="FT50">
        <v>14.4</v>
      </c>
      <c r="FU50">
        <v>14.6</v>
      </c>
      <c r="FV50">
        <v>1.7773399999999999</v>
      </c>
      <c r="FW50">
        <v>2.5793499999999998</v>
      </c>
      <c r="FX50">
        <v>1.5490699999999999</v>
      </c>
      <c r="FY50">
        <v>2.3290999999999999</v>
      </c>
      <c r="FZ50">
        <v>1.50146</v>
      </c>
      <c r="GA50">
        <v>2.3754900000000001</v>
      </c>
      <c r="GB50">
        <v>33.896099999999997</v>
      </c>
      <c r="GC50">
        <v>23.982399999999998</v>
      </c>
      <c r="GD50">
        <v>19</v>
      </c>
      <c r="GE50">
        <v>282.48899999999998</v>
      </c>
      <c r="GF50">
        <v>579.36</v>
      </c>
      <c r="GG50">
        <v>23.002400000000002</v>
      </c>
      <c r="GH50">
        <v>26.5322</v>
      </c>
      <c r="GI50">
        <v>30.0002</v>
      </c>
      <c r="GJ50">
        <v>26.548200000000001</v>
      </c>
      <c r="GK50">
        <v>26.492999999999999</v>
      </c>
      <c r="GL50">
        <v>35.534500000000001</v>
      </c>
      <c r="GM50">
        <v>-30</v>
      </c>
      <c r="GN50">
        <v>-30</v>
      </c>
      <c r="GO50">
        <v>23.013200000000001</v>
      </c>
      <c r="GP50">
        <v>800</v>
      </c>
      <c r="GQ50">
        <v>18.0809</v>
      </c>
      <c r="GR50">
        <v>99.703400000000002</v>
      </c>
      <c r="GS50">
        <v>99.5244</v>
      </c>
    </row>
    <row r="51" spans="1:201" x14ac:dyDescent="0.25">
      <c r="A51">
        <v>35</v>
      </c>
      <c r="B51">
        <v>1690221395</v>
      </c>
      <c r="C51">
        <v>512.5</v>
      </c>
      <c r="D51" t="s">
        <v>401</v>
      </c>
      <c r="E51" t="s">
        <v>402</v>
      </c>
      <c r="F51" t="s">
        <v>330</v>
      </c>
      <c r="H51">
        <v>1690221395</v>
      </c>
      <c r="I51">
        <f t="shared" si="0"/>
        <v>4.8499540677604042E-4</v>
      </c>
      <c r="J51">
        <f t="shared" si="1"/>
        <v>0.48499540677604042</v>
      </c>
      <c r="K51">
        <f t="shared" si="2"/>
        <v>1.9699458416763655</v>
      </c>
      <c r="L51">
        <f t="shared" si="3"/>
        <v>775.64300000000003</v>
      </c>
      <c r="M51">
        <f t="shared" si="4"/>
        <v>563.11908319112922</v>
      </c>
      <c r="N51">
        <f t="shared" si="5"/>
        <v>55.845494295509198</v>
      </c>
      <c r="O51">
        <f t="shared" si="6"/>
        <v>76.921859025597314</v>
      </c>
      <c r="P51">
        <f t="shared" si="7"/>
        <v>1.7339818289925722E-2</v>
      </c>
      <c r="Q51">
        <f t="shared" si="8"/>
        <v>2.1972650684042678</v>
      </c>
      <c r="R51">
        <f t="shared" si="9"/>
        <v>1.7264155368704927E-2</v>
      </c>
      <c r="S51">
        <f t="shared" si="10"/>
        <v>1.0796867508783841E-2</v>
      </c>
      <c r="T51">
        <f t="shared" si="11"/>
        <v>276.1143052871152</v>
      </c>
      <c r="U51">
        <f t="shared" si="12"/>
        <v>27.970346522258353</v>
      </c>
      <c r="V51">
        <f t="shared" si="13"/>
        <v>27.970346522258353</v>
      </c>
      <c r="W51">
        <f t="shared" si="14"/>
        <v>3.7882845005715149</v>
      </c>
      <c r="X51">
        <f t="shared" si="15"/>
        <v>31.706752102902303</v>
      </c>
      <c r="Y51">
        <f t="shared" si="16"/>
        <v>1.0705390028782802</v>
      </c>
      <c r="Z51">
        <f t="shared" si="17"/>
        <v>3.3763754780177804</v>
      </c>
      <c r="AA51">
        <f t="shared" si="18"/>
        <v>2.7177454976932349</v>
      </c>
      <c r="AB51">
        <f t="shared" si="19"/>
        <v>-21.388297438823383</v>
      </c>
      <c r="AC51">
        <f t="shared" si="20"/>
        <v>-232.14952385267833</v>
      </c>
      <c r="AD51">
        <f t="shared" si="21"/>
        <v>-22.799408317104096</v>
      </c>
      <c r="AE51">
        <f t="shared" si="22"/>
        <v>-0.22292432149060915</v>
      </c>
      <c r="AF51">
        <v>0</v>
      </c>
      <c r="AG51">
        <v>0</v>
      </c>
      <c r="AH51">
        <f t="shared" si="23"/>
        <v>1</v>
      </c>
      <c r="AI51">
        <f t="shared" si="24"/>
        <v>0</v>
      </c>
      <c r="AJ51">
        <f t="shared" si="25"/>
        <v>52688.712524396935</v>
      </c>
      <c r="AK51">
        <f t="shared" si="26"/>
        <v>1799.99</v>
      </c>
      <c r="AL51">
        <f t="shared" si="27"/>
        <v>1499.10146301227</v>
      </c>
      <c r="AM51">
        <f t="shared" si="28"/>
        <v>0.83283877299999998</v>
      </c>
      <c r="AN51">
        <f t="shared" si="29"/>
        <v>0.15339768847999999</v>
      </c>
      <c r="AO51">
        <v>31.2</v>
      </c>
      <c r="AP51">
        <v>0.5</v>
      </c>
      <c r="AQ51" t="s">
        <v>331</v>
      </c>
      <c r="AR51">
        <v>2</v>
      </c>
      <c r="AS51">
        <v>1690221395</v>
      </c>
      <c r="AT51">
        <v>775.64300000000003</v>
      </c>
      <c r="AU51">
        <v>800.02599999999995</v>
      </c>
      <c r="AV51">
        <v>10.7948</v>
      </c>
      <c r="AW51">
        <v>5.8087200000000001</v>
      </c>
      <c r="AX51">
        <v>776.12</v>
      </c>
      <c r="AY51">
        <v>10.839399999999999</v>
      </c>
      <c r="AZ51">
        <v>300.20600000000002</v>
      </c>
      <c r="BA51">
        <v>99.071799999999996</v>
      </c>
      <c r="BB51">
        <v>9.9931099999999995E-2</v>
      </c>
      <c r="BC51">
        <v>26.0106</v>
      </c>
      <c r="BD51">
        <v>26.946899999999999</v>
      </c>
      <c r="BE51">
        <v>27.720400000000001</v>
      </c>
      <c r="BF51">
        <v>0</v>
      </c>
      <c r="BG51">
        <v>0</v>
      </c>
      <c r="BH51">
        <v>10025.6</v>
      </c>
      <c r="BI51">
        <v>1069.79</v>
      </c>
      <c r="BJ51">
        <v>1.68198</v>
      </c>
      <c r="BK51">
        <v>-24.382300000000001</v>
      </c>
      <c r="BL51">
        <v>784.10799999999995</v>
      </c>
      <c r="BM51">
        <v>804.7</v>
      </c>
      <c r="BN51">
        <v>4.98611</v>
      </c>
      <c r="BO51">
        <v>800.02599999999995</v>
      </c>
      <c r="BP51">
        <v>5.8087200000000001</v>
      </c>
      <c r="BQ51">
        <v>1.0694600000000001</v>
      </c>
      <c r="BR51">
        <v>0.57547999999999999</v>
      </c>
      <c r="BS51">
        <v>7.8987299999999996</v>
      </c>
      <c r="BT51">
        <v>-0.88095500000000004</v>
      </c>
      <c r="BU51">
        <v>1799.99</v>
      </c>
      <c r="BV51">
        <v>0.90998599999999996</v>
      </c>
      <c r="BW51">
        <v>3.4004800000000002E-2</v>
      </c>
      <c r="BX51">
        <v>2.2002899999999999E-2</v>
      </c>
      <c r="BY51">
        <v>3.40062E-2</v>
      </c>
      <c r="BZ51">
        <v>25</v>
      </c>
      <c r="CA51">
        <v>33528.1</v>
      </c>
      <c r="CB51">
        <v>1690220522.5999999</v>
      </c>
      <c r="CC51" t="s">
        <v>332</v>
      </c>
      <c r="CD51">
        <v>1690220522.5999999</v>
      </c>
      <c r="CE51">
        <v>1690220510.5999999</v>
      </c>
      <c r="CF51">
        <v>10</v>
      </c>
      <c r="CG51">
        <v>-0.22</v>
      </c>
      <c r="CH51">
        <v>-2.7E-2</v>
      </c>
      <c r="CI51">
        <v>-0.49299999999999999</v>
      </c>
      <c r="CJ51">
        <v>0.152</v>
      </c>
      <c r="CK51">
        <v>800</v>
      </c>
      <c r="CL51">
        <v>19</v>
      </c>
      <c r="CM51">
        <v>0.1</v>
      </c>
      <c r="CN51">
        <v>0.03</v>
      </c>
      <c r="CO51">
        <v>-22.783940000000001</v>
      </c>
      <c r="CP51">
        <v>-8.5723677298310985</v>
      </c>
      <c r="CQ51">
        <v>0.82562837396736777</v>
      </c>
      <c r="CR51">
        <v>-1</v>
      </c>
      <c r="CS51">
        <v>4.90548875</v>
      </c>
      <c r="CT51">
        <v>0.44030015009379958</v>
      </c>
      <c r="CU51">
        <v>4.2359318171300862E-2</v>
      </c>
      <c r="CV51">
        <v>-1</v>
      </c>
      <c r="CW51">
        <v>0</v>
      </c>
      <c r="CX51">
        <v>0</v>
      </c>
      <c r="CY51" t="s">
        <v>333</v>
      </c>
      <c r="CZ51">
        <v>2.3643399999999999</v>
      </c>
      <c r="DA51">
        <v>2.7137500000000001</v>
      </c>
      <c r="DB51">
        <v>0.143484</v>
      </c>
      <c r="DC51">
        <v>0.14602699999999999</v>
      </c>
      <c r="DD51">
        <v>6.3913800000000007E-2</v>
      </c>
      <c r="DE51">
        <v>3.8400999999999998E-2</v>
      </c>
      <c r="DF51">
        <v>31262.799999999999</v>
      </c>
      <c r="DG51">
        <v>27507.9</v>
      </c>
      <c r="DH51">
        <v>31161.5</v>
      </c>
      <c r="DI51">
        <v>28069.3</v>
      </c>
      <c r="DJ51">
        <v>39619.199999999997</v>
      </c>
      <c r="DK51">
        <v>38384.6</v>
      </c>
      <c r="DL51">
        <v>44344.9</v>
      </c>
      <c r="DM51">
        <v>42543.9</v>
      </c>
      <c r="DN51">
        <v>1.4734</v>
      </c>
      <c r="DO51">
        <v>2.0299499999999999</v>
      </c>
      <c r="DP51">
        <v>0.10119400000000001</v>
      </c>
      <c r="DQ51">
        <v>0.16267200000000001</v>
      </c>
      <c r="DR51">
        <v>25.2896</v>
      </c>
      <c r="DS51">
        <v>25.057400000000001</v>
      </c>
      <c r="DT51">
        <v>20.100000000000001</v>
      </c>
      <c r="DU51">
        <v>29.5</v>
      </c>
      <c r="DV51">
        <v>8.3985599999999998</v>
      </c>
      <c r="DW51">
        <v>61.714199999999998</v>
      </c>
      <c r="DX51">
        <v>37.095399999999998</v>
      </c>
      <c r="DY51">
        <v>1</v>
      </c>
      <c r="DZ51">
        <v>-6.8907499999999997E-2</v>
      </c>
      <c r="EA51">
        <v>0.88377700000000003</v>
      </c>
      <c r="EB51">
        <v>20.186800000000002</v>
      </c>
      <c r="EC51">
        <v>5.2401999999999997</v>
      </c>
      <c r="ED51">
        <v>12.039899999999999</v>
      </c>
      <c r="EE51">
        <v>5.0168499999999998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1.86893</v>
      </c>
      <c r="EL51">
        <v>1.8646400000000001</v>
      </c>
      <c r="EM51">
        <v>1.8691899999999999</v>
      </c>
      <c r="EN51">
        <v>1.86724</v>
      </c>
      <c r="EO51">
        <v>1.8633999999999999</v>
      </c>
      <c r="EP51">
        <v>1.86456</v>
      </c>
      <c r="EQ51">
        <v>1.8701700000000001</v>
      </c>
      <c r="ER51">
        <v>1.86947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-0.47699999999999998</v>
      </c>
      <c r="FG51">
        <v>-4.4600000000000001E-2</v>
      </c>
      <c r="FH51">
        <v>5.8509882529719233E-2</v>
      </c>
      <c r="FI51">
        <v>-6.1462078757559423E-4</v>
      </c>
      <c r="FJ51">
        <v>-1.8861989874597051E-7</v>
      </c>
      <c r="FK51">
        <v>1.1980462299894961E-10</v>
      </c>
      <c r="FL51">
        <v>-5.9863424041980147E-2</v>
      </c>
      <c r="FM51">
        <v>-1.6848085045870601E-2</v>
      </c>
      <c r="FN51">
        <v>1.9789084769509481E-3</v>
      </c>
      <c r="FO51">
        <v>-2.7142391389806329E-5</v>
      </c>
      <c r="FP51">
        <v>3</v>
      </c>
      <c r="FQ51">
        <v>2158</v>
      </c>
      <c r="FR51">
        <v>1</v>
      </c>
      <c r="FS51">
        <v>19</v>
      </c>
      <c r="FT51">
        <v>14.5</v>
      </c>
      <c r="FU51">
        <v>14.7</v>
      </c>
      <c r="FV51">
        <v>1.7773399999999999</v>
      </c>
      <c r="FW51">
        <v>2.5781200000000002</v>
      </c>
      <c r="FX51">
        <v>1.5490699999999999</v>
      </c>
      <c r="FY51">
        <v>2.3290999999999999</v>
      </c>
      <c r="FZ51">
        <v>1.50146</v>
      </c>
      <c r="GA51">
        <v>2.3278799999999999</v>
      </c>
      <c r="GB51">
        <v>33.896099999999997</v>
      </c>
      <c r="GC51">
        <v>23.982399999999998</v>
      </c>
      <c r="GD51">
        <v>19</v>
      </c>
      <c r="GE51">
        <v>282.56299999999999</v>
      </c>
      <c r="GF51">
        <v>579.64400000000001</v>
      </c>
      <c r="GG51">
        <v>23.043199999999999</v>
      </c>
      <c r="GH51">
        <v>26.529399999999999</v>
      </c>
      <c r="GI51">
        <v>30.0002</v>
      </c>
      <c r="GJ51">
        <v>26.5504</v>
      </c>
      <c r="GK51">
        <v>26.496300000000002</v>
      </c>
      <c r="GL51">
        <v>35.5319</v>
      </c>
      <c r="GM51">
        <v>-30</v>
      </c>
      <c r="GN51">
        <v>-30</v>
      </c>
      <c r="GO51">
        <v>23.069099999999999</v>
      </c>
      <c r="GP51">
        <v>800</v>
      </c>
      <c r="GQ51">
        <v>18.0809</v>
      </c>
      <c r="GR51">
        <v>99.702500000000001</v>
      </c>
      <c r="GS51">
        <v>99.524500000000003</v>
      </c>
    </row>
    <row r="52" spans="1:201" x14ac:dyDescent="0.25">
      <c r="A52">
        <v>36</v>
      </c>
      <c r="B52">
        <v>1690221405</v>
      </c>
      <c r="C52">
        <v>522.5</v>
      </c>
      <c r="D52" t="s">
        <v>403</v>
      </c>
      <c r="E52" t="s">
        <v>404</v>
      </c>
      <c r="F52" t="s">
        <v>330</v>
      </c>
      <c r="H52">
        <v>1690221405</v>
      </c>
      <c r="I52">
        <f t="shared" si="0"/>
        <v>4.9242269065591761E-4</v>
      </c>
      <c r="J52">
        <f t="shared" si="1"/>
        <v>0.49242269065591765</v>
      </c>
      <c r="K52">
        <f t="shared" si="2"/>
        <v>2.114537543289138</v>
      </c>
      <c r="L52">
        <f t="shared" si="3"/>
        <v>774.09400000000005</v>
      </c>
      <c r="M52">
        <f t="shared" si="4"/>
        <v>551.95504578910231</v>
      </c>
      <c r="N52">
        <f t="shared" si="5"/>
        <v>54.738749469922233</v>
      </c>
      <c r="O52">
        <f t="shared" si="6"/>
        <v>76.768819952703808</v>
      </c>
      <c r="P52">
        <f t="shared" si="7"/>
        <v>1.7649253193975593E-2</v>
      </c>
      <c r="Q52">
        <f t="shared" si="8"/>
        <v>2.1933629639985766</v>
      </c>
      <c r="R52">
        <f t="shared" si="9"/>
        <v>1.7570733531447977E-2</v>
      </c>
      <c r="S52">
        <f t="shared" si="10"/>
        <v>1.0988733927801917E-2</v>
      </c>
      <c r="T52">
        <f t="shared" si="11"/>
        <v>276.11418303179448</v>
      </c>
      <c r="U52">
        <f t="shared" si="12"/>
        <v>27.973993266331703</v>
      </c>
      <c r="V52">
        <f t="shared" si="13"/>
        <v>27.973993266331703</v>
      </c>
      <c r="W52">
        <f t="shared" si="14"/>
        <v>3.7890901143683715</v>
      </c>
      <c r="X52">
        <f t="shared" si="15"/>
        <v>31.921030249965447</v>
      </c>
      <c r="Y52">
        <f t="shared" si="16"/>
        <v>1.0779651636079199</v>
      </c>
      <c r="Z52">
        <f t="shared" si="17"/>
        <v>3.3769748506443857</v>
      </c>
      <c r="AA52">
        <f t="shared" si="18"/>
        <v>2.7111249507604516</v>
      </c>
      <c r="AB52">
        <f t="shared" si="19"/>
        <v>-21.715840657925966</v>
      </c>
      <c r="AC52">
        <f t="shared" si="20"/>
        <v>-231.81372805248293</v>
      </c>
      <c r="AD52">
        <f t="shared" si="21"/>
        <v>-22.807690591272618</v>
      </c>
      <c r="AE52">
        <f t="shared" si="22"/>
        <v>-0.22307626988703078</v>
      </c>
      <c r="AF52">
        <v>0</v>
      </c>
      <c r="AG52">
        <v>0</v>
      </c>
      <c r="AH52">
        <f t="shared" si="23"/>
        <v>1</v>
      </c>
      <c r="AI52">
        <f t="shared" si="24"/>
        <v>0</v>
      </c>
      <c r="AJ52">
        <f t="shared" si="25"/>
        <v>52528.041510246905</v>
      </c>
      <c r="AK52">
        <f t="shared" si="26"/>
        <v>1799.99</v>
      </c>
      <c r="AL52">
        <f t="shared" si="27"/>
        <v>1499.1032774021903</v>
      </c>
      <c r="AM52">
        <f t="shared" si="28"/>
        <v>0.83283978100000011</v>
      </c>
      <c r="AN52">
        <f t="shared" si="29"/>
        <v>0.15339762056000003</v>
      </c>
      <c r="AO52">
        <v>31.2</v>
      </c>
      <c r="AP52">
        <v>0.5</v>
      </c>
      <c r="AQ52" t="s">
        <v>331</v>
      </c>
      <c r="AR52">
        <v>2</v>
      </c>
      <c r="AS52">
        <v>1690221405</v>
      </c>
      <c r="AT52">
        <v>774.09400000000005</v>
      </c>
      <c r="AU52">
        <v>800.03399999999999</v>
      </c>
      <c r="AV52">
        <v>10.8696</v>
      </c>
      <c r="AW52">
        <v>5.8070899999999996</v>
      </c>
      <c r="AX52">
        <v>774.56899999999996</v>
      </c>
      <c r="AY52">
        <v>10.9129</v>
      </c>
      <c r="AZ52">
        <v>300.17899999999997</v>
      </c>
      <c r="BA52">
        <v>99.072500000000005</v>
      </c>
      <c r="BB52">
        <v>9.9977700000000003E-2</v>
      </c>
      <c r="BC52">
        <v>26.0136</v>
      </c>
      <c r="BD52">
        <v>26.939299999999999</v>
      </c>
      <c r="BE52">
        <v>27.735600000000002</v>
      </c>
      <c r="BF52">
        <v>0</v>
      </c>
      <c r="BG52">
        <v>0</v>
      </c>
      <c r="BH52">
        <v>9993.75</v>
      </c>
      <c r="BI52">
        <v>1069.92</v>
      </c>
      <c r="BJ52">
        <v>1.68198</v>
      </c>
      <c r="BK52">
        <v>-25.939299999999999</v>
      </c>
      <c r="BL52">
        <v>782.601</v>
      </c>
      <c r="BM52">
        <v>804.70699999999999</v>
      </c>
      <c r="BN52">
        <v>5.0625200000000001</v>
      </c>
      <c r="BO52">
        <v>800.03399999999999</v>
      </c>
      <c r="BP52">
        <v>5.8070899999999996</v>
      </c>
      <c r="BQ52">
        <v>1.0768800000000001</v>
      </c>
      <c r="BR52">
        <v>0.57532300000000003</v>
      </c>
      <c r="BS52">
        <v>8.0002600000000008</v>
      </c>
      <c r="BT52">
        <v>-0.884687</v>
      </c>
      <c r="BU52">
        <v>1799.99</v>
      </c>
      <c r="BV52">
        <v>0.90999300000000005</v>
      </c>
      <c r="BW52">
        <v>3.4002400000000002E-2</v>
      </c>
      <c r="BX52">
        <v>2.2001300000000001E-2</v>
      </c>
      <c r="BY52">
        <v>3.4003800000000001E-2</v>
      </c>
      <c r="BZ52">
        <v>25</v>
      </c>
      <c r="CA52">
        <v>33528.199999999997</v>
      </c>
      <c r="CB52">
        <v>1690220522.5999999</v>
      </c>
      <c r="CC52" t="s">
        <v>332</v>
      </c>
      <c r="CD52">
        <v>1690220522.5999999</v>
      </c>
      <c r="CE52">
        <v>1690220510.5999999</v>
      </c>
      <c r="CF52">
        <v>10</v>
      </c>
      <c r="CG52">
        <v>-0.22</v>
      </c>
      <c r="CH52">
        <v>-2.7E-2</v>
      </c>
      <c r="CI52">
        <v>-0.49299999999999999</v>
      </c>
      <c r="CJ52">
        <v>0.152</v>
      </c>
      <c r="CK52">
        <v>800</v>
      </c>
      <c r="CL52">
        <v>19</v>
      </c>
      <c r="CM52">
        <v>0.1</v>
      </c>
      <c r="CN52">
        <v>0.03</v>
      </c>
      <c r="CO52">
        <v>-24.302531707317069</v>
      </c>
      <c r="CP52">
        <v>-9.2086912891986081</v>
      </c>
      <c r="CQ52">
        <v>0.90856758596316822</v>
      </c>
      <c r="CR52">
        <v>-1</v>
      </c>
      <c r="CS52">
        <v>4.9822814634146342</v>
      </c>
      <c r="CT52">
        <v>0.45573888501741772</v>
      </c>
      <c r="CU52">
        <v>4.4942662960220509E-2</v>
      </c>
      <c r="CV52">
        <v>-1</v>
      </c>
      <c r="CW52">
        <v>0</v>
      </c>
      <c r="CX52">
        <v>0</v>
      </c>
      <c r="CY52" t="s">
        <v>333</v>
      </c>
      <c r="CZ52">
        <v>2.3642699999999999</v>
      </c>
      <c r="DA52">
        <v>2.7137600000000002</v>
      </c>
      <c r="DB52">
        <v>0.143293</v>
      </c>
      <c r="DC52">
        <v>0.14602699999999999</v>
      </c>
      <c r="DD52">
        <v>6.4246899999999996E-2</v>
      </c>
      <c r="DE52">
        <v>3.83919E-2</v>
      </c>
      <c r="DF52">
        <v>31269.9</v>
      </c>
      <c r="DG52">
        <v>27508.3</v>
      </c>
      <c r="DH52">
        <v>31161.7</v>
      </c>
      <c r="DI52">
        <v>28069.7</v>
      </c>
      <c r="DJ52">
        <v>39605.300000000003</v>
      </c>
      <c r="DK52">
        <v>38385.599999999999</v>
      </c>
      <c r="DL52">
        <v>44345.2</v>
      </c>
      <c r="DM52">
        <v>42544.6</v>
      </c>
      <c r="DN52">
        <v>1.4733000000000001</v>
      </c>
      <c r="DO52">
        <v>2.0298799999999999</v>
      </c>
      <c r="DP52">
        <v>0.10144</v>
      </c>
      <c r="DQ52">
        <v>0.16424800000000001</v>
      </c>
      <c r="DR52">
        <v>25.277899999999999</v>
      </c>
      <c r="DS52">
        <v>25.046800000000001</v>
      </c>
      <c r="DT52">
        <v>20</v>
      </c>
      <c r="DU52">
        <v>29.5</v>
      </c>
      <c r="DV52">
        <v>8.35623</v>
      </c>
      <c r="DW52">
        <v>61.914200000000001</v>
      </c>
      <c r="DX52">
        <v>37.119399999999999</v>
      </c>
      <c r="DY52">
        <v>1</v>
      </c>
      <c r="DZ52">
        <v>-6.9220000000000004E-2</v>
      </c>
      <c r="EA52">
        <v>0.79744800000000005</v>
      </c>
      <c r="EB52">
        <v>20.1874</v>
      </c>
      <c r="EC52">
        <v>5.2411000000000003</v>
      </c>
      <c r="ED52">
        <v>12.039899999999999</v>
      </c>
      <c r="EE52">
        <v>5.0170000000000003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1.86894</v>
      </c>
      <c r="EL52">
        <v>1.8646400000000001</v>
      </c>
      <c r="EM52">
        <v>1.8692</v>
      </c>
      <c r="EN52">
        <v>1.8672299999999999</v>
      </c>
      <c r="EO52">
        <v>1.86341</v>
      </c>
      <c r="EP52">
        <v>1.8645799999999999</v>
      </c>
      <c r="EQ52">
        <v>1.8702000000000001</v>
      </c>
      <c r="ER52">
        <v>1.8694900000000001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-0.47499999999999998</v>
      </c>
      <c r="FG52">
        <v>-4.3299999999999998E-2</v>
      </c>
      <c r="FH52">
        <v>5.8509882529719233E-2</v>
      </c>
      <c r="FI52">
        <v>-6.1462078757559423E-4</v>
      </c>
      <c r="FJ52">
        <v>-1.8861989874597051E-7</v>
      </c>
      <c r="FK52">
        <v>1.1980462299894961E-10</v>
      </c>
      <c r="FL52">
        <v>-5.9863424041980147E-2</v>
      </c>
      <c r="FM52">
        <v>-1.6848085045870601E-2</v>
      </c>
      <c r="FN52">
        <v>1.9789084769509481E-3</v>
      </c>
      <c r="FO52">
        <v>-2.7142391389806329E-5</v>
      </c>
      <c r="FP52">
        <v>3</v>
      </c>
      <c r="FQ52">
        <v>2158</v>
      </c>
      <c r="FR52">
        <v>1</v>
      </c>
      <c r="FS52">
        <v>19</v>
      </c>
      <c r="FT52">
        <v>14.7</v>
      </c>
      <c r="FU52">
        <v>14.9</v>
      </c>
      <c r="FV52">
        <v>1.7773399999999999</v>
      </c>
      <c r="FW52">
        <v>2.5805699999999998</v>
      </c>
      <c r="FX52">
        <v>1.5490699999999999</v>
      </c>
      <c r="FY52">
        <v>2.3290999999999999</v>
      </c>
      <c r="FZ52">
        <v>1.50146</v>
      </c>
      <c r="GA52">
        <v>2.33765</v>
      </c>
      <c r="GB52">
        <v>33.896099999999997</v>
      </c>
      <c r="GC52">
        <v>23.973700000000001</v>
      </c>
      <c r="GD52">
        <v>19</v>
      </c>
      <c r="GE52">
        <v>282.52</v>
      </c>
      <c r="GF52">
        <v>579.62599999999998</v>
      </c>
      <c r="GG52">
        <v>23.095800000000001</v>
      </c>
      <c r="GH52">
        <v>26.524899999999999</v>
      </c>
      <c r="GI52">
        <v>29.9999</v>
      </c>
      <c r="GJ52">
        <v>26.5504</v>
      </c>
      <c r="GK52">
        <v>26.5002</v>
      </c>
      <c r="GL52">
        <v>35.532600000000002</v>
      </c>
      <c r="GM52">
        <v>-30</v>
      </c>
      <c r="GN52">
        <v>-30</v>
      </c>
      <c r="GO52">
        <v>23.127400000000002</v>
      </c>
      <c r="GP52">
        <v>800</v>
      </c>
      <c r="GQ52">
        <v>18.0809</v>
      </c>
      <c r="GR52">
        <v>99.703000000000003</v>
      </c>
      <c r="GS52">
        <v>99.525999999999996</v>
      </c>
    </row>
    <row r="53" spans="1:201" x14ac:dyDescent="0.25">
      <c r="A53">
        <v>37</v>
      </c>
      <c r="B53">
        <v>1690221415</v>
      </c>
      <c r="C53">
        <v>532.5</v>
      </c>
      <c r="D53" t="s">
        <v>405</v>
      </c>
      <c r="E53" t="s">
        <v>406</v>
      </c>
      <c r="F53" t="s">
        <v>330</v>
      </c>
      <c r="H53">
        <v>1690221415</v>
      </c>
      <c r="I53">
        <f t="shared" si="0"/>
        <v>5.0044877827594371E-4</v>
      </c>
      <c r="J53">
        <f t="shared" si="1"/>
        <v>0.5004487782759437</v>
      </c>
      <c r="K53">
        <f t="shared" si="2"/>
        <v>2.2588653945538373</v>
      </c>
      <c r="L53">
        <f t="shared" si="3"/>
        <v>772.45399999999995</v>
      </c>
      <c r="M53">
        <f t="shared" si="4"/>
        <v>541.48535691908626</v>
      </c>
      <c r="N53">
        <f t="shared" si="5"/>
        <v>53.70015386874357</v>
      </c>
      <c r="O53">
        <f t="shared" si="6"/>
        <v>76.605762513213989</v>
      </c>
      <c r="P53">
        <f t="shared" si="7"/>
        <v>1.7995412969889435E-2</v>
      </c>
      <c r="Q53">
        <f t="shared" si="8"/>
        <v>2.194664419115099</v>
      </c>
      <c r="R53">
        <f t="shared" si="9"/>
        <v>1.7913838899900451E-2</v>
      </c>
      <c r="S53">
        <f t="shared" si="10"/>
        <v>1.1203447502597752E-2</v>
      </c>
      <c r="T53">
        <f t="shared" si="11"/>
        <v>276.11382933375944</v>
      </c>
      <c r="U53">
        <f t="shared" si="12"/>
        <v>27.970504571242099</v>
      </c>
      <c r="V53">
        <f t="shared" si="13"/>
        <v>27.970504571242099</v>
      </c>
      <c r="W53">
        <f t="shared" si="14"/>
        <v>3.7883194125754329</v>
      </c>
      <c r="X53">
        <f t="shared" si="15"/>
        <v>32.155223494253931</v>
      </c>
      <c r="Y53">
        <f t="shared" si="16"/>
        <v>1.0858930851735999</v>
      </c>
      <c r="Z53">
        <f t="shared" si="17"/>
        <v>3.3770347930178333</v>
      </c>
      <c r="AA53">
        <f t="shared" si="18"/>
        <v>2.7024263274018328</v>
      </c>
      <c r="AB53">
        <f t="shared" si="19"/>
        <v>-22.069791121969118</v>
      </c>
      <c r="AC53">
        <f t="shared" si="20"/>
        <v>-231.50300352002054</v>
      </c>
      <c r="AD53">
        <f t="shared" si="21"/>
        <v>-22.763248121474547</v>
      </c>
      <c r="AE53">
        <f t="shared" si="22"/>
        <v>-0.22221342970473756</v>
      </c>
      <c r="AF53">
        <v>0</v>
      </c>
      <c r="AG53">
        <v>0</v>
      </c>
      <c r="AH53">
        <f t="shared" si="23"/>
        <v>1</v>
      </c>
      <c r="AI53">
        <f t="shared" si="24"/>
        <v>0</v>
      </c>
      <c r="AJ53">
        <f t="shared" si="25"/>
        <v>52581.359795679113</v>
      </c>
      <c r="AK53">
        <f t="shared" si="26"/>
        <v>1799.99</v>
      </c>
      <c r="AL53">
        <f t="shared" si="27"/>
        <v>1499.10373639964</v>
      </c>
      <c r="AM53">
        <f t="shared" si="28"/>
        <v>0.83284003600000001</v>
      </c>
      <c r="AN53">
        <f t="shared" si="29"/>
        <v>0.15339742406000001</v>
      </c>
      <c r="AO53">
        <v>31.2</v>
      </c>
      <c r="AP53">
        <v>0.5</v>
      </c>
      <c r="AQ53" t="s">
        <v>331</v>
      </c>
      <c r="AR53">
        <v>2</v>
      </c>
      <c r="AS53">
        <v>1690221415</v>
      </c>
      <c r="AT53">
        <v>772.45399999999995</v>
      </c>
      <c r="AU53">
        <v>799.95299999999997</v>
      </c>
      <c r="AV53">
        <v>10.9496</v>
      </c>
      <c r="AW53">
        <v>5.8044599999999997</v>
      </c>
      <c r="AX53">
        <v>772.928</v>
      </c>
      <c r="AY53">
        <v>10.9916</v>
      </c>
      <c r="AZ53">
        <v>300.14800000000002</v>
      </c>
      <c r="BA53">
        <v>99.071899999999999</v>
      </c>
      <c r="BB53">
        <v>0.100041</v>
      </c>
      <c r="BC53">
        <v>26.0139</v>
      </c>
      <c r="BD53">
        <v>26.967300000000002</v>
      </c>
      <c r="BE53">
        <v>27.700199999999999</v>
      </c>
      <c r="BF53">
        <v>0</v>
      </c>
      <c r="BG53">
        <v>0</v>
      </c>
      <c r="BH53">
        <v>10004.4</v>
      </c>
      <c r="BI53">
        <v>1069.8599999999999</v>
      </c>
      <c r="BJ53">
        <v>1.68198</v>
      </c>
      <c r="BK53">
        <v>-27.499300000000002</v>
      </c>
      <c r="BL53">
        <v>781.00599999999997</v>
      </c>
      <c r="BM53">
        <v>804.62400000000002</v>
      </c>
      <c r="BN53">
        <v>5.1451200000000004</v>
      </c>
      <c r="BO53">
        <v>799.95299999999997</v>
      </c>
      <c r="BP53">
        <v>5.8044599999999997</v>
      </c>
      <c r="BQ53">
        <v>1.0848</v>
      </c>
      <c r="BR53">
        <v>0.57505799999999996</v>
      </c>
      <c r="BS53">
        <v>8.1079500000000007</v>
      </c>
      <c r="BT53">
        <v>-0.89097599999999999</v>
      </c>
      <c r="BU53">
        <v>1799.99</v>
      </c>
      <c r="BV53">
        <v>0.909999</v>
      </c>
      <c r="BW53">
        <v>3.4000000000000002E-2</v>
      </c>
      <c r="BX53">
        <v>2.19998E-2</v>
      </c>
      <c r="BY53">
        <v>3.4001400000000001E-2</v>
      </c>
      <c r="BZ53">
        <v>25</v>
      </c>
      <c r="CA53">
        <v>33528.199999999997</v>
      </c>
      <c r="CB53">
        <v>1690220522.5999999</v>
      </c>
      <c r="CC53" t="s">
        <v>332</v>
      </c>
      <c r="CD53">
        <v>1690220522.5999999</v>
      </c>
      <c r="CE53">
        <v>1690220510.5999999</v>
      </c>
      <c r="CF53">
        <v>10</v>
      </c>
      <c r="CG53">
        <v>-0.22</v>
      </c>
      <c r="CH53">
        <v>-2.7E-2</v>
      </c>
      <c r="CI53">
        <v>-0.49299999999999999</v>
      </c>
      <c r="CJ53">
        <v>0.152</v>
      </c>
      <c r="CK53">
        <v>800</v>
      </c>
      <c r="CL53">
        <v>19</v>
      </c>
      <c r="CM53">
        <v>0.1</v>
      </c>
      <c r="CN53">
        <v>0.03</v>
      </c>
      <c r="CO53">
        <v>-25.817444999999999</v>
      </c>
      <c r="CP53">
        <v>-9.3403429643526756</v>
      </c>
      <c r="CQ53">
        <v>0.89859942242080271</v>
      </c>
      <c r="CR53">
        <v>-1</v>
      </c>
      <c r="CS53">
        <v>5.0576409999999994</v>
      </c>
      <c r="CT53">
        <v>0.47064945590992452</v>
      </c>
      <c r="CU53">
        <v>4.5278611606364497E-2</v>
      </c>
      <c r="CV53">
        <v>-1</v>
      </c>
      <c r="CW53">
        <v>0</v>
      </c>
      <c r="CX53">
        <v>0</v>
      </c>
      <c r="CY53" t="s">
        <v>333</v>
      </c>
      <c r="CZ53">
        <v>2.36416</v>
      </c>
      <c r="DA53">
        <v>2.7138399999999998</v>
      </c>
      <c r="DB53">
        <v>0.14308899999999999</v>
      </c>
      <c r="DC53">
        <v>0.14601600000000001</v>
      </c>
      <c r="DD53">
        <v>6.4601099999999995E-2</v>
      </c>
      <c r="DE53">
        <v>3.83772E-2</v>
      </c>
      <c r="DF53">
        <v>31277.599999999999</v>
      </c>
      <c r="DG53">
        <v>27509</v>
      </c>
      <c r="DH53">
        <v>31161.9</v>
      </c>
      <c r="DI53">
        <v>28070</v>
      </c>
      <c r="DJ53">
        <v>39590.400000000001</v>
      </c>
      <c r="DK53">
        <v>38386.6</v>
      </c>
      <c r="DL53">
        <v>44345.4</v>
      </c>
      <c r="DM53">
        <v>42545.1</v>
      </c>
      <c r="DN53">
        <v>1.47343</v>
      </c>
      <c r="DO53">
        <v>2.03017</v>
      </c>
      <c r="DP53">
        <v>0.103869</v>
      </c>
      <c r="DQ53">
        <v>0.16278799999999999</v>
      </c>
      <c r="DR53">
        <v>25.266200000000001</v>
      </c>
      <c r="DS53">
        <v>25.0352</v>
      </c>
      <c r="DT53">
        <v>20</v>
      </c>
      <c r="DU53">
        <v>29.5</v>
      </c>
      <c r="DV53">
        <v>8.3565400000000007</v>
      </c>
      <c r="DW53">
        <v>62.054200000000002</v>
      </c>
      <c r="DX53">
        <v>37.119399999999999</v>
      </c>
      <c r="DY53">
        <v>1</v>
      </c>
      <c r="DZ53">
        <v>-6.9560499999999997E-2</v>
      </c>
      <c r="EA53">
        <v>0.70738599999999996</v>
      </c>
      <c r="EB53">
        <v>20.188099999999999</v>
      </c>
      <c r="EC53">
        <v>5.2404999999999999</v>
      </c>
      <c r="ED53">
        <v>12.039899999999999</v>
      </c>
      <c r="EE53">
        <v>5.0167999999999999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1.86894</v>
      </c>
      <c r="EL53">
        <v>1.8646499999999999</v>
      </c>
      <c r="EM53">
        <v>1.8692</v>
      </c>
      <c r="EN53">
        <v>1.8672500000000001</v>
      </c>
      <c r="EO53">
        <v>1.8633999999999999</v>
      </c>
      <c r="EP53">
        <v>1.86456</v>
      </c>
      <c r="EQ53">
        <v>1.87019</v>
      </c>
      <c r="ER53">
        <v>1.8694900000000001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-0.47399999999999998</v>
      </c>
      <c r="FG53">
        <v>-4.2000000000000003E-2</v>
      </c>
      <c r="FH53">
        <v>5.8509882529719233E-2</v>
      </c>
      <c r="FI53">
        <v>-6.1462078757559423E-4</v>
      </c>
      <c r="FJ53">
        <v>-1.8861989874597051E-7</v>
      </c>
      <c r="FK53">
        <v>1.1980462299894961E-10</v>
      </c>
      <c r="FL53">
        <v>-5.9863424041980147E-2</v>
      </c>
      <c r="FM53">
        <v>-1.6848085045870601E-2</v>
      </c>
      <c r="FN53">
        <v>1.9789084769509481E-3</v>
      </c>
      <c r="FO53">
        <v>-2.7142391389806329E-5</v>
      </c>
      <c r="FP53">
        <v>3</v>
      </c>
      <c r="FQ53">
        <v>2158</v>
      </c>
      <c r="FR53">
        <v>1</v>
      </c>
      <c r="FS53">
        <v>19</v>
      </c>
      <c r="FT53">
        <v>14.9</v>
      </c>
      <c r="FU53">
        <v>15.1</v>
      </c>
      <c r="FV53">
        <v>1.7773399999999999</v>
      </c>
      <c r="FW53">
        <v>2.5805699999999998</v>
      </c>
      <c r="FX53">
        <v>1.5490699999999999</v>
      </c>
      <c r="FY53">
        <v>2.3290999999999999</v>
      </c>
      <c r="FZ53">
        <v>1.50146</v>
      </c>
      <c r="GA53">
        <v>2.35229</v>
      </c>
      <c r="GB53">
        <v>33.896099999999997</v>
      </c>
      <c r="GC53">
        <v>23.982399999999998</v>
      </c>
      <c r="GD53">
        <v>19</v>
      </c>
      <c r="GE53">
        <v>282.58300000000003</v>
      </c>
      <c r="GF53">
        <v>579.89800000000002</v>
      </c>
      <c r="GG53">
        <v>23.160599999999999</v>
      </c>
      <c r="GH53">
        <v>26.5198</v>
      </c>
      <c r="GI53">
        <v>29.9999</v>
      </c>
      <c r="GJ53">
        <v>26.552600000000002</v>
      </c>
      <c r="GK53">
        <v>26.502500000000001</v>
      </c>
      <c r="GL53">
        <v>35.533200000000001</v>
      </c>
      <c r="GM53">
        <v>-30</v>
      </c>
      <c r="GN53">
        <v>-30</v>
      </c>
      <c r="GO53">
        <v>23.193100000000001</v>
      </c>
      <c r="GP53">
        <v>800</v>
      </c>
      <c r="GQ53">
        <v>18.0809</v>
      </c>
      <c r="GR53">
        <v>99.703599999999994</v>
      </c>
      <c r="GS53">
        <v>99.527100000000004</v>
      </c>
    </row>
    <row r="54" spans="1:201" x14ac:dyDescent="0.25">
      <c r="A54">
        <v>38</v>
      </c>
      <c r="B54">
        <v>1690221425</v>
      </c>
      <c r="C54">
        <v>542.5</v>
      </c>
      <c r="D54" t="s">
        <v>407</v>
      </c>
      <c r="E54" t="s">
        <v>408</v>
      </c>
      <c r="F54" t="s">
        <v>330</v>
      </c>
      <c r="H54">
        <v>1690221425</v>
      </c>
      <c r="I54">
        <f t="shared" si="0"/>
        <v>5.0870181999087736E-4</v>
      </c>
      <c r="J54">
        <f t="shared" si="1"/>
        <v>0.50870181999087738</v>
      </c>
      <c r="K54">
        <f t="shared" si="2"/>
        <v>2.4170901833160596</v>
      </c>
      <c r="L54">
        <f t="shared" si="3"/>
        <v>770.75300000000004</v>
      </c>
      <c r="M54">
        <f t="shared" si="4"/>
        <v>530.17159355906392</v>
      </c>
      <c r="N54">
        <f t="shared" si="5"/>
        <v>52.579241860999353</v>
      </c>
      <c r="O54">
        <f t="shared" si="6"/>
        <v>76.438664188024006</v>
      </c>
      <c r="P54">
        <f t="shared" si="7"/>
        <v>1.8348336039978118E-2</v>
      </c>
      <c r="Q54">
        <f t="shared" si="8"/>
        <v>2.1924590790514609</v>
      </c>
      <c r="R54">
        <f t="shared" si="9"/>
        <v>1.8263454228718907E-2</v>
      </c>
      <c r="S54">
        <f t="shared" si="10"/>
        <v>1.1422252360129488E-2</v>
      </c>
      <c r="T54">
        <f t="shared" si="11"/>
        <v>276.1134150660609</v>
      </c>
      <c r="U54">
        <f t="shared" si="12"/>
        <v>27.971385658088149</v>
      </c>
      <c r="V54">
        <f t="shared" si="13"/>
        <v>27.971385658088149</v>
      </c>
      <c r="W54">
        <f t="shared" si="14"/>
        <v>3.7885140441368828</v>
      </c>
      <c r="X54">
        <f t="shared" si="15"/>
        <v>32.396586554019471</v>
      </c>
      <c r="Y54">
        <f t="shared" si="16"/>
        <v>1.0941669954624</v>
      </c>
      <c r="Z54">
        <f t="shared" si="17"/>
        <v>3.3774144496301748</v>
      </c>
      <c r="AA54">
        <f t="shared" si="18"/>
        <v>2.6943470486744827</v>
      </c>
      <c r="AB54">
        <f t="shared" si="19"/>
        <v>-22.433750261597691</v>
      </c>
      <c r="AC54">
        <f t="shared" si="20"/>
        <v>-231.14993901593979</v>
      </c>
      <c r="AD54">
        <f t="shared" si="21"/>
        <v>-22.751710151805288</v>
      </c>
      <c r="AE54">
        <f t="shared" si="22"/>
        <v>-0.22198436328187654</v>
      </c>
      <c r="AF54">
        <v>0</v>
      </c>
      <c r="AG54">
        <v>0</v>
      </c>
      <c r="AH54">
        <f t="shared" si="23"/>
        <v>1</v>
      </c>
      <c r="AI54">
        <f t="shared" si="24"/>
        <v>0</v>
      </c>
      <c r="AJ54">
        <f t="shared" si="25"/>
        <v>52490.630519471524</v>
      </c>
      <c r="AK54">
        <f t="shared" si="26"/>
        <v>1799.99</v>
      </c>
      <c r="AL54">
        <f t="shared" si="27"/>
        <v>1499.10460939479</v>
      </c>
      <c r="AM54">
        <f t="shared" si="28"/>
        <v>0.83284052100000006</v>
      </c>
      <c r="AN54">
        <f t="shared" si="29"/>
        <v>0.15339719391000001</v>
      </c>
      <c r="AO54">
        <v>31.2</v>
      </c>
      <c r="AP54">
        <v>0.5</v>
      </c>
      <c r="AQ54" t="s">
        <v>331</v>
      </c>
      <c r="AR54">
        <v>2</v>
      </c>
      <c r="AS54">
        <v>1690221425</v>
      </c>
      <c r="AT54">
        <v>770.75300000000004</v>
      </c>
      <c r="AU54">
        <v>799.95399999999995</v>
      </c>
      <c r="AV54">
        <v>11.0328</v>
      </c>
      <c r="AW54">
        <v>5.8032500000000002</v>
      </c>
      <c r="AX54">
        <v>771.22500000000002</v>
      </c>
      <c r="AY54">
        <v>11.073399999999999</v>
      </c>
      <c r="AZ54">
        <v>300.14800000000002</v>
      </c>
      <c r="BA54">
        <v>99.073999999999998</v>
      </c>
      <c r="BB54">
        <v>0.100008</v>
      </c>
      <c r="BC54">
        <v>26.015799999999999</v>
      </c>
      <c r="BD54">
        <v>26.924099999999999</v>
      </c>
      <c r="BE54">
        <v>27.695399999999999</v>
      </c>
      <c r="BF54">
        <v>0</v>
      </c>
      <c r="BG54">
        <v>0</v>
      </c>
      <c r="BH54">
        <v>9986.25</v>
      </c>
      <c r="BI54">
        <v>1069.8900000000001</v>
      </c>
      <c r="BJ54">
        <v>1.68198</v>
      </c>
      <c r="BK54">
        <v>-29.201799999999999</v>
      </c>
      <c r="BL54">
        <v>779.351</v>
      </c>
      <c r="BM54">
        <v>804.62400000000002</v>
      </c>
      <c r="BN54">
        <v>5.2295699999999998</v>
      </c>
      <c r="BO54">
        <v>799.95399999999995</v>
      </c>
      <c r="BP54">
        <v>5.8032500000000002</v>
      </c>
      <c r="BQ54">
        <v>1.09307</v>
      </c>
      <c r="BR54">
        <v>0.57495099999999999</v>
      </c>
      <c r="BS54">
        <v>8.2197200000000006</v>
      </c>
      <c r="BT54">
        <v>-0.89353099999999996</v>
      </c>
      <c r="BU54">
        <v>1799.99</v>
      </c>
      <c r="BV54">
        <v>0.91000700000000001</v>
      </c>
      <c r="BW54">
        <v>3.3996899999999997E-2</v>
      </c>
      <c r="BX54">
        <v>2.1997800000000001E-2</v>
      </c>
      <c r="BY54">
        <v>3.3998300000000002E-2</v>
      </c>
      <c r="BZ54">
        <v>25</v>
      </c>
      <c r="CA54">
        <v>33528.300000000003</v>
      </c>
      <c r="CB54">
        <v>1690220522.5999999</v>
      </c>
      <c r="CC54" t="s">
        <v>332</v>
      </c>
      <c r="CD54">
        <v>1690220522.5999999</v>
      </c>
      <c r="CE54">
        <v>1690220510.5999999</v>
      </c>
      <c r="CF54">
        <v>10</v>
      </c>
      <c r="CG54">
        <v>-0.22</v>
      </c>
      <c r="CH54">
        <v>-2.7E-2</v>
      </c>
      <c r="CI54">
        <v>-0.49299999999999999</v>
      </c>
      <c r="CJ54">
        <v>0.152</v>
      </c>
      <c r="CK54">
        <v>800</v>
      </c>
      <c r="CL54">
        <v>19</v>
      </c>
      <c r="CM54">
        <v>0.1</v>
      </c>
      <c r="CN54">
        <v>0.03</v>
      </c>
      <c r="CO54">
        <v>-27.465721951219511</v>
      </c>
      <c r="CP54">
        <v>-9.905132404181165</v>
      </c>
      <c r="CQ54">
        <v>0.97704840869466536</v>
      </c>
      <c r="CR54">
        <v>-1</v>
      </c>
      <c r="CS54">
        <v>5.1410500000000008</v>
      </c>
      <c r="CT54">
        <v>0.50351456445992959</v>
      </c>
      <c r="CU54">
        <v>4.965348576666586E-2</v>
      </c>
      <c r="CV54">
        <v>-1</v>
      </c>
      <c r="CW54">
        <v>0</v>
      </c>
      <c r="CX54">
        <v>0</v>
      </c>
      <c r="CY54" t="s">
        <v>333</v>
      </c>
      <c r="CZ54">
        <v>2.36416</v>
      </c>
      <c r="DA54">
        <v>2.7137899999999999</v>
      </c>
      <c r="DB54">
        <v>0.14288200000000001</v>
      </c>
      <c r="DC54">
        <v>0.14601800000000001</v>
      </c>
      <c r="DD54">
        <v>6.4970899999999998E-2</v>
      </c>
      <c r="DE54">
        <v>3.8371200000000001E-2</v>
      </c>
      <c r="DF54">
        <v>31285.5</v>
      </c>
      <c r="DG54">
        <v>27508.6</v>
      </c>
      <c r="DH54">
        <v>31162.2</v>
      </c>
      <c r="DI54">
        <v>28069.599999999999</v>
      </c>
      <c r="DJ54">
        <v>39575</v>
      </c>
      <c r="DK54">
        <v>38386.6</v>
      </c>
      <c r="DL54">
        <v>44345.9</v>
      </c>
      <c r="DM54">
        <v>42544.7</v>
      </c>
      <c r="DN54">
        <v>1.4733000000000001</v>
      </c>
      <c r="DO54">
        <v>2.0301999999999998</v>
      </c>
      <c r="DP54">
        <v>0.101879</v>
      </c>
      <c r="DQ54">
        <v>0.16307099999999999</v>
      </c>
      <c r="DR54">
        <v>25.255500000000001</v>
      </c>
      <c r="DS54">
        <v>25.025700000000001</v>
      </c>
      <c r="DT54">
        <v>19.899999999999999</v>
      </c>
      <c r="DU54">
        <v>29.5</v>
      </c>
      <c r="DV54">
        <v>8.3151799999999998</v>
      </c>
      <c r="DW54">
        <v>62.164200000000001</v>
      </c>
      <c r="DX54">
        <v>37.139400000000002</v>
      </c>
      <c r="DY54">
        <v>1</v>
      </c>
      <c r="DZ54">
        <v>-7.0109199999999997E-2</v>
      </c>
      <c r="EA54">
        <v>0.68737499999999996</v>
      </c>
      <c r="EB54">
        <v>20.188300000000002</v>
      </c>
      <c r="EC54">
        <v>5.2408000000000001</v>
      </c>
      <c r="ED54">
        <v>12.039899999999999</v>
      </c>
      <c r="EE54">
        <v>5.01675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1.8689199999999999</v>
      </c>
      <c r="EL54">
        <v>1.8646400000000001</v>
      </c>
      <c r="EM54">
        <v>1.8692</v>
      </c>
      <c r="EN54">
        <v>1.8672500000000001</v>
      </c>
      <c r="EO54">
        <v>1.8633999999999999</v>
      </c>
      <c r="EP54">
        <v>1.86456</v>
      </c>
      <c r="EQ54">
        <v>1.87019</v>
      </c>
      <c r="ER54">
        <v>1.86947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-0.47199999999999998</v>
      </c>
      <c r="FG54">
        <v>-4.0599999999999997E-2</v>
      </c>
      <c r="FH54">
        <v>5.8509882529719233E-2</v>
      </c>
      <c r="FI54">
        <v>-6.1462078757559423E-4</v>
      </c>
      <c r="FJ54">
        <v>-1.8861989874597051E-7</v>
      </c>
      <c r="FK54">
        <v>1.1980462299894961E-10</v>
      </c>
      <c r="FL54">
        <v>-5.9863424041980147E-2</v>
      </c>
      <c r="FM54">
        <v>-1.6848085045870601E-2</v>
      </c>
      <c r="FN54">
        <v>1.9789084769509481E-3</v>
      </c>
      <c r="FO54">
        <v>-2.7142391389806329E-5</v>
      </c>
      <c r="FP54">
        <v>3</v>
      </c>
      <c r="FQ54">
        <v>2158</v>
      </c>
      <c r="FR54">
        <v>1</v>
      </c>
      <c r="FS54">
        <v>19</v>
      </c>
      <c r="FT54">
        <v>15</v>
      </c>
      <c r="FU54">
        <v>15.2</v>
      </c>
      <c r="FV54">
        <v>1.7773399999999999</v>
      </c>
      <c r="FW54">
        <v>2.5793499999999998</v>
      </c>
      <c r="FX54">
        <v>1.5490699999999999</v>
      </c>
      <c r="FY54">
        <v>2.3290999999999999</v>
      </c>
      <c r="FZ54">
        <v>1.50146</v>
      </c>
      <c r="GA54">
        <v>2.34375</v>
      </c>
      <c r="GB54">
        <v>33.896099999999997</v>
      </c>
      <c r="GC54">
        <v>23.982399999999998</v>
      </c>
      <c r="GD54">
        <v>19</v>
      </c>
      <c r="GE54">
        <v>282.52999999999997</v>
      </c>
      <c r="GF54">
        <v>579.94399999999996</v>
      </c>
      <c r="GG54">
        <v>23.223299999999998</v>
      </c>
      <c r="GH54">
        <v>26.514800000000001</v>
      </c>
      <c r="GI54">
        <v>29.9999</v>
      </c>
      <c r="GJ54">
        <v>26.552600000000002</v>
      </c>
      <c r="GK54">
        <v>26.5047</v>
      </c>
      <c r="GL54">
        <v>35.534100000000002</v>
      </c>
      <c r="GM54">
        <v>-30</v>
      </c>
      <c r="GN54">
        <v>-30</v>
      </c>
      <c r="GO54">
        <v>23.272600000000001</v>
      </c>
      <c r="GP54">
        <v>800</v>
      </c>
      <c r="GQ54">
        <v>18.0809</v>
      </c>
      <c r="GR54">
        <v>99.704499999999996</v>
      </c>
      <c r="GS54">
        <v>99.5261</v>
      </c>
    </row>
    <row r="55" spans="1:201" x14ac:dyDescent="0.25">
      <c r="A55">
        <v>39</v>
      </c>
      <c r="B55">
        <v>1690221435</v>
      </c>
      <c r="C55">
        <v>552.5</v>
      </c>
      <c r="D55" t="s">
        <v>409</v>
      </c>
      <c r="E55" t="s">
        <v>410</v>
      </c>
      <c r="F55" t="s">
        <v>330</v>
      </c>
      <c r="H55">
        <v>1690221435</v>
      </c>
      <c r="I55">
        <f t="shared" si="0"/>
        <v>5.1753715695390581E-4</v>
      </c>
      <c r="J55">
        <f t="shared" si="1"/>
        <v>0.51753715695390579</v>
      </c>
      <c r="K55">
        <f t="shared" si="2"/>
        <v>2.5869515477509841</v>
      </c>
      <c r="L55">
        <f t="shared" si="3"/>
        <v>769.04899999999998</v>
      </c>
      <c r="M55">
        <f t="shared" si="4"/>
        <v>518.58590096333592</v>
      </c>
      <c r="N55">
        <f t="shared" si="5"/>
        <v>51.429081280710008</v>
      </c>
      <c r="O55">
        <f t="shared" si="6"/>
        <v>76.267949931490804</v>
      </c>
      <c r="P55">
        <f t="shared" si="7"/>
        <v>1.873006592368608E-2</v>
      </c>
      <c r="Q55">
        <f t="shared" si="8"/>
        <v>2.1961978937887321</v>
      </c>
      <c r="R55">
        <f t="shared" si="9"/>
        <v>1.8641774492693677E-2</v>
      </c>
      <c r="S55">
        <f t="shared" si="10"/>
        <v>1.1659006903220952E-2</v>
      </c>
      <c r="T55">
        <f t="shared" si="11"/>
        <v>276.11476945200002</v>
      </c>
      <c r="U55">
        <f t="shared" si="12"/>
        <v>27.969855280146124</v>
      </c>
      <c r="V55">
        <f t="shared" si="13"/>
        <v>27.969855280146124</v>
      </c>
      <c r="W55">
        <f t="shared" si="14"/>
        <v>3.7881759901407825</v>
      </c>
      <c r="X55">
        <f t="shared" si="15"/>
        <v>32.644678071943133</v>
      </c>
      <c r="Y55">
        <f t="shared" si="16"/>
        <v>1.1028396593886001</v>
      </c>
      <c r="Z55">
        <f t="shared" si="17"/>
        <v>3.3783137850467857</v>
      </c>
      <c r="AA55">
        <f t="shared" si="18"/>
        <v>2.6853363307521825</v>
      </c>
      <c r="AB55">
        <f t="shared" si="19"/>
        <v>-22.823388621667245</v>
      </c>
      <c r="AC55">
        <f t="shared" si="20"/>
        <v>-230.83011519480038</v>
      </c>
      <c r="AD55">
        <f t="shared" si="21"/>
        <v>-22.681886720195976</v>
      </c>
      <c r="AE55">
        <f t="shared" si="22"/>
        <v>-0.22062108466357699</v>
      </c>
      <c r="AF55">
        <v>0</v>
      </c>
      <c r="AG55">
        <v>0</v>
      </c>
      <c r="AH55">
        <f t="shared" si="23"/>
        <v>1</v>
      </c>
      <c r="AI55">
        <f t="shared" si="24"/>
        <v>0</v>
      </c>
      <c r="AJ55">
        <f t="shared" si="25"/>
        <v>52643.17399488145</v>
      </c>
      <c r="AK55">
        <f t="shared" si="26"/>
        <v>1800</v>
      </c>
      <c r="AL55">
        <f t="shared" si="27"/>
        <v>1499.1144912</v>
      </c>
      <c r="AM55">
        <f t="shared" si="28"/>
        <v>0.83284138399999996</v>
      </c>
      <c r="AN55">
        <f t="shared" si="29"/>
        <v>0.15339709414</v>
      </c>
      <c r="AO55">
        <v>31.2</v>
      </c>
      <c r="AP55">
        <v>0.5</v>
      </c>
      <c r="AQ55" t="s">
        <v>331</v>
      </c>
      <c r="AR55">
        <v>2</v>
      </c>
      <c r="AS55">
        <v>1690221435</v>
      </c>
      <c r="AT55">
        <v>769.04899999999998</v>
      </c>
      <c r="AU55">
        <v>800.07399999999996</v>
      </c>
      <c r="AV55">
        <v>11.1205</v>
      </c>
      <c r="AW55">
        <v>5.8011600000000003</v>
      </c>
      <c r="AX55">
        <v>769.52099999999996</v>
      </c>
      <c r="AY55">
        <v>11.159700000000001</v>
      </c>
      <c r="AZ55">
        <v>300.18</v>
      </c>
      <c r="BA55">
        <v>99.071799999999996</v>
      </c>
      <c r="BB55">
        <v>9.9969199999999994E-2</v>
      </c>
      <c r="BC55">
        <v>26.020299999999999</v>
      </c>
      <c r="BD55">
        <v>27.0123</v>
      </c>
      <c r="BE55">
        <v>27.7058</v>
      </c>
      <c r="BF55">
        <v>0</v>
      </c>
      <c r="BG55">
        <v>0</v>
      </c>
      <c r="BH55">
        <v>10016.9</v>
      </c>
      <c r="BI55">
        <v>1069.9000000000001</v>
      </c>
      <c r="BJ55">
        <v>1.68198</v>
      </c>
      <c r="BK55">
        <v>-31.0245</v>
      </c>
      <c r="BL55">
        <v>777.69799999999998</v>
      </c>
      <c r="BM55">
        <v>804.74199999999996</v>
      </c>
      <c r="BN55">
        <v>5.3193700000000002</v>
      </c>
      <c r="BO55">
        <v>800.07399999999996</v>
      </c>
      <c r="BP55">
        <v>5.8011600000000003</v>
      </c>
      <c r="BQ55">
        <v>1.1017300000000001</v>
      </c>
      <c r="BR55">
        <v>0.57473099999999999</v>
      </c>
      <c r="BS55">
        <v>8.3360199999999995</v>
      </c>
      <c r="BT55">
        <v>-0.89875000000000005</v>
      </c>
      <c r="BU55">
        <v>1800</v>
      </c>
      <c r="BV55">
        <v>0.91001399999999999</v>
      </c>
      <c r="BW55">
        <v>3.3994400000000001E-2</v>
      </c>
      <c r="BX55">
        <v>2.19962E-2</v>
      </c>
      <c r="BY55">
        <v>3.39958E-2</v>
      </c>
      <c r="BZ55">
        <v>25</v>
      </c>
      <c r="CA55">
        <v>33528.5</v>
      </c>
      <c r="CB55">
        <v>1690220522.5999999</v>
      </c>
      <c r="CC55" t="s">
        <v>332</v>
      </c>
      <c r="CD55">
        <v>1690220522.5999999</v>
      </c>
      <c r="CE55">
        <v>1690220510.5999999</v>
      </c>
      <c r="CF55">
        <v>10</v>
      </c>
      <c r="CG55">
        <v>-0.22</v>
      </c>
      <c r="CH55">
        <v>-2.7E-2</v>
      </c>
      <c r="CI55">
        <v>-0.49299999999999999</v>
      </c>
      <c r="CJ55">
        <v>0.152</v>
      </c>
      <c r="CK55">
        <v>800</v>
      </c>
      <c r="CL55">
        <v>19</v>
      </c>
      <c r="CM55">
        <v>0.1</v>
      </c>
      <c r="CN55">
        <v>0.03</v>
      </c>
      <c r="CO55">
        <v>-29.124559999999999</v>
      </c>
      <c r="CP55">
        <v>-10.52206378986868</v>
      </c>
      <c r="CQ55">
        <v>1.01255566656851</v>
      </c>
      <c r="CR55">
        <v>-1</v>
      </c>
      <c r="CS55">
        <v>5.2238337499999998</v>
      </c>
      <c r="CT55">
        <v>0.51519253283300004</v>
      </c>
      <c r="CU55">
        <v>4.9565893398964361E-2</v>
      </c>
      <c r="CV55">
        <v>-1</v>
      </c>
      <c r="CW55">
        <v>0</v>
      </c>
      <c r="CX55">
        <v>0</v>
      </c>
      <c r="CY55" t="s">
        <v>333</v>
      </c>
      <c r="CZ55">
        <v>2.3642699999999999</v>
      </c>
      <c r="DA55">
        <v>2.7137799999999999</v>
      </c>
      <c r="DB55">
        <v>0.14266899999999999</v>
      </c>
      <c r="DC55">
        <v>0.14602899999999999</v>
      </c>
      <c r="DD55">
        <v>6.5356600000000001E-2</v>
      </c>
      <c r="DE55">
        <v>3.8358799999999998E-2</v>
      </c>
      <c r="DF55">
        <v>31293.9</v>
      </c>
      <c r="DG55">
        <v>27508.9</v>
      </c>
      <c r="DH55">
        <v>31162.7</v>
      </c>
      <c r="DI55">
        <v>28070.3</v>
      </c>
      <c r="DJ55">
        <v>39559.1</v>
      </c>
      <c r="DK55">
        <v>38387.800000000003</v>
      </c>
      <c r="DL55">
        <v>44346.400000000001</v>
      </c>
      <c r="DM55">
        <v>42545.5</v>
      </c>
      <c r="DN55">
        <v>1.4737800000000001</v>
      </c>
      <c r="DO55">
        <v>2.0301499999999999</v>
      </c>
      <c r="DP55">
        <v>0.107922</v>
      </c>
      <c r="DQ55">
        <v>0.16425500000000001</v>
      </c>
      <c r="DR55">
        <v>25.244900000000001</v>
      </c>
      <c r="DS55">
        <v>25.0168</v>
      </c>
      <c r="DT55">
        <v>19.8</v>
      </c>
      <c r="DU55">
        <v>29.6</v>
      </c>
      <c r="DV55">
        <v>8.3212499999999991</v>
      </c>
      <c r="DW55">
        <v>61.794199999999996</v>
      </c>
      <c r="DX55">
        <v>37.083300000000001</v>
      </c>
      <c r="DY55">
        <v>1</v>
      </c>
      <c r="DZ55">
        <v>-7.0592000000000002E-2</v>
      </c>
      <c r="EA55">
        <v>0.53734499999999996</v>
      </c>
      <c r="EB55">
        <v>20.188700000000001</v>
      </c>
      <c r="EC55">
        <v>5.2408000000000001</v>
      </c>
      <c r="ED55">
        <v>12.039899999999999</v>
      </c>
      <c r="EE55">
        <v>5.0169499999999996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1.86893</v>
      </c>
      <c r="EL55">
        <v>1.8646199999999999</v>
      </c>
      <c r="EM55">
        <v>1.8691899999999999</v>
      </c>
      <c r="EN55">
        <v>1.8672500000000001</v>
      </c>
      <c r="EO55">
        <v>1.8633999999999999</v>
      </c>
      <c r="EP55">
        <v>1.86456</v>
      </c>
      <c r="EQ55">
        <v>1.87015</v>
      </c>
      <c r="ER55">
        <v>1.86944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-0.47199999999999998</v>
      </c>
      <c r="FG55">
        <v>-3.9199999999999999E-2</v>
      </c>
      <c r="FH55">
        <v>5.8509882529719233E-2</v>
      </c>
      <c r="FI55">
        <v>-6.1462078757559423E-4</v>
      </c>
      <c r="FJ55">
        <v>-1.8861989874597051E-7</v>
      </c>
      <c r="FK55">
        <v>1.1980462299894961E-10</v>
      </c>
      <c r="FL55">
        <v>-5.9863424041980147E-2</v>
      </c>
      <c r="FM55">
        <v>-1.6848085045870601E-2</v>
      </c>
      <c r="FN55">
        <v>1.9789084769509481E-3</v>
      </c>
      <c r="FO55">
        <v>-2.7142391389806329E-5</v>
      </c>
      <c r="FP55">
        <v>3</v>
      </c>
      <c r="FQ55">
        <v>2158</v>
      </c>
      <c r="FR55">
        <v>1</v>
      </c>
      <c r="FS55">
        <v>19</v>
      </c>
      <c r="FT55">
        <v>15.2</v>
      </c>
      <c r="FU55">
        <v>15.4</v>
      </c>
      <c r="FV55">
        <v>1.7773399999999999</v>
      </c>
      <c r="FW55">
        <v>2.5805699999999998</v>
      </c>
      <c r="FX55">
        <v>1.5490699999999999</v>
      </c>
      <c r="FY55">
        <v>2.3290999999999999</v>
      </c>
      <c r="FZ55">
        <v>1.50146</v>
      </c>
      <c r="GA55">
        <v>2.3144499999999999</v>
      </c>
      <c r="GB55">
        <v>33.896099999999997</v>
      </c>
      <c r="GC55">
        <v>23.973700000000001</v>
      </c>
      <c r="GD55">
        <v>19</v>
      </c>
      <c r="GE55">
        <v>282.73200000000003</v>
      </c>
      <c r="GF55">
        <v>579.928</v>
      </c>
      <c r="GG55">
        <v>23.315200000000001</v>
      </c>
      <c r="GH55">
        <v>26.5092</v>
      </c>
      <c r="GI55">
        <v>30</v>
      </c>
      <c r="GJ55">
        <v>26.552600000000002</v>
      </c>
      <c r="GK55">
        <v>26.506900000000002</v>
      </c>
      <c r="GL55">
        <v>35.531100000000002</v>
      </c>
      <c r="GM55">
        <v>-30</v>
      </c>
      <c r="GN55">
        <v>-30</v>
      </c>
      <c r="GO55">
        <v>23.3445</v>
      </c>
      <c r="GP55">
        <v>800</v>
      </c>
      <c r="GQ55">
        <v>18.0809</v>
      </c>
      <c r="GR55">
        <v>99.706000000000003</v>
      </c>
      <c r="GS55">
        <v>99.528099999999995</v>
      </c>
    </row>
    <row r="56" spans="1:201" x14ac:dyDescent="0.25">
      <c r="A56">
        <v>40</v>
      </c>
      <c r="B56">
        <v>1690221445</v>
      </c>
      <c r="C56">
        <v>562.5</v>
      </c>
      <c r="D56" t="s">
        <v>411</v>
      </c>
      <c r="E56" t="s">
        <v>412</v>
      </c>
      <c r="F56" t="s">
        <v>330</v>
      </c>
      <c r="H56">
        <v>1690221445</v>
      </c>
      <c r="I56">
        <f t="shared" si="0"/>
        <v>5.2662988087714751E-4</v>
      </c>
      <c r="J56">
        <f t="shared" si="1"/>
        <v>0.52662988087714746</v>
      </c>
      <c r="K56">
        <f t="shared" si="2"/>
        <v>2.758730571560569</v>
      </c>
      <c r="L56">
        <f t="shared" si="3"/>
        <v>767.18299999999999</v>
      </c>
      <c r="M56">
        <f t="shared" si="4"/>
        <v>507.13978836744815</v>
      </c>
      <c r="N56">
        <f t="shared" si="5"/>
        <v>50.295198013704635</v>
      </c>
      <c r="O56">
        <f t="shared" si="6"/>
        <v>76.084783294090016</v>
      </c>
      <c r="P56">
        <f t="shared" si="7"/>
        <v>1.9117536897176549E-2</v>
      </c>
      <c r="Q56">
        <f t="shared" si="8"/>
        <v>2.1913082160517394</v>
      </c>
      <c r="R56">
        <f t="shared" si="9"/>
        <v>1.9025360214221628E-2</v>
      </c>
      <c r="S56">
        <f t="shared" si="10"/>
        <v>1.1899094697581884E-2</v>
      </c>
      <c r="T56">
        <f t="shared" si="11"/>
        <v>276.11445434400002</v>
      </c>
      <c r="U56">
        <f t="shared" si="12"/>
        <v>27.97411797358248</v>
      </c>
      <c r="V56">
        <f t="shared" si="13"/>
        <v>27.97411797358248</v>
      </c>
      <c r="W56">
        <f t="shared" si="14"/>
        <v>3.7891176664854971</v>
      </c>
      <c r="X56">
        <f t="shared" si="15"/>
        <v>32.902193476657224</v>
      </c>
      <c r="Y56">
        <f t="shared" si="16"/>
        <v>1.1117629531460003</v>
      </c>
      <c r="Z56">
        <f t="shared" si="17"/>
        <v>3.3789934216232451</v>
      </c>
      <c r="AA56">
        <f t="shared" si="18"/>
        <v>2.677354713339497</v>
      </c>
      <c r="AB56">
        <f t="shared" si="19"/>
        <v>-23.224377746682205</v>
      </c>
      <c r="AC56">
        <f t="shared" si="20"/>
        <v>-230.41810514343689</v>
      </c>
      <c r="AD56">
        <f t="shared" si="21"/>
        <v>-22.692793269803474</v>
      </c>
      <c r="AE56">
        <f t="shared" si="22"/>
        <v>-0.22082181592253391</v>
      </c>
      <c r="AF56">
        <v>0</v>
      </c>
      <c r="AG56">
        <v>0</v>
      </c>
      <c r="AH56">
        <f t="shared" si="23"/>
        <v>1</v>
      </c>
      <c r="AI56">
        <f t="shared" si="24"/>
        <v>0</v>
      </c>
      <c r="AJ56">
        <f t="shared" si="25"/>
        <v>52442.089680702396</v>
      </c>
      <c r="AK56">
        <f t="shared" si="26"/>
        <v>1800</v>
      </c>
      <c r="AL56">
        <f t="shared" si="27"/>
        <v>1499.1147953999998</v>
      </c>
      <c r="AM56">
        <f t="shared" si="28"/>
        <v>0.83284155299999996</v>
      </c>
      <c r="AN56">
        <f t="shared" si="29"/>
        <v>0.15339691908</v>
      </c>
      <c r="AO56">
        <v>31.2</v>
      </c>
      <c r="AP56">
        <v>0.5</v>
      </c>
      <c r="AQ56" t="s">
        <v>331</v>
      </c>
      <c r="AR56">
        <v>2</v>
      </c>
      <c r="AS56">
        <v>1690221445</v>
      </c>
      <c r="AT56">
        <v>767.18299999999999</v>
      </c>
      <c r="AU56">
        <v>800.04899999999998</v>
      </c>
      <c r="AV56">
        <v>11.2102</v>
      </c>
      <c r="AW56">
        <v>5.7990300000000001</v>
      </c>
      <c r="AX56">
        <v>767.65300000000002</v>
      </c>
      <c r="AY56">
        <v>11.2478</v>
      </c>
      <c r="AZ56">
        <v>300.24299999999999</v>
      </c>
      <c r="BA56">
        <v>99.074200000000005</v>
      </c>
      <c r="BB56">
        <v>0.10002999999999999</v>
      </c>
      <c r="BC56">
        <v>26.023700000000002</v>
      </c>
      <c r="BD56">
        <v>26.968699999999998</v>
      </c>
      <c r="BE56">
        <v>27.766300000000001</v>
      </c>
      <c r="BF56">
        <v>0</v>
      </c>
      <c r="BG56">
        <v>0</v>
      </c>
      <c r="BH56">
        <v>9976.8799999999992</v>
      </c>
      <c r="BI56">
        <v>1069.8399999999999</v>
      </c>
      <c r="BJ56">
        <v>1.68198</v>
      </c>
      <c r="BK56">
        <v>-32.866300000000003</v>
      </c>
      <c r="BL56">
        <v>775.88</v>
      </c>
      <c r="BM56">
        <v>804.71600000000001</v>
      </c>
      <c r="BN56">
        <v>5.4111799999999999</v>
      </c>
      <c r="BO56">
        <v>800.04899999999998</v>
      </c>
      <c r="BP56">
        <v>5.7990300000000001</v>
      </c>
      <c r="BQ56">
        <v>1.1106400000000001</v>
      </c>
      <c r="BR56">
        <v>0.57453399999999999</v>
      </c>
      <c r="BS56">
        <v>8.4548100000000002</v>
      </c>
      <c r="BT56">
        <v>-0.90343499999999999</v>
      </c>
      <c r="BU56">
        <v>1800</v>
      </c>
      <c r="BV56">
        <v>0.91001900000000002</v>
      </c>
      <c r="BW56">
        <v>3.3992399999999999E-2</v>
      </c>
      <c r="BX56">
        <v>2.1994900000000001E-2</v>
      </c>
      <c r="BY56">
        <v>3.3993799999999998E-2</v>
      </c>
      <c r="BZ56">
        <v>25</v>
      </c>
      <c r="CA56">
        <v>33528.5</v>
      </c>
      <c r="CB56">
        <v>1690220522.5999999</v>
      </c>
      <c r="CC56" t="s">
        <v>332</v>
      </c>
      <c r="CD56">
        <v>1690220522.5999999</v>
      </c>
      <c r="CE56">
        <v>1690220510.5999999</v>
      </c>
      <c r="CF56">
        <v>10</v>
      </c>
      <c r="CG56">
        <v>-0.22</v>
      </c>
      <c r="CH56">
        <v>-2.7E-2</v>
      </c>
      <c r="CI56">
        <v>-0.49299999999999999</v>
      </c>
      <c r="CJ56">
        <v>0.152</v>
      </c>
      <c r="CK56">
        <v>800</v>
      </c>
      <c r="CL56">
        <v>19</v>
      </c>
      <c r="CM56">
        <v>0.1</v>
      </c>
      <c r="CN56">
        <v>0.03</v>
      </c>
      <c r="CO56">
        <v>-30.922370731707321</v>
      </c>
      <c r="CP56">
        <v>-10.686501742160321</v>
      </c>
      <c r="CQ56">
        <v>1.0541431619911199</v>
      </c>
      <c r="CR56">
        <v>-1</v>
      </c>
      <c r="CS56">
        <v>5.3147104878048781</v>
      </c>
      <c r="CT56">
        <v>0.5483059233449471</v>
      </c>
      <c r="CU56">
        <v>5.4068548314479721E-2</v>
      </c>
      <c r="CV56">
        <v>-1</v>
      </c>
      <c r="CW56">
        <v>0</v>
      </c>
      <c r="CX56">
        <v>0</v>
      </c>
      <c r="CY56" t="s">
        <v>333</v>
      </c>
      <c r="CZ56">
        <v>2.3644599999999998</v>
      </c>
      <c r="DA56">
        <v>2.7138</v>
      </c>
      <c r="DB56">
        <v>0.14244100000000001</v>
      </c>
      <c r="DC56">
        <v>0.14602799999999999</v>
      </c>
      <c r="DD56">
        <v>6.5752900000000003E-2</v>
      </c>
      <c r="DE56">
        <v>3.8347899999999997E-2</v>
      </c>
      <c r="DF56">
        <v>31301.7</v>
      </c>
      <c r="DG56">
        <v>27509.200000000001</v>
      </c>
      <c r="DH56">
        <v>31162.2</v>
      </c>
      <c r="DI56">
        <v>28070.6</v>
      </c>
      <c r="DJ56">
        <v>39541.599999999999</v>
      </c>
      <c r="DK56">
        <v>38388.5</v>
      </c>
      <c r="DL56">
        <v>44345.7</v>
      </c>
      <c r="DM56">
        <v>42545.8</v>
      </c>
      <c r="DN56">
        <v>1.4732000000000001</v>
      </c>
      <c r="DO56">
        <v>2.0301300000000002</v>
      </c>
      <c r="DP56">
        <v>0.105869</v>
      </c>
      <c r="DQ56">
        <v>0.168376</v>
      </c>
      <c r="DR56">
        <v>25.2348</v>
      </c>
      <c r="DS56">
        <v>25.009899999999998</v>
      </c>
      <c r="DT56">
        <v>19.7</v>
      </c>
      <c r="DU56">
        <v>29.6</v>
      </c>
      <c r="DV56">
        <v>8.2776800000000001</v>
      </c>
      <c r="DW56">
        <v>61.964199999999998</v>
      </c>
      <c r="DX56">
        <v>36.967100000000002</v>
      </c>
      <c r="DY56">
        <v>1</v>
      </c>
      <c r="DZ56">
        <v>-6.7337400000000006E-2</v>
      </c>
      <c r="EA56">
        <v>2.85765</v>
      </c>
      <c r="EB56">
        <v>20.157800000000002</v>
      </c>
      <c r="EC56">
        <v>5.2411000000000003</v>
      </c>
      <c r="ED56">
        <v>12.039899999999999</v>
      </c>
      <c r="EE56">
        <v>5.0170500000000002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1.86893</v>
      </c>
      <c r="EL56">
        <v>1.8646400000000001</v>
      </c>
      <c r="EM56">
        <v>1.8692</v>
      </c>
      <c r="EN56">
        <v>1.86724</v>
      </c>
      <c r="EO56">
        <v>1.8633999999999999</v>
      </c>
      <c r="EP56">
        <v>1.86456</v>
      </c>
      <c r="EQ56">
        <v>1.8701700000000001</v>
      </c>
      <c r="ER56">
        <v>1.8694299999999999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-0.47</v>
      </c>
      <c r="FG56">
        <v>-3.7600000000000001E-2</v>
      </c>
      <c r="FH56">
        <v>5.8509882529719233E-2</v>
      </c>
      <c r="FI56">
        <v>-6.1462078757559423E-4</v>
      </c>
      <c r="FJ56">
        <v>-1.8861989874597051E-7</v>
      </c>
      <c r="FK56">
        <v>1.1980462299894961E-10</v>
      </c>
      <c r="FL56">
        <v>-5.9863424041980147E-2</v>
      </c>
      <c r="FM56">
        <v>-1.6848085045870601E-2</v>
      </c>
      <c r="FN56">
        <v>1.9789084769509481E-3</v>
      </c>
      <c r="FO56">
        <v>-2.7142391389806329E-5</v>
      </c>
      <c r="FP56">
        <v>3</v>
      </c>
      <c r="FQ56">
        <v>2158</v>
      </c>
      <c r="FR56">
        <v>1</v>
      </c>
      <c r="FS56">
        <v>19</v>
      </c>
      <c r="FT56">
        <v>15.4</v>
      </c>
      <c r="FU56">
        <v>15.6</v>
      </c>
      <c r="FV56">
        <v>1.7773399999999999</v>
      </c>
      <c r="FW56">
        <v>2.5817899999999998</v>
      </c>
      <c r="FX56">
        <v>1.5490699999999999</v>
      </c>
      <c r="FY56">
        <v>2.3290999999999999</v>
      </c>
      <c r="FZ56">
        <v>1.50146</v>
      </c>
      <c r="GA56">
        <v>2.2619600000000002</v>
      </c>
      <c r="GB56">
        <v>33.896099999999997</v>
      </c>
      <c r="GC56">
        <v>23.9649</v>
      </c>
      <c r="GD56">
        <v>19</v>
      </c>
      <c r="GE56">
        <v>282.48700000000002</v>
      </c>
      <c r="GF56">
        <v>579.93200000000002</v>
      </c>
      <c r="GG56">
        <v>23.0273</v>
      </c>
      <c r="GH56">
        <v>26.504100000000001</v>
      </c>
      <c r="GI56">
        <v>30.002400000000002</v>
      </c>
      <c r="GJ56">
        <v>26.552600000000002</v>
      </c>
      <c r="GK56">
        <v>26.5092</v>
      </c>
      <c r="GL56">
        <v>35.530700000000003</v>
      </c>
      <c r="GM56">
        <v>-30</v>
      </c>
      <c r="GN56">
        <v>-30</v>
      </c>
      <c r="GO56">
        <v>22.907</v>
      </c>
      <c r="GP56">
        <v>800</v>
      </c>
      <c r="GQ56">
        <v>18.0809</v>
      </c>
      <c r="GR56">
        <v>99.704400000000007</v>
      </c>
      <c r="GS56">
        <v>99.528999999999996</v>
      </c>
    </row>
    <row r="57" spans="1:201" x14ac:dyDescent="0.25">
      <c r="A57">
        <v>41</v>
      </c>
      <c r="B57">
        <v>1690221455</v>
      </c>
      <c r="C57">
        <v>572.5</v>
      </c>
      <c r="D57" t="s">
        <v>413</v>
      </c>
      <c r="E57" t="s">
        <v>414</v>
      </c>
      <c r="F57" t="s">
        <v>330</v>
      </c>
      <c r="H57">
        <v>1690221455</v>
      </c>
      <c r="I57">
        <f t="shared" si="0"/>
        <v>5.3497286348492125E-4</v>
      </c>
      <c r="J57">
        <f t="shared" si="1"/>
        <v>0.53497286348492123</v>
      </c>
      <c r="K57">
        <f t="shared" si="2"/>
        <v>2.9377739652318344</v>
      </c>
      <c r="L57">
        <f t="shared" si="3"/>
        <v>765.24199999999996</v>
      </c>
      <c r="M57">
        <f t="shared" si="4"/>
        <v>496.19038401647833</v>
      </c>
      <c r="N57">
        <f t="shared" si="5"/>
        <v>49.209773378150473</v>
      </c>
      <c r="O57">
        <f t="shared" si="6"/>
        <v>75.893017302390987</v>
      </c>
      <c r="P57">
        <f t="shared" si="7"/>
        <v>1.9559557328925593E-2</v>
      </c>
      <c r="Q57">
        <f t="shared" si="8"/>
        <v>2.1929352819248682</v>
      </c>
      <c r="R57">
        <f t="shared" si="9"/>
        <v>1.9463151708424883E-2</v>
      </c>
      <c r="S57">
        <f t="shared" si="10"/>
        <v>1.2173091771050276E-2</v>
      </c>
      <c r="T57">
        <f t="shared" si="11"/>
        <v>276.11283222929887</v>
      </c>
      <c r="U57">
        <f t="shared" si="12"/>
        <v>27.927624647812316</v>
      </c>
      <c r="V57">
        <f t="shared" si="13"/>
        <v>27.927624647812316</v>
      </c>
      <c r="W57">
        <f t="shared" si="14"/>
        <v>3.7788578000260378</v>
      </c>
      <c r="X57">
        <f t="shared" si="15"/>
        <v>33.235563539793176</v>
      </c>
      <c r="Y57">
        <f t="shared" si="16"/>
        <v>1.1202134727781499</v>
      </c>
      <c r="Z57">
        <f t="shared" si="17"/>
        <v>3.3705264887021102</v>
      </c>
      <c r="AA57">
        <f t="shared" si="18"/>
        <v>2.6586443272478881</v>
      </c>
      <c r="AB57">
        <f t="shared" si="19"/>
        <v>-23.592303279685026</v>
      </c>
      <c r="AC57">
        <f t="shared" si="20"/>
        <v>-230.10525704330783</v>
      </c>
      <c r="AD57">
        <f t="shared" si="21"/>
        <v>-22.635103596433979</v>
      </c>
      <c r="AE57">
        <f t="shared" si="22"/>
        <v>-0.21983169012796111</v>
      </c>
      <c r="AF57">
        <v>0</v>
      </c>
      <c r="AG57">
        <v>0</v>
      </c>
      <c r="AH57">
        <f t="shared" si="23"/>
        <v>1</v>
      </c>
      <c r="AI57">
        <f t="shared" si="24"/>
        <v>0</v>
      </c>
      <c r="AJ57">
        <f t="shared" si="25"/>
        <v>52516.236708307515</v>
      </c>
      <c r="AK57">
        <f t="shared" si="26"/>
        <v>1799.99</v>
      </c>
      <c r="AL57">
        <f t="shared" si="27"/>
        <v>1499.1044653955903</v>
      </c>
      <c r="AM57">
        <f t="shared" si="28"/>
        <v>0.8328404410000001</v>
      </c>
      <c r="AN57">
        <f t="shared" si="29"/>
        <v>0.15339687011</v>
      </c>
      <c r="AO57">
        <v>31.2</v>
      </c>
      <c r="AP57">
        <v>0.5</v>
      </c>
      <c r="AQ57" t="s">
        <v>331</v>
      </c>
      <c r="AR57">
        <v>2</v>
      </c>
      <c r="AS57">
        <v>1690221455</v>
      </c>
      <c r="AT57">
        <v>765.24199999999996</v>
      </c>
      <c r="AU57">
        <v>800.03399999999999</v>
      </c>
      <c r="AV57">
        <v>11.295299999999999</v>
      </c>
      <c r="AW57">
        <v>5.7973400000000002</v>
      </c>
      <c r="AX57">
        <v>765.71100000000001</v>
      </c>
      <c r="AY57">
        <v>11.3315</v>
      </c>
      <c r="AZ57">
        <v>300.15899999999999</v>
      </c>
      <c r="BA57">
        <v>99.075199999999995</v>
      </c>
      <c r="BB57">
        <v>9.9985500000000005E-2</v>
      </c>
      <c r="BC57">
        <v>25.981300000000001</v>
      </c>
      <c r="BD57">
        <v>26.8947</v>
      </c>
      <c r="BE57">
        <v>27.692299999999999</v>
      </c>
      <c r="BF57">
        <v>0</v>
      </c>
      <c r="BG57">
        <v>0</v>
      </c>
      <c r="BH57">
        <v>9990</v>
      </c>
      <c r="BI57">
        <v>1069.83</v>
      </c>
      <c r="BJ57">
        <v>1.68198</v>
      </c>
      <c r="BK57">
        <v>-34.791899999999998</v>
      </c>
      <c r="BL57">
        <v>773.98400000000004</v>
      </c>
      <c r="BM57">
        <v>804.69899999999996</v>
      </c>
      <c r="BN57">
        <v>5.4979500000000003</v>
      </c>
      <c r="BO57">
        <v>800.03399999999999</v>
      </c>
      <c r="BP57">
        <v>5.7973400000000002</v>
      </c>
      <c r="BQ57">
        <v>1.1190800000000001</v>
      </c>
      <c r="BR57">
        <v>0.57437300000000002</v>
      </c>
      <c r="BS57">
        <v>8.5665499999999994</v>
      </c>
      <c r="BT57">
        <v>-0.90727500000000005</v>
      </c>
      <c r="BU57">
        <v>1799.99</v>
      </c>
      <c r="BV57">
        <v>0.91001399999999999</v>
      </c>
      <c r="BW57">
        <v>3.4000000000000002E-2</v>
      </c>
      <c r="BX57">
        <v>2.1993800000000001E-2</v>
      </c>
      <c r="BY57">
        <v>3.3992099999999997E-2</v>
      </c>
      <c r="BZ57">
        <v>25</v>
      </c>
      <c r="CA57">
        <v>33528.400000000001</v>
      </c>
      <c r="CB57">
        <v>1690220522.5999999</v>
      </c>
      <c r="CC57" t="s">
        <v>332</v>
      </c>
      <c r="CD57">
        <v>1690220522.5999999</v>
      </c>
      <c r="CE57">
        <v>1690220510.5999999</v>
      </c>
      <c r="CF57">
        <v>10</v>
      </c>
      <c r="CG57">
        <v>-0.22</v>
      </c>
      <c r="CH57">
        <v>-2.7E-2</v>
      </c>
      <c r="CI57">
        <v>-0.49299999999999999</v>
      </c>
      <c r="CJ57">
        <v>0.152</v>
      </c>
      <c r="CK57">
        <v>800</v>
      </c>
      <c r="CL57">
        <v>19</v>
      </c>
      <c r="CM57">
        <v>0.1</v>
      </c>
      <c r="CN57">
        <v>0.03</v>
      </c>
      <c r="CO57">
        <v>-32.748739024390247</v>
      </c>
      <c r="CP57">
        <v>-11.350457142857239</v>
      </c>
      <c r="CQ57">
        <v>1.119640264500938</v>
      </c>
      <c r="CR57">
        <v>-1</v>
      </c>
      <c r="CS57">
        <v>5.4051426829268294</v>
      </c>
      <c r="CT57">
        <v>0.53515212543554103</v>
      </c>
      <c r="CU57">
        <v>5.2775660180011508E-2</v>
      </c>
      <c r="CV57">
        <v>-1</v>
      </c>
      <c r="CW57">
        <v>0</v>
      </c>
      <c r="CX57">
        <v>0</v>
      </c>
      <c r="CY57" t="s">
        <v>333</v>
      </c>
      <c r="CZ57">
        <v>2.3642099999999999</v>
      </c>
      <c r="DA57">
        <v>2.7137699999999998</v>
      </c>
      <c r="DB57">
        <v>0.142202</v>
      </c>
      <c r="DC57">
        <v>0.14602799999999999</v>
      </c>
      <c r="DD57">
        <v>6.6127000000000005E-2</v>
      </c>
      <c r="DE57">
        <v>3.8339100000000001E-2</v>
      </c>
      <c r="DF57">
        <v>31310</v>
      </c>
      <c r="DG57">
        <v>27508.799999999999</v>
      </c>
      <c r="DH57">
        <v>31161.8</v>
      </c>
      <c r="DI57">
        <v>28070</v>
      </c>
      <c r="DJ57">
        <v>39525.199999999997</v>
      </c>
      <c r="DK57">
        <v>38388.400000000001</v>
      </c>
      <c r="DL57">
        <v>44345.3</v>
      </c>
      <c r="DM57">
        <v>42545.3</v>
      </c>
      <c r="DN57">
        <v>1.47353</v>
      </c>
      <c r="DO57">
        <v>2.0305</v>
      </c>
      <c r="DP57">
        <v>0.101961</v>
      </c>
      <c r="DQ57">
        <v>0.16441900000000001</v>
      </c>
      <c r="DR57">
        <v>25.224699999999999</v>
      </c>
      <c r="DS57">
        <v>25.000499999999999</v>
      </c>
      <c r="DT57">
        <v>19.600000000000001</v>
      </c>
      <c r="DU57">
        <v>29.6</v>
      </c>
      <c r="DV57">
        <v>8.2366600000000005</v>
      </c>
      <c r="DW57">
        <v>61.924199999999999</v>
      </c>
      <c r="DX57">
        <v>36.927100000000003</v>
      </c>
      <c r="DY57">
        <v>1</v>
      </c>
      <c r="DZ57">
        <v>-7.01296E-2</v>
      </c>
      <c r="EA57">
        <v>1.0012000000000001</v>
      </c>
      <c r="EB57">
        <v>20.1858</v>
      </c>
      <c r="EC57">
        <v>5.24125</v>
      </c>
      <c r="ED57">
        <v>12.039899999999999</v>
      </c>
      <c r="EE57">
        <v>5.0168499999999998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1.8689100000000001</v>
      </c>
      <c r="EL57">
        <v>1.86463</v>
      </c>
      <c r="EM57">
        <v>1.8691899999999999</v>
      </c>
      <c r="EN57">
        <v>1.8672200000000001</v>
      </c>
      <c r="EO57">
        <v>1.8633999999999999</v>
      </c>
      <c r="EP57">
        <v>1.86453</v>
      </c>
      <c r="EQ57">
        <v>1.87018</v>
      </c>
      <c r="ER57">
        <v>1.8694200000000001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-0.46899999999999997</v>
      </c>
      <c r="FG57">
        <v>-3.6200000000000003E-2</v>
      </c>
      <c r="FH57">
        <v>5.8509882529719233E-2</v>
      </c>
      <c r="FI57">
        <v>-6.1462078757559423E-4</v>
      </c>
      <c r="FJ57">
        <v>-1.8861989874597051E-7</v>
      </c>
      <c r="FK57">
        <v>1.1980462299894961E-10</v>
      </c>
      <c r="FL57">
        <v>-5.9863424041980147E-2</v>
      </c>
      <c r="FM57">
        <v>-1.6848085045870601E-2</v>
      </c>
      <c r="FN57">
        <v>1.9789084769509481E-3</v>
      </c>
      <c r="FO57">
        <v>-2.7142391389806329E-5</v>
      </c>
      <c r="FP57">
        <v>3</v>
      </c>
      <c r="FQ57">
        <v>2158</v>
      </c>
      <c r="FR57">
        <v>1</v>
      </c>
      <c r="FS57">
        <v>19</v>
      </c>
      <c r="FT57">
        <v>15.5</v>
      </c>
      <c r="FU57">
        <v>15.7</v>
      </c>
      <c r="FV57">
        <v>1.7773399999999999</v>
      </c>
      <c r="FW57">
        <v>2.5866699999999998</v>
      </c>
      <c r="FX57">
        <v>1.5490699999999999</v>
      </c>
      <c r="FY57">
        <v>2.3290999999999999</v>
      </c>
      <c r="FZ57">
        <v>1.50146</v>
      </c>
      <c r="GA57">
        <v>2.2631800000000002</v>
      </c>
      <c r="GB57">
        <v>33.896099999999997</v>
      </c>
      <c r="GC57">
        <v>23.973700000000001</v>
      </c>
      <c r="GD57">
        <v>19</v>
      </c>
      <c r="GE57">
        <v>282.62599999999998</v>
      </c>
      <c r="GF57">
        <v>580.24699999999996</v>
      </c>
      <c r="GG57">
        <v>22.861499999999999</v>
      </c>
      <c r="GH57">
        <v>26.498000000000001</v>
      </c>
      <c r="GI57">
        <v>29.999199999999998</v>
      </c>
      <c r="GJ57">
        <v>26.552600000000002</v>
      </c>
      <c r="GK57">
        <v>26.509699999999999</v>
      </c>
      <c r="GL57">
        <v>35.530099999999997</v>
      </c>
      <c r="GM57">
        <v>-30</v>
      </c>
      <c r="GN57">
        <v>-30</v>
      </c>
      <c r="GO57">
        <v>22.996700000000001</v>
      </c>
      <c r="GP57">
        <v>800</v>
      </c>
      <c r="GQ57">
        <v>18.0809</v>
      </c>
      <c r="GR57">
        <v>99.703199999999995</v>
      </c>
      <c r="GS57">
        <v>99.527500000000003</v>
      </c>
    </row>
    <row r="58" spans="1:201" x14ac:dyDescent="0.25">
      <c r="A58">
        <v>42</v>
      </c>
      <c r="B58">
        <v>1690221465</v>
      </c>
      <c r="C58">
        <v>582.5</v>
      </c>
      <c r="D58" t="s">
        <v>415</v>
      </c>
      <c r="E58" t="s">
        <v>416</v>
      </c>
      <c r="F58" t="s">
        <v>330</v>
      </c>
      <c r="H58">
        <v>1690221465</v>
      </c>
      <c r="I58">
        <f t="shared" si="0"/>
        <v>5.4437618330002095E-4</v>
      </c>
      <c r="J58">
        <f t="shared" si="1"/>
        <v>0.54437618330002091</v>
      </c>
      <c r="K58">
        <f t="shared" si="2"/>
        <v>3.1122136104177134</v>
      </c>
      <c r="L58">
        <f t="shared" si="3"/>
        <v>763.279</v>
      </c>
      <c r="M58">
        <f t="shared" si="4"/>
        <v>486.07773988118316</v>
      </c>
      <c r="N58">
        <f t="shared" si="5"/>
        <v>48.206941354144405</v>
      </c>
      <c r="O58">
        <f t="shared" si="6"/>
        <v>75.698479833378599</v>
      </c>
      <c r="P58">
        <f t="shared" si="7"/>
        <v>2.001287359652764E-2</v>
      </c>
      <c r="Q58">
        <f t="shared" si="8"/>
        <v>2.194314677957939</v>
      </c>
      <c r="R58">
        <f t="shared" si="9"/>
        <v>1.9912023095231459E-2</v>
      </c>
      <c r="S58">
        <f t="shared" si="10"/>
        <v>1.2454032985839612E-2</v>
      </c>
      <c r="T58">
        <f t="shared" si="11"/>
        <v>276.11294409867736</v>
      </c>
      <c r="U58">
        <f t="shared" si="12"/>
        <v>27.905347263340147</v>
      </c>
      <c r="V58">
        <f t="shared" si="13"/>
        <v>27.905347263340147</v>
      </c>
      <c r="W58">
        <f t="shared" si="14"/>
        <v>3.7739503565732799</v>
      </c>
      <c r="X58">
        <f t="shared" si="15"/>
        <v>33.550292294169445</v>
      </c>
      <c r="Y58">
        <f t="shared" si="16"/>
        <v>1.12961742056334</v>
      </c>
      <c r="Z58">
        <f t="shared" si="17"/>
        <v>3.3669376429237587</v>
      </c>
      <c r="AA58">
        <f t="shared" si="18"/>
        <v>2.6443329360099401</v>
      </c>
      <c r="AB58">
        <f t="shared" si="19"/>
        <v>-24.006989683530925</v>
      </c>
      <c r="AC58">
        <f t="shared" si="20"/>
        <v>-229.74398329496717</v>
      </c>
      <c r="AD58">
        <f t="shared" si="21"/>
        <v>-22.580809255217204</v>
      </c>
      <c r="AE58">
        <f t="shared" si="22"/>
        <v>-0.21883813503794158</v>
      </c>
      <c r="AF58">
        <v>0</v>
      </c>
      <c r="AG58">
        <v>0</v>
      </c>
      <c r="AH58">
        <f t="shared" si="23"/>
        <v>1</v>
      </c>
      <c r="AI58">
        <f t="shared" si="24"/>
        <v>0</v>
      </c>
      <c r="AJ58">
        <f t="shared" si="25"/>
        <v>52575.983690658177</v>
      </c>
      <c r="AK58">
        <f t="shared" si="26"/>
        <v>1799.99</v>
      </c>
      <c r="AL58">
        <f t="shared" si="27"/>
        <v>1499.1036733999899</v>
      </c>
      <c r="AM58">
        <f t="shared" si="28"/>
        <v>0.832840001</v>
      </c>
      <c r="AN58">
        <f t="shared" si="29"/>
        <v>0.15339693225999998</v>
      </c>
      <c r="AO58">
        <v>31.2</v>
      </c>
      <c r="AP58">
        <v>0.5</v>
      </c>
      <c r="AQ58" t="s">
        <v>331</v>
      </c>
      <c r="AR58">
        <v>2</v>
      </c>
      <c r="AS58">
        <v>1690221465</v>
      </c>
      <c r="AT58">
        <v>763.279</v>
      </c>
      <c r="AU58">
        <v>799.94899999999996</v>
      </c>
      <c r="AV58">
        <v>11.3901</v>
      </c>
      <c r="AW58">
        <v>5.7958699999999999</v>
      </c>
      <c r="AX58">
        <v>763.74699999999996</v>
      </c>
      <c r="AY58">
        <v>11.4246</v>
      </c>
      <c r="AZ58">
        <v>300.14999999999998</v>
      </c>
      <c r="BA58">
        <v>99.075400000000002</v>
      </c>
      <c r="BB58">
        <v>9.9973400000000004E-2</v>
      </c>
      <c r="BC58">
        <v>25.9633</v>
      </c>
      <c r="BD58">
        <v>26.8995</v>
      </c>
      <c r="BE58">
        <v>27.662099999999999</v>
      </c>
      <c r="BF58">
        <v>0</v>
      </c>
      <c r="BG58">
        <v>0</v>
      </c>
      <c r="BH58">
        <v>10001.200000000001</v>
      </c>
      <c r="BI58">
        <v>1069.67</v>
      </c>
      <c r="BJ58">
        <v>1.4226799999999999</v>
      </c>
      <c r="BK58">
        <v>-36.669400000000003</v>
      </c>
      <c r="BL58">
        <v>772.07299999999998</v>
      </c>
      <c r="BM58">
        <v>804.61199999999997</v>
      </c>
      <c r="BN58">
        <v>5.5942400000000001</v>
      </c>
      <c r="BO58">
        <v>799.94899999999996</v>
      </c>
      <c r="BP58">
        <v>5.7958699999999999</v>
      </c>
      <c r="BQ58">
        <v>1.1284799999999999</v>
      </c>
      <c r="BR58">
        <v>0.57422799999999996</v>
      </c>
      <c r="BS58">
        <v>8.6900600000000008</v>
      </c>
      <c r="BT58">
        <v>-0.91071599999999997</v>
      </c>
      <c r="BU58">
        <v>1799.99</v>
      </c>
      <c r="BV58">
        <v>0.91000999999999999</v>
      </c>
      <c r="BW58">
        <v>3.4008499999999997E-2</v>
      </c>
      <c r="BX58">
        <v>2.1992299999999999E-2</v>
      </c>
      <c r="BY58">
        <v>3.3989800000000001E-2</v>
      </c>
      <c r="BZ58">
        <v>25</v>
      </c>
      <c r="CA58">
        <v>33528.300000000003</v>
      </c>
      <c r="CB58">
        <v>1690220522.5999999</v>
      </c>
      <c r="CC58" t="s">
        <v>332</v>
      </c>
      <c r="CD58">
        <v>1690220522.5999999</v>
      </c>
      <c r="CE58">
        <v>1690220510.5999999</v>
      </c>
      <c r="CF58">
        <v>10</v>
      </c>
      <c r="CG58">
        <v>-0.22</v>
      </c>
      <c r="CH58">
        <v>-2.7E-2</v>
      </c>
      <c r="CI58">
        <v>-0.49299999999999999</v>
      </c>
      <c r="CJ58">
        <v>0.152</v>
      </c>
      <c r="CK58">
        <v>800</v>
      </c>
      <c r="CL58">
        <v>19</v>
      </c>
      <c r="CM58">
        <v>0.1</v>
      </c>
      <c r="CN58">
        <v>0.03</v>
      </c>
      <c r="CO58">
        <v>-34.625377499999999</v>
      </c>
      <c r="CP58">
        <v>-11.762716322701509</v>
      </c>
      <c r="CQ58">
        <v>1.131810345969567</v>
      </c>
      <c r="CR58">
        <v>-1</v>
      </c>
      <c r="CS58">
        <v>5.4930902499999998</v>
      </c>
      <c r="CT58">
        <v>0.54502367729830647</v>
      </c>
      <c r="CU58">
        <v>5.2450377428932722E-2</v>
      </c>
      <c r="CV58">
        <v>-1</v>
      </c>
      <c r="CW58">
        <v>0</v>
      </c>
      <c r="CX58">
        <v>0</v>
      </c>
      <c r="CY58" t="s">
        <v>333</v>
      </c>
      <c r="CZ58">
        <v>2.3641999999999999</v>
      </c>
      <c r="DA58">
        <v>2.7137699999999998</v>
      </c>
      <c r="DB58">
        <v>0.141958</v>
      </c>
      <c r="DC58">
        <v>0.14601700000000001</v>
      </c>
      <c r="DD58">
        <v>6.6541900000000001E-2</v>
      </c>
      <c r="DE58">
        <v>3.8330999999999997E-2</v>
      </c>
      <c r="DF58">
        <v>31319.8</v>
      </c>
      <c r="DG58">
        <v>27509.9</v>
      </c>
      <c r="DH58">
        <v>31162.6</v>
      </c>
      <c r="DI58">
        <v>28070.799999999999</v>
      </c>
      <c r="DJ58">
        <v>39508.6</v>
      </c>
      <c r="DK58">
        <v>38389.699999999997</v>
      </c>
      <c r="DL58">
        <v>44346.5</v>
      </c>
      <c r="DM58">
        <v>42546.400000000001</v>
      </c>
      <c r="DN58">
        <v>1.47312</v>
      </c>
      <c r="DO58">
        <v>2.0300500000000001</v>
      </c>
      <c r="DP58">
        <v>0.102967</v>
      </c>
      <c r="DQ58">
        <v>0.16325000000000001</v>
      </c>
      <c r="DR58">
        <v>25.213000000000001</v>
      </c>
      <c r="DS58">
        <v>24.9894</v>
      </c>
      <c r="DT58">
        <v>19.600000000000001</v>
      </c>
      <c r="DU58">
        <v>29.6</v>
      </c>
      <c r="DV58">
        <v>8.2369900000000005</v>
      </c>
      <c r="DW58">
        <v>61.584200000000003</v>
      </c>
      <c r="DX58">
        <v>36.798900000000003</v>
      </c>
      <c r="DY58">
        <v>1</v>
      </c>
      <c r="DZ58">
        <v>-7.1458300000000002E-2</v>
      </c>
      <c r="EA58">
        <v>0.58874700000000002</v>
      </c>
      <c r="EB58">
        <v>20.188800000000001</v>
      </c>
      <c r="EC58">
        <v>5.2411000000000003</v>
      </c>
      <c r="ED58">
        <v>12.039899999999999</v>
      </c>
      <c r="EE58">
        <v>5.01675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1.86893</v>
      </c>
      <c r="EL58">
        <v>1.8646199999999999</v>
      </c>
      <c r="EM58">
        <v>1.8691800000000001</v>
      </c>
      <c r="EN58">
        <v>1.8672299999999999</v>
      </c>
      <c r="EO58">
        <v>1.8633999999999999</v>
      </c>
      <c r="EP58">
        <v>1.8645499999999999</v>
      </c>
      <c r="EQ58">
        <v>1.8702099999999999</v>
      </c>
      <c r="ER58">
        <v>1.8694500000000001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-0.46800000000000003</v>
      </c>
      <c r="FG58">
        <v>-3.4500000000000003E-2</v>
      </c>
      <c r="FH58">
        <v>5.8509882529719233E-2</v>
      </c>
      <c r="FI58">
        <v>-6.1462078757559423E-4</v>
      </c>
      <c r="FJ58">
        <v>-1.8861989874597051E-7</v>
      </c>
      <c r="FK58">
        <v>1.1980462299894961E-10</v>
      </c>
      <c r="FL58">
        <v>-5.9863424041980147E-2</v>
      </c>
      <c r="FM58">
        <v>-1.6848085045870601E-2</v>
      </c>
      <c r="FN58">
        <v>1.9789084769509481E-3</v>
      </c>
      <c r="FO58">
        <v>-2.7142391389806329E-5</v>
      </c>
      <c r="FP58">
        <v>3</v>
      </c>
      <c r="FQ58">
        <v>2158</v>
      </c>
      <c r="FR58">
        <v>1</v>
      </c>
      <c r="FS58">
        <v>19</v>
      </c>
      <c r="FT58">
        <v>15.7</v>
      </c>
      <c r="FU58">
        <v>15.9</v>
      </c>
      <c r="FV58">
        <v>1.7773399999999999</v>
      </c>
      <c r="FW58">
        <v>2.5842299999999998</v>
      </c>
      <c r="FX58">
        <v>1.5490699999999999</v>
      </c>
      <c r="FY58">
        <v>2.3290999999999999</v>
      </c>
      <c r="FZ58">
        <v>1.50146</v>
      </c>
      <c r="GA58">
        <v>2.2778299999999998</v>
      </c>
      <c r="GB58">
        <v>33.896099999999997</v>
      </c>
      <c r="GC58">
        <v>23.973700000000001</v>
      </c>
      <c r="GD58">
        <v>19</v>
      </c>
      <c r="GE58">
        <v>282.45499999999998</v>
      </c>
      <c r="GF58">
        <v>579.89499999999998</v>
      </c>
      <c r="GG58">
        <v>23.023299999999999</v>
      </c>
      <c r="GH58">
        <v>26.4924</v>
      </c>
      <c r="GI58">
        <v>29.999600000000001</v>
      </c>
      <c r="GJ58">
        <v>26.552600000000002</v>
      </c>
      <c r="GK58">
        <v>26.511399999999998</v>
      </c>
      <c r="GL58">
        <v>35.529899999999998</v>
      </c>
      <c r="GM58">
        <v>-30</v>
      </c>
      <c r="GN58">
        <v>-30</v>
      </c>
      <c r="GO58">
        <v>23.121200000000002</v>
      </c>
      <c r="GP58">
        <v>800</v>
      </c>
      <c r="GQ58">
        <v>18.0809</v>
      </c>
      <c r="GR58">
        <v>99.706000000000003</v>
      </c>
      <c r="GS58">
        <v>99.530100000000004</v>
      </c>
    </row>
    <row r="59" spans="1:201" x14ac:dyDescent="0.25">
      <c r="A59">
        <v>43</v>
      </c>
      <c r="B59">
        <v>1690221475</v>
      </c>
      <c r="C59">
        <v>592.5</v>
      </c>
      <c r="D59" t="s">
        <v>417</v>
      </c>
      <c r="E59" t="s">
        <v>418</v>
      </c>
      <c r="F59" t="s">
        <v>330</v>
      </c>
      <c r="H59">
        <v>1690221475</v>
      </c>
      <c r="I59">
        <f t="shared" si="0"/>
        <v>5.5418062481021055E-4</v>
      </c>
      <c r="J59">
        <f t="shared" si="1"/>
        <v>0.55418062481021058</v>
      </c>
      <c r="K59">
        <f t="shared" si="2"/>
        <v>3.3077130540463515</v>
      </c>
      <c r="L59">
        <f t="shared" si="3"/>
        <v>761.21299999999997</v>
      </c>
      <c r="M59">
        <f t="shared" si="4"/>
        <v>474.23749065197006</v>
      </c>
      <c r="N59">
        <f t="shared" si="5"/>
        <v>47.033387588329191</v>
      </c>
      <c r="O59">
        <f t="shared" si="6"/>
        <v>75.494718937244997</v>
      </c>
      <c r="P59">
        <f t="shared" si="7"/>
        <v>2.0440696817931557E-2</v>
      </c>
      <c r="Q59">
        <f t="shared" si="8"/>
        <v>2.191033814012616</v>
      </c>
      <c r="R59">
        <f t="shared" si="9"/>
        <v>2.0335343972916121E-2</v>
      </c>
      <c r="S59">
        <f t="shared" si="10"/>
        <v>1.2719010150916924E-2</v>
      </c>
      <c r="T59">
        <f t="shared" si="11"/>
        <v>276.11243290151737</v>
      </c>
      <c r="U59">
        <f t="shared" si="12"/>
        <v>27.911346196245876</v>
      </c>
      <c r="V59">
        <f t="shared" si="13"/>
        <v>27.911346196245876</v>
      </c>
      <c r="W59">
        <f t="shared" si="14"/>
        <v>3.7752713029283798</v>
      </c>
      <c r="X59">
        <f t="shared" si="15"/>
        <v>33.82928887337939</v>
      </c>
      <c r="Y59">
        <f t="shared" si="16"/>
        <v>1.1394628373579998</v>
      </c>
      <c r="Z59">
        <f t="shared" si="17"/>
        <v>3.3682731009301663</v>
      </c>
      <c r="AA59">
        <f t="shared" si="18"/>
        <v>2.63580846557038</v>
      </c>
      <c r="AB59">
        <f t="shared" si="19"/>
        <v>-24.439365554130287</v>
      </c>
      <c r="AC59">
        <f t="shared" si="20"/>
        <v>-229.31766582255264</v>
      </c>
      <c r="AD59">
        <f t="shared" si="21"/>
        <v>-22.574091128941802</v>
      </c>
      <c r="AE59">
        <f t="shared" si="22"/>
        <v>-0.21868960410736804</v>
      </c>
      <c r="AF59">
        <v>0</v>
      </c>
      <c r="AG59">
        <v>0</v>
      </c>
      <c r="AH59">
        <f t="shared" si="23"/>
        <v>1</v>
      </c>
      <c r="AI59">
        <f t="shared" si="24"/>
        <v>0</v>
      </c>
      <c r="AJ59">
        <f t="shared" si="25"/>
        <v>52440.324384646257</v>
      </c>
      <c r="AK59">
        <f t="shared" si="26"/>
        <v>1799.99</v>
      </c>
      <c r="AL59">
        <f t="shared" si="27"/>
        <v>1499.10314240294</v>
      </c>
      <c r="AM59">
        <f t="shared" si="28"/>
        <v>0.83283970600000001</v>
      </c>
      <c r="AN59">
        <f t="shared" si="29"/>
        <v>0.15339664825999999</v>
      </c>
      <c r="AO59">
        <v>31.2</v>
      </c>
      <c r="AP59">
        <v>0.5</v>
      </c>
      <c r="AQ59" t="s">
        <v>331</v>
      </c>
      <c r="AR59">
        <v>2</v>
      </c>
      <c r="AS59">
        <v>1690221475</v>
      </c>
      <c r="AT59">
        <v>761.21299999999997</v>
      </c>
      <c r="AU59">
        <v>799.97900000000004</v>
      </c>
      <c r="AV59">
        <v>11.4892</v>
      </c>
      <c r="AW59">
        <v>5.7950900000000001</v>
      </c>
      <c r="AX59">
        <v>761.67899999999997</v>
      </c>
      <c r="AY59">
        <v>11.522</v>
      </c>
      <c r="AZ59">
        <v>300.166</v>
      </c>
      <c r="BA59">
        <v>99.076899999999995</v>
      </c>
      <c r="BB59">
        <v>9.9964999999999998E-2</v>
      </c>
      <c r="BC59">
        <v>25.97</v>
      </c>
      <c r="BD59">
        <v>26.931100000000001</v>
      </c>
      <c r="BE59">
        <v>27.645299999999999</v>
      </c>
      <c r="BF59">
        <v>0</v>
      </c>
      <c r="BG59">
        <v>0</v>
      </c>
      <c r="BH59">
        <v>9974.3799999999992</v>
      </c>
      <c r="BI59">
        <v>1069.58</v>
      </c>
      <c r="BJ59">
        <v>1.56985</v>
      </c>
      <c r="BK59">
        <v>-38.766199999999998</v>
      </c>
      <c r="BL59">
        <v>770.06</v>
      </c>
      <c r="BM59">
        <v>804.64200000000005</v>
      </c>
      <c r="BN59">
        <v>5.6941499999999996</v>
      </c>
      <c r="BO59">
        <v>799.97900000000004</v>
      </c>
      <c r="BP59">
        <v>5.7950900000000001</v>
      </c>
      <c r="BQ59">
        <v>1.13832</v>
      </c>
      <c r="BR59">
        <v>0.57416</v>
      </c>
      <c r="BS59">
        <v>8.8184199999999997</v>
      </c>
      <c r="BT59">
        <v>-0.91234700000000002</v>
      </c>
      <c r="BU59">
        <v>1799.99</v>
      </c>
      <c r="BV59">
        <v>0.91001500000000002</v>
      </c>
      <c r="BW59">
        <v>3.4006300000000003E-2</v>
      </c>
      <c r="BX59">
        <v>2.1990800000000001E-2</v>
      </c>
      <c r="BY59">
        <v>3.39876E-2</v>
      </c>
      <c r="BZ59">
        <v>25</v>
      </c>
      <c r="CA59">
        <v>33528.400000000001</v>
      </c>
      <c r="CB59">
        <v>1690220522.5999999</v>
      </c>
      <c r="CC59" t="s">
        <v>332</v>
      </c>
      <c r="CD59">
        <v>1690220522.5999999</v>
      </c>
      <c r="CE59">
        <v>1690220510.5999999</v>
      </c>
      <c r="CF59">
        <v>10</v>
      </c>
      <c r="CG59">
        <v>-0.22</v>
      </c>
      <c r="CH59">
        <v>-2.7E-2</v>
      </c>
      <c r="CI59">
        <v>-0.49299999999999999</v>
      </c>
      <c r="CJ59">
        <v>0.152</v>
      </c>
      <c r="CK59">
        <v>800</v>
      </c>
      <c r="CL59">
        <v>19</v>
      </c>
      <c r="CM59">
        <v>0.1</v>
      </c>
      <c r="CN59">
        <v>0.03</v>
      </c>
      <c r="CO59">
        <v>-36.649548780487798</v>
      </c>
      <c r="CP59">
        <v>-11.94297073170735</v>
      </c>
      <c r="CQ59">
        <v>1.177959267820774</v>
      </c>
      <c r="CR59">
        <v>-1</v>
      </c>
      <c r="CS59">
        <v>5.5904512195121949</v>
      </c>
      <c r="CT59">
        <v>0.5935187456445995</v>
      </c>
      <c r="CU59">
        <v>5.8529919686539672E-2</v>
      </c>
      <c r="CV59">
        <v>-1</v>
      </c>
      <c r="CW59">
        <v>0</v>
      </c>
      <c r="CX59">
        <v>0</v>
      </c>
      <c r="CY59" t="s">
        <v>333</v>
      </c>
      <c r="CZ59">
        <v>2.3642400000000001</v>
      </c>
      <c r="DA59">
        <v>2.71373</v>
      </c>
      <c r="DB59">
        <v>0.141703</v>
      </c>
      <c r="DC59">
        <v>0.14602299999999999</v>
      </c>
      <c r="DD59">
        <v>6.6975300000000001E-2</v>
      </c>
      <c r="DE59">
        <v>3.8327399999999998E-2</v>
      </c>
      <c r="DF59">
        <v>31329.5</v>
      </c>
      <c r="DG59">
        <v>27509.599999999999</v>
      </c>
      <c r="DH59">
        <v>31163</v>
      </c>
      <c r="DI59">
        <v>28070.7</v>
      </c>
      <c r="DJ59">
        <v>39490.6</v>
      </c>
      <c r="DK59">
        <v>38389.9</v>
      </c>
      <c r="DL59">
        <v>44347.1</v>
      </c>
      <c r="DM59">
        <v>42546.400000000001</v>
      </c>
      <c r="DN59">
        <v>1.4738199999999999</v>
      </c>
      <c r="DO59">
        <v>2.0305</v>
      </c>
      <c r="DP59">
        <v>0.105545</v>
      </c>
      <c r="DQ59">
        <v>0.16292899999999999</v>
      </c>
      <c r="DR59">
        <v>25.202400000000001</v>
      </c>
      <c r="DS59">
        <v>24.977799999999998</v>
      </c>
      <c r="DT59">
        <v>19.5</v>
      </c>
      <c r="DU59">
        <v>29.6</v>
      </c>
      <c r="DV59">
        <v>8.1940000000000008</v>
      </c>
      <c r="DW59">
        <v>61.754199999999997</v>
      </c>
      <c r="DX59">
        <v>36.618600000000001</v>
      </c>
      <c r="DY59">
        <v>1</v>
      </c>
      <c r="DZ59">
        <v>-7.1961399999999995E-2</v>
      </c>
      <c r="EA59">
        <v>0.52545200000000003</v>
      </c>
      <c r="EB59">
        <v>20.1891</v>
      </c>
      <c r="EC59">
        <v>5.2409499999999998</v>
      </c>
      <c r="ED59">
        <v>12.039899999999999</v>
      </c>
      <c r="EE59">
        <v>5.0168499999999998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1.86893</v>
      </c>
      <c r="EL59">
        <v>1.8646400000000001</v>
      </c>
      <c r="EM59">
        <v>1.8691899999999999</v>
      </c>
      <c r="EN59">
        <v>1.8672299999999999</v>
      </c>
      <c r="EO59">
        <v>1.8633999999999999</v>
      </c>
      <c r="EP59">
        <v>1.86459</v>
      </c>
      <c r="EQ59">
        <v>1.8702099999999999</v>
      </c>
      <c r="ER59">
        <v>1.86944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-0.46600000000000003</v>
      </c>
      <c r="FG59">
        <v>-3.2800000000000003E-2</v>
      </c>
      <c r="FH59">
        <v>5.8509882529719233E-2</v>
      </c>
      <c r="FI59">
        <v>-6.1462078757559423E-4</v>
      </c>
      <c r="FJ59">
        <v>-1.8861989874597051E-7</v>
      </c>
      <c r="FK59">
        <v>1.1980462299894961E-10</v>
      </c>
      <c r="FL59">
        <v>-5.9863424041980147E-2</v>
      </c>
      <c r="FM59">
        <v>-1.6848085045870601E-2</v>
      </c>
      <c r="FN59">
        <v>1.9789084769509481E-3</v>
      </c>
      <c r="FO59">
        <v>-2.7142391389806329E-5</v>
      </c>
      <c r="FP59">
        <v>3</v>
      </c>
      <c r="FQ59">
        <v>2158</v>
      </c>
      <c r="FR59">
        <v>1</v>
      </c>
      <c r="FS59">
        <v>19</v>
      </c>
      <c r="FT59">
        <v>15.9</v>
      </c>
      <c r="FU59">
        <v>16.100000000000001</v>
      </c>
      <c r="FV59">
        <v>1.7773399999999999</v>
      </c>
      <c r="FW59">
        <v>2.5817899999999998</v>
      </c>
      <c r="FX59">
        <v>1.5490699999999999</v>
      </c>
      <c r="FY59">
        <v>2.3290999999999999</v>
      </c>
      <c r="FZ59">
        <v>1.50146</v>
      </c>
      <c r="GA59">
        <v>2.2534200000000002</v>
      </c>
      <c r="GB59">
        <v>33.896099999999997</v>
      </c>
      <c r="GC59">
        <v>23.973700000000001</v>
      </c>
      <c r="GD59">
        <v>19</v>
      </c>
      <c r="GE59">
        <v>282.75400000000002</v>
      </c>
      <c r="GF59">
        <v>580.26499999999999</v>
      </c>
      <c r="GG59">
        <v>23.175999999999998</v>
      </c>
      <c r="GH59">
        <v>26.486799999999999</v>
      </c>
      <c r="GI59">
        <v>29.9999</v>
      </c>
      <c r="GJ59">
        <v>26.552600000000002</v>
      </c>
      <c r="GK59">
        <v>26.511399999999998</v>
      </c>
      <c r="GL59">
        <v>35.528700000000001</v>
      </c>
      <c r="GM59">
        <v>-30</v>
      </c>
      <c r="GN59">
        <v>-30</v>
      </c>
      <c r="GO59">
        <v>23.218299999999999</v>
      </c>
      <c r="GP59">
        <v>800</v>
      </c>
      <c r="GQ59">
        <v>18.0809</v>
      </c>
      <c r="GR59">
        <v>99.707300000000004</v>
      </c>
      <c r="GS59">
        <v>99.53</v>
      </c>
    </row>
    <row r="60" spans="1:201" x14ac:dyDescent="0.25">
      <c r="A60">
        <v>44</v>
      </c>
      <c r="B60">
        <v>1690221485</v>
      </c>
      <c r="C60">
        <v>602.5</v>
      </c>
      <c r="D60" t="s">
        <v>419</v>
      </c>
      <c r="E60" t="s">
        <v>420</v>
      </c>
      <c r="F60" t="s">
        <v>330</v>
      </c>
      <c r="H60">
        <v>1690221485</v>
      </c>
      <c r="I60">
        <f t="shared" si="0"/>
        <v>5.646867765885849E-4</v>
      </c>
      <c r="J60">
        <f t="shared" si="1"/>
        <v>0.5646867765885849</v>
      </c>
      <c r="K60">
        <f t="shared" si="2"/>
        <v>3.5060227986254557</v>
      </c>
      <c r="L60">
        <f t="shared" si="3"/>
        <v>759.18399999999997</v>
      </c>
      <c r="M60">
        <f t="shared" si="4"/>
        <v>463.14438087332474</v>
      </c>
      <c r="N60">
        <f t="shared" si="5"/>
        <v>45.931300277249683</v>
      </c>
      <c r="O60">
        <f t="shared" si="6"/>
        <v>75.290362378855988</v>
      </c>
      <c r="P60">
        <f t="shared" si="7"/>
        <v>2.0908532534740835E-2</v>
      </c>
      <c r="Q60">
        <f t="shared" si="8"/>
        <v>2.1933666849468763</v>
      </c>
      <c r="R60">
        <f t="shared" si="9"/>
        <v>2.0798432577328628E-2</v>
      </c>
      <c r="S60">
        <f t="shared" si="10"/>
        <v>1.3008863971148418E-2</v>
      </c>
      <c r="T60">
        <f t="shared" si="11"/>
        <v>276.116263812</v>
      </c>
      <c r="U60">
        <f t="shared" si="12"/>
        <v>27.912612095000227</v>
      </c>
      <c r="V60">
        <f t="shared" si="13"/>
        <v>27.912612095000227</v>
      </c>
      <c r="W60">
        <f t="shared" si="14"/>
        <v>3.7755501014328199</v>
      </c>
      <c r="X60">
        <f t="shared" si="15"/>
        <v>34.123503650277165</v>
      </c>
      <c r="Y60">
        <f t="shared" si="16"/>
        <v>1.1498286574703003</v>
      </c>
      <c r="Z60">
        <f t="shared" si="17"/>
        <v>3.3696090215547398</v>
      </c>
      <c r="AA60">
        <f t="shared" si="18"/>
        <v>2.6257214439625196</v>
      </c>
      <c r="AB60">
        <f t="shared" si="19"/>
        <v>-24.902686847556595</v>
      </c>
      <c r="AC60">
        <f t="shared" si="20"/>
        <v>-228.91925255631125</v>
      </c>
      <c r="AD60">
        <f t="shared" si="21"/>
        <v>-22.511798533455721</v>
      </c>
      <c r="AE60">
        <f t="shared" si="22"/>
        <v>-0.21747412532357657</v>
      </c>
      <c r="AF60">
        <v>0</v>
      </c>
      <c r="AG60">
        <v>0</v>
      </c>
      <c r="AH60">
        <f t="shared" si="23"/>
        <v>1</v>
      </c>
      <c r="AI60">
        <f t="shared" si="24"/>
        <v>0</v>
      </c>
      <c r="AJ60">
        <f t="shared" si="25"/>
        <v>52534.683652111729</v>
      </c>
      <c r="AK60">
        <f t="shared" si="26"/>
        <v>1800</v>
      </c>
      <c r="AL60">
        <f t="shared" si="27"/>
        <v>1499.1139601999998</v>
      </c>
      <c r="AM60">
        <f t="shared" si="28"/>
        <v>0.83284108899999987</v>
      </c>
      <c r="AN60">
        <f t="shared" si="29"/>
        <v>0.15339792433999999</v>
      </c>
      <c r="AO60">
        <v>31.2</v>
      </c>
      <c r="AP60">
        <v>0.5</v>
      </c>
      <c r="AQ60" t="s">
        <v>331</v>
      </c>
      <c r="AR60">
        <v>2</v>
      </c>
      <c r="AS60">
        <v>1690221485</v>
      </c>
      <c r="AT60">
        <v>759.18399999999997</v>
      </c>
      <c r="AU60">
        <v>800.08100000000002</v>
      </c>
      <c r="AV60">
        <v>11.594200000000001</v>
      </c>
      <c r="AW60">
        <v>5.7929700000000004</v>
      </c>
      <c r="AX60">
        <v>759.649</v>
      </c>
      <c r="AY60">
        <v>11.6251</v>
      </c>
      <c r="AZ60">
        <v>300.17700000000002</v>
      </c>
      <c r="BA60">
        <v>99.072800000000001</v>
      </c>
      <c r="BB60">
        <v>9.9946499999999994E-2</v>
      </c>
      <c r="BC60">
        <v>25.976700000000001</v>
      </c>
      <c r="BD60">
        <v>26.907699999999998</v>
      </c>
      <c r="BE60">
        <v>27.689</v>
      </c>
      <c r="BF60">
        <v>0</v>
      </c>
      <c r="BG60">
        <v>0</v>
      </c>
      <c r="BH60">
        <v>9993.75</v>
      </c>
      <c r="BI60">
        <v>1069.49</v>
      </c>
      <c r="BJ60">
        <v>1.40446</v>
      </c>
      <c r="BK60">
        <v>-40.896900000000002</v>
      </c>
      <c r="BL60">
        <v>768.09</v>
      </c>
      <c r="BM60">
        <v>804.74300000000005</v>
      </c>
      <c r="BN60">
        <v>5.8011799999999996</v>
      </c>
      <c r="BO60">
        <v>800.08100000000002</v>
      </c>
      <c r="BP60">
        <v>5.7929700000000004</v>
      </c>
      <c r="BQ60">
        <v>1.1486700000000001</v>
      </c>
      <c r="BR60">
        <v>0.57392600000000005</v>
      </c>
      <c r="BS60">
        <v>8.9523600000000005</v>
      </c>
      <c r="BT60">
        <v>-0.91791800000000001</v>
      </c>
      <c r="BU60">
        <v>1800</v>
      </c>
      <c r="BV60">
        <v>0.91000199999999998</v>
      </c>
      <c r="BW60">
        <v>3.4003899999999997E-2</v>
      </c>
      <c r="BX60">
        <v>2.2006700000000001E-2</v>
      </c>
      <c r="BY60">
        <v>3.3987799999999999E-2</v>
      </c>
      <c r="BZ60">
        <v>25</v>
      </c>
      <c r="CA60">
        <v>33528.199999999997</v>
      </c>
      <c r="CB60">
        <v>1690220522.5999999</v>
      </c>
      <c r="CC60" t="s">
        <v>332</v>
      </c>
      <c r="CD60">
        <v>1690220522.5999999</v>
      </c>
      <c r="CE60">
        <v>1690220510.5999999</v>
      </c>
      <c r="CF60">
        <v>10</v>
      </c>
      <c r="CG60">
        <v>-0.22</v>
      </c>
      <c r="CH60">
        <v>-2.7E-2</v>
      </c>
      <c r="CI60">
        <v>-0.49299999999999999</v>
      </c>
      <c r="CJ60">
        <v>0.152</v>
      </c>
      <c r="CK60">
        <v>800</v>
      </c>
      <c r="CL60">
        <v>19</v>
      </c>
      <c r="CM60">
        <v>0.1</v>
      </c>
      <c r="CN60">
        <v>0.03</v>
      </c>
      <c r="CO60">
        <v>-38.481204878048779</v>
      </c>
      <c r="CP60">
        <v>-12.45581602787453</v>
      </c>
      <c r="CQ60">
        <v>1.2284921201393599</v>
      </c>
      <c r="CR60">
        <v>-1</v>
      </c>
      <c r="CS60">
        <v>5.6808965853658533</v>
      </c>
      <c r="CT60">
        <v>0.614288780487804</v>
      </c>
      <c r="CU60">
        <v>6.0575189906782102E-2</v>
      </c>
      <c r="CV60">
        <v>-1</v>
      </c>
      <c r="CW60">
        <v>0</v>
      </c>
      <c r="CX60">
        <v>0</v>
      </c>
      <c r="CY60" t="s">
        <v>333</v>
      </c>
      <c r="CZ60">
        <v>2.36429</v>
      </c>
      <c r="DA60">
        <v>2.71373</v>
      </c>
      <c r="DB60">
        <v>0.14144599999999999</v>
      </c>
      <c r="DC60">
        <v>0.14602899999999999</v>
      </c>
      <c r="DD60">
        <v>6.74289E-2</v>
      </c>
      <c r="DE60">
        <v>3.8314099999999997E-2</v>
      </c>
      <c r="DF60">
        <v>31338.9</v>
      </c>
      <c r="DG60">
        <v>27509.3</v>
      </c>
      <c r="DH60">
        <v>31163</v>
      </c>
      <c r="DI60">
        <v>28070.5</v>
      </c>
      <c r="DJ60">
        <v>39471.199999999997</v>
      </c>
      <c r="DK60">
        <v>38390.1</v>
      </c>
      <c r="DL60">
        <v>44346.9</v>
      </c>
      <c r="DM60">
        <v>42546.1</v>
      </c>
      <c r="DN60">
        <v>1.4738199999999999</v>
      </c>
      <c r="DO60">
        <v>2.0302699999999998</v>
      </c>
      <c r="DP60">
        <v>0.10463600000000001</v>
      </c>
      <c r="DQ60">
        <v>0.16608500000000001</v>
      </c>
      <c r="DR60">
        <v>25.193899999999999</v>
      </c>
      <c r="DS60">
        <v>24.969899999999999</v>
      </c>
      <c r="DT60">
        <v>19.399999999999999</v>
      </c>
      <c r="DU60">
        <v>29.6</v>
      </c>
      <c r="DV60">
        <v>8.1512200000000004</v>
      </c>
      <c r="DW60">
        <v>61.924199999999999</v>
      </c>
      <c r="DX60">
        <v>36.498399999999997</v>
      </c>
      <c r="DY60">
        <v>1</v>
      </c>
      <c r="DZ60">
        <v>-7.2045200000000004E-2</v>
      </c>
      <c r="EA60">
        <v>0.54645999999999995</v>
      </c>
      <c r="EB60">
        <v>20.189</v>
      </c>
      <c r="EC60">
        <v>5.2406499999999996</v>
      </c>
      <c r="ED60">
        <v>12.039899999999999</v>
      </c>
      <c r="EE60">
        <v>5.0169499999999996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1.8689199999999999</v>
      </c>
      <c r="EL60">
        <v>1.86463</v>
      </c>
      <c r="EM60">
        <v>1.8691899999999999</v>
      </c>
      <c r="EN60">
        <v>1.86724</v>
      </c>
      <c r="EO60">
        <v>1.8633999999999999</v>
      </c>
      <c r="EP60">
        <v>1.86456</v>
      </c>
      <c r="EQ60">
        <v>1.8702000000000001</v>
      </c>
      <c r="ER60">
        <v>1.86944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-0.46500000000000002</v>
      </c>
      <c r="FG60">
        <v>-3.09E-2</v>
      </c>
      <c r="FH60">
        <v>5.8509882529719233E-2</v>
      </c>
      <c r="FI60">
        <v>-6.1462078757559423E-4</v>
      </c>
      <c r="FJ60">
        <v>-1.8861989874597051E-7</v>
      </c>
      <c r="FK60">
        <v>1.1980462299894961E-10</v>
      </c>
      <c r="FL60">
        <v>-5.9863424041980147E-2</v>
      </c>
      <c r="FM60">
        <v>-1.6848085045870601E-2</v>
      </c>
      <c r="FN60">
        <v>1.9789084769509481E-3</v>
      </c>
      <c r="FO60">
        <v>-2.7142391389806329E-5</v>
      </c>
      <c r="FP60">
        <v>3</v>
      </c>
      <c r="FQ60">
        <v>2158</v>
      </c>
      <c r="FR60">
        <v>1</v>
      </c>
      <c r="FS60">
        <v>19</v>
      </c>
      <c r="FT60">
        <v>16</v>
      </c>
      <c r="FU60">
        <v>16.2</v>
      </c>
      <c r="FV60">
        <v>1.7761199999999999</v>
      </c>
      <c r="FW60">
        <v>2.5891099999999998</v>
      </c>
      <c r="FX60">
        <v>1.5490699999999999</v>
      </c>
      <c r="FY60">
        <v>2.3290999999999999</v>
      </c>
      <c r="FZ60">
        <v>1.50146</v>
      </c>
      <c r="GA60">
        <v>2.2705099999999998</v>
      </c>
      <c r="GB60">
        <v>33.896099999999997</v>
      </c>
      <c r="GC60">
        <v>23.973700000000001</v>
      </c>
      <c r="GD60">
        <v>19</v>
      </c>
      <c r="GE60">
        <v>282.74900000000002</v>
      </c>
      <c r="GF60">
        <v>580.10500000000002</v>
      </c>
      <c r="GG60">
        <v>23.270099999999999</v>
      </c>
      <c r="GH60">
        <v>26.4818</v>
      </c>
      <c r="GI60">
        <v>29.9999</v>
      </c>
      <c r="GJ60">
        <v>26.551500000000001</v>
      </c>
      <c r="GK60">
        <v>26.5136</v>
      </c>
      <c r="GL60">
        <v>35.5227</v>
      </c>
      <c r="GM60">
        <v>-30</v>
      </c>
      <c r="GN60">
        <v>-30</v>
      </c>
      <c r="GO60">
        <v>23.329699999999999</v>
      </c>
      <c r="GP60">
        <v>800</v>
      </c>
      <c r="GQ60">
        <v>18.0809</v>
      </c>
      <c r="GR60">
        <v>99.707099999999997</v>
      </c>
      <c r="GS60">
        <v>99.529399999999995</v>
      </c>
    </row>
    <row r="61" spans="1:201" x14ac:dyDescent="0.25">
      <c r="A61">
        <v>45</v>
      </c>
      <c r="B61">
        <v>1690221495</v>
      </c>
      <c r="C61">
        <v>612.5</v>
      </c>
      <c r="D61" t="s">
        <v>421</v>
      </c>
      <c r="E61" t="s">
        <v>422</v>
      </c>
      <c r="F61" t="s">
        <v>330</v>
      </c>
      <c r="H61">
        <v>1690221495</v>
      </c>
      <c r="I61">
        <f t="shared" si="0"/>
        <v>5.7570131332646999E-4</v>
      </c>
      <c r="J61">
        <f t="shared" si="1"/>
        <v>0.57570131332647001</v>
      </c>
      <c r="K61">
        <f t="shared" si="2"/>
        <v>3.7156545270001096</v>
      </c>
      <c r="L61">
        <f t="shared" si="3"/>
        <v>756.92499999999995</v>
      </c>
      <c r="M61">
        <f t="shared" si="4"/>
        <v>451.49523058487239</v>
      </c>
      <c r="N61">
        <f t="shared" si="5"/>
        <v>44.776416881331741</v>
      </c>
      <c r="O61">
        <f t="shared" si="6"/>
        <v>75.066993075424989</v>
      </c>
      <c r="P61">
        <f t="shared" si="7"/>
        <v>2.1385292396828109E-2</v>
      </c>
      <c r="Q61">
        <f t="shared" si="8"/>
        <v>2.1960606932691462</v>
      </c>
      <c r="R61">
        <f t="shared" si="9"/>
        <v>2.1270269540315825E-2</v>
      </c>
      <c r="S61">
        <f t="shared" si="10"/>
        <v>1.3304201131672147E-2</v>
      </c>
      <c r="T61">
        <f t="shared" si="11"/>
        <v>276.11499668127414</v>
      </c>
      <c r="U61">
        <f t="shared" si="12"/>
        <v>27.924867696446977</v>
      </c>
      <c r="V61">
        <f t="shared" si="13"/>
        <v>27.924867696446977</v>
      </c>
      <c r="W61">
        <f t="shared" si="14"/>
        <v>3.7782501746344792</v>
      </c>
      <c r="X61">
        <f t="shared" si="15"/>
        <v>34.413705836006393</v>
      </c>
      <c r="Y61">
        <f t="shared" si="16"/>
        <v>1.1608569858912998</v>
      </c>
      <c r="Z61">
        <f t="shared" si="17"/>
        <v>3.3732402764851837</v>
      </c>
      <c r="AA61">
        <f t="shared" si="18"/>
        <v>2.6173931887431792</v>
      </c>
      <c r="AB61">
        <f t="shared" si="19"/>
        <v>-25.388427917697328</v>
      </c>
      <c r="AC61">
        <f t="shared" si="20"/>
        <v>-228.49664195673051</v>
      </c>
      <c r="AD61">
        <f t="shared" si="21"/>
        <v>-22.446090830366398</v>
      </c>
      <c r="AE61">
        <f t="shared" si="22"/>
        <v>-0.21616402352009345</v>
      </c>
      <c r="AF61">
        <v>0</v>
      </c>
      <c r="AG61">
        <v>0</v>
      </c>
      <c r="AH61">
        <f t="shared" si="23"/>
        <v>1</v>
      </c>
      <c r="AI61">
        <f t="shared" si="24"/>
        <v>0</v>
      </c>
      <c r="AJ61">
        <f t="shared" si="25"/>
        <v>52642.051792396334</v>
      </c>
      <c r="AK61">
        <f t="shared" si="26"/>
        <v>1799.99</v>
      </c>
      <c r="AL61">
        <f t="shared" si="27"/>
        <v>1499.10146481226</v>
      </c>
      <c r="AM61">
        <f t="shared" si="28"/>
        <v>0.83283877399999995</v>
      </c>
      <c r="AN61">
        <f t="shared" si="29"/>
        <v>0.15339807259000002</v>
      </c>
      <c r="AO61">
        <v>31.2</v>
      </c>
      <c r="AP61">
        <v>0.5</v>
      </c>
      <c r="AQ61" t="s">
        <v>331</v>
      </c>
      <c r="AR61">
        <v>2</v>
      </c>
      <c r="AS61">
        <v>1690221495</v>
      </c>
      <c r="AT61">
        <v>756.92499999999995</v>
      </c>
      <c r="AU61">
        <v>800.07500000000005</v>
      </c>
      <c r="AV61">
        <v>11.705299999999999</v>
      </c>
      <c r="AW61">
        <v>5.79148</v>
      </c>
      <c r="AX61">
        <v>757.38800000000003</v>
      </c>
      <c r="AY61">
        <v>11.7342</v>
      </c>
      <c r="AZ61">
        <v>300.17200000000003</v>
      </c>
      <c r="BA61">
        <v>99.073599999999999</v>
      </c>
      <c r="BB61">
        <v>0.100021</v>
      </c>
      <c r="BC61">
        <v>25.994900000000001</v>
      </c>
      <c r="BD61">
        <v>26.898299999999999</v>
      </c>
      <c r="BE61">
        <v>27.6769</v>
      </c>
      <c r="BF61">
        <v>0</v>
      </c>
      <c r="BG61">
        <v>0</v>
      </c>
      <c r="BH61">
        <v>10015.6</v>
      </c>
      <c r="BI61">
        <v>1069.43</v>
      </c>
      <c r="BJ61">
        <v>1.28952</v>
      </c>
      <c r="BK61">
        <v>-43.150799999999997</v>
      </c>
      <c r="BL61">
        <v>765.89</v>
      </c>
      <c r="BM61">
        <v>804.73599999999999</v>
      </c>
      <c r="BN61">
        <v>5.91378</v>
      </c>
      <c r="BO61">
        <v>800.07500000000005</v>
      </c>
      <c r="BP61">
        <v>5.79148</v>
      </c>
      <c r="BQ61">
        <v>1.15968</v>
      </c>
      <c r="BR61">
        <v>0.57378200000000001</v>
      </c>
      <c r="BS61">
        <v>9.0937900000000003</v>
      </c>
      <c r="BT61">
        <v>-0.92133100000000001</v>
      </c>
      <c r="BU61">
        <v>1799.99</v>
      </c>
      <c r="BV61">
        <v>0.90997899999999998</v>
      </c>
      <c r="BW61">
        <v>3.40016E-2</v>
      </c>
      <c r="BX61">
        <v>2.2008699999999999E-2</v>
      </c>
      <c r="BY61">
        <v>3.40103E-2</v>
      </c>
      <c r="BZ61">
        <v>25</v>
      </c>
      <c r="CA61">
        <v>33528.1</v>
      </c>
      <c r="CB61">
        <v>1690220522.5999999</v>
      </c>
      <c r="CC61" t="s">
        <v>332</v>
      </c>
      <c r="CD61">
        <v>1690220522.5999999</v>
      </c>
      <c r="CE61">
        <v>1690220510.5999999</v>
      </c>
      <c r="CF61">
        <v>10</v>
      </c>
      <c r="CG61">
        <v>-0.22</v>
      </c>
      <c r="CH61">
        <v>-2.7E-2</v>
      </c>
      <c r="CI61">
        <v>-0.49299999999999999</v>
      </c>
      <c r="CJ61">
        <v>0.152</v>
      </c>
      <c r="CK61">
        <v>800</v>
      </c>
      <c r="CL61">
        <v>19</v>
      </c>
      <c r="CM61">
        <v>0.1</v>
      </c>
      <c r="CN61">
        <v>0.03</v>
      </c>
      <c r="CO61">
        <v>-40.731637499999998</v>
      </c>
      <c r="CP61">
        <v>-12.59296097560966</v>
      </c>
      <c r="CQ61">
        <v>1.2119275881189231</v>
      </c>
      <c r="CR61">
        <v>-1</v>
      </c>
      <c r="CS61">
        <v>5.7940112499999996</v>
      </c>
      <c r="CT61">
        <v>0.65225752345214849</v>
      </c>
      <c r="CU61">
        <v>6.2754231219396731E-2</v>
      </c>
      <c r="CV61">
        <v>-1</v>
      </c>
      <c r="CW61">
        <v>0</v>
      </c>
      <c r="CX61">
        <v>0</v>
      </c>
      <c r="CY61" t="s">
        <v>333</v>
      </c>
      <c r="CZ61">
        <v>2.3642699999999999</v>
      </c>
      <c r="DA61">
        <v>2.7138300000000002</v>
      </c>
      <c r="DB61">
        <v>0.14116500000000001</v>
      </c>
      <c r="DC61">
        <v>0.14602899999999999</v>
      </c>
      <c r="DD61">
        <v>6.7910899999999996E-2</v>
      </c>
      <c r="DE61">
        <v>3.8306300000000001E-2</v>
      </c>
      <c r="DF61">
        <v>31348.9</v>
      </c>
      <c r="DG61">
        <v>27509.5</v>
      </c>
      <c r="DH61">
        <v>31162.7</v>
      </c>
      <c r="DI61">
        <v>28070.799999999999</v>
      </c>
      <c r="DJ61">
        <v>39450.400000000001</v>
      </c>
      <c r="DK61">
        <v>38390.800000000003</v>
      </c>
      <c r="DL61">
        <v>44346.8</v>
      </c>
      <c r="DM61">
        <v>42546.5</v>
      </c>
      <c r="DN61">
        <v>1.4741</v>
      </c>
      <c r="DO61">
        <v>2.0305200000000001</v>
      </c>
      <c r="DP61">
        <v>0.10442</v>
      </c>
      <c r="DQ61">
        <v>0.16569700000000001</v>
      </c>
      <c r="DR61">
        <v>25.187999999999999</v>
      </c>
      <c r="DS61">
        <v>24.964099999999998</v>
      </c>
      <c r="DT61">
        <v>19.399999999999999</v>
      </c>
      <c r="DU61">
        <v>29.6</v>
      </c>
      <c r="DV61">
        <v>8.1517099999999996</v>
      </c>
      <c r="DW61">
        <v>61.494199999999999</v>
      </c>
      <c r="DX61">
        <v>36.334099999999999</v>
      </c>
      <c r="DY61">
        <v>1</v>
      </c>
      <c r="DZ61">
        <v>-7.21189E-2</v>
      </c>
      <c r="EA61">
        <v>0.41286499999999998</v>
      </c>
      <c r="EB61">
        <v>20.189800000000002</v>
      </c>
      <c r="EC61">
        <v>5.2403500000000003</v>
      </c>
      <c r="ED61">
        <v>12.039899999999999</v>
      </c>
      <c r="EE61">
        <v>5.0162500000000003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1.8689100000000001</v>
      </c>
      <c r="EL61">
        <v>1.8646400000000001</v>
      </c>
      <c r="EM61">
        <v>1.8691899999999999</v>
      </c>
      <c r="EN61">
        <v>1.8672500000000001</v>
      </c>
      <c r="EO61">
        <v>1.8633999999999999</v>
      </c>
      <c r="EP61">
        <v>1.86459</v>
      </c>
      <c r="EQ61">
        <v>1.8702000000000001</v>
      </c>
      <c r="ER61">
        <v>1.8694299999999999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-0.46300000000000002</v>
      </c>
      <c r="FG61">
        <v>-2.8899999999999999E-2</v>
      </c>
      <c r="FH61">
        <v>5.8509882529719233E-2</v>
      </c>
      <c r="FI61">
        <v>-6.1462078757559423E-4</v>
      </c>
      <c r="FJ61">
        <v>-1.8861989874597051E-7</v>
      </c>
      <c r="FK61">
        <v>1.1980462299894961E-10</v>
      </c>
      <c r="FL61">
        <v>-5.9863424041980147E-2</v>
      </c>
      <c r="FM61">
        <v>-1.6848085045870601E-2</v>
      </c>
      <c r="FN61">
        <v>1.9789084769509481E-3</v>
      </c>
      <c r="FO61">
        <v>-2.7142391389806329E-5</v>
      </c>
      <c r="FP61">
        <v>3</v>
      </c>
      <c r="FQ61">
        <v>2158</v>
      </c>
      <c r="FR61">
        <v>1</v>
      </c>
      <c r="FS61">
        <v>19</v>
      </c>
      <c r="FT61">
        <v>16.2</v>
      </c>
      <c r="FU61">
        <v>16.399999999999999</v>
      </c>
      <c r="FV61">
        <v>1.7761199999999999</v>
      </c>
      <c r="FW61">
        <v>2.5878899999999998</v>
      </c>
      <c r="FX61">
        <v>1.5490699999999999</v>
      </c>
      <c r="FY61">
        <v>2.3290999999999999</v>
      </c>
      <c r="FZ61">
        <v>1.50146</v>
      </c>
      <c r="GA61">
        <v>2.2778299999999998</v>
      </c>
      <c r="GB61">
        <v>33.896099999999997</v>
      </c>
      <c r="GC61">
        <v>23.973700000000001</v>
      </c>
      <c r="GD61">
        <v>19</v>
      </c>
      <c r="GE61">
        <v>282.86200000000002</v>
      </c>
      <c r="GF61">
        <v>580.31100000000004</v>
      </c>
      <c r="GG61">
        <v>23.384599999999999</v>
      </c>
      <c r="GH61">
        <v>26.476199999999999</v>
      </c>
      <c r="GI61">
        <v>30.0002</v>
      </c>
      <c r="GJ61">
        <v>26.5504</v>
      </c>
      <c r="GK61">
        <v>26.5136</v>
      </c>
      <c r="GL61">
        <v>35.523899999999998</v>
      </c>
      <c r="GM61">
        <v>-30</v>
      </c>
      <c r="GN61">
        <v>-30</v>
      </c>
      <c r="GO61">
        <v>23.439299999999999</v>
      </c>
      <c r="GP61">
        <v>800</v>
      </c>
      <c r="GQ61">
        <v>18.0809</v>
      </c>
      <c r="GR61">
        <v>99.706500000000005</v>
      </c>
      <c r="GS61">
        <v>99.530199999999994</v>
      </c>
    </row>
    <row r="62" spans="1:201" x14ac:dyDescent="0.25">
      <c r="A62">
        <v>46</v>
      </c>
      <c r="B62">
        <v>1690221505</v>
      </c>
      <c r="C62">
        <v>622.5</v>
      </c>
      <c r="D62" t="s">
        <v>423</v>
      </c>
      <c r="E62" t="s">
        <v>424</v>
      </c>
      <c r="F62" t="s">
        <v>330</v>
      </c>
      <c r="H62">
        <v>1690221505</v>
      </c>
      <c r="I62">
        <f t="shared" si="0"/>
        <v>5.8697176778318115E-4</v>
      </c>
      <c r="J62">
        <f t="shared" si="1"/>
        <v>0.58697176778318116</v>
      </c>
      <c r="K62">
        <f t="shared" si="2"/>
        <v>3.9189877152052275</v>
      </c>
      <c r="L62">
        <f t="shared" si="3"/>
        <v>754.697</v>
      </c>
      <c r="M62">
        <f t="shared" si="4"/>
        <v>440.88178917456281</v>
      </c>
      <c r="N62">
        <f t="shared" si="5"/>
        <v>43.723805108684331</v>
      </c>
      <c r="O62">
        <f t="shared" si="6"/>
        <v>74.845968589197994</v>
      </c>
      <c r="P62">
        <f t="shared" si="7"/>
        <v>2.1873373445824788E-2</v>
      </c>
      <c r="Q62">
        <f t="shared" si="8"/>
        <v>2.1931454162178481</v>
      </c>
      <c r="R62">
        <f t="shared" si="9"/>
        <v>2.1752897251218265E-2</v>
      </c>
      <c r="S62">
        <f t="shared" si="10"/>
        <v>1.3606329666675472E-2</v>
      </c>
      <c r="T62">
        <f t="shared" si="11"/>
        <v>276.11465675316265</v>
      </c>
      <c r="U62">
        <f t="shared" si="12"/>
        <v>27.938845662951998</v>
      </c>
      <c r="V62">
        <f t="shared" si="13"/>
        <v>27.938845662951998</v>
      </c>
      <c r="W62">
        <f t="shared" si="14"/>
        <v>3.7813317643082245</v>
      </c>
      <c r="X62">
        <f t="shared" si="15"/>
        <v>34.715218266977899</v>
      </c>
      <c r="Y62">
        <f t="shared" si="16"/>
        <v>1.1721022462857997</v>
      </c>
      <c r="Z62">
        <f t="shared" si="17"/>
        <v>3.3763355231464485</v>
      </c>
      <c r="AA62">
        <f t="shared" si="18"/>
        <v>2.609229518022425</v>
      </c>
      <c r="AB62">
        <f t="shared" si="19"/>
        <v>-25.885454959238288</v>
      </c>
      <c r="AC62">
        <f t="shared" si="20"/>
        <v>-228.01335153551227</v>
      </c>
      <c r="AD62">
        <f t="shared" si="21"/>
        <v>-22.431695066323115</v>
      </c>
      <c r="AE62">
        <f t="shared" si="22"/>
        <v>-0.2158448079110542</v>
      </c>
      <c r="AF62">
        <v>0</v>
      </c>
      <c r="AG62">
        <v>0</v>
      </c>
      <c r="AH62">
        <f t="shared" si="23"/>
        <v>1</v>
      </c>
      <c r="AI62">
        <f t="shared" si="24"/>
        <v>0</v>
      </c>
      <c r="AJ62">
        <f t="shared" si="25"/>
        <v>52519.704780762848</v>
      </c>
      <c r="AK62">
        <f t="shared" si="26"/>
        <v>1799.99</v>
      </c>
      <c r="AL62">
        <f t="shared" si="27"/>
        <v>1499.1018158103097</v>
      </c>
      <c r="AM62">
        <f t="shared" si="28"/>
        <v>0.83283896899999987</v>
      </c>
      <c r="AN62">
        <f t="shared" si="29"/>
        <v>0.15339788374000002</v>
      </c>
      <c r="AO62">
        <v>31.2</v>
      </c>
      <c r="AP62">
        <v>0.5</v>
      </c>
      <c r="AQ62" t="s">
        <v>331</v>
      </c>
      <c r="AR62">
        <v>2</v>
      </c>
      <c r="AS62">
        <v>1690221505</v>
      </c>
      <c r="AT62">
        <v>754.697</v>
      </c>
      <c r="AU62">
        <v>800.03099999999995</v>
      </c>
      <c r="AV62">
        <v>11.8187</v>
      </c>
      <c r="AW62">
        <v>5.7904</v>
      </c>
      <c r="AX62">
        <v>755.15800000000002</v>
      </c>
      <c r="AY62">
        <v>11.845599999999999</v>
      </c>
      <c r="AZ62">
        <v>300.202</v>
      </c>
      <c r="BA62">
        <v>99.073499999999996</v>
      </c>
      <c r="BB62">
        <v>0.100034</v>
      </c>
      <c r="BC62">
        <v>26.010400000000001</v>
      </c>
      <c r="BD62">
        <v>26.941800000000001</v>
      </c>
      <c r="BE62">
        <v>27.700199999999999</v>
      </c>
      <c r="BF62">
        <v>0</v>
      </c>
      <c r="BG62">
        <v>0</v>
      </c>
      <c r="BH62">
        <v>9991.8799999999992</v>
      </c>
      <c r="BI62">
        <v>1069.18</v>
      </c>
      <c r="BJ62">
        <v>1.28952</v>
      </c>
      <c r="BK62">
        <v>-45.3339</v>
      </c>
      <c r="BL62">
        <v>763.72299999999996</v>
      </c>
      <c r="BM62">
        <v>804.69</v>
      </c>
      <c r="BN62">
        <v>6.0283100000000003</v>
      </c>
      <c r="BO62">
        <v>800.03099999999995</v>
      </c>
      <c r="BP62">
        <v>5.7904</v>
      </c>
      <c r="BQ62">
        <v>1.17092</v>
      </c>
      <c r="BR62">
        <v>0.57367500000000005</v>
      </c>
      <c r="BS62">
        <v>9.2368799999999993</v>
      </c>
      <c r="BT62">
        <v>-0.92389200000000005</v>
      </c>
      <c r="BU62">
        <v>1799.99</v>
      </c>
      <c r="BV62">
        <v>0.90998299999999999</v>
      </c>
      <c r="BW62">
        <v>3.3998599999999997E-2</v>
      </c>
      <c r="BX62">
        <v>2.2006700000000001E-2</v>
      </c>
      <c r="BY62">
        <v>3.4011199999999998E-2</v>
      </c>
      <c r="BZ62">
        <v>25</v>
      </c>
      <c r="CA62">
        <v>33528.1</v>
      </c>
      <c r="CB62">
        <v>1690220522.5999999</v>
      </c>
      <c r="CC62" t="s">
        <v>332</v>
      </c>
      <c r="CD62">
        <v>1690220522.5999999</v>
      </c>
      <c r="CE62">
        <v>1690220510.5999999</v>
      </c>
      <c r="CF62">
        <v>10</v>
      </c>
      <c r="CG62">
        <v>-0.22</v>
      </c>
      <c r="CH62">
        <v>-2.7E-2</v>
      </c>
      <c r="CI62">
        <v>-0.49299999999999999</v>
      </c>
      <c r="CJ62">
        <v>0.152</v>
      </c>
      <c r="CK62">
        <v>800</v>
      </c>
      <c r="CL62">
        <v>19</v>
      </c>
      <c r="CM62">
        <v>0.1</v>
      </c>
      <c r="CN62">
        <v>0.03</v>
      </c>
      <c r="CO62">
        <v>-42.744709756097564</v>
      </c>
      <c r="CP62">
        <v>-13.31736167247383</v>
      </c>
      <c r="CQ62">
        <v>1.3139737627415209</v>
      </c>
      <c r="CR62">
        <v>-1</v>
      </c>
      <c r="CS62">
        <v>5.8966648780487807</v>
      </c>
      <c r="CT62">
        <v>0.67980731707318565</v>
      </c>
      <c r="CU62">
        <v>6.7033001159856512E-2</v>
      </c>
      <c r="CV62">
        <v>-1</v>
      </c>
      <c r="CW62">
        <v>0</v>
      </c>
      <c r="CX62">
        <v>0</v>
      </c>
      <c r="CY62" t="s">
        <v>333</v>
      </c>
      <c r="CZ62">
        <v>2.3643800000000001</v>
      </c>
      <c r="DA62">
        <v>2.7138200000000001</v>
      </c>
      <c r="DB62">
        <v>0.14088700000000001</v>
      </c>
      <c r="DC62">
        <v>0.14602399999999999</v>
      </c>
      <c r="DD62">
        <v>6.8400600000000006E-2</v>
      </c>
      <c r="DE62">
        <v>3.8300399999999998E-2</v>
      </c>
      <c r="DF62">
        <v>31359.4</v>
      </c>
      <c r="DG62">
        <v>27509.9</v>
      </c>
      <c r="DH62">
        <v>31163.1</v>
      </c>
      <c r="DI62">
        <v>28071</v>
      </c>
      <c r="DJ62">
        <v>39429.9</v>
      </c>
      <c r="DK62">
        <v>38391.4</v>
      </c>
      <c r="DL62">
        <v>44347.1</v>
      </c>
      <c r="DM62">
        <v>42546.9</v>
      </c>
      <c r="DN62">
        <v>1.4743999999999999</v>
      </c>
      <c r="DO62">
        <v>2.0305</v>
      </c>
      <c r="DP62">
        <v>0.1074</v>
      </c>
      <c r="DQ62">
        <v>0.167347</v>
      </c>
      <c r="DR62">
        <v>25.182700000000001</v>
      </c>
      <c r="DS62">
        <v>24.9604</v>
      </c>
      <c r="DT62">
        <v>19.3</v>
      </c>
      <c r="DU62">
        <v>29.6</v>
      </c>
      <c r="DV62">
        <v>8.1101399999999995</v>
      </c>
      <c r="DW62">
        <v>61.694200000000002</v>
      </c>
      <c r="DX62">
        <v>36.213900000000002</v>
      </c>
      <c r="DY62">
        <v>1</v>
      </c>
      <c r="DZ62">
        <v>-7.2545700000000005E-2</v>
      </c>
      <c r="EA62">
        <v>0.32509300000000002</v>
      </c>
      <c r="EB62">
        <v>20.189800000000002</v>
      </c>
      <c r="EC62">
        <v>5.2406499999999996</v>
      </c>
      <c r="ED62">
        <v>12.039899999999999</v>
      </c>
      <c r="EE62">
        <v>5.0169499999999996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1.8689100000000001</v>
      </c>
      <c r="EL62">
        <v>1.8646400000000001</v>
      </c>
      <c r="EM62">
        <v>1.86917</v>
      </c>
      <c r="EN62">
        <v>1.8672500000000001</v>
      </c>
      <c r="EO62">
        <v>1.8633999999999999</v>
      </c>
      <c r="EP62">
        <v>1.86453</v>
      </c>
      <c r="EQ62">
        <v>1.8702000000000001</v>
      </c>
      <c r="ER62">
        <v>1.8694299999999999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-0.46100000000000002</v>
      </c>
      <c r="FG62">
        <v>-2.69E-2</v>
      </c>
      <c r="FH62">
        <v>5.8509882529719233E-2</v>
      </c>
      <c r="FI62">
        <v>-6.1462078757559423E-4</v>
      </c>
      <c r="FJ62">
        <v>-1.8861989874597051E-7</v>
      </c>
      <c r="FK62">
        <v>1.1980462299894961E-10</v>
      </c>
      <c r="FL62">
        <v>-5.9863424041980147E-2</v>
      </c>
      <c r="FM62">
        <v>-1.6848085045870601E-2</v>
      </c>
      <c r="FN62">
        <v>1.9789084769509481E-3</v>
      </c>
      <c r="FO62">
        <v>-2.7142391389806329E-5</v>
      </c>
      <c r="FP62">
        <v>3</v>
      </c>
      <c r="FQ62">
        <v>2158</v>
      </c>
      <c r="FR62">
        <v>1</v>
      </c>
      <c r="FS62">
        <v>19</v>
      </c>
      <c r="FT62">
        <v>16.399999999999999</v>
      </c>
      <c r="FU62">
        <v>16.600000000000001</v>
      </c>
      <c r="FV62">
        <v>1.7773399999999999</v>
      </c>
      <c r="FW62">
        <v>2.5866699999999998</v>
      </c>
      <c r="FX62">
        <v>1.5490699999999999</v>
      </c>
      <c r="FY62">
        <v>2.3290999999999999</v>
      </c>
      <c r="FZ62">
        <v>1.50146</v>
      </c>
      <c r="GA62">
        <v>2.3083499999999999</v>
      </c>
      <c r="GB62">
        <v>33.896099999999997</v>
      </c>
      <c r="GC62">
        <v>23.973700000000001</v>
      </c>
      <c r="GD62">
        <v>19</v>
      </c>
      <c r="GE62">
        <v>282.98700000000002</v>
      </c>
      <c r="GF62">
        <v>580.29100000000005</v>
      </c>
      <c r="GG62">
        <v>23.4998</v>
      </c>
      <c r="GH62">
        <v>26.470600000000001</v>
      </c>
      <c r="GI62">
        <v>29.9999</v>
      </c>
      <c r="GJ62">
        <v>26.549800000000001</v>
      </c>
      <c r="GK62">
        <v>26.5136</v>
      </c>
      <c r="GL62">
        <v>35.5242</v>
      </c>
      <c r="GM62">
        <v>-30</v>
      </c>
      <c r="GN62">
        <v>-30</v>
      </c>
      <c r="GO62">
        <v>23.554200000000002</v>
      </c>
      <c r="GP62">
        <v>800</v>
      </c>
      <c r="GQ62">
        <v>18.0809</v>
      </c>
      <c r="GR62">
        <v>99.707300000000004</v>
      </c>
      <c r="GS62">
        <v>99.531099999999995</v>
      </c>
    </row>
    <row r="63" spans="1:201" x14ac:dyDescent="0.25">
      <c r="A63">
        <v>47</v>
      </c>
      <c r="B63">
        <v>1690221515</v>
      </c>
      <c r="C63">
        <v>632.5</v>
      </c>
      <c r="D63" t="s">
        <v>425</v>
      </c>
      <c r="E63" t="s">
        <v>426</v>
      </c>
      <c r="F63" t="s">
        <v>330</v>
      </c>
      <c r="H63">
        <v>1690221515</v>
      </c>
      <c r="I63">
        <f t="shared" si="0"/>
        <v>5.9883088010529155E-4</v>
      </c>
      <c r="J63">
        <f t="shared" si="1"/>
        <v>0.59883088010529151</v>
      </c>
      <c r="K63">
        <f t="shared" si="2"/>
        <v>4.1311392083969345</v>
      </c>
      <c r="L63">
        <f t="shared" si="3"/>
        <v>752.36800000000005</v>
      </c>
      <c r="M63">
        <f t="shared" si="4"/>
        <v>430.39742766446909</v>
      </c>
      <c r="N63">
        <f t="shared" si="5"/>
        <v>42.682392820603077</v>
      </c>
      <c r="O63">
        <f t="shared" si="6"/>
        <v>74.61212464932801</v>
      </c>
      <c r="P63">
        <f t="shared" si="7"/>
        <v>2.2397169663121011E-2</v>
      </c>
      <c r="Q63">
        <f t="shared" si="8"/>
        <v>2.1971654387264583</v>
      </c>
      <c r="R63">
        <f t="shared" si="9"/>
        <v>2.22711020099426E-2</v>
      </c>
      <c r="S63">
        <f t="shared" si="10"/>
        <v>1.3930706172506862E-2</v>
      </c>
      <c r="T63">
        <f t="shared" si="11"/>
        <v>276.11436888076196</v>
      </c>
      <c r="U63">
        <f t="shared" si="12"/>
        <v>27.949673103117913</v>
      </c>
      <c r="V63">
        <f t="shared" si="13"/>
        <v>27.949673103117913</v>
      </c>
      <c r="W63">
        <f t="shared" si="14"/>
        <v>3.7837202942915096</v>
      </c>
      <c r="X63">
        <f t="shared" si="15"/>
        <v>35.030282781512376</v>
      </c>
      <c r="Y63">
        <f t="shared" si="16"/>
        <v>1.1840071329631998</v>
      </c>
      <c r="Z63">
        <f t="shared" si="17"/>
        <v>3.3799531118489079</v>
      </c>
      <c r="AA63">
        <f t="shared" si="18"/>
        <v>2.5997131613283098</v>
      </c>
      <c r="AB63">
        <f t="shared" si="19"/>
        <v>-26.408441812643357</v>
      </c>
      <c r="AC63">
        <f t="shared" si="20"/>
        <v>-227.56983788233271</v>
      </c>
      <c r="AD63">
        <f t="shared" si="21"/>
        <v>-22.350331484186015</v>
      </c>
      <c r="AE63">
        <f t="shared" si="22"/>
        <v>-0.21424229840013709</v>
      </c>
      <c r="AF63">
        <v>0</v>
      </c>
      <c r="AG63">
        <v>0</v>
      </c>
      <c r="AH63">
        <f t="shared" si="23"/>
        <v>1</v>
      </c>
      <c r="AI63">
        <f t="shared" si="24"/>
        <v>0</v>
      </c>
      <c r="AJ63">
        <f t="shared" si="25"/>
        <v>52681.419579052912</v>
      </c>
      <c r="AK63">
        <f t="shared" si="26"/>
        <v>1799.99</v>
      </c>
      <c r="AL63">
        <f t="shared" si="27"/>
        <v>1499.1032414023898</v>
      </c>
      <c r="AM63">
        <f t="shared" si="28"/>
        <v>0.8328397609999999</v>
      </c>
      <c r="AN63">
        <f t="shared" si="29"/>
        <v>0.15339772381000003</v>
      </c>
      <c r="AO63">
        <v>31.2</v>
      </c>
      <c r="AP63">
        <v>0.5</v>
      </c>
      <c r="AQ63" t="s">
        <v>331</v>
      </c>
      <c r="AR63">
        <v>2</v>
      </c>
      <c r="AS63">
        <v>1690221515</v>
      </c>
      <c r="AT63">
        <v>752.36800000000005</v>
      </c>
      <c r="AU63">
        <v>799.98699999999997</v>
      </c>
      <c r="AV63">
        <v>11.9392</v>
      </c>
      <c r="AW63">
        <v>5.78965</v>
      </c>
      <c r="AX63">
        <v>752.82799999999997</v>
      </c>
      <c r="AY63">
        <v>11.963900000000001</v>
      </c>
      <c r="AZ63">
        <v>300.19200000000001</v>
      </c>
      <c r="BA63">
        <v>99.069699999999997</v>
      </c>
      <c r="BB63">
        <v>0.100021</v>
      </c>
      <c r="BC63">
        <v>26.028500000000001</v>
      </c>
      <c r="BD63">
        <v>26.939900000000002</v>
      </c>
      <c r="BE63">
        <v>27.715699999999998</v>
      </c>
      <c r="BF63">
        <v>0</v>
      </c>
      <c r="BG63">
        <v>0</v>
      </c>
      <c r="BH63">
        <v>10025</v>
      </c>
      <c r="BI63">
        <v>1069.08</v>
      </c>
      <c r="BJ63">
        <v>1.3568</v>
      </c>
      <c r="BK63">
        <v>-47.619100000000003</v>
      </c>
      <c r="BL63">
        <v>761.45899999999995</v>
      </c>
      <c r="BM63">
        <v>804.64599999999996</v>
      </c>
      <c r="BN63">
        <v>6.1495699999999998</v>
      </c>
      <c r="BO63">
        <v>799.98699999999997</v>
      </c>
      <c r="BP63">
        <v>5.78965</v>
      </c>
      <c r="BQ63">
        <v>1.1828099999999999</v>
      </c>
      <c r="BR63">
        <v>0.57357899999999995</v>
      </c>
      <c r="BS63">
        <v>9.3869900000000008</v>
      </c>
      <c r="BT63">
        <v>-0.92617099999999997</v>
      </c>
      <c r="BU63">
        <v>1799.99</v>
      </c>
      <c r="BV63">
        <v>0.90999099999999999</v>
      </c>
      <c r="BW63">
        <v>3.3995600000000001E-2</v>
      </c>
      <c r="BX63">
        <v>2.2004800000000001E-2</v>
      </c>
      <c r="BY63">
        <v>3.4008299999999998E-2</v>
      </c>
      <c r="BZ63">
        <v>25</v>
      </c>
      <c r="CA63">
        <v>33528.1</v>
      </c>
      <c r="CB63">
        <v>1690220522.5999999</v>
      </c>
      <c r="CC63" t="s">
        <v>332</v>
      </c>
      <c r="CD63">
        <v>1690220522.5999999</v>
      </c>
      <c r="CE63">
        <v>1690220510.5999999</v>
      </c>
      <c r="CF63">
        <v>10</v>
      </c>
      <c r="CG63">
        <v>-0.22</v>
      </c>
      <c r="CH63">
        <v>-2.7E-2</v>
      </c>
      <c r="CI63">
        <v>-0.49299999999999999</v>
      </c>
      <c r="CJ63">
        <v>0.152</v>
      </c>
      <c r="CK63">
        <v>800</v>
      </c>
      <c r="CL63">
        <v>19</v>
      </c>
      <c r="CM63">
        <v>0.1</v>
      </c>
      <c r="CN63">
        <v>0.03</v>
      </c>
      <c r="CO63">
        <v>-44.980870731707313</v>
      </c>
      <c r="CP63">
        <v>-13.27565226480834</v>
      </c>
      <c r="CQ63">
        <v>1.309299227802359</v>
      </c>
      <c r="CR63">
        <v>-1</v>
      </c>
      <c r="CS63">
        <v>6.0120748780487796</v>
      </c>
      <c r="CT63">
        <v>0.70422418118468177</v>
      </c>
      <c r="CU63">
        <v>6.9446575294301399E-2</v>
      </c>
      <c r="CV63">
        <v>-1</v>
      </c>
      <c r="CW63">
        <v>0</v>
      </c>
      <c r="CX63">
        <v>0</v>
      </c>
      <c r="CY63" t="s">
        <v>333</v>
      </c>
      <c r="CZ63">
        <v>2.36435</v>
      </c>
      <c r="DA63">
        <v>2.7138399999999998</v>
      </c>
      <c r="DB63">
        <v>0.14059099999999999</v>
      </c>
      <c r="DC63">
        <v>0.146013</v>
      </c>
      <c r="DD63">
        <v>6.8916599999999995E-2</v>
      </c>
      <c r="DE63">
        <v>3.82949E-2</v>
      </c>
      <c r="DF63">
        <v>31370.2</v>
      </c>
      <c r="DG63">
        <v>27510.6</v>
      </c>
      <c r="DH63">
        <v>31163</v>
      </c>
      <c r="DI63">
        <v>28071.3</v>
      </c>
      <c r="DJ63">
        <v>39407.9</v>
      </c>
      <c r="DK63">
        <v>38391.9</v>
      </c>
      <c r="DL63">
        <v>44347.1</v>
      </c>
      <c r="DM63">
        <v>42547.3</v>
      </c>
      <c r="DN63">
        <v>1.4745999999999999</v>
      </c>
      <c r="DO63">
        <v>2.0306999999999999</v>
      </c>
      <c r="DP63">
        <v>0.10760500000000001</v>
      </c>
      <c r="DQ63">
        <v>0.168297</v>
      </c>
      <c r="DR63">
        <v>25.177399999999999</v>
      </c>
      <c r="DS63">
        <v>24.9604</v>
      </c>
      <c r="DT63">
        <v>19.2</v>
      </c>
      <c r="DU63">
        <v>29.6</v>
      </c>
      <c r="DV63">
        <v>8.0694999999999997</v>
      </c>
      <c r="DW63">
        <v>61.594200000000001</v>
      </c>
      <c r="DX63">
        <v>36.149799999999999</v>
      </c>
      <c r="DY63">
        <v>1</v>
      </c>
      <c r="DZ63">
        <v>-7.3198700000000005E-2</v>
      </c>
      <c r="EA63">
        <v>0.33203199999999999</v>
      </c>
      <c r="EB63">
        <v>20.189800000000002</v>
      </c>
      <c r="EC63">
        <v>5.2411000000000003</v>
      </c>
      <c r="ED63">
        <v>12.039899999999999</v>
      </c>
      <c r="EE63">
        <v>5.0172499999999998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1.8689100000000001</v>
      </c>
      <c r="EL63">
        <v>1.8646199999999999</v>
      </c>
      <c r="EM63">
        <v>1.8691800000000001</v>
      </c>
      <c r="EN63">
        <v>1.8672299999999999</v>
      </c>
      <c r="EO63">
        <v>1.8633999999999999</v>
      </c>
      <c r="EP63">
        <v>1.86452</v>
      </c>
      <c r="EQ63">
        <v>1.8702000000000001</v>
      </c>
      <c r="ER63">
        <v>1.8694200000000001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-0.46</v>
      </c>
      <c r="FG63">
        <v>-2.47E-2</v>
      </c>
      <c r="FH63">
        <v>5.8509882529719233E-2</v>
      </c>
      <c r="FI63">
        <v>-6.1462078757559423E-4</v>
      </c>
      <c r="FJ63">
        <v>-1.8861989874597051E-7</v>
      </c>
      <c r="FK63">
        <v>1.1980462299894961E-10</v>
      </c>
      <c r="FL63">
        <v>-5.9863424041980147E-2</v>
      </c>
      <c r="FM63">
        <v>-1.6848085045870601E-2</v>
      </c>
      <c r="FN63">
        <v>1.9789084769509481E-3</v>
      </c>
      <c r="FO63">
        <v>-2.7142391389806329E-5</v>
      </c>
      <c r="FP63">
        <v>3</v>
      </c>
      <c r="FQ63">
        <v>2158</v>
      </c>
      <c r="FR63">
        <v>1</v>
      </c>
      <c r="FS63">
        <v>19</v>
      </c>
      <c r="FT63">
        <v>16.5</v>
      </c>
      <c r="FU63">
        <v>16.7</v>
      </c>
      <c r="FV63">
        <v>1.7773399999999999</v>
      </c>
      <c r="FW63">
        <v>2.5854499999999998</v>
      </c>
      <c r="FX63">
        <v>1.5490699999999999</v>
      </c>
      <c r="FY63">
        <v>2.3290999999999999</v>
      </c>
      <c r="FZ63">
        <v>1.50146</v>
      </c>
      <c r="GA63">
        <v>2.33887</v>
      </c>
      <c r="GB63">
        <v>33.896099999999997</v>
      </c>
      <c r="GC63">
        <v>23.973700000000001</v>
      </c>
      <c r="GD63">
        <v>19</v>
      </c>
      <c r="GE63">
        <v>283.06599999999997</v>
      </c>
      <c r="GF63">
        <v>580.45500000000004</v>
      </c>
      <c r="GG63">
        <v>23.6038</v>
      </c>
      <c r="GH63">
        <v>26.465</v>
      </c>
      <c r="GI63">
        <v>29.9999</v>
      </c>
      <c r="GJ63">
        <v>26.548200000000001</v>
      </c>
      <c r="GK63">
        <v>26.5136</v>
      </c>
      <c r="GL63">
        <v>35.526400000000002</v>
      </c>
      <c r="GM63">
        <v>-30</v>
      </c>
      <c r="GN63">
        <v>-30</v>
      </c>
      <c r="GO63">
        <v>23.636900000000001</v>
      </c>
      <c r="GP63">
        <v>800</v>
      </c>
      <c r="GQ63">
        <v>18.0809</v>
      </c>
      <c r="GR63">
        <v>99.707300000000004</v>
      </c>
      <c r="GS63">
        <v>99.5321</v>
      </c>
    </row>
    <row r="64" spans="1:201" x14ac:dyDescent="0.25">
      <c r="A64">
        <v>48</v>
      </c>
      <c r="B64">
        <v>1690221525</v>
      </c>
      <c r="C64">
        <v>642.5</v>
      </c>
      <c r="D64" t="s">
        <v>427</v>
      </c>
      <c r="E64" t="s">
        <v>428</v>
      </c>
      <c r="F64" t="s">
        <v>330</v>
      </c>
      <c r="H64">
        <v>1690221525</v>
      </c>
      <c r="I64">
        <f t="shared" si="0"/>
        <v>6.1128440348328327E-4</v>
      </c>
      <c r="J64">
        <f t="shared" si="1"/>
        <v>0.61128440348328328</v>
      </c>
      <c r="K64">
        <f t="shared" si="2"/>
        <v>4.3569120516288828</v>
      </c>
      <c r="L64">
        <f t="shared" si="3"/>
        <v>749.94100000000003</v>
      </c>
      <c r="M64">
        <f t="shared" si="4"/>
        <v>419.71775107019147</v>
      </c>
      <c r="N64">
        <f t="shared" si="5"/>
        <v>41.624258882359058</v>
      </c>
      <c r="O64">
        <f t="shared" si="6"/>
        <v>74.373166850583999</v>
      </c>
      <c r="P64">
        <f t="shared" si="7"/>
        <v>2.295600352012166E-2</v>
      </c>
      <c r="Q64">
        <f t="shared" si="8"/>
        <v>2.192665578614847</v>
      </c>
      <c r="R64">
        <f t="shared" si="9"/>
        <v>2.282331634845345E-2</v>
      </c>
      <c r="S64">
        <f t="shared" si="10"/>
        <v>1.4276430090464153E-2</v>
      </c>
      <c r="T64">
        <f t="shared" si="11"/>
        <v>276.11403392062283</v>
      </c>
      <c r="U64">
        <f t="shared" si="12"/>
        <v>27.96001091560133</v>
      </c>
      <c r="V64">
        <f t="shared" si="13"/>
        <v>27.96001091560133</v>
      </c>
      <c r="W64">
        <f t="shared" si="14"/>
        <v>3.7860020408487007</v>
      </c>
      <c r="X64">
        <f t="shared" si="15"/>
        <v>35.378939589113187</v>
      </c>
      <c r="Y64">
        <f t="shared" si="16"/>
        <v>1.1965699727744001</v>
      </c>
      <c r="Z64">
        <f t="shared" si="17"/>
        <v>3.3821532998762032</v>
      </c>
      <c r="AA64">
        <f t="shared" si="18"/>
        <v>2.5894320680743004</v>
      </c>
      <c r="AB64">
        <f t="shared" si="19"/>
        <v>-26.957642193612791</v>
      </c>
      <c r="AC64">
        <f t="shared" si="20"/>
        <v>-227.02549025196507</v>
      </c>
      <c r="AD64">
        <f t="shared" si="21"/>
        <v>-22.345011511500211</v>
      </c>
      <c r="AE64">
        <f t="shared" si="22"/>
        <v>-0.21411003645525284</v>
      </c>
      <c r="AF64">
        <v>0</v>
      </c>
      <c r="AG64">
        <v>0</v>
      </c>
      <c r="AH64">
        <f t="shared" si="23"/>
        <v>1</v>
      </c>
      <c r="AI64">
        <f t="shared" si="24"/>
        <v>0</v>
      </c>
      <c r="AJ64">
        <f t="shared" si="25"/>
        <v>52494.893462413034</v>
      </c>
      <c r="AK64">
        <f t="shared" si="26"/>
        <v>1799.99</v>
      </c>
      <c r="AL64">
        <f t="shared" si="27"/>
        <v>1499.1041161975302</v>
      </c>
      <c r="AM64">
        <f t="shared" si="28"/>
        <v>0.83284024700000003</v>
      </c>
      <c r="AN64">
        <f t="shared" si="29"/>
        <v>0.15339753772</v>
      </c>
      <c r="AO64">
        <v>31.2</v>
      </c>
      <c r="AP64">
        <v>0.5</v>
      </c>
      <c r="AQ64" t="s">
        <v>331</v>
      </c>
      <c r="AR64">
        <v>2</v>
      </c>
      <c r="AS64">
        <v>1690221525</v>
      </c>
      <c r="AT64">
        <v>749.94100000000003</v>
      </c>
      <c r="AU64">
        <v>799.99300000000005</v>
      </c>
      <c r="AV64">
        <v>12.0656</v>
      </c>
      <c r="AW64">
        <v>5.7884000000000002</v>
      </c>
      <c r="AX64">
        <v>750.399</v>
      </c>
      <c r="AY64">
        <v>12.087899999999999</v>
      </c>
      <c r="AZ64">
        <v>300.16500000000002</v>
      </c>
      <c r="BA64">
        <v>99.072100000000006</v>
      </c>
      <c r="BB64">
        <v>9.9923999999999999E-2</v>
      </c>
      <c r="BC64">
        <v>26.0395</v>
      </c>
      <c r="BD64">
        <v>26.940999999999999</v>
      </c>
      <c r="BE64">
        <v>27.75</v>
      </c>
      <c r="BF64">
        <v>0</v>
      </c>
      <c r="BG64">
        <v>0</v>
      </c>
      <c r="BH64">
        <v>9988.1200000000008</v>
      </c>
      <c r="BI64">
        <v>1069.01</v>
      </c>
      <c r="BJ64">
        <v>1.4016500000000001</v>
      </c>
      <c r="BK64">
        <v>-50.052</v>
      </c>
      <c r="BL64">
        <v>759.1</v>
      </c>
      <c r="BM64">
        <v>804.65099999999995</v>
      </c>
      <c r="BN64">
        <v>6.2771800000000004</v>
      </c>
      <c r="BO64">
        <v>799.99300000000005</v>
      </c>
      <c r="BP64">
        <v>5.7884000000000002</v>
      </c>
      <c r="BQ64">
        <v>1.19536</v>
      </c>
      <c r="BR64">
        <v>0.57346900000000001</v>
      </c>
      <c r="BS64">
        <v>9.5439100000000003</v>
      </c>
      <c r="BT64">
        <v>-0.92880300000000005</v>
      </c>
      <c r="BU64">
        <v>1799.99</v>
      </c>
      <c r="BV64">
        <v>0.90999799999999997</v>
      </c>
      <c r="BW64">
        <v>3.39929E-2</v>
      </c>
      <c r="BX64">
        <v>2.2003100000000001E-2</v>
      </c>
      <c r="BY64">
        <v>3.4005599999999997E-2</v>
      </c>
      <c r="BZ64">
        <v>25.125</v>
      </c>
      <c r="CA64">
        <v>33528.199999999997</v>
      </c>
      <c r="CB64">
        <v>1690220522.5999999</v>
      </c>
      <c r="CC64" t="s">
        <v>332</v>
      </c>
      <c r="CD64">
        <v>1690220522.5999999</v>
      </c>
      <c r="CE64">
        <v>1690220510.5999999</v>
      </c>
      <c r="CF64">
        <v>10</v>
      </c>
      <c r="CG64">
        <v>-0.22</v>
      </c>
      <c r="CH64">
        <v>-2.7E-2</v>
      </c>
      <c r="CI64">
        <v>-0.49299999999999999</v>
      </c>
      <c r="CJ64">
        <v>0.152</v>
      </c>
      <c r="CK64">
        <v>800</v>
      </c>
      <c r="CL64">
        <v>19</v>
      </c>
      <c r="CM64">
        <v>0.1</v>
      </c>
      <c r="CN64">
        <v>0.03</v>
      </c>
      <c r="CO64">
        <v>-47.517807317073171</v>
      </c>
      <c r="CP64">
        <v>-14.28535609756104</v>
      </c>
      <c r="CQ64">
        <v>1.408933348384644</v>
      </c>
      <c r="CR64">
        <v>-1</v>
      </c>
      <c r="CS64">
        <v>6.1445219512195122</v>
      </c>
      <c r="CT64">
        <v>0.74030048780489499</v>
      </c>
      <c r="CU64">
        <v>7.3001764302752903E-2</v>
      </c>
      <c r="CV64">
        <v>-1</v>
      </c>
      <c r="CW64">
        <v>0</v>
      </c>
      <c r="CX64">
        <v>0</v>
      </c>
      <c r="CY64" t="s">
        <v>333</v>
      </c>
      <c r="CZ64">
        <v>2.3642599999999998</v>
      </c>
      <c r="DA64">
        <v>2.7136999999999998</v>
      </c>
      <c r="DB64">
        <v>0.140292</v>
      </c>
      <c r="DC64">
        <v>0.14601700000000001</v>
      </c>
      <c r="DD64">
        <v>6.9459900000000005E-2</v>
      </c>
      <c r="DE64">
        <v>3.8288999999999997E-2</v>
      </c>
      <c r="DF64">
        <v>31381.8</v>
      </c>
      <c r="DG64">
        <v>27511</v>
      </c>
      <c r="DH64">
        <v>31163.7</v>
      </c>
      <c r="DI64">
        <v>28071.8</v>
      </c>
      <c r="DJ64">
        <v>39385.5</v>
      </c>
      <c r="DK64">
        <v>38392.699999999997</v>
      </c>
      <c r="DL64">
        <v>44348.1</v>
      </c>
      <c r="DM64">
        <v>42547.9</v>
      </c>
      <c r="DN64">
        <v>1.47435</v>
      </c>
      <c r="DO64">
        <v>2.0308700000000002</v>
      </c>
      <c r="DP64">
        <v>0.107903</v>
      </c>
      <c r="DQ64">
        <v>0.17033499999999999</v>
      </c>
      <c r="DR64">
        <v>25.1736</v>
      </c>
      <c r="DS64">
        <v>24.961400000000001</v>
      </c>
      <c r="DT64">
        <v>19.2</v>
      </c>
      <c r="DU64">
        <v>29.6</v>
      </c>
      <c r="DV64">
        <v>8.0696200000000005</v>
      </c>
      <c r="DW64">
        <v>62.004199999999997</v>
      </c>
      <c r="DX64">
        <v>36.105800000000002</v>
      </c>
      <c r="DY64">
        <v>1</v>
      </c>
      <c r="DZ64">
        <v>-7.3287599999999994E-2</v>
      </c>
      <c r="EA64">
        <v>0.33297900000000002</v>
      </c>
      <c r="EB64">
        <v>20.189900000000002</v>
      </c>
      <c r="EC64">
        <v>5.2406499999999996</v>
      </c>
      <c r="ED64">
        <v>12.039899999999999</v>
      </c>
      <c r="EE64">
        <v>5.0168999999999997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1.8689</v>
      </c>
      <c r="EL64">
        <v>1.8646199999999999</v>
      </c>
      <c r="EM64">
        <v>1.8691800000000001</v>
      </c>
      <c r="EN64">
        <v>1.8672500000000001</v>
      </c>
      <c r="EO64">
        <v>1.8633999999999999</v>
      </c>
      <c r="EP64">
        <v>1.86452</v>
      </c>
      <c r="EQ64">
        <v>1.87019</v>
      </c>
      <c r="ER64">
        <v>1.86944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-0.45800000000000002</v>
      </c>
      <c r="FG64">
        <v>-2.23E-2</v>
      </c>
      <c r="FH64">
        <v>5.8509882529719233E-2</v>
      </c>
      <c r="FI64">
        <v>-6.1462078757559423E-4</v>
      </c>
      <c r="FJ64">
        <v>-1.8861989874597051E-7</v>
      </c>
      <c r="FK64">
        <v>1.1980462299894961E-10</v>
      </c>
      <c r="FL64">
        <v>-5.9863424041980147E-2</v>
      </c>
      <c r="FM64">
        <v>-1.6848085045870601E-2</v>
      </c>
      <c r="FN64">
        <v>1.9789084769509481E-3</v>
      </c>
      <c r="FO64">
        <v>-2.7142391389806329E-5</v>
      </c>
      <c r="FP64">
        <v>3</v>
      </c>
      <c r="FQ64">
        <v>2158</v>
      </c>
      <c r="FR64">
        <v>1</v>
      </c>
      <c r="FS64">
        <v>19</v>
      </c>
      <c r="FT64">
        <v>16.7</v>
      </c>
      <c r="FU64">
        <v>16.899999999999999</v>
      </c>
      <c r="FV64">
        <v>1.7773399999999999</v>
      </c>
      <c r="FW64">
        <v>2.5817899999999998</v>
      </c>
      <c r="FX64">
        <v>1.5490699999999999</v>
      </c>
      <c r="FY64">
        <v>2.3290999999999999</v>
      </c>
      <c r="FZ64">
        <v>1.50146</v>
      </c>
      <c r="GA64">
        <v>2.3120099999999999</v>
      </c>
      <c r="GB64">
        <v>33.896099999999997</v>
      </c>
      <c r="GC64">
        <v>23.973700000000001</v>
      </c>
      <c r="GD64">
        <v>19</v>
      </c>
      <c r="GE64">
        <v>282.94900000000001</v>
      </c>
      <c r="GF64">
        <v>580.59900000000005</v>
      </c>
      <c r="GG64">
        <v>23.6752</v>
      </c>
      <c r="GH64">
        <v>26.459399999999999</v>
      </c>
      <c r="GI64">
        <v>29.9999</v>
      </c>
      <c r="GJ64">
        <v>26.545999999999999</v>
      </c>
      <c r="GK64">
        <v>26.5136</v>
      </c>
      <c r="GL64">
        <v>35.526299999999999</v>
      </c>
      <c r="GM64">
        <v>-30</v>
      </c>
      <c r="GN64">
        <v>-30</v>
      </c>
      <c r="GO64">
        <v>23.7013</v>
      </c>
      <c r="GP64">
        <v>800</v>
      </c>
      <c r="GQ64">
        <v>18.0809</v>
      </c>
      <c r="GR64">
        <v>99.709500000000006</v>
      </c>
      <c r="GS64">
        <v>99.533600000000007</v>
      </c>
    </row>
    <row r="65" spans="1:201" x14ac:dyDescent="0.25">
      <c r="A65">
        <v>49</v>
      </c>
      <c r="B65">
        <v>1690221535</v>
      </c>
      <c r="C65">
        <v>652.5</v>
      </c>
      <c r="D65" t="s">
        <v>429</v>
      </c>
      <c r="E65" t="s">
        <v>430</v>
      </c>
      <c r="F65" t="s">
        <v>330</v>
      </c>
      <c r="H65">
        <v>1690221535</v>
      </c>
      <c r="I65">
        <f t="shared" si="0"/>
        <v>6.2402828526749094E-4</v>
      </c>
      <c r="J65">
        <f t="shared" si="1"/>
        <v>0.62402828526749099</v>
      </c>
      <c r="K65">
        <f t="shared" si="2"/>
        <v>4.5966796336550146</v>
      </c>
      <c r="L65">
        <f t="shared" si="3"/>
        <v>747.43399999999997</v>
      </c>
      <c r="M65">
        <f t="shared" si="4"/>
        <v>408.65682348775329</v>
      </c>
      <c r="N65">
        <f t="shared" si="5"/>
        <v>40.527583722042777</v>
      </c>
      <c r="O65">
        <f t="shared" si="6"/>
        <v>74.125017057519187</v>
      </c>
      <c r="P65">
        <f t="shared" si="7"/>
        <v>2.3532349213925365E-2</v>
      </c>
      <c r="Q65">
        <f t="shared" si="8"/>
        <v>2.1975091894091698</v>
      </c>
      <c r="R65">
        <f t="shared" si="9"/>
        <v>2.3393242932005887E-2</v>
      </c>
      <c r="S65">
        <f t="shared" si="10"/>
        <v>1.4633206321008108E-2</v>
      </c>
      <c r="T65">
        <f t="shared" si="11"/>
        <v>276.11410988020077</v>
      </c>
      <c r="U65">
        <f t="shared" si="12"/>
        <v>27.969799794072589</v>
      </c>
      <c r="V65">
        <f t="shared" si="13"/>
        <v>27.969799794072589</v>
      </c>
      <c r="W65">
        <f t="shared" si="14"/>
        <v>3.7881637339968988</v>
      </c>
      <c r="X65">
        <f t="shared" si="15"/>
        <v>35.718200801406255</v>
      </c>
      <c r="Y65">
        <f t="shared" si="16"/>
        <v>1.2093312359389599</v>
      </c>
      <c r="Z65">
        <f t="shared" si="17"/>
        <v>3.3857563057637203</v>
      </c>
      <c r="AA65">
        <f t="shared" si="18"/>
        <v>2.5788324980579391</v>
      </c>
      <c r="AB65">
        <f t="shared" si="19"/>
        <v>-27.519647380296352</v>
      </c>
      <c r="AC65">
        <f t="shared" si="20"/>
        <v>-226.55420191991448</v>
      </c>
      <c r="AD65">
        <f t="shared" si="21"/>
        <v>-22.252565300428468</v>
      </c>
      <c r="AE65">
        <f t="shared" si="22"/>
        <v>-0.21230472043853865</v>
      </c>
      <c r="AF65">
        <v>0</v>
      </c>
      <c r="AG65">
        <v>0</v>
      </c>
      <c r="AH65">
        <f t="shared" si="23"/>
        <v>1</v>
      </c>
      <c r="AI65">
        <f t="shared" si="24"/>
        <v>0</v>
      </c>
      <c r="AJ65">
        <f t="shared" si="25"/>
        <v>52690.497471286697</v>
      </c>
      <c r="AK65">
        <f t="shared" si="26"/>
        <v>1799.99</v>
      </c>
      <c r="AL65">
        <f t="shared" si="27"/>
        <v>1499.10545719008</v>
      </c>
      <c r="AM65">
        <f t="shared" si="28"/>
        <v>0.83284099199999995</v>
      </c>
      <c r="AN65">
        <f t="shared" si="29"/>
        <v>0.15339757991999997</v>
      </c>
      <c r="AO65">
        <v>31.2</v>
      </c>
      <c r="AP65">
        <v>0.5</v>
      </c>
      <c r="AQ65" t="s">
        <v>331</v>
      </c>
      <c r="AR65">
        <v>2</v>
      </c>
      <c r="AS65">
        <v>1690221535</v>
      </c>
      <c r="AT65">
        <v>747.43399999999997</v>
      </c>
      <c r="AU65">
        <v>800.05200000000002</v>
      </c>
      <c r="AV65">
        <v>12.1942</v>
      </c>
      <c r="AW65">
        <v>5.7881</v>
      </c>
      <c r="AX65">
        <v>747.89</v>
      </c>
      <c r="AY65">
        <v>12.2141</v>
      </c>
      <c r="AZ65">
        <v>300.21800000000002</v>
      </c>
      <c r="BA65">
        <v>99.072699999999998</v>
      </c>
      <c r="BB65">
        <v>9.99588E-2</v>
      </c>
      <c r="BC65">
        <v>26.057500000000001</v>
      </c>
      <c r="BD65">
        <v>26.950800000000001</v>
      </c>
      <c r="BE65">
        <v>27.756599999999999</v>
      </c>
      <c r="BF65">
        <v>0</v>
      </c>
      <c r="BG65">
        <v>0</v>
      </c>
      <c r="BH65">
        <v>10027.5</v>
      </c>
      <c r="BI65">
        <v>1069.1199999999999</v>
      </c>
      <c r="BJ65">
        <v>1.3890400000000001</v>
      </c>
      <c r="BK65">
        <v>-52.618299999999998</v>
      </c>
      <c r="BL65">
        <v>756.66</v>
      </c>
      <c r="BM65">
        <v>804.71</v>
      </c>
      <c r="BN65">
        <v>6.4060800000000002</v>
      </c>
      <c r="BO65">
        <v>800.05200000000002</v>
      </c>
      <c r="BP65">
        <v>5.7881</v>
      </c>
      <c r="BQ65">
        <v>1.20811</v>
      </c>
      <c r="BR65">
        <v>0.57344300000000004</v>
      </c>
      <c r="BS65">
        <v>9.7018699999999995</v>
      </c>
      <c r="BT65">
        <v>-0.92942499999999995</v>
      </c>
      <c r="BU65">
        <v>1799.99</v>
      </c>
      <c r="BV65">
        <v>0.91000099999999995</v>
      </c>
      <c r="BW65">
        <v>3.3994799999999999E-2</v>
      </c>
      <c r="BX65">
        <v>2.20016E-2</v>
      </c>
      <c r="BY65">
        <v>3.4003199999999997E-2</v>
      </c>
      <c r="BZ65">
        <v>25.416699999999999</v>
      </c>
      <c r="CA65">
        <v>33528.199999999997</v>
      </c>
      <c r="CB65">
        <v>1690220522.5999999</v>
      </c>
      <c r="CC65" t="s">
        <v>332</v>
      </c>
      <c r="CD65">
        <v>1690220522.5999999</v>
      </c>
      <c r="CE65">
        <v>1690220510.5999999</v>
      </c>
      <c r="CF65">
        <v>10</v>
      </c>
      <c r="CG65">
        <v>-0.22</v>
      </c>
      <c r="CH65">
        <v>-2.7E-2</v>
      </c>
      <c r="CI65">
        <v>-0.49299999999999999</v>
      </c>
      <c r="CJ65">
        <v>0.152</v>
      </c>
      <c r="CK65">
        <v>800</v>
      </c>
      <c r="CL65">
        <v>19</v>
      </c>
      <c r="CM65">
        <v>0.1</v>
      </c>
      <c r="CN65">
        <v>0.03</v>
      </c>
      <c r="CO65">
        <v>-49.958085365853663</v>
      </c>
      <c r="CP65">
        <v>-14.805104529616809</v>
      </c>
      <c r="CQ65">
        <v>1.460081867995509</v>
      </c>
      <c r="CR65">
        <v>-1</v>
      </c>
      <c r="CS65">
        <v>6.270278292682927</v>
      </c>
      <c r="CT65">
        <v>0.76824878048781087</v>
      </c>
      <c r="CU65">
        <v>7.5763828324939678E-2</v>
      </c>
      <c r="CV65">
        <v>-1</v>
      </c>
      <c r="CW65">
        <v>0</v>
      </c>
      <c r="CX65">
        <v>0</v>
      </c>
      <c r="CY65" t="s">
        <v>333</v>
      </c>
      <c r="CZ65">
        <v>2.36443</v>
      </c>
      <c r="DA65">
        <v>2.7137799999999999</v>
      </c>
      <c r="DB65">
        <v>0.13997899999999999</v>
      </c>
      <c r="DC65">
        <v>0.14602499999999999</v>
      </c>
      <c r="DD65">
        <v>7.0009399999999999E-2</v>
      </c>
      <c r="DE65">
        <v>3.8287599999999998E-2</v>
      </c>
      <c r="DF65">
        <v>31393.200000000001</v>
      </c>
      <c r="DG65">
        <v>27511.3</v>
      </c>
      <c r="DH65">
        <v>31163.7</v>
      </c>
      <c r="DI65">
        <v>28072.400000000001</v>
      </c>
      <c r="DJ65">
        <v>39362.300000000003</v>
      </c>
      <c r="DK65">
        <v>38393.699999999997</v>
      </c>
      <c r="DL65">
        <v>44348.3</v>
      </c>
      <c r="DM65">
        <v>42548.9</v>
      </c>
      <c r="DN65">
        <v>1.47465</v>
      </c>
      <c r="DO65">
        <v>2.0307499999999998</v>
      </c>
      <c r="DP65">
        <v>0.108637</v>
      </c>
      <c r="DQ65">
        <v>0.17054800000000001</v>
      </c>
      <c r="DR65">
        <v>25.171500000000002</v>
      </c>
      <c r="DS65">
        <v>24.964600000000001</v>
      </c>
      <c r="DT65">
        <v>19.100000000000001</v>
      </c>
      <c r="DU65">
        <v>29.6</v>
      </c>
      <c r="DV65">
        <v>8.0263600000000004</v>
      </c>
      <c r="DW65">
        <v>61.4542</v>
      </c>
      <c r="DX65">
        <v>36.0657</v>
      </c>
      <c r="DY65">
        <v>1</v>
      </c>
      <c r="DZ65">
        <v>-7.4085399999999996E-2</v>
      </c>
      <c r="EA65">
        <v>0.27132600000000001</v>
      </c>
      <c r="EB65">
        <v>20.189599999999999</v>
      </c>
      <c r="EC65">
        <v>5.2403500000000003</v>
      </c>
      <c r="ED65">
        <v>12.039899999999999</v>
      </c>
      <c r="EE65">
        <v>5.0171999999999999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1.8689100000000001</v>
      </c>
      <c r="EL65">
        <v>1.8646199999999999</v>
      </c>
      <c r="EM65">
        <v>1.8691899999999999</v>
      </c>
      <c r="EN65">
        <v>1.86724</v>
      </c>
      <c r="EO65">
        <v>1.8633999999999999</v>
      </c>
      <c r="EP65">
        <v>1.8645099999999999</v>
      </c>
      <c r="EQ65">
        <v>1.8702000000000001</v>
      </c>
      <c r="ER65">
        <v>1.8694500000000001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-0.45600000000000002</v>
      </c>
      <c r="FG65">
        <v>-1.9900000000000001E-2</v>
      </c>
      <c r="FH65">
        <v>5.8509882529719233E-2</v>
      </c>
      <c r="FI65">
        <v>-6.1462078757559423E-4</v>
      </c>
      <c r="FJ65">
        <v>-1.8861989874597051E-7</v>
      </c>
      <c r="FK65">
        <v>1.1980462299894961E-10</v>
      </c>
      <c r="FL65">
        <v>-5.9863424041980147E-2</v>
      </c>
      <c r="FM65">
        <v>-1.6848085045870601E-2</v>
      </c>
      <c r="FN65">
        <v>1.9789084769509481E-3</v>
      </c>
      <c r="FO65">
        <v>-2.7142391389806329E-5</v>
      </c>
      <c r="FP65">
        <v>3</v>
      </c>
      <c r="FQ65">
        <v>2158</v>
      </c>
      <c r="FR65">
        <v>1</v>
      </c>
      <c r="FS65">
        <v>19</v>
      </c>
      <c r="FT65">
        <v>16.899999999999999</v>
      </c>
      <c r="FU65">
        <v>17.100000000000001</v>
      </c>
      <c r="FV65">
        <v>1.7773399999999999</v>
      </c>
      <c r="FW65">
        <v>2.5854499999999998</v>
      </c>
      <c r="FX65">
        <v>1.5490699999999999</v>
      </c>
      <c r="FY65">
        <v>2.3290999999999999</v>
      </c>
      <c r="FZ65">
        <v>1.50146</v>
      </c>
      <c r="GA65">
        <v>2.3278799999999999</v>
      </c>
      <c r="GB65">
        <v>33.896099999999997</v>
      </c>
      <c r="GC65">
        <v>23.973700000000001</v>
      </c>
      <c r="GD65">
        <v>19</v>
      </c>
      <c r="GE65">
        <v>283.06700000000001</v>
      </c>
      <c r="GF65">
        <v>580.49699999999996</v>
      </c>
      <c r="GG65">
        <v>23.7422</v>
      </c>
      <c r="GH65">
        <v>26.453800000000001</v>
      </c>
      <c r="GI65">
        <v>29.9998</v>
      </c>
      <c r="GJ65">
        <v>26.543700000000001</v>
      </c>
      <c r="GK65">
        <v>26.5136</v>
      </c>
      <c r="GL65">
        <v>35.524900000000002</v>
      </c>
      <c r="GM65">
        <v>-30</v>
      </c>
      <c r="GN65">
        <v>-30</v>
      </c>
      <c r="GO65">
        <v>23.780799999999999</v>
      </c>
      <c r="GP65">
        <v>800</v>
      </c>
      <c r="GQ65">
        <v>18.0809</v>
      </c>
      <c r="GR65">
        <v>99.709699999999998</v>
      </c>
      <c r="GS65">
        <v>99.535799999999995</v>
      </c>
    </row>
    <row r="66" spans="1:201" x14ac:dyDescent="0.25">
      <c r="A66">
        <v>50</v>
      </c>
      <c r="B66">
        <v>1690221545</v>
      </c>
      <c r="C66">
        <v>662.5</v>
      </c>
      <c r="D66" t="s">
        <v>431</v>
      </c>
      <c r="E66" t="s">
        <v>432</v>
      </c>
      <c r="F66" t="s">
        <v>330</v>
      </c>
      <c r="H66">
        <v>1690221545</v>
      </c>
      <c r="I66">
        <f t="shared" si="0"/>
        <v>6.3745434686716647E-4</v>
      </c>
      <c r="J66">
        <f t="shared" si="1"/>
        <v>0.63745434686716651</v>
      </c>
      <c r="K66">
        <f t="shared" si="2"/>
        <v>4.8348028064717479</v>
      </c>
      <c r="L66">
        <f t="shared" si="3"/>
        <v>744.88099999999997</v>
      </c>
      <c r="M66">
        <f t="shared" si="4"/>
        <v>398.49361914256593</v>
      </c>
      <c r="N66">
        <f t="shared" si="5"/>
        <v>39.519155715815408</v>
      </c>
      <c r="O66">
        <f t="shared" si="6"/>
        <v>73.8708647131959</v>
      </c>
      <c r="P66">
        <f t="shared" si="7"/>
        <v>2.4141582381978499E-2</v>
      </c>
      <c r="Q66">
        <f t="shared" si="8"/>
        <v>2.1914261786223901</v>
      </c>
      <c r="R66">
        <f t="shared" si="9"/>
        <v>2.3994800694609762E-2</v>
      </c>
      <c r="S66">
        <f t="shared" si="10"/>
        <v>1.5009863679608621E-2</v>
      </c>
      <c r="T66">
        <f t="shared" si="11"/>
        <v>276.11392100725004</v>
      </c>
      <c r="U66">
        <f t="shared" si="12"/>
        <v>27.982247789381965</v>
      </c>
      <c r="V66">
        <f t="shared" si="13"/>
        <v>27.982247789381965</v>
      </c>
      <c r="W66">
        <f t="shared" si="14"/>
        <v>3.7909141993315418</v>
      </c>
      <c r="X66">
        <f t="shared" si="15"/>
        <v>36.092672086342418</v>
      </c>
      <c r="Y66">
        <f t="shared" si="16"/>
        <v>1.22289200538729</v>
      </c>
      <c r="Z66">
        <f t="shared" si="17"/>
        <v>3.3882002486871463</v>
      </c>
      <c r="AA66">
        <f t="shared" si="18"/>
        <v>2.5680221939442518</v>
      </c>
      <c r="AB66">
        <f t="shared" si="19"/>
        <v>-28.111736696842041</v>
      </c>
      <c r="AC66">
        <f t="shared" si="20"/>
        <v>-225.95636760814335</v>
      </c>
      <c r="AD66">
        <f t="shared" si="21"/>
        <v>-22.25819389856651</v>
      </c>
      <c r="AE66">
        <f t="shared" si="22"/>
        <v>-0.21237719630184415</v>
      </c>
      <c r="AF66">
        <v>0</v>
      </c>
      <c r="AG66">
        <v>0</v>
      </c>
      <c r="AH66">
        <f t="shared" si="23"/>
        <v>1</v>
      </c>
      <c r="AI66">
        <f t="shared" si="24"/>
        <v>0</v>
      </c>
      <c r="AJ66">
        <f t="shared" si="25"/>
        <v>52438.795541453386</v>
      </c>
      <c r="AK66">
        <f t="shared" si="26"/>
        <v>1799.99</v>
      </c>
      <c r="AL66">
        <f t="shared" si="27"/>
        <v>1499.1010598145099</v>
      </c>
      <c r="AM66">
        <f t="shared" si="28"/>
        <v>0.83283854899999987</v>
      </c>
      <c r="AN66">
        <f t="shared" si="29"/>
        <v>0.15339747498999998</v>
      </c>
      <c r="AO66">
        <v>31.2</v>
      </c>
      <c r="AP66">
        <v>0.5</v>
      </c>
      <c r="AQ66" t="s">
        <v>331</v>
      </c>
      <c r="AR66">
        <v>2</v>
      </c>
      <c r="AS66">
        <v>1690221545</v>
      </c>
      <c r="AT66">
        <v>744.88099999999997</v>
      </c>
      <c r="AU66">
        <v>800.06399999999996</v>
      </c>
      <c r="AV66">
        <v>12.331099999999999</v>
      </c>
      <c r="AW66">
        <v>5.7877299999999998</v>
      </c>
      <c r="AX66">
        <v>745.33500000000004</v>
      </c>
      <c r="AY66">
        <v>12.3484</v>
      </c>
      <c r="AZ66">
        <v>300.202</v>
      </c>
      <c r="BA66">
        <v>99.071399999999997</v>
      </c>
      <c r="BB66">
        <v>9.9963899999999994E-2</v>
      </c>
      <c r="BC66">
        <v>26.069700000000001</v>
      </c>
      <c r="BD66">
        <v>26.9955</v>
      </c>
      <c r="BE66">
        <v>27.759599999999999</v>
      </c>
      <c r="BF66">
        <v>0</v>
      </c>
      <c r="BG66">
        <v>0</v>
      </c>
      <c r="BH66">
        <v>9978.1200000000008</v>
      </c>
      <c r="BI66">
        <v>1069.22</v>
      </c>
      <c r="BJ66">
        <v>1.28952</v>
      </c>
      <c r="BK66">
        <v>-55.183300000000003</v>
      </c>
      <c r="BL66">
        <v>754.18100000000004</v>
      </c>
      <c r="BM66">
        <v>804.721</v>
      </c>
      <c r="BN66">
        <v>6.54338</v>
      </c>
      <c r="BO66">
        <v>800.06399999999996</v>
      </c>
      <c r="BP66">
        <v>5.7877299999999998</v>
      </c>
      <c r="BQ66">
        <v>1.22166</v>
      </c>
      <c r="BR66">
        <v>0.57339799999999996</v>
      </c>
      <c r="BS66">
        <v>9.86815</v>
      </c>
      <c r="BT66">
        <v>-0.93048699999999995</v>
      </c>
      <c r="BU66">
        <v>1799.99</v>
      </c>
      <c r="BV66">
        <v>0.90998999999999997</v>
      </c>
      <c r="BW66">
        <v>3.4008499999999997E-2</v>
      </c>
      <c r="BX66">
        <v>2.2000200000000001E-2</v>
      </c>
      <c r="BY66">
        <v>3.4001099999999999E-2</v>
      </c>
      <c r="BZ66">
        <v>25.583300000000001</v>
      </c>
      <c r="CA66">
        <v>33528.1</v>
      </c>
      <c r="CB66">
        <v>1690220522.5999999</v>
      </c>
      <c r="CC66" t="s">
        <v>332</v>
      </c>
      <c r="CD66">
        <v>1690220522.5999999</v>
      </c>
      <c r="CE66">
        <v>1690220510.5999999</v>
      </c>
      <c r="CF66">
        <v>10</v>
      </c>
      <c r="CG66">
        <v>-0.22</v>
      </c>
      <c r="CH66">
        <v>-2.7E-2</v>
      </c>
      <c r="CI66">
        <v>-0.49299999999999999</v>
      </c>
      <c r="CJ66">
        <v>0.152</v>
      </c>
      <c r="CK66">
        <v>800</v>
      </c>
      <c r="CL66">
        <v>19</v>
      </c>
      <c r="CM66">
        <v>0.1</v>
      </c>
      <c r="CN66">
        <v>0.03</v>
      </c>
      <c r="CO66">
        <v>-52.464992682926827</v>
      </c>
      <c r="CP66">
        <v>-15.23735749128906</v>
      </c>
      <c r="CQ66">
        <v>1.5028866934539991</v>
      </c>
      <c r="CR66">
        <v>-1</v>
      </c>
      <c r="CS66">
        <v>6.4013865853658531</v>
      </c>
      <c r="CT66">
        <v>0.80393874564460788</v>
      </c>
      <c r="CU66">
        <v>7.9280576577662479E-2</v>
      </c>
      <c r="CV66">
        <v>-1</v>
      </c>
      <c r="CW66">
        <v>0</v>
      </c>
      <c r="CX66">
        <v>0</v>
      </c>
      <c r="CY66" t="s">
        <v>333</v>
      </c>
      <c r="CZ66">
        <v>2.3644099999999999</v>
      </c>
      <c r="DA66">
        <v>2.71374</v>
      </c>
      <c r="DB66">
        <v>0.139657</v>
      </c>
      <c r="DC66">
        <v>0.14602499999999999</v>
      </c>
      <c r="DD66">
        <v>7.0590700000000006E-2</v>
      </c>
      <c r="DE66">
        <v>3.8285300000000001E-2</v>
      </c>
      <c r="DF66">
        <v>31405.200000000001</v>
      </c>
      <c r="DG66">
        <v>27511.4</v>
      </c>
      <c r="DH66">
        <v>31163.8</v>
      </c>
      <c r="DI66">
        <v>28072.5</v>
      </c>
      <c r="DJ66">
        <v>39337.599999999999</v>
      </c>
      <c r="DK66">
        <v>38393.9</v>
      </c>
      <c r="DL66">
        <v>44348.4</v>
      </c>
      <c r="DM66">
        <v>42548.9</v>
      </c>
      <c r="DN66">
        <v>1.47478</v>
      </c>
      <c r="DO66">
        <v>2.0310000000000001</v>
      </c>
      <c r="DP66">
        <v>0.11136799999999999</v>
      </c>
      <c r="DQ66">
        <v>0.17038</v>
      </c>
      <c r="DR66">
        <v>25.171500000000002</v>
      </c>
      <c r="DS66">
        <v>24.970300000000002</v>
      </c>
      <c r="DT66">
        <v>19.100000000000001</v>
      </c>
      <c r="DU66">
        <v>29.6</v>
      </c>
      <c r="DV66">
        <v>8.0273699999999995</v>
      </c>
      <c r="DW66">
        <v>61.924199999999999</v>
      </c>
      <c r="DX66">
        <v>35.889400000000002</v>
      </c>
      <c r="DY66">
        <v>1</v>
      </c>
      <c r="DZ66">
        <v>-7.4537599999999996E-2</v>
      </c>
      <c r="EA66">
        <v>0.260133</v>
      </c>
      <c r="EB66">
        <v>20.189699999999998</v>
      </c>
      <c r="EC66">
        <v>5.2403500000000003</v>
      </c>
      <c r="ED66">
        <v>12.039899999999999</v>
      </c>
      <c r="EE66">
        <v>5.0168999999999997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1.8689100000000001</v>
      </c>
      <c r="EL66">
        <v>1.8646400000000001</v>
      </c>
      <c r="EM66">
        <v>1.8692</v>
      </c>
      <c r="EN66">
        <v>1.8672500000000001</v>
      </c>
      <c r="EO66">
        <v>1.8633999999999999</v>
      </c>
      <c r="EP66">
        <v>1.86456</v>
      </c>
      <c r="EQ66">
        <v>1.87022</v>
      </c>
      <c r="ER66">
        <v>1.8694599999999999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-0.45400000000000001</v>
      </c>
      <c r="FG66">
        <v>-1.7299999999999999E-2</v>
      </c>
      <c r="FH66">
        <v>5.8509882529719233E-2</v>
      </c>
      <c r="FI66">
        <v>-6.1462078757559423E-4</v>
      </c>
      <c r="FJ66">
        <v>-1.8861989874597051E-7</v>
      </c>
      <c r="FK66">
        <v>1.1980462299894961E-10</v>
      </c>
      <c r="FL66">
        <v>-5.9863424041980147E-2</v>
      </c>
      <c r="FM66">
        <v>-1.6848085045870601E-2</v>
      </c>
      <c r="FN66">
        <v>1.9789084769509481E-3</v>
      </c>
      <c r="FO66">
        <v>-2.7142391389806329E-5</v>
      </c>
      <c r="FP66">
        <v>3</v>
      </c>
      <c r="FQ66">
        <v>2158</v>
      </c>
      <c r="FR66">
        <v>1</v>
      </c>
      <c r="FS66">
        <v>19</v>
      </c>
      <c r="FT66">
        <v>17</v>
      </c>
      <c r="FU66">
        <v>17.2</v>
      </c>
      <c r="FV66">
        <v>1.7773399999999999</v>
      </c>
      <c r="FW66">
        <v>2.5830099999999998</v>
      </c>
      <c r="FX66">
        <v>1.5490699999999999</v>
      </c>
      <c r="FY66">
        <v>2.3290999999999999</v>
      </c>
      <c r="FZ66">
        <v>1.50146</v>
      </c>
      <c r="GA66">
        <v>2.35107</v>
      </c>
      <c r="GB66">
        <v>33.896099999999997</v>
      </c>
      <c r="GC66">
        <v>23.973700000000001</v>
      </c>
      <c r="GD66">
        <v>19</v>
      </c>
      <c r="GE66">
        <v>283.113</v>
      </c>
      <c r="GF66">
        <v>580.67700000000002</v>
      </c>
      <c r="GG66">
        <v>23.812899999999999</v>
      </c>
      <c r="GH66">
        <v>26.447700000000001</v>
      </c>
      <c r="GI66">
        <v>29.9998</v>
      </c>
      <c r="GJ66">
        <v>26.542000000000002</v>
      </c>
      <c r="GK66">
        <v>26.511399999999998</v>
      </c>
      <c r="GL66">
        <v>35.521599999999999</v>
      </c>
      <c r="GM66">
        <v>-30</v>
      </c>
      <c r="GN66">
        <v>-30</v>
      </c>
      <c r="GO66">
        <v>23.8416</v>
      </c>
      <c r="GP66">
        <v>800</v>
      </c>
      <c r="GQ66">
        <v>18.0809</v>
      </c>
      <c r="GR66">
        <v>99.710099999999997</v>
      </c>
      <c r="GS66">
        <v>99.536000000000001</v>
      </c>
    </row>
    <row r="67" spans="1:201" x14ac:dyDescent="0.25">
      <c r="A67">
        <v>51</v>
      </c>
      <c r="B67">
        <v>1690221555</v>
      </c>
      <c r="C67">
        <v>672.5</v>
      </c>
      <c r="D67" t="s">
        <v>433</v>
      </c>
      <c r="E67" t="s">
        <v>434</v>
      </c>
      <c r="F67" t="s">
        <v>330</v>
      </c>
      <c r="H67">
        <v>1690221555</v>
      </c>
      <c r="I67">
        <f t="shared" si="0"/>
        <v>1.4518438137355196E-4</v>
      </c>
      <c r="J67">
        <f t="shared" si="1"/>
        <v>0.14518438137355197</v>
      </c>
      <c r="K67">
        <f t="shared" si="2"/>
        <v>7.0292500648774388</v>
      </c>
      <c r="L67">
        <f t="shared" si="3"/>
        <v>742.47199999999998</v>
      </c>
      <c r="M67">
        <f t="shared" si="4"/>
        <v>-1322.0488604630586</v>
      </c>
      <c r="N67">
        <f t="shared" si="5"/>
        <v>-131.11210161102886</v>
      </c>
      <c r="O67">
        <f t="shared" si="6"/>
        <v>73.633484524351999</v>
      </c>
      <c r="P67">
        <f t="shared" si="7"/>
        <v>5.421412333850485E-3</v>
      </c>
      <c r="Q67">
        <f t="shared" si="8"/>
        <v>2.1947554906212758</v>
      </c>
      <c r="R67">
        <f t="shared" si="9"/>
        <v>5.4139834582620193E-3</v>
      </c>
      <c r="S67">
        <f t="shared" si="10"/>
        <v>3.3844062536320814E-3</v>
      </c>
      <c r="T67">
        <f t="shared" si="11"/>
        <v>276.11209979169183</v>
      </c>
      <c r="U67">
        <f t="shared" si="12"/>
        <v>28.154560921303656</v>
      </c>
      <c r="V67">
        <f t="shared" si="13"/>
        <v>28.154560921303656</v>
      </c>
      <c r="W67">
        <f t="shared" si="14"/>
        <v>3.8291672867001387</v>
      </c>
      <c r="X67">
        <f t="shared" si="15"/>
        <v>36.510357794166474</v>
      </c>
      <c r="Y67">
        <f t="shared" si="16"/>
        <v>1.2376148102888</v>
      </c>
      <c r="Z67">
        <f t="shared" si="17"/>
        <v>3.3897635768624066</v>
      </c>
      <c r="AA67">
        <f t="shared" si="18"/>
        <v>2.5915524764113389</v>
      </c>
      <c r="AB67">
        <f t="shared" si="19"/>
        <v>-6.4026312185736414</v>
      </c>
      <c r="AC67">
        <f t="shared" si="20"/>
        <v>-245.76544611904654</v>
      </c>
      <c r="AD67">
        <f t="shared" si="21"/>
        <v>-24.194612288940924</v>
      </c>
      <c r="AE67">
        <f t="shared" si="22"/>
        <v>-0.2505898348692881</v>
      </c>
      <c r="AF67">
        <v>0</v>
      </c>
      <c r="AG67">
        <v>0</v>
      </c>
      <c r="AH67">
        <f t="shared" si="23"/>
        <v>1</v>
      </c>
      <c r="AI67">
        <f t="shared" si="24"/>
        <v>0</v>
      </c>
      <c r="AJ67">
        <f t="shared" si="25"/>
        <v>52573.944682324392</v>
      </c>
      <c r="AK67">
        <f t="shared" si="26"/>
        <v>1799.98</v>
      </c>
      <c r="AL67">
        <f t="shared" si="27"/>
        <v>1499.0941480132799</v>
      </c>
      <c r="AM67">
        <f t="shared" si="28"/>
        <v>0.83283933599999993</v>
      </c>
      <c r="AN67">
        <f t="shared" si="29"/>
        <v>0.15339731541000001</v>
      </c>
      <c r="AO67">
        <v>31.2</v>
      </c>
      <c r="AP67">
        <v>0.5</v>
      </c>
      <c r="AQ67" t="s">
        <v>331</v>
      </c>
      <c r="AR67">
        <v>2</v>
      </c>
      <c r="AS67">
        <v>1690221555</v>
      </c>
      <c r="AT67">
        <v>742.47199999999998</v>
      </c>
      <c r="AU67">
        <v>816.36500000000001</v>
      </c>
      <c r="AV67">
        <v>12.4793</v>
      </c>
      <c r="AW67">
        <v>10.994899999999999</v>
      </c>
      <c r="AX67">
        <v>742.92499999999995</v>
      </c>
      <c r="AY67">
        <v>12.4937</v>
      </c>
      <c r="AZ67">
        <v>301.34899999999999</v>
      </c>
      <c r="BA67">
        <v>99.073300000000003</v>
      </c>
      <c r="BB67">
        <v>0.100116</v>
      </c>
      <c r="BC67">
        <v>26.077500000000001</v>
      </c>
      <c r="BD67">
        <v>27.020199999999999</v>
      </c>
      <c r="BE67">
        <v>27.758800000000001</v>
      </c>
      <c r="BF67">
        <v>0</v>
      </c>
      <c r="BG67">
        <v>0</v>
      </c>
      <c r="BH67">
        <v>10005</v>
      </c>
      <c r="BI67">
        <v>1069.08</v>
      </c>
      <c r="BJ67">
        <v>1.28952</v>
      </c>
      <c r="BK67">
        <v>-73.892799999999994</v>
      </c>
      <c r="BL67">
        <v>751.85400000000004</v>
      </c>
      <c r="BM67">
        <v>825.44</v>
      </c>
      <c r="BN67">
        <v>1.48445</v>
      </c>
      <c r="BO67">
        <v>816.36500000000001</v>
      </c>
      <c r="BP67">
        <v>10.994899999999999</v>
      </c>
      <c r="BQ67">
        <v>1.23637</v>
      </c>
      <c r="BR67">
        <v>1.0892999999999999</v>
      </c>
      <c r="BS67">
        <v>10.046799999999999</v>
      </c>
      <c r="BT67">
        <v>8.1688600000000005</v>
      </c>
      <c r="BU67">
        <v>1799.98</v>
      </c>
      <c r="BV67">
        <v>0.90999799999999997</v>
      </c>
      <c r="BW67">
        <v>3.4005599999999997E-2</v>
      </c>
      <c r="BX67">
        <v>2.1998299999999998E-2</v>
      </c>
      <c r="BY67">
        <v>3.3998100000000003E-2</v>
      </c>
      <c r="BZ67">
        <v>25.666699999999999</v>
      </c>
      <c r="CA67">
        <v>33528</v>
      </c>
      <c r="CB67">
        <v>1690220522.5999999</v>
      </c>
      <c r="CC67" t="s">
        <v>332</v>
      </c>
      <c r="CD67">
        <v>1690220522.5999999</v>
      </c>
      <c r="CE67">
        <v>1690220510.5999999</v>
      </c>
      <c r="CF67">
        <v>10</v>
      </c>
      <c r="CG67">
        <v>-0.22</v>
      </c>
      <c r="CH67">
        <v>-2.7E-2</v>
      </c>
      <c r="CI67">
        <v>-0.49299999999999999</v>
      </c>
      <c r="CJ67">
        <v>0.152</v>
      </c>
      <c r="CK67">
        <v>800</v>
      </c>
      <c r="CL67">
        <v>19</v>
      </c>
      <c r="CM67">
        <v>0.1</v>
      </c>
      <c r="CN67">
        <v>0.03</v>
      </c>
      <c r="CO67">
        <v>-56.103897500000002</v>
      </c>
      <c r="CP67">
        <v>-33.714998499061693</v>
      </c>
      <c r="CQ67">
        <v>4.0567301166387386</v>
      </c>
      <c r="CR67">
        <v>-1</v>
      </c>
      <c r="CS67">
        <v>6.3907552500000007</v>
      </c>
      <c r="CT67">
        <v>-1.556875159474673</v>
      </c>
      <c r="CU67">
        <v>0.45081798063069473</v>
      </c>
      <c r="CV67">
        <v>-1</v>
      </c>
      <c r="CW67">
        <v>0</v>
      </c>
      <c r="CX67">
        <v>0</v>
      </c>
      <c r="CY67" t="s">
        <v>333</v>
      </c>
      <c r="CZ67">
        <v>2.36802</v>
      </c>
      <c r="DA67">
        <v>2.71393</v>
      </c>
      <c r="DB67">
        <v>0.13935700000000001</v>
      </c>
      <c r="DC67">
        <v>0.14810699999999999</v>
      </c>
      <c r="DD67">
        <v>7.1219099999999994E-2</v>
      </c>
      <c r="DE67">
        <v>6.24843E-2</v>
      </c>
      <c r="DF67">
        <v>31416.6</v>
      </c>
      <c r="DG67">
        <v>27444.7</v>
      </c>
      <c r="DH67">
        <v>31164.2</v>
      </c>
      <c r="DI67">
        <v>28072.5</v>
      </c>
      <c r="DJ67">
        <v>39311.4</v>
      </c>
      <c r="DK67">
        <v>37425.5</v>
      </c>
      <c r="DL67">
        <v>44349.1</v>
      </c>
      <c r="DM67">
        <v>42548.7</v>
      </c>
      <c r="DN67">
        <v>1.4775799999999999</v>
      </c>
      <c r="DO67">
        <v>2.03525</v>
      </c>
      <c r="DP67">
        <v>0.11287999999999999</v>
      </c>
      <c r="DQ67">
        <v>0.170045</v>
      </c>
      <c r="DR67">
        <v>25.171500000000002</v>
      </c>
      <c r="DS67">
        <v>24.975000000000001</v>
      </c>
      <c r="DT67">
        <v>20.8</v>
      </c>
      <c r="DU67">
        <v>29.6</v>
      </c>
      <c r="DV67">
        <v>8.7420899999999993</v>
      </c>
      <c r="DW67">
        <v>61.944200000000002</v>
      </c>
      <c r="DX67">
        <v>34.8718</v>
      </c>
      <c r="DY67">
        <v>1</v>
      </c>
      <c r="DZ67">
        <v>-7.2606699999999996E-2</v>
      </c>
      <c r="EA67">
        <v>2.1339999999999999</v>
      </c>
      <c r="EB67">
        <v>20.170999999999999</v>
      </c>
      <c r="EC67">
        <v>5.2404999999999999</v>
      </c>
      <c r="ED67">
        <v>12.039899999999999</v>
      </c>
      <c r="EE67">
        <v>5.0168999999999997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1.8689800000000001</v>
      </c>
      <c r="EL67">
        <v>1.8647100000000001</v>
      </c>
      <c r="EM67">
        <v>1.8692</v>
      </c>
      <c r="EN67">
        <v>1.8673</v>
      </c>
      <c r="EO67">
        <v>1.8634299999999999</v>
      </c>
      <c r="EP67">
        <v>1.8646</v>
      </c>
      <c r="EQ67">
        <v>1.87026</v>
      </c>
      <c r="ER67">
        <v>1.8694999999999999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-0.45300000000000001</v>
      </c>
      <c r="FG67">
        <v>-1.44E-2</v>
      </c>
      <c r="FH67">
        <v>5.8509882529719233E-2</v>
      </c>
      <c r="FI67">
        <v>-6.1462078757559423E-4</v>
      </c>
      <c r="FJ67">
        <v>-1.8861989874597051E-7</v>
      </c>
      <c r="FK67">
        <v>1.1980462299894961E-10</v>
      </c>
      <c r="FL67">
        <v>-5.9863424041980147E-2</v>
      </c>
      <c r="FM67">
        <v>-1.6848085045870601E-2</v>
      </c>
      <c r="FN67">
        <v>1.9789084769509481E-3</v>
      </c>
      <c r="FO67">
        <v>-2.7142391389806329E-5</v>
      </c>
      <c r="FP67">
        <v>3</v>
      </c>
      <c r="FQ67">
        <v>2158</v>
      </c>
      <c r="FR67">
        <v>1</v>
      </c>
      <c r="FS67">
        <v>19</v>
      </c>
      <c r="FT67">
        <v>17.2</v>
      </c>
      <c r="FU67">
        <v>17.399999999999999</v>
      </c>
      <c r="FV67">
        <v>1.74316</v>
      </c>
      <c r="FW67">
        <v>2.5781200000000002</v>
      </c>
      <c r="FX67">
        <v>1.5490699999999999</v>
      </c>
      <c r="FY67">
        <v>2.3278799999999999</v>
      </c>
      <c r="FZ67">
        <v>1.50146</v>
      </c>
      <c r="GA67">
        <v>2.3840300000000001</v>
      </c>
      <c r="GB67">
        <v>33.918700000000001</v>
      </c>
      <c r="GC67">
        <v>23.973700000000001</v>
      </c>
      <c r="GD67">
        <v>19</v>
      </c>
      <c r="GE67">
        <v>284.31</v>
      </c>
      <c r="GF67">
        <v>584.34299999999996</v>
      </c>
      <c r="GG67">
        <v>23.5733</v>
      </c>
      <c r="GH67">
        <v>26.4421</v>
      </c>
      <c r="GI67">
        <v>30.0016</v>
      </c>
      <c r="GJ67">
        <v>26.541399999999999</v>
      </c>
      <c r="GK67">
        <v>26.523299999999999</v>
      </c>
      <c r="GL67">
        <v>34.837400000000002</v>
      </c>
      <c r="GM67">
        <v>0</v>
      </c>
      <c r="GN67">
        <v>100</v>
      </c>
      <c r="GO67">
        <v>23.3629</v>
      </c>
      <c r="GP67">
        <v>800</v>
      </c>
      <c r="GQ67">
        <v>24.988900000000001</v>
      </c>
      <c r="GR67">
        <v>99.711500000000001</v>
      </c>
      <c r="GS67">
        <v>99.535700000000006</v>
      </c>
    </row>
    <row r="68" spans="1:201" x14ac:dyDescent="0.25">
      <c r="A68">
        <v>52</v>
      </c>
      <c r="B68">
        <v>1690221565</v>
      </c>
      <c r="C68">
        <v>682.5</v>
      </c>
      <c r="D68" t="s">
        <v>435</v>
      </c>
      <c r="E68" t="s">
        <v>436</v>
      </c>
      <c r="F68" t="s">
        <v>330</v>
      </c>
      <c r="H68">
        <v>1690221565</v>
      </c>
      <c r="I68">
        <f t="shared" si="0"/>
        <v>-9.2689586264204456E-4</v>
      </c>
      <c r="J68">
        <f t="shared" si="1"/>
        <v>-0.9268958626420446</v>
      </c>
      <c r="K68">
        <f t="shared" si="2"/>
        <v>6.0157834753721025</v>
      </c>
      <c r="L68">
        <f t="shared" si="3"/>
        <v>739.15800000000002</v>
      </c>
      <c r="M68">
        <f t="shared" si="4"/>
        <v>962.21479593541881</v>
      </c>
      <c r="N68">
        <f t="shared" si="5"/>
        <v>95.423437886088962</v>
      </c>
      <c r="O68">
        <f t="shared" si="6"/>
        <v>73.30275713796</v>
      </c>
      <c r="P68">
        <f t="shared" si="7"/>
        <v>-3.7193091078638996E-2</v>
      </c>
      <c r="Q68">
        <f t="shared" si="8"/>
        <v>2.1941076757100197</v>
      </c>
      <c r="R68">
        <f t="shared" si="9"/>
        <v>-3.7546954853077859E-2</v>
      </c>
      <c r="S68">
        <f t="shared" si="10"/>
        <v>-2.3434774765631501E-2</v>
      </c>
      <c r="T68">
        <f t="shared" si="11"/>
        <v>276.11312145169217</v>
      </c>
      <c r="U68">
        <f t="shared" si="12"/>
        <v>28.499068224906701</v>
      </c>
      <c r="V68">
        <f t="shared" si="13"/>
        <v>28.499068224906701</v>
      </c>
      <c r="W68">
        <f t="shared" si="14"/>
        <v>3.9066578751710361</v>
      </c>
      <c r="X68">
        <f t="shared" si="15"/>
        <v>45.058725346129592</v>
      </c>
      <c r="Y68">
        <f t="shared" si="16"/>
        <v>1.5255515645220001</v>
      </c>
      <c r="Z68">
        <f t="shared" si="17"/>
        <v>3.3856962282068648</v>
      </c>
      <c r="AA68">
        <f t="shared" si="18"/>
        <v>2.3811063106490362</v>
      </c>
      <c r="AB68">
        <f t="shared" si="19"/>
        <v>40.876107542514163</v>
      </c>
      <c r="AC68">
        <f t="shared" si="20"/>
        <v>-288.84549850862027</v>
      </c>
      <c r="AD68">
        <f t="shared" si="21"/>
        <v>-28.490310364167698</v>
      </c>
      <c r="AE68">
        <f t="shared" si="22"/>
        <v>-0.34657987858162187</v>
      </c>
      <c r="AF68">
        <v>0</v>
      </c>
      <c r="AG68">
        <v>0</v>
      </c>
      <c r="AH68">
        <f t="shared" si="23"/>
        <v>1</v>
      </c>
      <c r="AI68">
        <f t="shared" si="24"/>
        <v>0</v>
      </c>
      <c r="AJ68">
        <f t="shared" si="25"/>
        <v>52550.880877193988</v>
      </c>
      <c r="AK68">
        <f t="shared" si="26"/>
        <v>1799.99</v>
      </c>
      <c r="AL68">
        <f t="shared" si="27"/>
        <v>1499.1029318041101</v>
      </c>
      <c r="AM68">
        <f t="shared" si="28"/>
        <v>0.83283958899999999</v>
      </c>
      <c r="AN68">
        <f t="shared" si="29"/>
        <v>0.15339703079000003</v>
      </c>
      <c r="AO68">
        <v>31.2</v>
      </c>
      <c r="AP68">
        <v>0.5</v>
      </c>
      <c r="AQ68" t="s">
        <v>331</v>
      </c>
      <c r="AR68">
        <v>2</v>
      </c>
      <c r="AS68">
        <v>1690221565</v>
      </c>
      <c r="AT68">
        <v>739.15800000000002</v>
      </c>
      <c r="AU68">
        <v>794.56399999999996</v>
      </c>
      <c r="AV68">
        <v>15.383100000000001</v>
      </c>
      <c r="AW68">
        <v>24.8689</v>
      </c>
      <c r="AX68">
        <v>739.60900000000004</v>
      </c>
      <c r="AY68">
        <v>15.3338</v>
      </c>
      <c r="AZ68">
        <v>300.178</v>
      </c>
      <c r="BA68">
        <v>99.070599999999999</v>
      </c>
      <c r="BB68">
        <v>0.10002</v>
      </c>
      <c r="BC68">
        <v>26.057200000000002</v>
      </c>
      <c r="BD68">
        <v>26.9299</v>
      </c>
      <c r="BE68">
        <v>27.782900000000001</v>
      </c>
      <c r="BF68">
        <v>0</v>
      </c>
      <c r="BG68">
        <v>0</v>
      </c>
      <c r="BH68">
        <v>10000</v>
      </c>
      <c r="BI68">
        <v>1068.95</v>
      </c>
      <c r="BJ68">
        <v>1.28952</v>
      </c>
      <c r="BK68">
        <v>-55.405799999999999</v>
      </c>
      <c r="BL68">
        <v>750.70699999999999</v>
      </c>
      <c r="BM68">
        <v>814.82799999999997</v>
      </c>
      <c r="BN68">
        <v>-9.4857999999999993</v>
      </c>
      <c r="BO68">
        <v>794.56399999999996</v>
      </c>
      <c r="BP68">
        <v>24.8689</v>
      </c>
      <c r="BQ68">
        <v>1.5240100000000001</v>
      </c>
      <c r="BR68">
        <v>2.4637699999999998</v>
      </c>
      <c r="BS68">
        <v>13.2112</v>
      </c>
      <c r="BT68">
        <v>20.789200000000001</v>
      </c>
      <c r="BU68">
        <v>1799.99</v>
      </c>
      <c r="BV68">
        <v>0.91000599999999998</v>
      </c>
      <c r="BW68">
        <v>3.4002400000000002E-2</v>
      </c>
      <c r="BX68">
        <v>2.19962E-2</v>
      </c>
      <c r="BY68">
        <v>3.3994900000000002E-2</v>
      </c>
      <c r="BZ68">
        <v>25.791699999999999</v>
      </c>
      <c r="CA68">
        <v>33528.300000000003</v>
      </c>
      <c r="CB68">
        <v>1690220522.5999999</v>
      </c>
      <c r="CC68" t="s">
        <v>332</v>
      </c>
      <c r="CD68">
        <v>1690220522.5999999</v>
      </c>
      <c r="CE68">
        <v>1690220510.5999999</v>
      </c>
      <c r="CF68">
        <v>10</v>
      </c>
      <c r="CG68">
        <v>-0.22</v>
      </c>
      <c r="CH68">
        <v>-2.7E-2</v>
      </c>
      <c r="CI68">
        <v>-0.49299999999999999</v>
      </c>
      <c r="CJ68">
        <v>0.152</v>
      </c>
      <c r="CK68">
        <v>800</v>
      </c>
      <c r="CL68">
        <v>19</v>
      </c>
      <c r="CM68">
        <v>0.1</v>
      </c>
      <c r="CN68">
        <v>0.03</v>
      </c>
      <c r="CO68">
        <v>-55.151595121951217</v>
      </c>
      <c r="CP68">
        <v>39.954855052264662</v>
      </c>
      <c r="CQ68">
        <v>10.26496685877181</v>
      </c>
      <c r="CR68">
        <v>-1</v>
      </c>
      <c r="CS68">
        <v>0.27865109756097528</v>
      </c>
      <c r="CT68">
        <v>-66.403519442508696</v>
      </c>
      <c r="CU68">
        <v>7.1530316348578697</v>
      </c>
      <c r="CV68">
        <v>-1</v>
      </c>
      <c r="CW68">
        <v>0</v>
      </c>
      <c r="CX68">
        <v>0</v>
      </c>
      <c r="CY68" t="s">
        <v>333</v>
      </c>
      <c r="CZ68">
        <v>2.3642500000000002</v>
      </c>
      <c r="DA68">
        <v>2.7138100000000001</v>
      </c>
      <c r="DB68">
        <v>0.13898099999999999</v>
      </c>
      <c r="DC68">
        <v>0.145706</v>
      </c>
      <c r="DD68">
        <v>8.2963599999999998E-2</v>
      </c>
      <c r="DE68">
        <v>0.114897</v>
      </c>
      <c r="DF68">
        <v>31429.599999999999</v>
      </c>
      <c r="DG68">
        <v>27521.9</v>
      </c>
      <c r="DH68">
        <v>31163.4</v>
      </c>
      <c r="DI68">
        <v>28071.7</v>
      </c>
      <c r="DJ68">
        <v>38809.9</v>
      </c>
      <c r="DK68">
        <v>35327.800000000003</v>
      </c>
      <c r="DL68">
        <v>44347.9</v>
      </c>
      <c r="DM68">
        <v>42547.6</v>
      </c>
      <c r="DN68">
        <v>1.4727300000000001</v>
      </c>
      <c r="DO68">
        <v>2.0523799999999999</v>
      </c>
      <c r="DP68">
        <v>0.10735500000000001</v>
      </c>
      <c r="DQ68">
        <v>0.17125499999999999</v>
      </c>
      <c r="DR68">
        <v>25.171500000000002</v>
      </c>
      <c r="DS68">
        <v>24.979299999999999</v>
      </c>
      <c r="DT68">
        <v>35.6</v>
      </c>
      <c r="DU68">
        <v>29.6</v>
      </c>
      <c r="DV68">
        <v>14.960800000000001</v>
      </c>
      <c r="DW68">
        <v>61.694200000000002</v>
      </c>
      <c r="DX68">
        <v>36.101799999999997</v>
      </c>
      <c r="DY68">
        <v>1</v>
      </c>
      <c r="DZ68">
        <v>-7.4308899999999997E-2</v>
      </c>
      <c r="EA68">
        <v>0.94750299999999998</v>
      </c>
      <c r="EB68">
        <v>20.1859</v>
      </c>
      <c r="EC68">
        <v>5.2403500000000003</v>
      </c>
      <c r="ED68">
        <v>12.039899999999999</v>
      </c>
      <c r="EE68">
        <v>5.0167999999999999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1.86893</v>
      </c>
      <c r="EL68">
        <v>1.8646199999999999</v>
      </c>
      <c r="EM68">
        <v>1.8691899999999999</v>
      </c>
      <c r="EN68">
        <v>1.86724</v>
      </c>
      <c r="EO68">
        <v>1.8633999999999999</v>
      </c>
      <c r="EP68">
        <v>1.8645400000000001</v>
      </c>
      <c r="EQ68">
        <v>1.87019</v>
      </c>
      <c r="ER68">
        <v>1.8694500000000001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-0.45100000000000001</v>
      </c>
      <c r="FG68">
        <v>4.9299999999999997E-2</v>
      </c>
      <c r="FH68">
        <v>5.8509882529719233E-2</v>
      </c>
      <c r="FI68">
        <v>-6.1462078757559423E-4</v>
      </c>
      <c r="FJ68">
        <v>-1.8861989874597051E-7</v>
      </c>
      <c r="FK68">
        <v>1.1980462299894961E-10</v>
      </c>
      <c r="FL68">
        <v>-5.9863424041980147E-2</v>
      </c>
      <c r="FM68">
        <v>-1.6848085045870601E-2</v>
      </c>
      <c r="FN68">
        <v>1.9789084769509481E-3</v>
      </c>
      <c r="FO68">
        <v>-2.7142391389806329E-5</v>
      </c>
      <c r="FP68">
        <v>3</v>
      </c>
      <c r="FQ68">
        <v>2158</v>
      </c>
      <c r="FR68">
        <v>1</v>
      </c>
      <c r="FS68">
        <v>19</v>
      </c>
      <c r="FT68">
        <v>17.399999999999999</v>
      </c>
      <c r="FU68">
        <v>17.600000000000001</v>
      </c>
      <c r="FV68">
        <v>1.7981</v>
      </c>
      <c r="FW68">
        <v>2.5769000000000002</v>
      </c>
      <c r="FX68">
        <v>1.5490699999999999</v>
      </c>
      <c r="FY68">
        <v>2.3290999999999999</v>
      </c>
      <c r="FZ68">
        <v>1.50146</v>
      </c>
      <c r="GA68">
        <v>2.3596200000000001</v>
      </c>
      <c r="GB68">
        <v>33.896099999999997</v>
      </c>
      <c r="GC68">
        <v>23.973700000000001</v>
      </c>
      <c r="GD68">
        <v>19</v>
      </c>
      <c r="GE68">
        <v>282.28899999999999</v>
      </c>
      <c r="GF68">
        <v>599.39800000000002</v>
      </c>
      <c r="GG68">
        <v>23.297999999999998</v>
      </c>
      <c r="GH68">
        <v>26.436499999999999</v>
      </c>
      <c r="GI68">
        <v>29.999400000000001</v>
      </c>
      <c r="GJ68">
        <v>26.553999999999998</v>
      </c>
      <c r="GK68">
        <v>26.589400000000001</v>
      </c>
      <c r="GL68">
        <v>35.960500000000003</v>
      </c>
      <c r="GM68">
        <v>0</v>
      </c>
      <c r="GN68">
        <v>100</v>
      </c>
      <c r="GO68">
        <v>23.396999999999998</v>
      </c>
      <c r="GP68">
        <v>800</v>
      </c>
      <c r="GQ68">
        <v>24.988900000000001</v>
      </c>
      <c r="GR68">
        <v>99.708799999999997</v>
      </c>
      <c r="GS68">
        <v>99.533000000000001</v>
      </c>
    </row>
    <row r="69" spans="1:201" x14ac:dyDescent="0.25">
      <c r="A69">
        <v>53</v>
      </c>
      <c r="B69">
        <v>1690221575</v>
      </c>
      <c r="C69">
        <v>692.5</v>
      </c>
      <c r="D69" t="s">
        <v>437</v>
      </c>
      <c r="E69" t="s">
        <v>438</v>
      </c>
      <c r="F69" t="s">
        <v>330</v>
      </c>
      <c r="H69">
        <v>1690221575</v>
      </c>
      <c r="I69">
        <f t="shared" si="0"/>
        <v>-1.2888223459096767E-4</v>
      </c>
      <c r="J69">
        <f t="shared" si="1"/>
        <v>-0.12888223459096768</v>
      </c>
      <c r="K69">
        <f t="shared" si="2"/>
        <v>6.2829622961448992</v>
      </c>
      <c r="L69">
        <f t="shared" si="3"/>
        <v>737.54600000000005</v>
      </c>
      <c r="M69">
        <f t="shared" si="4"/>
        <v>2292.138040788212</v>
      </c>
      <c r="N69">
        <f t="shared" si="5"/>
        <v>227.31690513075119</v>
      </c>
      <c r="O69">
        <f t="shared" si="6"/>
        <v>73.144230900645013</v>
      </c>
      <c r="P69">
        <f t="shared" si="7"/>
        <v>-6.2570439507124327E-3</v>
      </c>
      <c r="Q69">
        <f t="shared" si="8"/>
        <v>2.1947455666734754</v>
      </c>
      <c r="R69">
        <f t="shared" si="9"/>
        <v>-6.2669711172557586E-3</v>
      </c>
      <c r="S69">
        <f t="shared" si="10"/>
        <v>-3.9159637459726081E-3</v>
      </c>
      <c r="T69">
        <f t="shared" si="11"/>
        <v>276.1128897929791</v>
      </c>
      <c r="U69">
        <f t="shared" si="12"/>
        <v>28.221404925027603</v>
      </c>
      <c r="V69">
        <f t="shared" si="13"/>
        <v>28.221404925027603</v>
      </c>
      <c r="W69">
        <f t="shared" si="14"/>
        <v>3.8440968874927299</v>
      </c>
      <c r="X69">
        <f t="shared" si="15"/>
        <v>55.053163513306544</v>
      </c>
      <c r="Y69">
        <f t="shared" si="16"/>
        <v>1.8632714962964998</v>
      </c>
      <c r="Z69">
        <f t="shared" si="17"/>
        <v>3.3844948725719282</v>
      </c>
      <c r="AA69">
        <f t="shared" si="18"/>
        <v>1.9808253911962301</v>
      </c>
      <c r="AB69">
        <f t="shared" si="19"/>
        <v>5.683706545461674</v>
      </c>
      <c r="AC69">
        <f t="shared" si="20"/>
        <v>-256.7854242586306</v>
      </c>
      <c r="AD69">
        <f t="shared" si="21"/>
        <v>-25.284749552531114</v>
      </c>
      <c r="AE69">
        <f t="shared" si="22"/>
        <v>-0.27357747272094457</v>
      </c>
      <c r="AF69">
        <v>0</v>
      </c>
      <c r="AG69">
        <v>0</v>
      </c>
      <c r="AH69">
        <f t="shared" si="23"/>
        <v>1</v>
      </c>
      <c r="AI69">
        <f t="shared" si="24"/>
        <v>0</v>
      </c>
      <c r="AJ69">
        <f t="shared" si="25"/>
        <v>52578.143724759546</v>
      </c>
      <c r="AK69">
        <f t="shared" si="26"/>
        <v>1799.99</v>
      </c>
      <c r="AL69">
        <f t="shared" si="27"/>
        <v>1499.1056047892598</v>
      </c>
      <c r="AM69">
        <f t="shared" si="28"/>
        <v>0.83284107399999985</v>
      </c>
      <c r="AN69">
        <f t="shared" si="29"/>
        <v>0.15339690209000001</v>
      </c>
      <c r="AO69">
        <v>31.2</v>
      </c>
      <c r="AP69">
        <v>0.5</v>
      </c>
      <c r="AQ69" t="s">
        <v>331</v>
      </c>
      <c r="AR69">
        <v>2</v>
      </c>
      <c r="AS69">
        <v>1690221575</v>
      </c>
      <c r="AT69">
        <v>737.54600000000005</v>
      </c>
      <c r="AU69">
        <v>801.83699999999999</v>
      </c>
      <c r="AV69">
        <v>18.7882</v>
      </c>
      <c r="AW69">
        <v>20.1021</v>
      </c>
      <c r="AX69">
        <v>737.99599999999998</v>
      </c>
      <c r="AY69">
        <v>18.649999999999999</v>
      </c>
      <c r="AZ69">
        <v>300.29500000000002</v>
      </c>
      <c r="BA69">
        <v>99.072500000000005</v>
      </c>
      <c r="BB69">
        <v>9.9932499999999994E-2</v>
      </c>
      <c r="BC69">
        <v>26.051200000000001</v>
      </c>
      <c r="BD69">
        <v>27.027799999999999</v>
      </c>
      <c r="BE69">
        <v>27.760400000000001</v>
      </c>
      <c r="BF69">
        <v>0</v>
      </c>
      <c r="BG69">
        <v>0</v>
      </c>
      <c r="BH69">
        <v>10005</v>
      </c>
      <c r="BI69">
        <v>1068.77</v>
      </c>
      <c r="BJ69">
        <v>1.2082200000000001</v>
      </c>
      <c r="BK69">
        <v>-64.290300000000002</v>
      </c>
      <c r="BL69">
        <v>751.66899999999998</v>
      </c>
      <c r="BM69">
        <v>818.28599999999994</v>
      </c>
      <c r="BN69">
        <v>-1.3139099999999999</v>
      </c>
      <c r="BO69">
        <v>801.83699999999999</v>
      </c>
      <c r="BP69">
        <v>20.1021</v>
      </c>
      <c r="BQ69">
        <v>1.8613900000000001</v>
      </c>
      <c r="BR69">
        <v>1.9915700000000001</v>
      </c>
      <c r="BS69">
        <v>16.312100000000001</v>
      </c>
      <c r="BT69">
        <v>17.377400000000002</v>
      </c>
      <c r="BU69">
        <v>1799.99</v>
      </c>
      <c r="BV69">
        <v>0.91001699999999996</v>
      </c>
      <c r="BW69">
        <v>3.3998500000000001E-2</v>
      </c>
      <c r="BX69">
        <v>2.1993700000000001E-2</v>
      </c>
      <c r="BY69">
        <v>3.3991100000000003E-2</v>
      </c>
      <c r="BZ69">
        <v>26</v>
      </c>
      <c r="CA69">
        <v>33528.400000000001</v>
      </c>
      <c r="CB69">
        <v>1690220522.5999999</v>
      </c>
      <c r="CC69" t="s">
        <v>332</v>
      </c>
      <c r="CD69">
        <v>1690220522.5999999</v>
      </c>
      <c r="CE69">
        <v>1690220510.5999999</v>
      </c>
      <c r="CF69">
        <v>10</v>
      </c>
      <c r="CG69">
        <v>-0.22</v>
      </c>
      <c r="CH69">
        <v>-2.7E-2</v>
      </c>
      <c r="CI69">
        <v>-0.49299999999999999</v>
      </c>
      <c r="CJ69">
        <v>0.152</v>
      </c>
      <c r="CK69">
        <v>800</v>
      </c>
      <c r="CL69">
        <v>19</v>
      </c>
      <c r="CM69">
        <v>0.1</v>
      </c>
      <c r="CN69">
        <v>0.03</v>
      </c>
      <c r="CO69">
        <v>-56.478635000000011</v>
      </c>
      <c r="CP69">
        <v>-29.43774484052512</v>
      </c>
      <c r="CQ69">
        <v>10.77296788465347</v>
      </c>
      <c r="CR69">
        <v>-1</v>
      </c>
      <c r="CS69">
        <v>-7.1097436250000001</v>
      </c>
      <c r="CT69">
        <v>-6.4190483864915562</v>
      </c>
      <c r="CU69">
        <v>3.350887898541592</v>
      </c>
      <c r="CV69">
        <v>-1</v>
      </c>
      <c r="CW69">
        <v>0</v>
      </c>
      <c r="CX69">
        <v>0</v>
      </c>
      <c r="CY69" t="s">
        <v>333</v>
      </c>
      <c r="CZ69">
        <v>2.3645700000000001</v>
      </c>
      <c r="DA69">
        <v>2.71373</v>
      </c>
      <c r="DB69">
        <v>0.13883200000000001</v>
      </c>
      <c r="DC69">
        <v>0.14652499999999999</v>
      </c>
      <c r="DD69">
        <v>9.5692100000000002E-2</v>
      </c>
      <c r="DE69">
        <v>9.8966700000000005E-2</v>
      </c>
      <c r="DF69">
        <v>31435.5</v>
      </c>
      <c r="DG69">
        <v>27495.8</v>
      </c>
      <c r="DH69">
        <v>31163.599999999999</v>
      </c>
      <c r="DI69">
        <v>28072.1</v>
      </c>
      <c r="DJ69">
        <v>38267.300000000003</v>
      </c>
      <c r="DK69">
        <v>35965.300000000003</v>
      </c>
      <c r="DL69">
        <v>44348.4</v>
      </c>
      <c r="DM69">
        <v>42548</v>
      </c>
      <c r="DN69">
        <v>1.47123</v>
      </c>
      <c r="DO69">
        <v>2.0516299999999998</v>
      </c>
      <c r="DP69">
        <v>0.113118</v>
      </c>
      <c r="DQ69">
        <v>0.16959399999999999</v>
      </c>
      <c r="DR69">
        <v>25.1752</v>
      </c>
      <c r="DS69">
        <v>24.984000000000002</v>
      </c>
      <c r="DT69">
        <v>42.4</v>
      </c>
      <c r="DU69">
        <v>29.6</v>
      </c>
      <c r="DV69">
        <v>17.817299999999999</v>
      </c>
      <c r="DW69">
        <v>62.074199999999998</v>
      </c>
      <c r="DX69">
        <v>35.460700000000003</v>
      </c>
      <c r="DY69">
        <v>1</v>
      </c>
      <c r="DZ69">
        <v>-7.5454800000000002E-2</v>
      </c>
      <c r="EA69">
        <v>0.50145200000000001</v>
      </c>
      <c r="EB69">
        <v>20.1889</v>
      </c>
      <c r="EC69">
        <v>5.2406499999999996</v>
      </c>
      <c r="ED69">
        <v>12.039899999999999</v>
      </c>
      <c r="EE69">
        <v>5.0168499999999998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1.86893</v>
      </c>
      <c r="EL69">
        <v>1.86463</v>
      </c>
      <c r="EM69">
        <v>1.8692</v>
      </c>
      <c r="EN69">
        <v>1.8672500000000001</v>
      </c>
      <c r="EO69">
        <v>1.8633999999999999</v>
      </c>
      <c r="EP69">
        <v>1.86456</v>
      </c>
      <c r="EQ69">
        <v>1.8702000000000001</v>
      </c>
      <c r="ER69">
        <v>1.8694500000000001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-0.45</v>
      </c>
      <c r="FG69">
        <v>0.13819999999999999</v>
      </c>
      <c r="FH69">
        <v>5.8509882529719233E-2</v>
      </c>
      <c r="FI69">
        <v>-6.1462078757559423E-4</v>
      </c>
      <c r="FJ69">
        <v>-1.8861989874597051E-7</v>
      </c>
      <c r="FK69">
        <v>1.1980462299894961E-10</v>
      </c>
      <c r="FL69">
        <v>-5.9863424041980147E-2</v>
      </c>
      <c r="FM69">
        <v>-1.6848085045870601E-2</v>
      </c>
      <c r="FN69">
        <v>1.9789084769509481E-3</v>
      </c>
      <c r="FO69">
        <v>-2.7142391389806329E-5</v>
      </c>
      <c r="FP69">
        <v>3</v>
      </c>
      <c r="FQ69">
        <v>2158</v>
      </c>
      <c r="FR69">
        <v>1</v>
      </c>
      <c r="FS69">
        <v>19</v>
      </c>
      <c r="FT69">
        <v>17.5</v>
      </c>
      <c r="FU69">
        <v>17.7</v>
      </c>
      <c r="FV69">
        <v>1.79321</v>
      </c>
      <c r="FW69">
        <v>2.5781200000000002</v>
      </c>
      <c r="FX69">
        <v>1.5490699999999999</v>
      </c>
      <c r="FY69">
        <v>2.3290999999999999</v>
      </c>
      <c r="FZ69">
        <v>1.50146</v>
      </c>
      <c r="GA69">
        <v>2.4304199999999998</v>
      </c>
      <c r="GB69">
        <v>33.896099999999997</v>
      </c>
      <c r="GC69">
        <v>23.982399999999998</v>
      </c>
      <c r="GD69">
        <v>19</v>
      </c>
      <c r="GE69">
        <v>281.74799999999999</v>
      </c>
      <c r="GF69">
        <v>598.04899999999998</v>
      </c>
      <c r="GG69">
        <v>23.3889</v>
      </c>
      <c r="GH69">
        <v>26.430900000000001</v>
      </c>
      <c r="GI69">
        <v>29.999600000000001</v>
      </c>
      <c r="GJ69">
        <v>26.5762</v>
      </c>
      <c r="GK69">
        <v>26.526700000000002</v>
      </c>
      <c r="GL69">
        <v>35.8508</v>
      </c>
      <c r="GM69">
        <v>35.544199999999996</v>
      </c>
      <c r="GN69">
        <v>100</v>
      </c>
      <c r="GO69">
        <v>23.373100000000001</v>
      </c>
      <c r="GP69">
        <v>800</v>
      </c>
      <c r="GQ69">
        <v>19.203499999999998</v>
      </c>
      <c r="GR69">
        <v>99.709800000000001</v>
      </c>
      <c r="GS69">
        <v>99.534099999999995</v>
      </c>
    </row>
    <row r="70" spans="1:201" x14ac:dyDescent="0.25">
      <c r="A70">
        <v>54</v>
      </c>
      <c r="B70">
        <v>1690221585</v>
      </c>
      <c r="C70">
        <v>702.5</v>
      </c>
      <c r="D70" t="s">
        <v>439</v>
      </c>
      <c r="E70" t="s">
        <v>440</v>
      </c>
      <c r="F70" t="s">
        <v>330</v>
      </c>
      <c r="H70">
        <v>1690221585</v>
      </c>
      <c r="I70">
        <f t="shared" si="0"/>
        <v>8.7948873475944805E-5</v>
      </c>
      <c r="J70">
        <f t="shared" si="1"/>
        <v>8.7948873475944808E-2</v>
      </c>
      <c r="K70">
        <f t="shared" si="2"/>
        <v>6.0084834637535005</v>
      </c>
      <c r="L70">
        <f t="shared" si="3"/>
        <v>737.13099999999997</v>
      </c>
      <c r="M70">
        <f t="shared" si="4"/>
        <v>-1348.727459927167</v>
      </c>
      <c r="N70">
        <f t="shared" si="5"/>
        <v>-133.75770849358872</v>
      </c>
      <c r="O70">
        <f t="shared" si="6"/>
        <v>73.103689476976996</v>
      </c>
      <c r="P70">
        <f t="shared" si="7"/>
        <v>4.5928716801291285E-3</v>
      </c>
      <c r="Q70">
        <f t="shared" si="8"/>
        <v>2.1920639942484064</v>
      </c>
      <c r="R70">
        <f t="shared" si="9"/>
        <v>4.5875322205960155E-3</v>
      </c>
      <c r="S70">
        <f t="shared" si="10"/>
        <v>2.8676868391761001E-3</v>
      </c>
      <c r="T70">
        <f t="shared" si="11"/>
        <v>276.11097053823914</v>
      </c>
      <c r="U70">
        <f t="shared" si="12"/>
        <v>28.15397775276244</v>
      </c>
      <c r="V70">
        <f t="shared" si="13"/>
        <v>28.15397775276244</v>
      </c>
      <c r="W70">
        <f t="shared" si="14"/>
        <v>3.829037258969183</v>
      </c>
      <c r="X70">
        <f t="shared" si="15"/>
        <v>58.591247107601731</v>
      </c>
      <c r="Y70">
        <f t="shared" si="16"/>
        <v>1.9834752573266998</v>
      </c>
      <c r="Z70">
        <f t="shared" si="17"/>
        <v>3.385275711377306</v>
      </c>
      <c r="AA70">
        <f t="shared" si="18"/>
        <v>1.8455620016424832</v>
      </c>
      <c r="AB70">
        <f t="shared" si="19"/>
        <v>-3.8785453202891658</v>
      </c>
      <c r="AC70">
        <f t="shared" si="20"/>
        <v>-248.04233796580195</v>
      </c>
      <c r="AD70">
        <f t="shared" si="21"/>
        <v>-24.44594316581027</v>
      </c>
      <c r="AE70">
        <f t="shared" si="22"/>
        <v>-0.25585591366223071</v>
      </c>
      <c r="AF70">
        <v>0</v>
      </c>
      <c r="AG70">
        <v>0</v>
      </c>
      <c r="AH70">
        <f t="shared" si="23"/>
        <v>1</v>
      </c>
      <c r="AI70">
        <f t="shared" si="24"/>
        <v>0</v>
      </c>
      <c r="AJ70">
        <f t="shared" si="25"/>
        <v>52467.525012087353</v>
      </c>
      <c r="AK70">
        <f t="shared" si="26"/>
        <v>1799.98</v>
      </c>
      <c r="AL70">
        <f t="shared" si="27"/>
        <v>1499.0982753674198</v>
      </c>
      <c r="AM70">
        <f t="shared" si="28"/>
        <v>0.83284162899999992</v>
      </c>
      <c r="AN70">
        <f t="shared" si="29"/>
        <v>0.15339668803999998</v>
      </c>
      <c r="AO70">
        <v>31.2</v>
      </c>
      <c r="AP70">
        <v>0.5</v>
      </c>
      <c r="AQ70" t="s">
        <v>331</v>
      </c>
      <c r="AR70">
        <v>2</v>
      </c>
      <c r="AS70">
        <v>1690221585</v>
      </c>
      <c r="AT70">
        <v>737.13099999999997</v>
      </c>
      <c r="AU70">
        <v>800.26</v>
      </c>
      <c r="AV70">
        <v>20.0001</v>
      </c>
      <c r="AW70">
        <v>19.104199999999999</v>
      </c>
      <c r="AX70">
        <v>737.58100000000002</v>
      </c>
      <c r="AY70">
        <v>19.8277</v>
      </c>
      <c r="AZ70">
        <v>300.15899999999999</v>
      </c>
      <c r="BA70">
        <v>99.0732</v>
      </c>
      <c r="BB70">
        <v>0.100067</v>
      </c>
      <c r="BC70">
        <v>26.055099999999999</v>
      </c>
      <c r="BD70">
        <v>26.995200000000001</v>
      </c>
      <c r="BE70">
        <v>27.744199999999999</v>
      </c>
      <c r="BF70">
        <v>0</v>
      </c>
      <c r="BG70">
        <v>0</v>
      </c>
      <c r="BH70">
        <v>9983.1200000000008</v>
      </c>
      <c r="BI70">
        <v>1068.52</v>
      </c>
      <c r="BJ70">
        <v>1.19</v>
      </c>
      <c r="BK70">
        <v>-63.128700000000002</v>
      </c>
      <c r="BL70">
        <v>752.17499999999995</v>
      </c>
      <c r="BM70">
        <v>815.846</v>
      </c>
      <c r="BN70">
        <v>0.89594099999999999</v>
      </c>
      <c r="BO70">
        <v>800.26</v>
      </c>
      <c r="BP70">
        <v>19.104199999999999</v>
      </c>
      <c r="BQ70">
        <v>1.9814799999999999</v>
      </c>
      <c r="BR70">
        <v>1.8927099999999999</v>
      </c>
      <c r="BS70">
        <v>17.2971</v>
      </c>
      <c r="BT70">
        <v>16.574300000000001</v>
      </c>
      <c r="BU70">
        <v>1799.98</v>
      </c>
      <c r="BV70">
        <v>0.91002499999999997</v>
      </c>
      <c r="BW70">
        <v>3.3995499999999998E-2</v>
      </c>
      <c r="BX70">
        <v>2.1991699999999999E-2</v>
      </c>
      <c r="BY70">
        <v>3.3987999999999997E-2</v>
      </c>
      <c r="BZ70">
        <v>26</v>
      </c>
      <c r="CA70">
        <v>33528.300000000003</v>
      </c>
      <c r="CB70">
        <v>1690220522.5999999</v>
      </c>
      <c r="CC70" t="s">
        <v>332</v>
      </c>
      <c r="CD70">
        <v>1690220522.5999999</v>
      </c>
      <c r="CE70">
        <v>1690220510.5999999</v>
      </c>
      <c r="CF70">
        <v>10</v>
      </c>
      <c r="CG70">
        <v>-0.22</v>
      </c>
      <c r="CH70">
        <v>-2.7E-2</v>
      </c>
      <c r="CI70">
        <v>-0.49299999999999999</v>
      </c>
      <c r="CJ70">
        <v>0.152</v>
      </c>
      <c r="CK70">
        <v>800</v>
      </c>
      <c r="CL70">
        <v>19</v>
      </c>
      <c r="CM70">
        <v>0.1</v>
      </c>
      <c r="CN70">
        <v>0.03</v>
      </c>
      <c r="CO70">
        <v>-62.282052500000013</v>
      </c>
      <c r="CP70">
        <v>-17.581811257035639</v>
      </c>
      <c r="CQ70">
        <v>2.81562983069397</v>
      </c>
      <c r="CR70">
        <v>-1</v>
      </c>
      <c r="CS70">
        <v>-3.6924775479999998</v>
      </c>
      <c r="CT70">
        <v>39.523340226191401</v>
      </c>
      <c r="CU70">
        <v>3.967032359209322</v>
      </c>
      <c r="CV70">
        <v>-1</v>
      </c>
      <c r="CW70">
        <v>0</v>
      </c>
      <c r="CX70">
        <v>0</v>
      </c>
      <c r="CY70" t="s">
        <v>333</v>
      </c>
      <c r="CZ70">
        <v>2.36415</v>
      </c>
      <c r="DA70">
        <v>2.7138399999999998</v>
      </c>
      <c r="DB70">
        <v>0.13880400000000001</v>
      </c>
      <c r="DC70">
        <v>0.146315</v>
      </c>
      <c r="DD70">
        <v>9.9996399999999999E-2</v>
      </c>
      <c r="DE70">
        <v>9.5480599999999999E-2</v>
      </c>
      <c r="DF70">
        <v>31436.5</v>
      </c>
      <c r="DG70">
        <v>27503.3</v>
      </c>
      <c r="DH70">
        <v>31163.5</v>
      </c>
      <c r="DI70">
        <v>28072.9</v>
      </c>
      <c r="DJ70">
        <v>38083.199999999997</v>
      </c>
      <c r="DK70">
        <v>36105.699999999997</v>
      </c>
      <c r="DL70">
        <v>44348</v>
      </c>
      <c r="DM70">
        <v>42549.1</v>
      </c>
      <c r="DN70">
        <v>1.4713499999999999</v>
      </c>
      <c r="DO70">
        <v>2.0521799999999999</v>
      </c>
      <c r="DP70">
        <v>0.110961</v>
      </c>
      <c r="DQ70">
        <v>0.168376</v>
      </c>
      <c r="DR70">
        <v>25.177900000000001</v>
      </c>
      <c r="DS70">
        <v>24.9877</v>
      </c>
      <c r="DT70">
        <v>45.4</v>
      </c>
      <c r="DU70">
        <v>29.6</v>
      </c>
      <c r="DV70">
        <v>19.0837</v>
      </c>
      <c r="DW70">
        <v>61.974200000000003</v>
      </c>
      <c r="DX70">
        <v>35.528799999999997</v>
      </c>
      <c r="DY70">
        <v>1</v>
      </c>
      <c r="DZ70">
        <v>-7.5995900000000005E-2</v>
      </c>
      <c r="EA70">
        <v>0.68210199999999999</v>
      </c>
      <c r="EB70">
        <v>20.188099999999999</v>
      </c>
      <c r="EC70">
        <v>5.2404999999999999</v>
      </c>
      <c r="ED70">
        <v>12.039899999999999</v>
      </c>
      <c r="EE70">
        <v>5.0167999999999999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1.8689100000000001</v>
      </c>
      <c r="EL70">
        <v>1.8646199999999999</v>
      </c>
      <c r="EM70">
        <v>1.8692</v>
      </c>
      <c r="EN70">
        <v>1.8672299999999999</v>
      </c>
      <c r="EO70">
        <v>1.8633999999999999</v>
      </c>
      <c r="EP70">
        <v>1.8645499999999999</v>
      </c>
      <c r="EQ70">
        <v>1.87018</v>
      </c>
      <c r="ER70">
        <v>1.86944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-0.45</v>
      </c>
      <c r="FG70">
        <v>0.1724</v>
      </c>
      <c r="FH70">
        <v>5.8509882529719233E-2</v>
      </c>
      <c r="FI70">
        <v>-6.1462078757559423E-4</v>
      </c>
      <c r="FJ70">
        <v>-1.8861989874597051E-7</v>
      </c>
      <c r="FK70">
        <v>1.1980462299894961E-10</v>
      </c>
      <c r="FL70">
        <v>-5.9863424041980147E-2</v>
      </c>
      <c r="FM70">
        <v>-1.6848085045870601E-2</v>
      </c>
      <c r="FN70">
        <v>1.9789084769509481E-3</v>
      </c>
      <c r="FO70">
        <v>-2.7142391389806329E-5</v>
      </c>
      <c r="FP70">
        <v>3</v>
      </c>
      <c r="FQ70">
        <v>2158</v>
      </c>
      <c r="FR70">
        <v>1</v>
      </c>
      <c r="FS70">
        <v>19</v>
      </c>
      <c r="FT70">
        <v>17.7</v>
      </c>
      <c r="FU70">
        <v>17.899999999999999</v>
      </c>
      <c r="FV70">
        <v>1.79199</v>
      </c>
      <c r="FW70">
        <v>2.5830099999999998</v>
      </c>
      <c r="FX70">
        <v>1.5490699999999999</v>
      </c>
      <c r="FY70">
        <v>2.3290999999999999</v>
      </c>
      <c r="FZ70">
        <v>1.50146</v>
      </c>
      <c r="GA70">
        <v>2.3278799999999999</v>
      </c>
      <c r="GB70">
        <v>33.918700000000001</v>
      </c>
      <c r="GC70">
        <v>23.973700000000001</v>
      </c>
      <c r="GD70">
        <v>19</v>
      </c>
      <c r="GE70">
        <v>281.78100000000001</v>
      </c>
      <c r="GF70">
        <v>598.43799999999999</v>
      </c>
      <c r="GG70">
        <v>23.3795</v>
      </c>
      <c r="GH70">
        <v>26.425999999999998</v>
      </c>
      <c r="GI70">
        <v>29.999700000000001</v>
      </c>
      <c r="GJ70">
        <v>26.5715</v>
      </c>
      <c r="GK70">
        <v>26.5213</v>
      </c>
      <c r="GL70">
        <v>35.825600000000001</v>
      </c>
      <c r="GM70">
        <v>37.519300000000001</v>
      </c>
      <c r="GN70">
        <v>100</v>
      </c>
      <c r="GO70">
        <v>23.380299999999998</v>
      </c>
      <c r="GP70">
        <v>800</v>
      </c>
      <c r="GQ70">
        <v>18.9421</v>
      </c>
      <c r="GR70">
        <v>99.709199999999996</v>
      </c>
      <c r="GS70">
        <v>99.536900000000003</v>
      </c>
    </row>
    <row r="71" spans="1:201" x14ac:dyDescent="0.25">
      <c r="A71">
        <v>55</v>
      </c>
      <c r="B71">
        <v>1690221595</v>
      </c>
      <c r="C71">
        <v>712.5</v>
      </c>
      <c r="D71" t="s">
        <v>441</v>
      </c>
      <c r="E71" t="s">
        <v>442</v>
      </c>
      <c r="F71" t="s">
        <v>330</v>
      </c>
      <c r="H71">
        <v>1690221595</v>
      </c>
      <c r="I71">
        <f t="shared" si="0"/>
        <v>1.7044439658934018E-4</v>
      </c>
      <c r="J71">
        <f t="shared" si="1"/>
        <v>0.17044439658934019</v>
      </c>
      <c r="K71">
        <f t="shared" si="2"/>
        <v>6.0178355237860917</v>
      </c>
      <c r="L71">
        <f t="shared" si="3"/>
        <v>736.19200000000001</v>
      </c>
      <c r="M71">
        <f t="shared" si="4"/>
        <v>-310.08076578220727</v>
      </c>
      <c r="N71">
        <f t="shared" si="5"/>
        <v>-30.752838929256271</v>
      </c>
      <c r="O71">
        <f t="shared" si="6"/>
        <v>73.013216217702407</v>
      </c>
      <c r="P71">
        <f t="shared" si="7"/>
        <v>9.2768799703542553E-3</v>
      </c>
      <c r="Q71">
        <f t="shared" si="8"/>
        <v>2.1909562171197789</v>
      </c>
      <c r="R71">
        <f t="shared" si="9"/>
        <v>9.2551131054406238E-3</v>
      </c>
      <c r="S71">
        <f t="shared" si="10"/>
        <v>5.7863970638268739E-3</v>
      </c>
      <c r="T71">
        <f t="shared" si="11"/>
        <v>276.11573903999999</v>
      </c>
      <c r="U71">
        <f t="shared" si="12"/>
        <v>28.117437117059051</v>
      </c>
      <c r="V71">
        <f t="shared" si="13"/>
        <v>28.117437117059051</v>
      </c>
      <c r="W71">
        <f t="shared" si="14"/>
        <v>3.8208975567841601</v>
      </c>
      <c r="X71">
        <f t="shared" si="15"/>
        <v>60.545431602152597</v>
      </c>
      <c r="Y71">
        <f t="shared" si="16"/>
        <v>2.0484783566425597</v>
      </c>
      <c r="Z71">
        <f t="shared" si="17"/>
        <v>3.3833739432286567</v>
      </c>
      <c r="AA71">
        <f t="shared" si="18"/>
        <v>1.7724192001416004</v>
      </c>
      <c r="AB71">
        <f t="shared" si="19"/>
        <v>-7.5165978895899022</v>
      </c>
      <c r="AC71">
        <f t="shared" si="20"/>
        <v>-244.72297948562431</v>
      </c>
      <c r="AD71">
        <f t="shared" si="21"/>
        <v>-24.125436657066643</v>
      </c>
      <c r="AE71">
        <f t="shared" si="22"/>
        <v>-0.24927499228084571</v>
      </c>
      <c r="AF71">
        <v>0</v>
      </c>
      <c r="AG71">
        <v>0</v>
      </c>
      <c r="AH71">
        <f t="shared" si="23"/>
        <v>1</v>
      </c>
      <c r="AI71">
        <f t="shared" si="24"/>
        <v>0</v>
      </c>
      <c r="AJ71">
        <f t="shared" si="25"/>
        <v>52423.889128843701</v>
      </c>
      <c r="AK71">
        <f t="shared" si="26"/>
        <v>1800</v>
      </c>
      <c r="AL71">
        <f t="shared" si="27"/>
        <v>1499.1139439999999</v>
      </c>
      <c r="AM71">
        <f t="shared" si="28"/>
        <v>0.83284108000000001</v>
      </c>
      <c r="AN71">
        <f t="shared" si="29"/>
        <v>0.15339763279999999</v>
      </c>
      <c r="AO71">
        <v>31.2</v>
      </c>
      <c r="AP71">
        <v>0.5</v>
      </c>
      <c r="AQ71" t="s">
        <v>331</v>
      </c>
      <c r="AR71">
        <v>2</v>
      </c>
      <c r="AS71">
        <v>1690221595</v>
      </c>
      <c r="AT71">
        <v>736.19200000000001</v>
      </c>
      <c r="AU71">
        <v>800.03800000000001</v>
      </c>
      <c r="AV71">
        <v>20.654800000000002</v>
      </c>
      <c r="AW71">
        <v>18.920000000000002</v>
      </c>
      <c r="AX71">
        <v>736.64099999999996</v>
      </c>
      <c r="AY71">
        <v>20.4633</v>
      </c>
      <c r="AZ71">
        <v>300.209</v>
      </c>
      <c r="BA71">
        <v>99.076899999999995</v>
      </c>
      <c r="BB71">
        <v>9.9967200000000006E-2</v>
      </c>
      <c r="BC71">
        <v>26.0456</v>
      </c>
      <c r="BD71">
        <v>26.961500000000001</v>
      </c>
      <c r="BE71">
        <v>27.742100000000001</v>
      </c>
      <c r="BF71">
        <v>0</v>
      </c>
      <c r="BG71">
        <v>0</v>
      </c>
      <c r="BH71">
        <v>9973.75</v>
      </c>
      <c r="BI71">
        <v>1068.32</v>
      </c>
      <c r="BJ71">
        <v>1.17879</v>
      </c>
      <c r="BK71">
        <v>-63.845599999999997</v>
      </c>
      <c r="BL71">
        <v>751.71900000000005</v>
      </c>
      <c r="BM71">
        <v>815.46699999999998</v>
      </c>
      <c r="BN71">
        <v>1.73481</v>
      </c>
      <c r="BO71">
        <v>800.03800000000001</v>
      </c>
      <c r="BP71">
        <v>18.920000000000002</v>
      </c>
      <c r="BQ71">
        <v>2.0464099999999998</v>
      </c>
      <c r="BR71">
        <v>1.87453</v>
      </c>
      <c r="BS71">
        <v>17.8081</v>
      </c>
      <c r="BT71">
        <v>16.422499999999999</v>
      </c>
      <c r="BU71">
        <v>1800</v>
      </c>
      <c r="BV71">
        <v>0.91000199999999998</v>
      </c>
      <c r="BW71">
        <v>3.3991599999999997E-2</v>
      </c>
      <c r="BX71">
        <v>2.2003999999999999E-2</v>
      </c>
      <c r="BY71">
        <v>3.4002400000000002E-2</v>
      </c>
      <c r="BZ71">
        <v>26</v>
      </c>
      <c r="CA71">
        <v>33528.400000000001</v>
      </c>
      <c r="CB71">
        <v>1690220522.5999999</v>
      </c>
      <c r="CC71" t="s">
        <v>332</v>
      </c>
      <c r="CD71">
        <v>1690220522.5999999</v>
      </c>
      <c r="CE71">
        <v>1690220510.5999999</v>
      </c>
      <c r="CF71">
        <v>10</v>
      </c>
      <c r="CG71">
        <v>-0.22</v>
      </c>
      <c r="CH71">
        <v>-2.7E-2</v>
      </c>
      <c r="CI71">
        <v>-0.49299999999999999</v>
      </c>
      <c r="CJ71">
        <v>0.152</v>
      </c>
      <c r="CK71">
        <v>800</v>
      </c>
      <c r="CL71">
        <v>19</v>
      </c>
      <c r="CM71">
        <v>0.1</v>
      </c>
      <c r="CN71">
        <v>0.03</v>
      </c>
      <c r="CO71">
        <v>-63.39385609756097</v>
      </c>
      <c r="CP71">
        <v>1.5204250871079421</v>
      </c>
      <c r="CQ71">
        <v>0.52833216549531248</v>
      </c>
      <c r="CR71">
        <v>-1</v>
      </c>
      <c r="CS71">
        <v>0.42880583121951221</v>
      </c>
      <c r="CT71">
        <v>10.14883272961673</v>
      </c>
      <c r="CU71">
        <v>1.112391224066533</v>
      </c>
      <c r="CV71">
        <v>-1</v>
      </c>
      <c r="CW71">
        <v>0</v>
      </c>
      <c r="CX71">
        <v>0</v>
      </c>
      <c r="CY71" t="s">
        <v>333</v>
      </c>
      <c r="CZ71">
        <v>2.36435</v>
      </c>
      <c r="DA71">
        <v>2.71374</v>
      </c>
      <c r="DB71">
        <v>0.13870399999999999</v>
      </c>
      <c r="DC71">
        <v>0.14629</v>
      </c>
      <c r="DD71">
        <v>0.102282</v>
      </c>
      <c r="DE71">
        <v>9.4826099999999997E-2</v>
      </c>
      <c r="DF71">
        <v>31441.599999999999</v>
      </c>
      <c r="DG71">
        <v>27504.2</v>
      </c>
      <c r="DH71">
        <v>31164.9</v>
      </c>
      <c r="DI71">
        <v>28073</v>
      </c>
      <c r="DJ71">
        <v>37987.300000000003</v>
      </c>
      <c r="DK71">
        <v>36131.599999999999</v>
      </c>
      <c r="DL71">
        <v>44349.9</v>
      </c>
      <c r="DM71">
        <v>42548.9</v>
      </c>
      <c r="DN71">
        <v>1.4718</v>
      </c>
      <c r="DO71">
        <v>2.0521799999999999</v>
      </c>
      <c r="DP71">
        <v>0.10889799999999999</v>
      </c>
      <c r="DQ71">
        <v>0.16824500000000001</v>
      </c>
      <c r="DR71">
        <v>25.177900000000001</v>
      </c>
      <c r="DS71">
        <v>24.9877</v>
      </c>
      <c r="DT71">
        <v>47.7</v>
      </c>
      <c r="DU71">
        <v>29.6</v>
      </c>
      <c r="DV71">
        <v>20.043299999999999</v>
      </c>
      <c r="DW71">
        <v>61.874200000000002</v>
      </c>
      <c r="DX71">
        <v>36.350200000000001</v>
      </c>
      <c r="DY71">
        <v>1</v>
      </c>
      <c r="DZ71">
        <v>-7.6311000000000004E-2</v>
      </c>
      <c r="EA71">
        <v>0.68650100000000003</v>
      </c>
      <c r="EB71">
        <v>20.187799999999999</v>
      </c>
      <c r="EC71">
        <v>5.2403500000000003</v>
      </c>
      <c r="ED71">
        <v>12.039899999999999</v>
      </c>
      <c r="EE71">
        <v>5.0168499999999998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1.8689100000000001</v>
      </c>
      <c r="EL71">
        <v>1.8646199999999999</v>
      </c>
      <c r="EM71">
        <v>1.8691899999999999</v>
      </c>
      <c r="EN71">
        <v>1.8672299999999999</v>
      </c>
      <c r="EO71">
        <v>1.8633999999999999</v>
      </c>
      <c r="EP71">
        <v>1.86452</v>
      </c>
      <c r="EQ71">
        <v>1.87016</v>
      </c>
      <c r="ER71">
        <v>1.8694200000000001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-0.44900000000000001</v>
      </c>
      <c r="FG71">
        <v>0.1915</v>
      </c>
      <c r="FH71">
        <v>5.8509882529719233E-2</v>
      </c>
      <c r="FI71">
        <v>-6.1462078757559423E-4</v>
      </c>
      <c r="FJ71">
        <v>-1.8861989874597051E-7</v>
      </c>
      <c r="FK71">
        <v>1.1980462299894961E-10</v>
      </c>
      <c r="FL71">
        <v>-5.9863424041980147E-2</v>
      </c>
      <c r="FM71">
        <v>-1.6848085045870601E-2</v>
      </c>
      <c r="FN71">
        <v>1.9789084769509481E-3</v>
      </c>
      <c r="FO71">
        <v>-2.7142391389806329E-5</v>
      </c>
      <c r="FP71">
        <v>3</v>
      </c>
      <c r="FQ71">
        <v>2158</v>
      </c>
      <c r="FR71">
        <v>1</v>
      </c>
      <c r="FS71">
        <v>19</v>
      </c>
      <c r="FT71">
        <v>17.899999999999999</v>
      </c>
      <c r="FU71">
        <v>18.100000000000001</v>
      </c>
      <c r="FV71">
        <v>1.79077</v>
      </c>
      <c r="FW71">
        <v>2.5756800000000002</v>
      </c>
      <c r="FX71">
        <v>1.5490699999999999</v>
      </c>
      <c r="FY71">
        <v>2.3290999999999999</v>
      </c>
      <c r="FZ71">
        <v>1.50146</v>
      </c>
      <c r="GA71">
        <v>2.3901400000000002</v>
      </c>
      <c r="GB71">
        <v>33.918700000000001</v>
      </c>
      <c r="GC71">
        <v>23.982399999999998</v>
      </c>
      <c r="GD71">
        <v>19</v>
      </c>
      <c r="GE71">
        <v>281.92700000000002</v>
      </c>
      <c r="GF71">
        <v>598.447</v>
      </c>
      <c r="GG71">
        <v>23.379899999999999</v>
      </c>
      <c r="GH71">
        <v>26.4209</v>
      </c>
      <c r="GI71">
        <v>29.9998</v>
      </c>
      <c r="GJ71">
        <v>26.5609</v>
      </c>
      <c r="GK71">
        <v>26.521999999999998</v>
      </c>
      <c r="GL71">
        <v>35.818800000000003</v>
      </c>
      <c r="GM71">
        <v>37.8018</v>
      </c>
      <c r="GN71">
        <v>100</v>
      </c>
      <c r="GO71">
        <v>23.4054</v>
      </c>
      <c r="GP71">
        <v>800</v>
      </c>
      <c r="GQ71">
        <v>18.821899999999999</v>
      </c>
      <c r="GR71">
        <v>99.713499999999996</v>
      </c>
      <c r="GS71">
        <v>99.536600000000007</v>
      </c>
    </row>
    <row r="72" spans="1:201" x14ac:dyDescent="0.25">
      <c r="A72">
        <v>56</v>
      </c>
      <c r="B72">
        <v>1690221605</v>
      </c>
      <c r="C72">
        <v>722.5</v>
      </c>
      <c r="D72" t="s">
        <v>443</v>
      </c>
      <c r="E72" t="s">
        <v>444</v>
      </c>
      <c r="F72" t="s">
        <v>330</v>
      </c>
      <c r="H72">
        <v>1690221605</v>
      </c>
      <c r="I72">
        <f t="shared" si="0"/>
        <v>2.25445020706406E-4</v>
      </c>
      <c r="J72">
        <f t="shared" si="1"/>
        <v>0.22544502070640599</v>
      </c>
      <c r="K72">
        <f t="shared" si="2"/>
        <v>6.0771453466310748</v>
      </c>
      <c r="L72">
        <f t="shared" si="3"/>
        <v>735.06700000000001</v>
      </c>
      <c r="M72">
        <f t="shared" si="4"/>
        <v>-46.095925321322497</v>
      </c>
      <c r="N72">
        <f t="shared" si="5"/>
        <v>-4.5715760793408071</v>
      </c>
      <c r="O72">
        <f t="shared" si="6"/>
        <v>72.900472015438396</v>
      </c>
      <c r="P72">
        <f t="shared" si="7"/>
        <v>1.2640935992843161E-2</v>
      </c>
      <c r="Q72">
        <f t="shared" si="8"/>
        <v>2.1977743667897442</v>
      </c>
      <c r="R72">
        <f t="shared" si="9"/>
        <v>1.2600682188510568E-2</v>
      </c>
      <c r="S72">
        <f t="shared" si="10"/>
        <v>7.8790322687138405E-3</v>
      </c>
      <c r="T72">
        <f t="shared" si="11"/>
        <v>276.11506659288568</v>
      </c>
      <c r="U72">
        <f t="shared" si="12"/>
        <v>28.09770909322398</v>
      </c>
      <c r="V72">
        <f t="shared" si="13"/>
        <v>28.09770909322398</v>
      </c>
      <c r="W72">
        <f t="shared" si="14"/>
        <v>3.8165092688143298</v>
      </c>
      <c r="X72">
        <f t="shared" si="15"/>
        <v>61.902811681955825</v>
      </c>
      <c r="Y72">
        <f t="shared" si="16"/>
        <v>2.09499834837984</v>
      </c>
      <c r="Z72">
        <f t="shared" si="17"/>
        <v>3.3843347199534639</v>
      </c>
      <c r="AA72">
        <f t="shared" si="18"/>
        <v>1.7215109204344898</v>
      </c>
      <c r="AB72">
        <f t="shared" si="19"/>
        <v>-9.942125413152505</v>
      </c>
      <c r="AC72">
        <f t="shared" si="20"/>
        <v>-242.57830801984727</v>
      </c>
      <c r="AD72">
        <f t="shared" si="21"/>
        <v>-23.838035367848299</v>
      </c>
      <c r="AE72">
        <f t="shared" si="22"/>
        <v>-0.24340220796239009</v>
      </c>
      <c r="AF72">
        <v>0</v>
      </c>
      <c r="AG72">
        <v>0</v>
      </c>
      <c r="AH72">
        <f t="shared" si="23"/>
        <v>1</v>
      </c>
      <c r="AI72">
        <f t="shared" si="24"/>
        <v>0</v>
      </c>
      <c r="AJ72">
        <f t="shared" si="25"/>
        <v>52702.70053780514</v>
      </c>
      <c r="AK72">
        <f t="shared" si="26"/>
        <v>1799.99</v>
      </c>
      <c r="AL72">
        <f t="shared" si="27"/>
        <v>1499.1005000176199</v>
      </c>
      <c r="AM72">
        <f t="shared" si="28"/>
        <v>0.8328382379999999</v>
      </c>
      <c r="AN72">
        <f t="shared" si="29"/>
        <v>0.15339811142999998</v>
      </c>
      <c r="AO72">
        <v>31.2</v>
      </c>
      <c r="AP72">
        <v>0.5</v>
      </c>
      <c r="AQ72" t="s">
        <v>331</v>
      </c>
      <c r="AR72">
        <v>2</v>
      </c>
      <c r="AS72">
        <v>1690221605</v>
      </c>
      <c r="AT72">
        <v>735.06700000000001</v>
      </c>
      <c r="AU72">
        <v>799.95600000000002</v>
      </c>
      <c r="AV72">
        <v>21.124199999999998</v>
      </c>
      <c r="AW72">
        <v>18.830400000000001</v>
      </c>
      <c r="AX72">
        <v>735.51499999999999</v>
      </c>
      <c r="AY72">
        <v>20.919</v>
      </c>
      <c r="AZ72">
        <v>300.17</v>
      </c>
      <c r="BA72">
        <v>99.075299999999999</v>
      </c>
      <c r="BB72">
        <v>9.99752E-2</v>
      </c>
      <c r="BC72">
        <v>26.0504</v>
      </c>
      <c r="BD72">
        <v>26.982299999999999</v>
      </c>
      <c r="BE72">
        <v>27.771100000000001</v>
      </c>
      <c r="BF72">
        <v>0</v>
      </c>
      <c r="BG72">
        <v>0</v>
      </c>
      <c r="BH72">
        <v>10029.4</v>
      </c>
      <c r="BI72">
        <v>1068.06</v>
      </c>
      <c r="BJ72">
        <v>1.2446699999999999</v>
      </c>
      <c r="BK72">
        <v>-64.889499999999998</v>
      </c>
      <c r="BL72">
        <v>750.93</v>
      </c>
      <c r="BM72">
        <v>815.30899999999997</v>
      </c>
      <c r="BN72">
        <v>2.2938399999999999</v>
      </c>
      <c r="BO72">
        <v>799.95600000000002</v>
      </c>
      <c r="BP72">
        <v>18.830400000000001</v>
      </c>
      <c r="BQ72">
        <v>2.0928900000000001</v>
      </c>
      <c r="BR72">
        <v>1.8656200000000001</v>
      </c>
      <c r="BS72">
        <v>18.165099999999999</v>
      </c>
      <c r="BT72">
        <v>16.3477</v>
      </c>
      <c r="BU72">
        <v>1799.99</v>
      </c>
      <c r="BV72">
        <v>0.90997399999999995</v>
      </c>
      <c r="BW72">
        <v>3.4005899999999999E-2</v>
      </c>
      <c r="BX72">
        <v>2.20079E-2</v>
      </c>
      <c r="BY72">
        <v>3.4012100000000003E-2</v>
      </c>
      <c r="BZ72">
        <v>26</v>
      </c>
      <c r="CA72">
        <v>33528</v>
      </c>
      <c r="CB72">
        <v>1690220522.5999999</v>
      </c>
      <c r="CC72" t="s">
        <v>332</v>
      </c>
      <c r="CD72">
        <v>1690220522.5999999</v>
      </c>
      <c r="CE72">
        <v>1690220510.5999999</v>
      </c>
      <c r="CF72">
        <v>10</v>
      </c>
      <c r="CG72">
        <v>-0.22</v>
      </c>
      <c r="CH72">
        <v>-2.7E-2</v>
      </c>
      <c r="CI72">
        <v>-0.49299999999999999</v>
      </c>
      <c r="CJ72">
        <v>0.152</v>
      </c>
      <c r="CK72">
        <v>800</v>
      </c>
      <c r="CL72">
        <v>19</v>
      </c>
      <c r="CM72">
        <v>0.1</v>
      </c>
      <c r="CN72">
        <v>0.03</v>
      </c>
      <c r="CO72">
        <v>-63.768299999999989</v>
      </c>
      <c r="CP72">
        <v>-5.1115024390243011</v>
      </c>
      <c r="CQ72">
        <v>0.512528624780619</v>
      </c>
      <c r="CR72">
        <v>-1</v>
      </c>
      <c r="CS72">
        <v>1.588392268292683</v>
      </c>
      <c r="CT72">
        <v>4.382008724738677</v>
      </c>
      <c r="CU72">
        <v>0.43608389069278553</v>
      </c>
      <c r="CV72">
        <v>-1</v>
      </c>
      <c r="CW72">
        <v>0</v>
      </c>
      <c r="CX72">
        <v>0</v>
      </c>
      <c r="CY72" t="s">
        <v>333</v>
      </c>
      <c r="CZ72">
        <v>2.3641899999999998</v>
      </c>
      <c r="DA72">
        <v>2.7137899999999999</v>
      </c>
      <c r="DB72">
        <v>0.138569</v>
      </c>
      <c r="DC72">
        <v>0.14627599999999999</v>
      </c>
      <c r="DD72">
        <v>0.103898</v>
      </c>
      <c r="DE72">
        <v>9.4504299999999999E-2</v>
      </c>
      <c r="DF72">
        <v>31446.6</v>
      </c>
      <c r="DG72">
        <v>27504.799999999999</v>
      </c>
      <c r="DH72">
        <v>31165</v>
      </c>
      <c r="DI72">
        <v>28073.1</v>
      </c>
      <c r="DJ72">
        <v>37918.199999999997</v>
      </c>
      <c r="DK72">
        <v>36144.800000000003</v>
      </c>
      <c r="DL72">
        <v>44350</v>
      </c>
      <c r="DM72">
        <v>42549.2</v>
      </c>
      <c r="DN72">
        <v>1.4722999999999999</v>
      </c>
      <c r="DO72">
        <v>2.0528499999999998</v>
      </c>
      <c r="DP72">
        <v>0.11017200000000001</v>
      </c>
      <c r="DQ72">
        <v>0.17002200000000001</v>
      </c>
      <c r="DR72">
        <v>25.177900000000001</v>
      </c>
      <c r="DS72">
        <v>24.9877</v>
      </c>
      <c r="DT72">
        <v>49.3</v>
      </c>
      <c r="DU72">
        <v>29.6</v>
      </c>
      <c r="DV72">
        <v>20.7211</v>
      </c>
      <c r="DW72">
        <v>61.504199999999997</v>
      </c>
      <c r="DX72">
        <v>35.164299999999997</v>
      </c>
      <c r="DY72">
        <v>1</v>
      </c>
      <c r="DZ72">
        <v>-7.6874999999999999E-2</v>
      </c>
      <c r="EA72">
        <v>0.59128800000000004</v>
      </c>
      <c r="EB72">
        <v>20.188400000000001</v>
      </c>
      <c r="EC72">
        <v>5.2403500000000003</v>
      </c>
      <c r="ED72">
        <v>12.039899999999999</v>
      </c>
      <c r="EE72">
        <v>5.01675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1.8689100000000001</v>
      </c>
      <c r="EL72">
        <v>1.8646199999999999</v>
      </c>
      <c r="EM72">
        <v>1.8691899999999999</v>
      </c>
      <c r="EN72">
        <v>1.86724</v>
      </c>
      <c r="EO72">
        <v>1.8633999999999999</v>
      </c>
      <c r="EP72">
        <v>1.86452</v>
      </c>
      <c r="EQ72">
        <v>1.87019</v>
      </c>
      <c r="ER72">
        <v>1.86944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-0.44800000000000001</v>
      </c>
      <c r="FG72">
        <v>0.20519999999999999</v>
      </c>
      <c r="FH72">
        <v>5.8509882529719233E-2</v>
      </c>
      <c r="FI72">
        <v>-6.1462078757559423E-4</v>
      </c>
      <c r="FJ72">
        <v>-1.8861989874597051E-7</v>
      </c>
      <c r="FK72">
        <v>1.1980462299894961E-10</v>
      </c>
      <c r="FL72">
        <v>-5.9863424041980147E-2</v>
      </c>
      <c r="FM72">
        <v>-1.6848085045870601E-2</v>
      </c>
      <c r="FN72">
        <v>1.9789084769509481E-3</v>
      </c>
      <c r="FO72">
        <v>-2.7142391389806329E-5</v>
      </c>
      <c r="FP72">
        <v>3</v>
      </c>
      <c r="FQ72">
        <v>2158</v>
      </c>
      <c r="FR72">
        <v>1</v>
      </c>
      <c r="FS72">
        <v>19</v>
      </c>
      <c r="FT72">
        <v>18</v>
      </c>
      <c r="FU72">
        <v>18.2</v>
      </c>
      <c r="FV72">
        <v>1.79199</v>
      </c>
      <c r="FW72">
        <v>2.5793499999999998</v>
      </c>
      <c r="FX72">
        <v>1.5490699999999999</v>
      </c>
      <c r="FY72">
        <v>2.3290999999999999</v>
      </c>
      <c r="FZ72">
        <v>1.50146</v>
      </c>
      <c r="GA72">
        <v>2.3718300000000001</v>
      </c>
      <c r="GB72">
        <v>33.918700000000001</v>
      </c>
      <c r="GC72">
        <v>23.973700000000001</v>
      </c>
      <c r="GD72">
        <v>19</v>
      </c>
      <c r="GE72">
        <v>282.108</v>
      </c>
      <c r="GF72">
        <v>598.99599999999998</v>
      </c>
      <c r="GG72">
        <v>23.4147</v>
      </c>
      <c r="GH72">
        <v>26.416499999999999</v>
      </c>
      <c r="GI72">
        <v>29.9999</v>
      </c>
      <c r="GJ72">
        <v>26.553699999999999</v>
      </c>
      <c r="GK72">
        <v>26.520299999999999</v>
      </c>
      <c r="GL72">
        <v>35.818600000000004</v>
      </c>
      <c r="GM72">
        <v>38.079599999999999</v>
      </c>
      <c r="GN72">
        <v>100</v>
      </c>
      <c r="GO72">
        <v>23.432099999999998</v>
      </c>
      <c r="GP72">
        <v>800</v>
      </c>
      <c r="GQ72">
        <v>18.7241</v>
      </c>
      <c r="GR72">
        <v>99.713700000000003</v>
      </c>
      <c r="GS72">
        <v>99.537300000000002</v>
      </c>
    </row>
    <row r="73" spans="1:201" x14ac:dyDescent="0.25">
      <c r="A73">
        <v>57</v>
      </c>
      <c r="B73">
        <v>1690221615</v>
      </c>
      <c r="C73">
        <v>732.5</v>
      </c>
      <c r="D73" t="s">
        <v>445</v>
      </c>
      <c r="E73" t="s">
        <v>446</v>
      </c>
      <c r="F73" t="s">
        <v>330</v>
      </c>
      <c r="H73">
        <v>1690221615</v>
      </c>
      <c r="I73">
        <f t="shared" si="0"/>
        <v>2.78569035808027E-4</v>
      </c>
      <c r="J73">
        <f t="shared" si="1"/>
        <v>0.278569035808027</v>
      </c>
      <c r="K73">
        <f t="shared" si="2"/>
        <v>6.1776569574888063</v>
      </c>
      <c r="L73">
        <f t="shared" si="3"/>
        <v>733.69799999999998</v>
      </c>
      <c r="M73">
        <f t="shared" si="4"/>
        <v>103.25282329348482</v>
      </c>
      <c r="N73">
        <f t="shared" si="5"/>
        <v>10.240170015229992</v>
      </c>
      <c r="O73">
        <f t="shared" si="6"/>
        <v>72.765005548359596</v>
      </c>
      <c r="P73">
        <f t="shared" si="7"/>
        <v>1.6029531632252045E-2</v>
      </c>
      <c r="Q73">
        <f t="shared" si="8"/>
        <v>2.1952519703399562</v>
      </c>
      <c r="R73">
        <f t="shared" si="9"/>
        <v>1.5964789553142664E-2</v>
      </c>
      <c r="S73">
        <f t="shared" si="10"/>
        <v>9.9837884117094239E-3</v>
      </c>
      <c r="T73">
        <f t="shared" si="11"/>
        <v>276.11318174167002</v>
      </c>
      <c r="U73">
        <f t="shared" si="12"/>
        <v>28.089485690176854</v>
      </c>
      <c r="V73">
        <f t="shared" si="13"/>
        <v>28.089485690176854</v>
      </c>
      <c r="W73">
        <f t="shared" si="14"/>
        <v>3.8146813595104261</v>
      </c>
      <c r="X73">
        <f t="shared" si="15"/>
        <v>63.088116436710351</v>
      </c>
      <c r="Y73">
        <f t="shared" si="16"/>
        <v>2.1360856858036796</v>
      </c>
      <c r="Z73">
        <f t="shared" si="17"/>
        <v>3.3858764636706011</v>
      </c>
      <c r="AA73">
        <f t="shared" si="18"/>
        <v>1.6785956737067464</v>
      </c>
      <c r="AB73">
        <f t="shared" si="19"/>
        <v>-12.284894479133991</v>
      </c>
      <c r="AC73">
        <f t="shared" si="20"/>
        <v>-240.4153581969596</v>
      </c>
      <c r="AD73">
        <f t="shared" si="21"/>
        <v>-23.652563583171318</v>
      </c>
      <c r="AE73">
        <f t="shared" si="22"/>
        <v>-0.23963451759487953</v>
      </c>
      <c r="AF73">
        <v>0</v>
      </c>
      <c r="AG73">
        <v>0</v>
      </c>
      <c r="AH73">
        <f t="shared" si="23"/>
        <v>1</v>
      </c>
      <c r="AI73">
        <f t="shared" si="24"/>
        <v>0</v>
      </c>
      <c r="AJ73">
        <f t="shared" si="25"/>
        <v>52597.779036069878</v>
      </c>
      <c r="AK73">
        <f t="shared" si="26"/>
        <v>1799.98</v>
      </c>
      <c r="AL73">
        <f t="shared" si="27"/>
        <v>1499.0923372333998</v>
      </c>
      <c r="AM73">
        <f t="shared" si="28"/>
        <v>0.83283832999999985</v>
      </c>
      <c r="AN73">
        <f t="shared" si="29"/>
        <v>0.15339791650000001</v>
      </c>
      <c r="AO73">
        <v>31.2</v>
      </c>
      <c r="AP73">
        <v>0.5</v>
      </c>
      <c r="AQ73" t="s">
        <v>331</v>
      </c>
      <c r="AR73">
        <v>2</v>
      </c>
      <c r="AS73">
        <v>1690221615</v>
      </c>
      <c r="AT73">
        <v>733.69799999999998</v>
      </c>
      <c r="AU73">
        <v>800.03099999999995</v>
      </c>
      <c r="AV73">
        <v>21.538399999999999</v>
      </c>
      <c r="AW73">
        <v>18.705400000000001</v>
      </c>
      <c r="AX73">
        <v>734.14499999999998</v>
      </c>
      <c r="AY73">
        <v>21.320900000000002</v>
      </c>
      <c r="AZ73">
        <v>300.18200000000002</v>
      </c>
      <c r="BA73">
        <v>99.075699999999998</v>
      </c>
      <c r="BB73">
        <v>9.9990200000000001E-2</v>
      </c>
      <c r="BC73">
        <v>26.0581</v>
      </c>
      <c r="BD73">
        <v>26.970700000000001</v>
      </c>
      <c r="BE73">
        <v>27.7622</v>
      </c>
      <c r="BF73">
        <v>0</v>
      </c>
      <c r="BG73">
        <v>0</v>
      </c>
      <c r="BH73">
        <v>10008.799999999999</v>
      </c>
      <c r="BI73">
        <v>1067.98</v>
      </c>
      <c r="BJ73">
        <v>1.1773899999999999</v>
      </c>
      <c r="BK73">
        <v>-66.332899999999995</v>
      </c>
      <c r="BL73">
        <v>749.84900000000005</v>
      </c>
      <c r="BM73">
        <v>815.28099999999995</v>
      </c>
      <c r="BN73">
        <v>2.8329800000000001</v>
      </c>
      <c r="BO73">
        <v>800.03099999999995</v>
      </c>
      <c r="BP73">
        <v>18.705400000000001</v>
      </c>
      <c r="BQ73">
        <v>2.1339299999999999</v>
      </c>
      <c r="BR73">
        <v>1.8532500000000001</v>
      </c>
      <c r="BS73">
        <v>18.474699999999999</v>
      </c>
      <c r="BT73">
        <v>16.243300000000001</v>
      </c>
      <c r="BU73">
        <v>1799.98</v>
      </c>
      <c r="BV73">
        <v>0.90997899999999998</v>
      </c>
      <c r="BW73">
        <v>3.4005500000000001E-2</v>
      </c>
      <c r="BX73">
        <v>2.2006000000000001E-2</v>
      </c>
      <c r="BY73">
        <v>3.4009200000000003E-2</v>
      </c>
      <c r="BZ73">
        <v>26</v>
      </c>
      <c r="CA73">
        <v>33527.9</v>
      </c>
      <c r="CB73">
        <v>1690220522.5999999</v>
      </c>
      <c r="CC73" t="s">
        <v>332</v>
      </c>
      <c r="CD73">
        <v>1690220522.5999999</v>
      </c>
      <c r="CE73">
        <v>1690220510.5999999</v>
      </c>
      <c r="CF73">
        <v>10</v>
      </c>
      <c r="CG73">
        <v>-0.22</v>
      </c>
      <c r="CH73">
        <v>-2.7E-2</v>
      </c>
      <c r="CI73">
        <v>-0.49299999999999999</v>
      </c>
      <c r="CJ73">
        <v>0.152</v>
      </c>
      <c r="CK73">
        <v>800</v>
      </c>
      <c r="CL73">
        <v>19</v>
      </c>
      <c r="CM73">
        <v>0.1</v>
      </c>
      <c r="CN73">
        <v>0.03</v>
      </c>
      <c r="CO73">
        <v>-64.909282499999989</v>
      </c>
      <c r="CP73">
        <v>-7.4470953095683674</v>
      </c>
      <c r="CQ73">
        <v>0.71881483668866419</v>
      </c>
      <c r="CR73">
        <v>-1</v>
      </c>
      <c r="CS73">
        <v>2.266054</v>
      </c>
      <c r="CT73">
        <v>3.3324970356472772</v>
      </c>
      <c r="CU73">
        <v>0.32083152041842772</v>
      </c>
      <c r="CV73">
        <v>-1</v>
      </c>
      <c r="CW73">
        <v>0</v>
      </c>
      <c r="CX73">
        <v>0</v>
      </c>
      <c r="CY73" t="s">
        <v>333</v>
      </c>
      <c r="CZ73">
        <v>2.3642400000000001</v>
      </c>
      <c r="DA73">
        <v>2.7137899999999999</v>
      </c>
      <c r="DB73">
        <v>0.138403</v>
      </c>
      <c r="DC73">
        <v>0.146284</v>
      </c>
      <c r="DD73">
        <v>0.105314</v>
      </c>
      <c r="DE73">
        <v>9.4056600000000004E-2</v>
      </c>
      <c r="DF73">
        <v>31452.400000000001</v>
      </c>
      <c r="DG73">
        <v>27504.6</v>
      </c>
      <c r="DH73">
        <v>31164.7</v>
      </c>
      <c r="DI73">
        <v>28073.200000000001</v>
      </c>
      <c r="DJ73">
        <v>37857.5</v>
      </c>
      <c r="DK73">
        <v>36162.9</v>
      </c>
      <c r="DL73">
        <v>44349.7</v>
      </c>
      <c r="DM73">
        <v>42549.4</v>
      </c>
      <c r="DN73">
        <v>1.47255</v>
      </c>
      <c r="DO73">
        <v>2.0524499999999999</v>
      </c>
      <c r="DP73">
        <v>0.10946</v>
      </c>
      <c r="DQ73">
        <v>0.16947499999999999</v>
      </c>
      <c r="DR73">
        <v>25.177900000000001</v>
      </c>
      <c r="DS73">
        <v>24.9877</v>
      </c>
      <c r="DT73">
        <v>50.4</v>
      </c>
      <c r="DU73">
        <v>29.6</v>
      </c>
      <c r="DV73">
        <v>21.183900000000001</v>
      </c>
      <c r="DW73">
        <v>61.644199999999998</v>
      </c>
      <c r="DX73">
        <v>36.510399999999997</v>
      </c>
      <c r="DY73">
        <v>1</v>
      </c>
      <c r="DZ73">
        <v>-7.7362799999999995E-2</v>
      </c>
      <c r="EA73">
        <v>0.61323499999999997</v>
      </c>
      <c r="EB73">
        <v>20.188199999999998</v>
      </c>
      <c r="EC73">
        <v>5.2409499999999998</v>
      </c>
      <c r="ED73">
        <v>12.039899999999999</v>
      </c>
      <c r="EE73">
        <v>5.0167999999999999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1.8689</v>
      </c>
      <c r="EL73">
        <v>1.86463</v>
      </c>
      <c r="EM73">
        <v>1.8691899999999999</v>
      </c>
      <c r="EN73">
        <v>1.8672500000000001</v>
      </c>
      <c r="EO73">
        <v>1.8633999999999999</v>
      </c>
      <c r="EP73">
        <v>1.86453</v>
      </c>
      <c r="EQ73">
        <v>1.87016</v>
      </c>
      <c r="ER73">
        <v>1.86941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-0.44700000000000001</v>
      </c>
      <c r="FG73">
        <v>0.2175</v>
      </c>
      <c r="FH73">
        <v>5.8509882529719233E-2</v>
      </c>
      <c r="FI73">
        <v>-6.1462078757559423E-4</v>
      </c>
      <c r="FJ73">
        <v>-1.8861989874597051E-7</v>
      </c>
      <c r="FK73">
        <v>1.1980462299894961E-10</v>
      </c>
      <c r="FL73">
        <v>-5.9863424041980147E-2</v>
      </c>
      <c r="FM73">
        <v>-1.6848085045870601E-2</v>
      </c>
      <c r="FN73">
        <v>1.9789084769509481E-3</v>
      </c>
      <c r="FO73">
        <v>-2.7142391389806329E-5</v>
      </c>
      <c r="FP73">
        <v>3</v>
      </c>
      <c r="FQ73">
        <v>2158</v>
      </c>
      <c r="FR73">
        <v>1</v>
      </c>
      <c r="FS73">
        <v>19</v>
      </c>
      <c r="FT73">
        <v>18.2</v>
      </c>
      <c r="FU73">
        <v>18.399999999999999</v>
      </c>
      <c r="FV73">
        <v>1.79077</v>
      </c>
      <c r="FW73">
        <v>2.5744600000000002</v>
      </c>
      <c r="FX73">
        <v>1.5490699999999999</v>
      </c>
      <c r="FY73">
        <v>2.3290999999999999</v>
      </c>
      <c r="FZ73">
        <v>1.50146</v>
      </c>
      <c r="GA73">
        <v>2.34741</v>
      </c>
      <c r="GB73">
        <v>33.918700000000001</v>
      </c>
      <c r="GC73">
        <v>23.973700000000001</v>
      </c>
      <c r="GD73">
        <v>19</v>
      </c>
      <c r="GE73">
        <v>282.19499999999999</v>
      </c>
      <c r="GF73">
        <v>598.63300000000004</v>
      </c>
      <c r="GG73">
        <v>23.439699999999998</v>
      </c>
      <c r="GH73">
        <v>26.4114</v>
      </c>
      <c r="GI73">
        <v>30</v>
      </c>
      <c r="GJ73">
        <v>26.549199999999999</v>
      </c>
      <c r="GK73">
        <v>26.518000000000001</v>
      </c>
      <c r="GL73">
        <v>35.814300000000003</v>
      </c>
      <c r="GM73">
        <v>38.367100000000001</v>
      </c>
      <c r="GN73">
        <v>100</v>
      </c>
      <c r="GO73">
        <v>23.437000000000001</v>
      </c>
      <c r="GP73">
        <v>800</v>
      </c>
      <c r="GQ73">
        <v>18.5762</v>
      </c>
      <c r="GR73">
        <v>99.712800000000001</v>
      </c>
      <c r="GS73">
        <v>99.537700000000001</v>
      </c>
    </row>
    <row r="74" spans="1:201" x14ac:dyDescent="0.25">
      <c r="A74">
        <v>58</v>
      </c>
      <c r="B74">
        <v>1690221625</v>
      </c>
      <c r="C74">
        <v>742.5</v>
      </c>
      <c r="D74" t="s">
        <v>447</v>
      </c>
      <c r="E74" t="s">
        <v>448</v>
      </c>
      <c r="F74" t="s">
        <v>330</v>
      </c>
      <c r="H74">
        <v>1690221625</v>
      </c>
      <c r="I74">
        <f t="shared" si="0"/>
        <v>3.1792588031107847E-4</v>
      </c>
      <c r="J74">
        <f t="shared" si="1"/>
        <v>0.31792588031107849</v>
      </c>
      <c r="K74">
        <f t="shared" si="2"/>
        <v>6.3096031433580047</v>
      </c>
      <c r="L74">
        <f t="shared" si="3"/>
        <v>732.10900000000004</v>
      </c>
      <c r="M74">
        <f t="shared" si="4"/>
        <v>175.96250708089863</v>
      </c>
      <c r="N74">
        <f t="shared" si="5"/>
        <v>17.451208684678232</v>
      </c>
      <c r="O74">
        <f t="shared" si="6"/>
        <v>72.607438657697998</v>
      </c>
      <c r="P74">
        <f t="shared" si="7"/>
        <v>1.8642686581319724E-2</v>
      </c>
      <c r="Q74">
        <f t="shared" si="8"/>
        <v>2.1932489468154905</v>
      </c>
      <c r="R74">
        <f t="shared" si="9"/>
        <v>1.8555097931071851E-2</v>
      </c>
      <c r="S74">
        <f t="shared" si="10"/>
        <v>1.1604771300668554E-2</v>
      </c>
      <c r="T74">
        <f t="shared" si="11"/>
        <v>276.11430033714271</v>
      </c>
      <c r="U74">
        <f t="shared" si="12"/>
        <v>28.075314316449695</v>
      </c>
      <c r="V74">
        <f t="shared" si="13"/>
        <v>28.075314316449695</v>
      </c>
      <c r="W74">
        <f t="shared" si="14"/>
        <v>3.8115331192905342</v>
      </c>
      <c r="X74">
        <f t="shared" si="15"/>
        <v>63.905138623624303</v>
      </c>
      <c r="Y74">
        <f t="shared" si="16"/>
        <v>2.1634291172802</v>
      </c>
      <c r="Z74">
        <f t="shared" si="17"/>
        <v>3.3853758302942305</v>
      </c>
      <c r="AA74">
        <f t="shared" si="18"/>
        <v>1.6481040020103341</v>
      </c>
      <c r="AB74">
        <f t="shared" si="19"/>
        <v>-14.020531321718561</v>
      </c>
      <c r="AC74">
        <f t="shared" si="20"/>
        <v>-238.81594326658609</v>
      </c>
      <c r="AD74">
        <f t="shared" si="21"/>
        <v>-23.514704417735981</v>
      </c>
      <c r="AE74">
        <f t="shared" si="22"/>
        <v>-0.23687866889790143</v>
      </c>
      <c r="AF74">
        <v>0</v>
      </c>
      <c r="AG74">
        <v>0</v>
      </c>
      <c r="AH74">
        <f t="shared" si="23"/>
        <v>1</v>
      </c>
      <c r="AI74">
        <f t="shared" si="24"/>
        <v>0</v>
      </c>
      <c r="AJ74">
        <f t="shared" si="25"/>
        <v>52516.058760831838</v>
      </c>
      <c r="AK74">
        <f t="shared" si="26"/>
        <v>1799.99</v>
      </c>
      <c r="AL74">
        <f t="shared" si="27"/>
        <v>1499.1025250063699</v>
      </c>
      <c r="AM74">
        <f t="shared" si="28"/>
        <v>0.83283936299999994</v>
      </c>
      <c r="AN74">
        <f t="shared" si="29"/>
        <v>0.15339768573000001</v>
      </c>
      <c r="AO74">
        <v>31.2</v>
      </c>
      <c r="AP74">
        <v>0.5</v>
      </c>
      <c r="AQ74" t="s">
        <v>331</v>
      </c>
      <c r="AR74">
        <v>2</v>
      </c>
      <c r="AS74">
        <v>1690221625</v>
      </c>
      <c r="AT74">
        <v>732.10900000000004</v>
      </c>
      <c r="AU74">
        <v>800.09900000000005</v>
      </c>
      <c r="AV74">
        <v>21.8141</v>
      </c>
      <c r="AW74">
        <v>18.5822</v>
      </c>
      <c r="AX74">
        <v>732.55499999999995</v>
      </c>
      <c r="AY74">
        <v>21.651299999999999</v>
      </c>
      <c r="AZ74">
        <v>300.22300000000001</v>
      </c>
      <c r="BA74">
        <v>99.075699999999998</v>
      </c>
      <c r="BB74">
        <v>0.100022</v>
      </c>
      <c r="BC74">
        <v>26.055599999999998</v>
      </c>
      <c r="BD74">
        <v>26.978000000000002</v>
      </c>
      <c r="BE74">
        <v>27.7759</v>
      </c>
      <c r="BF74">
        <v>0</v>
      </c>
      <c r="BG74">
        <v>0</v>
      </c>
      <c r="BH74">
        <v>9992.5</v>
      </c>
      <c r="BI74">
        <v>1067.6099999999999</v>
      </c>
      <c r="BJ74">
        <v>1.2166300000000001</v>
      </c>
      <c r="BK74">
        <v>-67.989699999999999</v>
      </c>
      <c r="BL74">
        <v>748.43499999999995</v>
      </c>
      <c r="BM74">
        <v>815.24800000000005</v>
      </c>
      <c r="BN74">
        <v>3.23183</v>
      </c>
      <c r="BO74">
        <v>800.09900000000005</v>
      </c>
      <c r="BP74">
        <v>18.5822</v>
      </c>
      <c r="BQ74">
        <v>2.1612399999999998</v>
      </c>
      <c r="BR74">
        <v>1.8410500000000001</v>
      </c>
      <c r="BS74">
        <v>18.677900000000001</v>
      </c>
      <c r="BT74">
        <v>16.139700000000001</v>
      </c>
      <c r="BU74">
        <v>1799.99</v>
      </c>
      <c r="BV74">
        <v>0.90998999999999997</v>
      </c>
      <c r="BW74">
        <v>3.4001400000000001E-2</v>
      </c>
      <c r="BX74">
        <v>2.2003399999999999E-2</v>
      </c>
      <c r="BY74">
        <v>3.4005100000000003E-2</v>
      </c>
      <c r="BZ74">
        <v>26</v>
      </c>
      <c r="CA74">
        <v>33528.1</v>
      </c>
      <c r="CB74">
        <v>1690220522.5999999</v>
      </c>
      <c r="CC74" t="s">
        <v>332</v>
      </c>
      <c r="CD74">
        <v>1690220522.5999999</v>
      </c>
      <c r="CE74">
        <v>1690220510.5999999</v>
      </c>
      <c r="CF74">
        <v>10</v>
      </c>
      <c r="CG74">
        <v>-0.22</v>
      </c>
      <c r="CH74">
        <v>-2.7E-2</v>
      </c>
      <c r="CI74">
        <v>-0.49299999999999999</v>
      </c>
      <c r="CJ74">
        <v>0.152</v>
      </c>
      <c r="CK74">
        <v>800</v>
      </c>
      <c r="CL74">
        <v>19</v>
      </c>
      <c r="CM74">
        <v>0.1</v>
      </c>
      <c r="CN74">
        <v>0.03</v>
      </c>
      <c r="CO74">
        <v>-66.291590243902434</v>
      </c>
      <c r="CP74">
        <v>-8.7697944250871309</v>
      </c>
      <c r="CQ74">
        <v>0.86557026424423966</v>
      </c>
      <c r="CR74">
        <v>-1</v>
      </c>
      <c r="CS74">
        <v>2.7775734146341469</v>
      </c>
      <c r="CT74">
        <v>2.7453330313588902</v>
      </c>
      <c r="CU74">
        <v>0.27215778453136918</v>
      </c>
      <c r="CV74">
        <v>-1</v>
      </c>
      <c r="CW74">
        <v>0</v>
      </c>
      <c r="CX74">
        <v>0</v>
      </c>
      <c r="CY74" t="s">
        <v>333</v>
      </c>
      <c r="CZ74">
        <v>2.36436</v>
      </c>
      <c r="DA74">
        <v>2.7138100000000001</v>
      </c>
      <c r="DB74">
        <v>0.138207</v>
      </c>
      <c r="DC74">
        <v>0.146291</v>
      </c>
      <c r="DD74">
        <v>0.10646899999999999</v>
      </c>
      <c r="DE74">
        <v>9.36139E-2</v>
      </c>
      <c r="DF74">
        <v>31460</v>
      </c>
      <c r="DG74">
        <v>27504.5</v>
      </c>
      <c r="DH74">
        <v>31165</v>
      </c>
      <c r="DI74">
        <v>28073.3</v>
      </c>
      <c r="DJ74">
        <v>37808.699999999997</v>
      </c>
      <c r="DK74">
        <v>36180.699999999997</v>
      </c>
      <c r="DL74">
        <v>44350.400000000001</v>
      </c>
      <c r="DM74">
        <v>42549.599999999999</v>
      </c>
      <c r="DN74">
        <v>1.47255</v>
      </c>
      <c r="DO74">
        <v>2.0524200000000001</v>
      </c>
      <c r="DP74">
        <v>0.109781</v>
      </c>
      <c r="DQ74">
        <v>0.17019000000000001</v>
      </c>
      <c r="DR74">
        <v>25.18</v>
      </c>
      <c r="DS74">
        <v>24.989799999999999</v>
      </c>
      <c r="DT74">
        <v>51.4</v>
      </c>
      <c r="DU74">
        <v>29.6</v>
      </c>
      <c r="DV74">
        <v>21.599699999999999</v>
      </c>
      <c r="DW74">
        <v>61.904200000000003</v>
      </c>
      <c r="DX74">
        <v>35.3005</v>
      </c>
      <c r="DY74">
        <v>1</v>
      </c>
      <c r="DZ74">
        <v>-7.7411099999999997E-2</v>
      </c>
      <c r="EA74">
        <v>0.56356200000000001</v>
      </c>
      <c r="EB74">
        <v>20.188800000000001</v>
      </c>
      <c r="EC74">
        <v>5.2408000000000001</v>
      </c>
      <c r="ED74">
        <v>12.039899999999999</v>
      </c>
      <c r="EE74">
        <v>5.0162000000000004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1.8689100000000001</v>
      </c>
      <c r="EL74">
        <v>1.8646400000000001</v>
      </c>
      <c r="EM74">
        <v>1.8691899999999999</v>
      </c>
      <c r="EN74">
        <v>1.86727</v>
      </c>
      <c r="EO74">
        <v>1.8633999999999999</v>
      </c>
      <c r="EP74">
        <v>1.86453</v>
      </c>
      <c r="EQ74">
        <v>1.87019</v>
      </c>
      <c r="ER74">
        <v>1.8694500000000001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-0.44600000000000001</v>
      </c>
      <c r="FG74">
        <v>0.1628</v>
      </c>
      <c r="FH74">
        <v>5.8509882529719233E-2</v>
      </c>
      <c r="FI74">
        <v>-6.1462078757559423E-4</v>
      </c>
      <c r="FJ74">
        <v>-1.8861989874597051E-7</v>
      </c>
      <c r="FK74">
        <v>1.1980462299894961E-10</v>
      </c>
      <c r="FL74">
        <v>0.16277811159127681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18.399999999999999</v>
      </c>
      <c r="FU74">
        <v>18.600000000000001</v>
      </c>
      <c r="FV74">
        <v>1.79077</v>
      </c>
      <c r="FW74">
        <v>2.5769000000000002</v>
      </c>
      <c r="FX74">
        <v>1.5490699999999999</v>
      </c>
      <c r="FY74">
        <v>2.3290999999999999</v>
      </c>
      <c r="FZ74">
        <v>1.50146</v>
      </c>
      <c r="GA74">
        <v>2.4023400000000001</v>
      </c>
      <c r="GB74">
        <v>33.918700000000001</v>
      </c>
      <c r="GC74">
        <v>23.982399999999998</v>
      </c>
      <c r="GD74">
        <v>19</v>
      </c>
      <c r="GE74">
        <v>282.178</v>
      </c>
      <c r="GF74">
        <v>598.58600000000001</v>
      </c>
      <c r="GG74">
        <v>23.452400000000001</v>
      </c>
      <c r="GH74">
        <v>26.407</v>
      </c>
      <c r="GI74">
        <v>30</v>
      </c>
      <c r="GJ74">
        <v>26.545300000000001</v>
      </c>
      <c r="GK74">
        <v>26.515799999999999</v>
      </c>
      <c r="GL74">
        <v>35.808799999999998</v>
      </c>
      <c r="GM74">
        <v>38.653300000000002</v>
      </c>
      <c r="GN74">
        <v>100</v>
      </c>
      <c r="GO74">
        <v>23.4695</v>
      </c>
      <c r="GP74">
        <v>800</v>
      </c>
      <c r="GQ74">
        <v>18.481999999999999</v>
      </c>
      <c r="GR74">
        <v>99.714299999999994</v>
      </c>
      <c r="GS74">
        <v>99.538200000000003</v>
      </c>
    </row>
    <row r="75" spans="1:201" x14ac:dyDescent="0.25">
      <c r="A75">
        <v>59</v>
      </c>
      <c r="B75">
        <v>1690221635</v>
      </c>
      <c r="C75">
        <v>752.5</v>
      </c>
      <c r="D75" t="s">
        <v>449</v>
      </c>
      <c r="E75" t="s">
        <v>450</v>
      </c>
      <c r="F75" t="s">
        <v>330</v>
      </c>
      <c r="H75">
        <v>1690221635</v>
      </c>
      <c r="I75">
        <f t="shared" si="0"/>
        <v>3.5441283201294635E-4</v>
      </c>
      <c r="J75">
        <f t="shared" si="1"/>
        <v>0.35441283201294638</v>
      </c>
      <c r="K75">
        <f t="shared" si="2"/>
        <v>6.4348548603127078</v>
      </c>
      <c r="L75">
        <f t="shared" si="3"/>
        <v>730.43700000000001</v>
      </c>
      <c r="M75">
        <f t="shared" si="4"/>
        <v>227.25566334561134</v>
      </c>
      <c r="N75">
        <f t="shared" si="5"/>
        <v>22.539543893321817</v>
      </c>
      <c r="O75">
        <f t="shared" si="6"/>
        <v>72.445793343192605</v>
      </c>
      <c r="P75">
        <f t="shared" si="7"/>
        <v>2.1096891463191131E-2</v>
      </c>
      <c r="Q75">
        <f t="shared" si="8"/>
        <v>2.1966985910871575</v>
      </c>
      <c r="R75">
        <f t="shared" si="9"/>
        <v>2.0984973629815343E-2</v>
      </c>
      <c r="S75">
        <f t="shared" si="10"/>
        <v>1.3125614293910582E-2</v>
      </c>
      <c r="T75">
        <f t="shared" si="11"/>
        <v>276.11398411489955</v>
      </c>
      <c r="U75">
        <f t="shared" si="12"/>
        <v>28.070021724811305</v>
      </c>
      <c r="V75">
        <f t="shared" si="13"/>
        <v>28.070021724811305</v>
      </c>
      <c r="W75">
        <f t="shared" si="14"/>
        <v>3.810357925580151</v>
      </c>
      <c r="X75">
        <f t="shared" si="15"/>
        <v>64.531584418000705</v>
      </c>
      <c r="Y75">
        <f t="shared" si="16"/>
        <v>2.1859291787600599</v>
      </c>
      <c r="Z75">
        <f t="shared" si="17"/>
        <v>3.3873787517764828</v>
      </c>
      <c r="AA75">
        <f t="shared" si="18"/>
        <v>1.6244287468200911</v>
      </c>
      <c r="AB75">
        <f t="shared" si="19"/>
        <v>-15.629605891770934</v>
      </c>
      <c r="AC75">
        <f t="shared" si="20"/>
        <v>-237.38048674388645</v>
      </c>
      <c r="AD75">
        <f t="shared" si="21"/>
        <v>-23.337204221764928</v>
      </c>
      <c r="AE75">
        <f t="shared" si="22"/>
        <v>-0.2333127425227417</v>
      </c>
      <c r="AF75">
        <v>0</v>
      </c>
      <c r="AG75">
        <v>0</v>
      </c>
      <c r="AH75">
        <f t="shared" si="23"/>
        <v>1</v>
      </c>
      <c r="AI75">
        <f t="shared" si="24"/>
        <v>0</v>
      </c>
      <c r="AJ75">
        <f t="shared" si="25"/>
        <v>52655.971280655074</v>
      </c>
      <c r="AK75">
        <f t="shared" si="26"/>
        <v>1799.99</v>
      </c>
      <c r="AL75">
        <f t="shared" si="27"/>
        <v>1499.1038155992001</v>
      </c>
      <c r="AM75">
        <f t="shared" si="28"/>
        <v>0.83284007999999998</v>
      </c>
      <c r="AN75">
        <f t="shared" si="29"/>
        <v>0.15339751005000002</v>
      </c>
      <c r="AO75">
        <v>31.2</v>
      </c>
      <c r="AP75">
        <v>0.5</v>
      </c>
      <c r="AQ75" t="s">
        <v>331</v>
      </c>
      <c r="AR75">
        <v>2</v>
      </c>
      <c r="AS75">
        <v>1690221635</v>
      </c>
      <c r="AT75">
        <v>730.43700000000001</v>
      </c>
      <c r="AU75">
        <v>800.01400000000001</v>
      </c>
      <c r="AV75">
        <v>22.0397</v>
      </c>
      <c r="AW75">
        <v>18.437000000000001</v>
      </c>
      <c r="AX75">
        <v>730.88099999999997</v>
      </c>
      <c r="AY75">
        <v>21.876899999999999</v>
      </c>
      <c r="AZ75">
        <v>300.16300000000001</v>
      </c>
      <c r="BA75">
        <v>99.081500000000005</v>
      </c>
      <c r="BB75">
        <v>9.9939799999999995E-2</v>
      </c>
      <c r="BC75">
        <v>26.0656</v>
      </c>
      <c r="BD75">
        <v>26.951699999999999</v>
      </c>
      <c r="BE75">
        <v>27.760300000000001</v>
      </c>
      <c r="BF75">
        <v>0</v>
      </c>
      <c r="BG75">
        <v>0</v>
      </c>
      <c r="BH75">
        <v>10020</v>
      </c>
      <c r="BI75">
        <v>1067.45</v>
      </c>
      <c r="BJ75">
        <v>1.27691</v>
      </c>
      <c r="BK75">
        <v>-69.577600000000004</v>
      </c>
      <c r="BL75">
        <v>746.89800000000002</v>
      </c>
      <c r="BM75">
        <v>815.04100000000005</v>
      </c>
      <c r="BN75">
        <v>3.6026500000000001</v>
      </c>
      <c r="BO75">
        <v>800.01400000000001</v>
      </c>
      <c r="BP75">
        <v>18.437000000000001</v>
      </c>
      <c r="BQ75">
        <v>2.1837200000000001</v>
      </c>
      <c r="BR75">
        <v>1.82677</v>
      </c>
      <c r="BS75">
        <v>18.843399999999999</v>
      </c>
      <c r="BT75">
        <v>16.017700000000001</v>
      </c>
      <c r="BU75">
        <v>1799.99</v>
      </c>
      <c r="BV75">
        <v>0.90999799999999997</v>
      </c>
      <c r="BW75">
        <v>3.3998399999999998E-2</v>
      </c>
      <c r="BX75">
        <v>2.20015E-2</v>
      </c>
      <c r="BY75">
        <v>3.40021E-2</v>
      </c>
      <c r="BZ75">
        <v>26</v>
      </c>
      <c r="CA75">
        <v>33528.199999999997</v>
      </c>
      <c r="CB75">
        <v>1690220522.5999999</v>
      </c>
      <c r="CC75" t="s">
        <v>332</v>
      </c>
      <c r="CD75">
        <v>1690220522.5999999</v>
      </c>
      <c r="CE75">
        <v>1690220510.5999999</v>
      </c>
      <c r="CF75">
        <v>10</v>
      </c>
      <c r="CG75">
        <v>-0.22</v>
      </c>
      <c r="CH75">
        <v>-2.7E-2</v>
      </c>
      <c r="CI75">
        <v>-0.49299999999999999</v>
      </c>
      <c r="CJ75">
        <v>0.152</v>
      </c>
      <c r="CK75">
        <v>800</v>
      </c>
      <c r="CL75">
        <v>19</v>
      </c>
      <c r="CM75">
        <v>0.1</v>
      </c>
      <c r="CN75">
        <v>0.03</v>
      </c>
      <c r="CO75">
        <v>-67.809412499999993</v>
      </c>
      <c r="CP75">
        <v>-9.9307643527202423</v>
      </c>
      <c r="CQ75">
        <v>0.95589126713959993</v>
      </c>
      <c r="CR75">
        <v>-1</v>
      </c>
      <c r="CS75">
        <v>3.19206675</v>
      </c>
      <c r="CT75">
        <v>2.3891933583489648</v>
      </c>
      <c r="CU75">
        <v>0.23007697816586839</v>
      </c>
      <c r="CV75">
        <v>-1</v>
      </c>
      <c r="CW75">
        <v>0</v>
      </c>
      <c r="CX75">
        <v>0</v>
      </c>
      <c r="CY75" t="s">
        <v>333</v>
      </c>
      <c r="CZ75">
        <v>2.3641700000000001</v>
      </c>
      <c r="DA75">
        <v>2.7137500000000001</v>
      </c>
      <c r="DB75">
        <v>0.13800599999999999</v>
      </c>
      <c r="DC75">
        <v>0.146287</v>
      </c>
      <c r="DD75">
        <v>0.10725999999999999</v>
      </c>
      <c r="DE75">
        <v>9.3095800000000006E-2</v>
      </c>
      <c r="DF75">
        <v>31467.5</v>
      </c>
      <c r="DG75">
        <v>27504.799999999999</v>
      </c>
      <c r="DH75">
        <v>31165.200000000001</v>
      </c>
      <c r="DI75">
        <v>28073.5</v>
      </c>
      <c r="DJ75">
        <v>37775</v>
      </c>
      <c r="DK75">
        <v>36201.800000000003</v>
      </c>
      <c r="DL75">
        <v>44350.6</v>
      </c>
      <c r="DM75">
        <v>42550</v>
      </c>
      <c r="DN75">
        <v>1.4724699999999999</v>
      </c>
      <c r="DO75">
        <v>2.0523500000000001</v>
      </c>
      <c r="DP75">
        <v>0.108302</v>
      </c>
      <c r="DQ75">
        <v>0.169236</v>
      </c>
      <c r="DR75">
        <v>25.177900000000001</v>
      </c>
      <c r="DS75">
        <v>24.989799999999999</v>
      </c>
      <c r="DT75">
        <v>52.2</v>
      </c>
      <c r="DU75">
        <v>29.6</v>
      </c>
      <c r="DV75">
        <v>21.933299999999999</v>
      </c>
      <c r="DW75">
        <v>61.594200000000001</v>
      </c>
      <c r="DX75">
        <v>36.033700000000003</v>
      </c>
      <c r="DY75">
        <v>1</v>
      </c>
      <c r="DZ75">
        <v>-7.7926800000000004E-2</v>
      </c>
      <c r="EA75">
        <v>0.49207499999999998</v>
      </c>
      <c r="EB75">
        <v>20.1891</v>
      </c>
      <c r="EC75">
        <v>5.2409499999999998</v>
      </c>
      <c r="ED75">
        <v>12.039899999999999</v>
      </c>
      <c r="EE75">
        <v>5.0159000000000002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1.8689</v>
      </c>
      <c r="EL75">
        <v>1.86463</v>
      </c>
      <c r="EM75">
        <v>1.86917</v>
      </c>
      <c r="EN75">
        <v>1.8672500000000001</v>
      </c>
      <c r="EO75">
        <v>1.8633999999999999</v>
      </c>
      <c r="EP75">
        <v>1.86452</v>
      </c>
      <c r="EQ75">
        <v>1.87018</v>
      </c>
      <c r="ER75">
        <v>1.86941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-0.44400000000000001</v>
      </c>
      <c r="FG75">
        <v>0.1628</v>
      </c>
      <c r="FH75">
        <v>5.8509882529719233E-2</v>
      </c>
      <c r="FI75">
        <v>-6.1462078757559423E-4</v>
      </c>
      <c r="FJ75">
        <v>-1.8861989874597051E-7</v>
      </c>
      <c r="FK75">
        <v>1.1980462299894961E-10</v>
      </c>
      <c r="FL75">
        <v>0.16277811159127681</v>
      </c>
      <c r="FM75">
        <v>0</v>
      </c>
      <c r="FN75">
        <v>0</v>
      </c>
      <c r="FO75">
        <v>0</v>
      </c>
      <c r="FP75">
        <v>3</v>
      </c>
      <c r="FQ75">
        <v>2158</v>
      </c>
      <c r="FR75">
        <v>1</v>
      </c>
      <c r="FS75">
        <v>19</v>
      </c>
      <c r="FT75">
        <v>18.5</v>
      </c>
      <c r="FU75">
        <v>18.7</v>
      </c>
      <c r="FV75">
        <v>1.79077</v>
      </c>
      <c r="FW75">
        <v>2.5866699999999998</v>
      </c>
      <c r="FX75">
        <v>1.5490699999999999</v>
      </c>
      <c r="FY75">
        <v>2.3290999999999999</v>
      </c>
      <c r="FZ75">
        <v>1.50146</v>
      </c>
      <c r="GA75">
        <v>2.2961399999999998</v>
      </c>
      <c r="GB75">
        <v>33.918700000000001</v>
      </c>
      <c r="GC75">
        <v>23.973700000000001</v>
      </c>
      <c r="GD75">
        <v>19</v>
      </c>
      <c r="GE75">
        <v>282.12599999999998</v>
      </c>
      <c r="GF75">
        <v>598.49199999999996</v>
      </c>
      <c r="GG75">
        <v>23.492899999999999</v>
      </c>
      <c r="GH75">
        <v>26.4025</v>
      </c>
      <c r="GI75">
        <v>30</v>
      </c>
      <c r="GJ75">
        <v>26.540900000000001</v>
      </c>
      <c r="GK75">
        <v>26.513100000000001</v>
      </c>
      <c r="GL75">
        <v>35.807499999999997</v>
      </c>
      <c r="GM75">
        <v>38.926400000000001</v>
      </c>
      <c r="GN75">
        <v>100</v>
      </c>
      <c r="GO75">
        <v>23.518799999999999</v>
      </c>
      <c r="GP75">
        <v>800</v>
      </c>
      <c r="GQ75">
        <v>18.3718</v>
      </c>
      <c r="GR75">
        <v>99.714799999999997</v>
      </c>
      <c r="GS75">
        <v>99.538899999999998</v>
      </c>
    </row>
    <row r="76" spans="1:201" x14ac:dyDescent="0.25">
      <c r="A76">
        <v>60</v>
      </c>
      <c r="B76">
        <v>1690221645</v>
      </c>
      <c r="C76">
        <v>762.5</v>
      </c>
      <c r="D76" t="s">
        <v>451</v>
      </c>
      <c r="E76" t="s">
        <v>452</v>
      </c>
      <c r="F76" t="s">
        <v>330</v>
      </c>
      <c r="H76">
        <v>1690221645</v>
      </c>
      <c r="I76">
        <f t="shared" si="0"/>
        <v>3.7853961804276416E-4</v>
      </c>
      <c r="J76">
        <f t="shared" si="1"/>
        <v>0.37853961804276415</v>
      </c>
      <c r="K76">
        <f t="shared" si="2"/>
        <v>6.6029904301292914</v>
      </c>
      <c r="L76">
        <f t="shared" si="3"/>
        <v>728.55399999999997</v>
      </c>
      <c r="M76">
        <f t="shared" si="4"/>
        <v>249.82640156782219</v>
      </c>
      <c r="N76">
        <f t="shared" si="5"/>
        <v>24.777911168093411</v>
      </c>
      <c r="O76">
        <f t="shared" si="6"/>
        <v>72.258360925310001</v>
      </c>
      <c r="P76">
        <f t="shared" si="7"/>
        <v>2.2799418979768376E-2</v>
      </c>
      <c r="Q76">
        <f t="shared" si="8"/>
        <v>2.1950781779233499</v>
      </c>
      <c r="R76">
        <f t="shared" si="9"/>
        <v>2.2668673170821121E-2</v>
      </c>
      <c r="S76">
        <f t="shared" si="10"/>
        <v>1.4179605111790915E-2</v>
      </c>
      <c r="T76">
        <f t="shared" si="11"/>
        <v>276.11376381412339</v>
      </c>
      <c r="U76">
        <f t="shared" si="12"/>
        <v>28.06656942504387</v>
      </c>
      <c r="V76">
        <f t="shared" si="13"/>
        <v>28.06656942504387</v>
      </c>
      <c r="W76">
        <f t="shared" si="14"/>
        <v>3.8095915299077552</v>
      </c>
      <c r="X76">
        <f t="shared" si="15"/>
        <v>65.040247599178684</v>
      </c>
      <c r="Y76">
        <f t="shared" si="16"/>
        <v>2.2036026003215001</v>
      </c>
      <c r="Z76">
        <f t="shared" si="17"/>
        <v>3.3880599808007599</v>
      </c>
      <c r="AA76">
        <f t="shared" si="18"/>
        <v>1.6059889295862551</v>
      </c>
      <c r="AB76">
        <f t="shared" si="19"/>
        <v>-16.6935971556859</v>
      </c>
      <c r="AC76">
        <f t="shared" si="20"/>
        <v>-236.394472652503</v>
      </c>
      <c r="AD76">
        <f t="shared" si="21"/>
        <v>-23.257415994496519</v>
      </c>
      <c r="AE76">
        <f t="shared" si="22"/>
        <v>-0.23172198856201476</v>
      </c>
      <c r="AF76">
        <v>0</v>
      </c>
      <c r="AG76">
        <v>0</v>
      </c>
      <c r="AH76">
        <f t="shared" si="23"/>
        <v>1</v>
      </c>
      <c r="AI76">
        <f t="shared" si="24"/>
        <v>0</v>
      </c>
      <c r="AJ76">
        <f t="shared" si="25"/>
        <v>52588.835236582447</v>
      </c>
      <c r="AK76">
        <f t="shared" si="26"/>
        <v>1799.99</v>
      </c>
      <c r="AL76">
        <f t="shared" si="27"/>
        <v>1499.1052123914399</v>
      </c>
      <c r="AM76">
        <f t="shared" si="28"/>
        <v>0.83284085599999991</v>
      </c>
      <c r="AN76">
        <f t="shared" si="29"/>
        <v>0.15339738766</v>
      </c>
      <c r="AO76">
        <v>31.2</v>
      </c>
      <c r="AP76">
        <v>0.5</v>
      </c>
      <c r="AQ76" t="s">
        <v>331</v>
      </c>
      <c r="AR76">
        <v>2</v>
      </c>
      <c r="AS76">
        <v>1690221645</v>
      </c>
      <c r="AT76">
        <v>728.55399999999997</v>
      </c>
      <c r="AU76">
        <v>800.03300000000002</v>
      </c>
      <c r="AV76">
        <v>22.2181</v>
      </c>
      <c r="AW76">
        <v>18.372</v>
      </c>
      <c r="AX76">
        <v>728.99699999999996</v>
      </c>
      <c r="AY76">
        <v>22.055299999999999</v>
      </c>
      <c r="AZ76">
        <v>300.25299999999999</v>
      </c>
      <c r="BA76">
        <v>99.080500000000001</v>
      </c>
      <c r="BB76">
        <v>0.10001500000000001</v>
      </c>
      <c r="BC76">
        <v>26.068999999999999</v>
      </c>
      <c r="BD76">
        <v>27.0047</v>
      </c>
      <c r="BE76">
        <v>27.7803</v>
      </c>
      <c r="BF76">
        <v>0</v>
      </c>
      <c r="BG76">
        <v>0</v>
      </c>
      <c r="BH76">
        <v>10006.9</v>
      </c>
      <c r="BI76">
        <v>1067.53</v>
      </c>
      <c r="BJ76">
        <v>1.2741</v>
      </c>
      <c r="BK76">
        <v>-71.478999999999999</v>
      </c>
      <c r="BL76">
        <v>745.10900000000004</v>
      </c>
      <c r="BM76">
        <v>815.00599999999997</v>
      </c>
      <c r="BN76">
        <v>3.84605</v>
      </c>
      <c r="BO76">
        <v>800.03300000000002</v>
      </c>
      <c r="BP76">
        <v>18.372</v>
      </c>
      <c r="BQ76">
        <v>2.2013799999999999</v>
      </c>
      <c r="BR76">
        <v>1.8203100000000001</v>
      </c>
      <c r="BS76">
        <v>18.972300000000001</v>
      </c>
      <c r="BT76">
        <v>15.962300000000001</v>
      </c>
      <c r="BU76">
        <v>1799.99</v>
      </c>
      <c r="BV76">
        <v>0.91000499999999995</v>
      </c>
      <c r="BW76">
        <v>3.3995900000000003E-2</v>
      </c>
      <c r="BX76">
        <v>2.19998E-2</v>
      </c>
      <c r="BY76">
        <v>3.3999599999999998E-2</v>
      </c>
      <c r="BZ76">
        <v>26</v>
      </c>
      <c r="CA76">
        <v>33528.199999999997</v>
      </c>
      <c r="CB76">
        <v>1690220522.5999999</v>
      </c>
      <c r="CC76" t="s">
        <v>332</v>
      </c>
      <c r="CD76">
        <v>1690220522.5999999</v>
      </c>
      <c r="CE76">
        <v>1690220510.5999999</v>
      </c>
      <c r="CF76">
        <v>10</v>
      </c>
      <c r="CG76">
        <v>-0.22</v>
      </c>
      <c r="CH76">
        <v>-2.7E-2</v>
      </c>
      <c r="CI76">
        <v>-0.49299999999999999</v>
      </c>
      <c r="CJ76">
        <v>0.152</v>
      </c>
      <c r="CK76">
        <v>800</v>
      </c>
      <c r="CL76">
        <v>19</v>
      </c>
      <c r="CM76">
        <v>0.1</v>
      </c>
      <c r="CN76">
        <v>0.03</v>
      </c>
      <c r="CO76">
        <v>-69.520025000000004</v>
      </c>
      <c r="CP76">
        <v>-10.492680675421971</v>
      </c>
      <c r="CQ76">
        <v>1.0103878452727939</v>
      </c>
      <c r="CR76">
        <v>-1</v>
      </c>
      <c r="CS76">
        <v>3.5439715000000001</v>
      </c>
      <c r="CT76">
        <v>1.843608855534711</v>
      </c>
      <c r="CU76">
        <v>0.17929530617880099</v>
      </c>
      <c r="CV76">
        <v>-1</v>
      </c>
      <c r="CW76">
        <v>0</v>
      </c>
      <c r="CX76">
        <v>0</v>
      </c>
      <c r="CY76" t="s">
        <v>333</v>
      </c>
      <c r="CZ76">
        <v>2.3644699999999998</v>
      </c>
      <c r="DA76">
        <v>2.7138100000000001</v>
      </c>
      <c r="DB76">
        <v>0.137767</v>
      </c>
      <c r="DC76">
        <v>0.146287</v>
      </c>
      <c r="DD76">
        <v>0.107878</v>
      </c>
      <c r="DE76">
        <v>9.2860100000000001E-2</v>
      </c>
      <c r="DF76">
        <v>31476.2</v>
      </c>
      <c r="DG76">
        <v>27505.4</v>
      </c>
      <c r="DH76">
        <v>31165.200000000001</v>
      </c>
      <c r="DI76">
        <v>28074</v>
      </c>
      <c r="DJ76">
        <v>37748.6</v>
      </c>
      <c r="DK76">
        <v>36211.800000000003</v>
      </c>
      <c r="DL76">
        <v>44350.6</v>
      </c>
      <c r="DM76">
        <v>42550.7</v>
      </c>
      <c r="DN76">
        <v>1.4735499999999999</v>
      </c>
      <c r="DO76">
        <v>2.0526800000000001</v>
      </c>
      <c r="DP76">
        <v>0.111543</v>
      </c>
      <c r="DQ76">
        <v>0.170458</v>
      </c>
      <c r="DR76">
        <v>25.177900000000001</v>
      </c>
      <c r="DS76">
        <v>24.989799999999999</v>
      </c>
      <c r="DT76">
        <v>52.8</v>
      </c>
      <c r="DU76">
        <v>29.6</v>
      </c>
      <c r="DV76">
        <v>22.187999999999999</v>
      </c>
      <c r="DW76">
        <v>61.434199999999997</v>
      </c>
      <c r="DX76">
        <v>35.9375</v>
      </c>
      <c r="DY76">
        <v>1</v>
      </c>
      <c r="DZ76">
        <v>-7.79141E-2</v>
      </c>
      <c r="EA76">
        <v>0.47830099999999998</v>
      </c>
      <c r="EB76">
        <v>20.1891</v>
      </c>
      <c r="EC76">
        <v>5.2411000000000003</v>
      </c>
      <c r="ED76">
        <v>12.039899999999999</v>
      </c>
      <c r="EE76">
        <v>5.0162000000000004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1.8689100000000001</v>
      </c>
      <c r="EL76">
        <v>1.86463</v>
      </c>
      <c r="EM76">
        <v>1.8691800000000001</v>
      </c>
      <c r="EN76">
        <v>1.8672599999999999</v>
      </c>
      <c r="EO76">
        <v>1.8633999999999999</v>
      </c>
      <c r="EP76">
        <v>1.8645499999999999</v>
      </c>
      <c r="EQ76">
        <v>1.87019</v>
      </c>
      <c r="ER76">
        <v>1.8694299999999999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-0.443</v>
      </c>
      <c r="FG76">
        <v>0.1628</v>
      </c>
      <c r="FH76">
        <v>5.8509882529719233E-2</v>
      </c>
      <c r="FI76">
        <v>-6.1462078757559423E-4</v>
      </c>
      <c r="FJ76">
        <v>-1.8861989874597051E-7</v>
      </c>
      <c r="FK76">
        <v>1.1980462299894961E-10</v>
      </c>
      <c r="FL76">
        <v>0.16277811159127681</v>
      </c>
      <c r="FM76">
        <v>0</v>
      </c>
      <c r="FN76">
        <v>0</v>
      </c>
      <c r="FO76">
        <v>0</v>
      </c>
      <c r="FP76">
        <v>3</v>
      </c>
      <c r="FQ76">
        <v>2158</v>
      </c>
      <c r="FR76">
        <v>1</v>
      </c>
      <c r="FS76">
        <v>19</v>
      </c>
      <c r="FT76">
        <v>18.7</v>
      </c>
      <c r="FU76">
        <v>18.899999999999999</v>
      </c>
      <c r="FV76">
        <v>1.79077</v>
      </c>
      <c r="FW76">
        <v>2.5756800000000002</v>
      </c>
      <c r="FX76">
        <v>1.5490699999999999</v>
      </c>
      <c r="FY76">
        <v>2.3290999999999999</v>
      </c>
      <c r="FZ76">
        <v>1.50146</v>
      </c>
      <c r="GA76">
        <v>2.4194300000000002</v>
      </c>
      <c r="GB76">
        <v>33.918700000000001</v>
      </c>
      <c r="GC76">
        <v>23.982399999999998</v>
      </c>
      <c r="GD76">
        <v>19</v>
      </c>
      <c r="GE76">
        <v>282.56799999999998</v>
      </c>
      <c r="GF76">
        <v>598.745</v>
      </c>
      <c r="GG76">
        <v>23.54</v>
      </c>
      <c r="GH76">
        <v>26.398</v>
      </c>
      <c r="GI76">
        <v>30</v>
      </c>
      <c r="GJ76">
        <v>26.537099999999999</v>
      </c>
      <c r="GK76">
        <v>26.511399999999998</v>
      </c>
      <c r="GL76">
        <v>35.802999999999997</v>
      </c>
      <c r="GM76">
        <v>39.199100000000001</v>
      </c>
      <c r="GN76">
        <v>100</v>
      </c>
      <c r="GO76">
        <v>23.544499999999999</v>
      </c>
      <c r="GP76">
        <v>800</v>
      </c>
      <c r="GQ76">
        <v>18.292000000000002</v>
      </c>
      <c r="GR76">
        <v>99.714799999999997</v>
      </c>
      <c r="GS76">
        <v>99.540700000000001</v>
      </c>
    </row>
    <row r="77" spans="1:201" x14ac:dyDescent="0.25">
      <c r="A77">
        <v>61</v>
      </c>
      <c r="B77">
        <v>1690221655</v>
      </c>
      <c r="C77">
        <v>772.5</v>
      </c>
      <c r="D77" t="s">
        <v>453</v>
      </c>
      <c r="E77" t="s">
        <v>454</v>
      </c>
      <c r="F77" t="s">
        <v>330</v>
      </c>
      <c r="H77">
        <v>1690221655</v>
      </c>
      <c r="I77">
        <f t="shared" si="0"/>
        <v>4.0501626049898839E-4</v>
      </c>
      <c r="J77">
        <f t="shared" si="1"/>
        <v>0.40501626049898837</v>
      </c>
      <c r="K77">
        <f t="shared" si="2"/>
        <v>6.7837852394541853</v>
      </c>
      <c r="L77">
        <f t="shared" si="3"/>
        <v>726.50699999999995</v>
      </c>
      <c r="M77">
        <f t="shared" si="4"/>
        <v>270.45384499144518</v>
      </c>
      <c r="N77">
        <f t="shared" si="5"/>
        <v>26.822971262457362</v>
      </c>
      <c r="O77">
        <f t="shared" si="6"/>
        <v>72.053242147807197</v>
      </c>
      <c r="P77">
        <f t="shared" si="7"/>
        <v>2.4639176631714867E-2</v>
      </c>
      <c r="Q77">
        <f t="shared" si="8"/>
        <v>2.1938122684847237</v>
      </c>
      <c r="R77">
        <f t="shared" si="9"/>
        <v>2.4486467642404672E-2</v>
      </c>
      <c r="S77">
        <f t="shared" si="10"/>
        <v>1.5317683562509985E-2</v>
      </c>
      <c r="T77">
        <f t="shared" si="11"/>
        <v>276.11339137819249</v>
      </c>
      <c r="U77">
        <f t="shared" si="12"/>
        <v>28.064810319670382</v>
      </c>
      <c r="V77">
        <f t="shared" si="13"/>
        <v>28.064810319670382</v>
      </c>
      <c r="W77">
        <f t="shared" si="14"/>
        <v>3.8092010678181176</v>
      </c>
      <c r="X77">
        <f t="shared" si="15"/>
        <v>65.459293535431797</v>
      </c>
      <c r="Y77">
        <f t="shared" si="16"/>
        <v>2.2186134919149598</v>
      </c>
      <c r="Z77">
        <f t="shared" si="17"/>
        <v>3.389302529997622</v>
      </c>
      <c r="AA77">
        <f t="shared" si="18"/>
        <v>1.5905875759031578</v>
      </c>
      <c r="AB77">
        <f t="shared" si="19"/>
        <v>-17.86121708800539</v>
      </c>
      <c r="AC77">
        <f t="shared" si="20"/>
        <v>-235.31679738048771</v>
      </c>
      <c r="AD77">
        <f t="shared" si="21"/>
        <v>-23.165261469272217</v>
      </c>
      <c r="AE77">
        <f t="shared" si="22"/>
        <v>-0.22988455957283804</v>
      </c>
      <c r="AF77">
        <v>0</v>
      </c>
      <c r="AG77">
        <v>0</v>
      </c>
      <c r="AH77">
        <f t="shared" si="23"/>
        <v>1</v>
      </c>
      <c r="AI77">
        <f t="shared" si="24"/>
        <v>0</v>
      </c>
      <c r="AJ77">
        <f t="shared" si="25"/>
        <v>52535.75733513094</v>
      </c>
      <c r="AK77">
        <f t="shared" si="26"/>
        <v>1799.99</v>
      </c>
      <c r="AL77">
        <f t="shared" si="27"/>
        <v>1499.1052555911999</v>
      </c>
      <c r="AM77">
        <f t="shared" si="28"/>
        <v>0.83284088000000001</v>
      </c>
      <c r="AN77">
        <f t="shared" si="29"/>
        <v>0.15339718075</v>
      </c>
      <c r="AO77">
        <v>31.2</v>
      </c>
      <c r="AP77">
        <v>0.5</v>
      </c>
      <c r="AQ77" t="s">
        <v>331</v>
      </c>
      <c r="AR77">
        <v>2</v>
      </c>
      <c r="AS77">
        <v>1690221655</v>
      </c>
      <c r="AT77">
        <v>726.50699999999995</v>
      </c>
      <c r="AU77">
        <v>800.05700000000002</v>
      </c>
      <c r="AV77">
        <v>22.370100000000001</v>
      </c>
      <c r="AW77">
        <v>18.255600000000001</v>
      </c>
      <c r="AX77">
        <v>726.94899999999996</v>
      </c>
      <c r="AY77">
        <v>22.2073</v>
      </c>
      <c r="AZ77">
        <v>300.25099999999998</v>
      </c>
      <c r="BA77">
        <v>99.077699999999993</v>
      </c>
      <c r="BB77">
        <v>9.9929599999999993E-2</v>
      </c>
      <c r="BC77">
        <v>26.075199999999999</v>
      </c>
      <c r="BD77">
        <v>26.982900000000001</v>
      </c>
      <c r="BE77">
        <v>27.789200000000001</v>
      </c>
      <c r="BF77">
        <v>0</v>
      </c>
      <c r="BG77">
        <v>0</v>
      </c>
      <c r="BH77">
        <v>9996.8799999999992</v>
      </c>
      <c r="BI77">
        <v>1067.53</v>
      </c>
      <c r="BJ77">
        <v>1.28952</v>
      </c>
      <c r="BK77">
        <v>-73.550399999999996</v>
      </c>
      <c r="BL77">
        <v>743.13099999999997</v>
      </c>
      <c r="BM77">
        <v>814.93399999999997</v>
      </c>
      <c r="BN77">
        <v>4.1144699999999998</v>
      </c>
      <c r="BO77">
        <v>800.05700000000002</v>
      </c>
      <c r="BP77">
        <v>18.255600000000001</v>
      </c>
      <c r="BQ77">
        <v>2.21638</v>
      </c>
      <c r="BR77">
        <v>1.8087200000000001</v>
      </c>
      <c r="BS77">
        <v>19.081199999999999</v>
      </c>
      <c r="BT77">
        <v>15.862399999999999</v>
      </c>
      <c r="BU77">
        <v>1799.99</v>
      </c>
      <c r="BV77">
        <v>0.91000999999999999</v>
      </c>
      <c r="BW77">
        <v>3.3993799999999998E-2</v>
      </c>
      <c r="BX77">
        <v>2.1998500000000001E-2</v>
      </c>
      <c r="BY77">
        <v>3.39975E-2</v>
      </c>
      <c r="BZ77">
        <v>26</v>
      </c>
      <c r="CA77">
        <v>33528.300000000003</v>
      </c>
      <c r="CB77">
        <v>1690220522.5999999</v>
      </c>
      <c r="CC77" t="s">
        <v>332</v>
      </c>
      <c r="CD77">
        <v>1690220522.5999999</v>
      </c>
      <c r="CE77">
        <v>1690220510.5999999</v>
      </c>
      <c r="CF77">
        <v>10</v>
      </c>
      <c r="CG77">
        <v>-0.22</v>
      </c>
      <c r="CH77">
        <v>-2.7E-2</v>
      </c>
      <c r="CI77">
        <v>-0.49299999999999999</v>
      </c>
      <c r="CJ77">
        <v>0.152</v>
      </c>
      <c r="CK77">
        <v>800</v>
      </c>
      <c r="CL77">
        <v>19</v>
      </c>
      <c r="CM77">
        <v>0.1</v>
      </c>
      <c r="CN77">
        <v>0.03</v>
      </c>
      <c r="CO77">
        <v>-71.429007317073157</v>
      </c>
      <c r="CP77">
        <v>-11.91265923344945</v>
      </c>
      <c r="CQ77">
        <v>1.17528497932603</v>
      </c>
      <c r="CR77">
        <v>-1</v>
      </c>
      <c r="CS77">
        <v>3.8275119512195119</v>
      </c>
      <c r="CT77">
        <v>1.466087665505228</v>
      </c>
      <c r="CU77">
        <v>0.1448273585396026</v>
      </c>
      <c r="CV77">
        <v>-1</v>
      </c>
      <c r="CW77">
        <v>0</v>
      </c>
      <c r="CX77">
        <v>0</v>
      </c>
      <c r="CY77" t="s">
        <v>333</v>
      </c>
      <c r="CZ77">
        <v>2.3644599999999998</v>
      </c>
      <c r="DA77">
        <v>2.7137199999999999</v>
      </c>
      <c r="DB77">
        <v>0.13750399999999999</v>
      </c>
      <c r="DC77">
        <v>0.146284</v>
      </c>
      <c r="DD77">
        <v>0.108401</v>
      </c>
      <c r="DE77">
        <v>9.2436099999999993E-2</v>
      </c>
      <c r="DF77">
        <v>31486.3</v>
      </c>
      <c r="DG77">
        <v>27505.599999999999</v>
      </c>
      <c r="DH77">
        <v>31165.599999999999</v>
      </c>
      <c r="DI77">
        <v>28074.2</v>
      </c>
      <c r="DJ77">
        <v>37726.800000000003</v>
      </c>
      <c r="DK77">
        <v>36228.800000000003</v>
      </c>
      <c r="DL77">
        <v>44351.3</v>
      </c>
      <c r="DM77">
        <v>42550.7</v>
      </c>
      <c r="DN77">
        <v>1.47333</v>
      </c>
      <c r="DO77">
        <v>2.0522499999999999</v>
      </c>
      <c r="DP77">
        <v>0.11033900000000001</v>
      </c>
      <c r="DQ77">
        <v>0.17100599999999999</v>
      </c>
      <c r="DR77">
        <v>25.175799999999999</v>
      </c>
      <c r="DS77">
        <v>24.989799999999999</v>
      </c>
      <c r="DT77">
        <v>53.4</v>
      </c>
      <c r="DU77">
        <v>29.6</v>
      </c>
      <c r="DV77">
        <v>22.443100000000001</v>
      </c>
      <c r="DW77">
        <v>61.544199999999996</v>
      </c>
      <c r="DX77">
        <v>35.388599999999997</v>
      </c>
      <c r="DY77">
        <v>1</v>
      </c>
      <c r="DZ77">
        <v>-7.8485799999999994E-2</v>
      </c>
      <c r="EA77">
        <v>0.86778900000000003</v>
      </c>
      <c r="EB77">
        <v>20.186900000000001</v>
      </c>
      <c r="EC77">
        <v>5.2408000000000001</v>
      </c>
      <c r="ED77">
        <v>12.039899999999999</v>
      </c>
      <c r="EE77">
        <v>5.0166500000000003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1.8689</v>
      </c>
      <c r="EL77">
        <v>1.8646499999999999</v>
      </c>
      <c r="EM77">
        <v>1.86917</v>
      </c>
      <c r="EN77">
        <v>1.8672500000000001</v>
      </c>
      <c r="EO77">
        <v>1.8633999999999999</v>
      </c>
      <c r="EP77">
        <v>1.86456</v>
      </c>
      <c r="EQ77">
        <v>1.87018</v>
      </c>
      <c r="ER77">
        <v>1.86941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-0.442</v>
      </c>
      <c r="FG77">
        <v>0.1628</v>
      </c>
      <c r="FH77">
        <v>5.8509882529719233E-2</v>
      </c>
      <c r="FI77">
        <v>-6.1462078757559423E-4</v>
      </c>
      <c r="FJ77">
        <v>-1.8861989874597051E-7</v>
      </c>
      <c r="FK77">
        <v>1.1980462299894961E-10</v>
      </c>
      <c r="FL77">
        <v>0.16277811159127681</v>
      </c>
      <c r="FM77">
        <v>0</v>
      </c>
      <c r="FN77">
        <v>0</v>
      </c>
      <c r="FO77">
        <v>0</v>
      </c>
      <c r="FP77">
        <v>3</v>
      </c>
      <c r="FQ77">
        <v>2158</v>
      </c>
      <c r="FR77">
        <v>1</v>
      </c>
      <c r="FS77">
        <v>19</v>
      </c>
      <c r="FT77">
        <v>18.899999999999999</v>
      </c>
      <c r="FU77">
        <v>19.100000000000001</v>
      </c>
      <c r="FV77">
        <v>1.79077</v>
      </c>
      <c r="FW77">
        <v>2.5842299999999998</v>
      </c>
      <c r="FX77">
        <v>1.5490699999999999</v>
      </c>
      <c r="FY77">
        <v>2.3290999999999999</v>
      </c>
      <c r="FZ77">
        <v>1.50146</v>
      </c>
      <c r="GA77">
        <v>2.34253</v>
      </c>
      <c r="GB77">
        <v>33.918700000000001</v>
      </c>
      <c r="GC77">
        <v>23.973700000000001</v>
      </c>
      <c r="GD77">
        <v>19</v>
      </c>
      <c r="GE77">
        <v>282.45699999999999</v>
      </c>
      <c r="GF77">
        <v>598.36199999999997</v>
      </c>
      <c r="GG77">
        <v>23.5032</v>
      </c>
      <c r="GH77">
        <v>26.394200000000001</v>
      </c>
      <c r="GI77">
        <v>30</v>
      </c>
      <c r="GJ77">
        <v>26.5336</v>
      </c>
      <c r="GK77">
        <v>26.5092</v>
      </c>
      <c r="GL77">
        <v>35.801400000000001</v>
      </c>
      <c r="GM77">
        <v>39.491</v>
      </c>
      <c r="GN77">
        <v>100</v>
      </c>
      <c r="GO77">
        <v>23.461300000000001</v>
      </c>
      <c r="GP77">
        <v>800</v>
      </c>
      <c r="GQ77">
        <v>18.184200000000001</v>
      </c>
      <c r="GR77">
        <v>99.716300000000004</v>
      </c>
      <c r="GS77">
        <v>99.540899999999993</v>
      </c>
    </row>
    <row r="78" spans="1:201" x14ac:dyDescent="0.25">
      <c r="A78">
        <v>62</v>
      </c>
      <c r="B78">
        <v>1690221665</v>
      </c>
      <c r="C78">
        <v>782.5</v>
      </c>
      <c r="D78" t="s">
        <v>455</v>
      </c>
      <c r="E78" t="s">
        <v>456</v>
      </c>
      <c r="F78" t="s">
        <v>330</v>
      </c>
      <c r="H78">
        <v>1690221665</v>
      </c>
      <c r="I78">
        <f t="shared" si="0"/>
        <v>4.2090449259179856E-4</v>
      </c>
      <c r="J78">
        <f t="shared" si="1"/>
        <v>0.42090449259179857</v>
      </c>
      <c r="K78">
        <f t="shared" si="2"/>
        <v>6.9730330516956309</v>
      </c>
      <c r="L78">
        <f t="shared" si="3"/>
        <v>724.34900000000005</v>
      </c>
      <c r="M78">
        <f t="shared" si="4"/>
        <v>276.57415919084235</v>
      </c>
      <c r="N78">
        <f t="shared" si="5"/>
        <v>27.429594206026778</v>
      </c>
      <c r="O78">
        <f t="shared" si="6"/>
        <v>71.838233881537406</v>
      </c>
      <c r="P78">
        <f t="shared" si="7"/>
        <v>2.5812204105791364E-2</v>
      </c>
      <c r="Q78">
        <f t="shared" si="8"/>
        <v>2.198399527407223</v>
      </c>
      <c r="R78">
        <f t="shared" si="9"/>
        <v>2.5645009097419121E-2</v>
      </c>
      <c r="S78">
        <f t="shared" si="10"/>
        <v>1.6043062102228802E-2</v>
      </c>
      <c r="T78">
        <f t="shared" si="11"/>
        <v>276.11476561799998</v>
      </c>
      <c r="U78">
        <f t="shared" si="12"/>
        <v>28.052954250363968</v>
      </c>
      <c r="V78">
        <f t="shared" si="13"/>
        <v>28.052954250363968</v>
      </c>
      <c r="W78">
        <f t="shared" si="14"/>
        <v>3.8065703306627552</v>
      </c>
      <c r="X78">
        <f t="shared" si="15"/>
        <v>65.756830800015862</v>
      </c>
      <c r="Y78">
        <f t="shared" si="16"/>
        <v>2.2283420809130998</v>
      </c>
      <c r="Z78">
        <f t="shared" si="17"/>
        <v>3.3887613709518409</v>
      </c>
      <c r="AA78">
        <f t="shared" si="18"/>
        <v>1.5782282497496554</v>
      </c>
      <c r="AB78">
        <f t="shared" si="19"/>
        <v>-18.561888123298317</v>
      </c>
      <c r="AC78">
        <f t="shared" si="20"/>
        <v>-234.72366614224697</v>
      </c>
      <c r="AD78">
        <f t="shared" si="21"/>
        <v>-23.056976203100398</v>
      </c>
      <c r="AE78">
        <f t="shared" si="22"/>
        <v>-0.22776485064568419</v>
      </c>
      <c r="AF78">
        <v>0</v>
      </c>
      <c r="AG78">
        <v>0</v>
      </c>
      <c r="AH78">
        <f t="shared" si="23"/>
        <v>1</v>
      </c>
      <c r="AI78">
        <f t="shared" si="24"/>
        <v>0</v>
      </c>
      <c r="AJ78">
        <f t="shared" si="25"/>
        <v>52724.516172738797</v>
      </c>
      <c r="AK78">
        <f t="shared" si="26"/>
        <v>1800</v>
      </c>
      <c r="AL78">
        <f t="shared" si="27"/>
        <v>1499.1145667999999</v>
      </c>
      <c r="AM78">
        <f t="shared" si="28"/>
        <v>0.832841426</v>
      </c>
      <c r="AN78">
        <f t="shared" si="29"/>
        <v>0.15339709200999999</v>
      </c>
      <c r="AO78">
        <v>31.2</v>
      </c>
      <c r="AP78">
        <v>0.5</v>
      </c>
      <c r="AQ78" t="s">
        <v>331</v>
      </c>
      <c r="AR78">
        <v>2</v>
      </c>
      <c r="AS78">
        <v>1690221665</v>
      </c>
      <c r="AT78">
        <v>724.34900000000005</v>
      </c>
      <c r="AU78">
        <v>800.00300000000004</v>
      </c>
      <c r="AV78">
        <v>22.468499999999999</v>
      </c>
      <c r="AW78">
        <v>18.191500000000001</v>
      </c>
      <c r="AX78">
        <v>724.78899999999999</v>
      </c>
      <c r="AY78">
        <v>22.305700000000002</v>
      </c>
      <c r="AZ78">
        <v>300.14400000000001</v>
      </c>
      <c r="BA78">
        <v>99.076300000000003</v>
      </c>
      <c r="BB78">
        <v>9.9972599999999995E-2</v>
      </c>
      <c r="BC78">
        <v>26.072500000000002</v>
      </c>
      <c r="BD78">
        <v>26.961099999999998</v>
      </c>
      <c r="BE78">
        <v>27.791399999999999</v>
      </c>
      <c r="BF78">
        <v>0</v>
      </c>
      <c r="BG78">
        <v>0</v>
      </c>
      <c r="BH78">
        <v>10034.4</v>
      </c>
      <c r="BI78">
        <v>1067.57</v>
      </c>
      <c r="BJ78">
        <v>1.3021400000000001</v>
      </c>
      <c r="BK78">
        <v>-75.653899999999993</v>
      </c>
      <c r="BL78">
        <v>740.99800000000005</v>
      </c>
      <c r="BM78">
        <v>814.82600000000002</v>
      </c>
      <c r="BN78">
        <v>4.2769599999999999</v>
      </c>
      <c r="BO78">
        <v>800.00300000000004</v>
      </c>
      <c r="BP78">
        <v>18.191500000000001</v>
      </c>
      <c r="BQ78">
        <v>2.2260900000000001</v>
      </c>
      <c r="BR78">
        <v>1.8023499999999999</v>
      </c>
      <c r="BS78">
        <v>19.151399999999999</v>
      </c>
      <c r="BT78">
        <v>15.8072</v>
      </c>
      <c r="BU78">
        <v>1800</v>
      </c>
      <c r="BV78">
        <v>0.91001500000000002</v>
      </c>
      <c r="BW78">
        <v>3.3992000000000001E-2</v>
      </c>
      <c r="BX78">
        <v>2.1997300000000001E-2</v>
      </c>
      <c r="BY78">
        <v>3.3995699999999997E-2</v>
      </c>
      <c r="BZ78">
        <v>26</v>
      </c>
      <c r="CA78">
        <v>33528.5</v>
      </c>
      <c r="CB78">
        <v>1690220522.5999999</v>
      </c>
      <c r="CC78" t="s">
        <v>332</v>
      </c>
      <c r="CD78">
        <v>1690220522.5999999</v>
      </c>
      <c r="CE78">
        <v>1690220510.5999999</v>
      </c>
      <c r="CF78">
        <v>10</v>
      </c>
      <c r="CG78">
        <v>-0.22</v>
      </c>
      <c r="CH78">
        <v>-2.7E-2</v>
      </c>
      <c r="CI78">
        <v>-0.49299999999999999</v>
      </c>
      <c r="CJ78">
        <v>0.152</v>
      </c>
      <c r="CK78">
        <v>800</v>
      </c>
      <c r="CL78">
        <v>19</v>
      </c>
      <c r="CM78">
        <v>0.1</v>
      </c>
      <c r="CN78">
        <v>0.03</v>
      </c>
      <c r="CO78">
        <v>-73.468560975609762</v>
      </c>
      <c r="CP78">
        <v>-12.685952613240341</v>
      </c>
      <c r="CQ78">
        <v>1.251213653720894</v>
      </c>
      <c r="CR78">
        <v>-1</v>
      </c>
      <c r="CS78">
        <v>4.0779251219512176</v>
      </c>
      <c r="CT78">
        <v>1.4246636236933929</v>
      </c>
      <c r="CU78">
        <v>0.1420873220880591</v>
      </c>
      <c r="CV78">
        <v>-1</v>
      </c>
      <c r="CW78">
        <v>0</v>
      </c>
      <c r="CX78">
        <v>0</v>
      </c>
      <c r="CY78" t="s">
        <v>333</v>
      </c>
      <c r="CZ78">
        <v>2.3641200000000002</v>
      </c>
      <c r="DA78">
        <v>2.7137899999999999</v>
      </c>
      <c r="DB78">
        <v>0.13722799999999999</v>
      </c>
      <c r="DC78">
        <v>0.14627499999999999</v>
      </c>
      <c r="DD78">
        <v>0.108739</v>
      </c>
      <c r="DE78">
        <v>9.2202699999999999E-2</v>
      </c>
      <c r="DF78">
        <v>31496.7</v>
      </c>
      <c r="DG78">
        <v>27506.1</v>
      </c>
      <c r="DH78">
        <v>31165.9</v>
      </c>
      <c r="DI78">
        <v>28074.3</v>
      </c>
      <c r="DJ78">
        <v>37712.800000000003</v>
      </c>
      <c r="DK78">
        <v>36238.300000000003</v>
      </c>
      <c r="DL78">
        <v>44351.9</v>
      </c>
      <c r="DM78">
        <v>42550.9</v>
      </c>
      <c r="DN78">
        <v>1.4732000000000001</v>
      </c>
      <c r="DO78">
        <v>2.0523799999999999</v>
      </c>
      <c r="DP78">
        <v>0.10903599999999999</v>
      </c>
      <c r="DQ78">
        <v>0.17100899999999999</v>
      </c>
      <c r="DR78">
        <v>25.1753</v>
      </c>
      <c r="DS78">
        <v>24.991900000000001</v>
      </c>
      <c r="DT78">
        <v>53.9</v>
      </c>
      <c r="DU78">
        <v>29.7</v>
      </c>
      <c r="DV78">
        <v>22.784300000000002</v>
      </c>
      <c r="DW78">
        <v>61.324199999999998</v>
      </c>
      <c r="DX78">
        <v>36.602600000000002</v>
      </c>
      <c r="DY78">
        <v>1</v>
      </c>
      <c r="DZ78">
        <v>-7.8688999999999995E-2</v>
      </c>
      <c r="EA78">
        <v>0.665632</v>
      </c>
      <c r="EB78">
        <v>20.188099999999999</v>
      </c>
      <c r="EC78">
        <v>5.2411000000000003</v>
      </c>
      <c r="ED78">
        <v>12.039899999999999</v>
      </c>
      <c r="EE78">
        <v>5.0168499999999998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1.8689199999999999</v>
      </c>
      <c r="EL78">
        <v>1.86463</v>
      </c>
      <c r="EM78">
        <v>1.8691800000000001</v>
      </c>
      <c r="EN78">
        <v>1.86724</v>
      </c>
      <c r="EO78">
        <v>1.8633999999999999</v>
      </c>
      <c r="EP78">
        <v>1.86453</v>
      </c>
      <c r="EQ78">
        <v>1.8702099999999999</v>
      </c>
      <c r="ER78">
        <v>1.8694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-0.44</v>
      </c>
      <c r="FG78">
        <v>0.1628</v>
      </c>
      <c r="FH78">
        <v>5.8509882529719233E-2</v>
      </c>
      <c r="FI78">
        <v>-6.1462078757559423E-4</v>
      </c>
      <c r="FJ78">
        <v>-1.8861989874597051E-7</v>
      </c>
      <c r="FK78">
        <v>1.1980462299894961E-10</v>
      </c>
      <c r="FL78">
        <v>0.16277811159127681</v>
      </c>
      <c r="FM78">
        <v>0</v>
      </c>
      <c r="FN78">
        <v>0</v>
      </c>
      <c r="FO78">
        <v>0</v>
      </c>
      <c r="FP78">
        <v>3</v>
      </c>
      <c r="FQ78">
        <v>2158</v>
      </c>
      <c r="FR78">
        <v>1</v>
      </c>
      <c r="FS78">
        <v>19</v>
      </c>
      <c r="FT78">
        <v>19</v>
      </c>
      <c r="FU78">
        <v>19.2</v>
      </c>
      <c r="FV78">
        <v>1.78955</v>
      </c>
      <c r="FW78">
        <v>2.5732400000000002</v>
      </c>
      <c r="FX78">
        <v>1.5490699999999999</v>
      </c>
      <c r="FY78">
        <v>2.3290999999999999</v>
      </c>
      <c r="FZ78">
        <v>1.50146</v>
      </c>
      <c r="GA78">
        <v>2.3742700000000001</v>
      </c>
      <c r="GB78">
        <v>33.918700000000001</v>
      </c>
      <c r="GC78">
        <v>23.982399999999998</v>
      </c>
      <c r="GD78">
        <v>19</v>
      </c>
      <c r="GE78">
        <v>282.38900000000001</v>
      </c>
      <c r="GF78">
        <v>598.44100000000003</v>
      </c>
      <c r="GG78">
        <v>23.452500000000001</v>
      </c>
      <c r="GH78">
        <v>26.3903</v>
      </c>
      <c r="GI78">
        <v>29.9998</v>
      </c>
      <c r="GJ78">
        <v>26.5303</v>
      </c>
      <c r="GK78">
        <v>26.506900000000002</v>
      </c>
      <c r="GL78">
        <v>35.798099999999998</v>
      </c>
      <c r="GM78">
        <v>39.767600000000002</v>
      </c>
      <c r="GN78">
        <v>100</v>
      </c>
      <c r="GO78">
        <v>23.485299999999999</v>
      </c>
      <c r="GP78">
        <v>800</v>
      </c>
      <c r="GQ78">
        <v>18.083500000000001</v>
      </c>
      <c r="GR78">
        <v>99.717399999999998</v>
      </c>
      <c r="GS78">
        <v>99.541399999999996</v>
      </c>
    </row>
    <row r="79" spans="1:201" x14ac:dyDescent="0.25">
      <c r="A79">
        <v>63</v>
      </c>
      <c r="B79">
        <v>1690221675</v>
      </c>
      <c r="C79">
        <v>792.5</v>
      </c>
      <c r="D79" t="s">
        <v>457</v>
      </c>
      <c r="E79" t="s">
        <v>458</v>
      </c>
      <c r="F79" t="s">
        <v>330</v>
      </c>
      <c r="H79">
        <v>1690221675</v>
      </c>
      <c r="I79">
        <f t="shared" si="0"/>
        <v>4.4329062782468964E-4</v>
      </c>
      <c r="J79">
        <f t="shared" si="1"/>
        <v>0.44329062782468964</v>
      </c>
      <c r="K79">
        <f t="shared" si="2"/>
        <v>7.1914985842723791</v>
      </c>
      <c r="L79">
        <f t="shared" si="3"/>
        <v>722.07799999999997</v>
      </c>
      <c r="M79">
        <f t="shared" si="4"/>
        <v>286.24279233804566</v>
      </c>
      <c r="N79">
        <f t="shared" si="5"/>
        <v>28.389040126806528</v>
      </c>
      <c r="O79">
        <f t="shared" si="6"/>
        <v>71.614384240897408</v>
      </c>
      <c r="P79">
        <f t="shared" si="7"/>
        <v>2.7383210534030398E-2</v>
      </c>
      <c r="Q79">
        <f t="shared" si="8"/>
        <v>2.188352487422363</v>
      </c>
      <c r="R79">
        <f t="shared" si="9"/>
        <v>2.719426715251547E-2</v>
      </c>
      <c r="S79">
        <f t="shared" si="10"/>
        <v>1.7013283994637154E-2</v>
      </c>
      <c r="T79">
        <f t="shared" si="11"/>
        <v>276.11470904400005</v>
      </c>
      <c r="U79">
        <f t="shared" si="12"/>
        <v>28.049621063579298</v>
      </c>
      <c r="V79">
        <f t="shared" si="13"/>
        <v>28.049621063579298</v>
      </c>
      <c r="W79">
        <f t="shared" si="14"/>
        <v>3.805831017063753</v>
      </c>
      <c r="X79">
        <f t="shared" si="15"/>
        <v>66.069320329773532</v>
      </c>
      <c r="Y79">
        <f t="shared" si="16"/>
        <v>2.2384020079893503</v>
      </c>
      <c r="Z79">
        <f t="shared" si="17"/>
        <v>3.3879597925584157</v>
      </c>
      <c r="AA79">
        <f t="shared" si="18"/>
        <v>1.5674290090744027</v>
      </c>
      <c r="AB79">
        <f t="shared" si="19"/>
        <v>-19.549116687068814</v>
      </c>
      <c r="AC79">
        <f t="shared" si="20"/>
        <v>-233.72961077165567</v>
      </c>
      <c r="AD79">
        <f t="shared" si="21"/>
        <v>-23.063894092487491</v>
      </c>
      <c r="AE79">
        <f t="shared" si="22"/>
        <v>-0.22791250721192569</v>
      </c>
      <c r="AF79">
        <v>0</v>
      </c>
      <c r="AG79">
        <v>0</v>
      </c>
      <c r="AH79">
        <f t="shared" si="23"/>
        <v>1</v>
      </c>
      <c r="AI79">
        <f t="shared" si="24"/>
        <v>0</v>
      </c>
      <c r="AJ79">
        <f t="shared" si="25"/>
        <v>52313.336880730283</v>
      </c>
      <c r="AK79">
        <f t="shared" si="26"/>
        <v>1800</v>
      </c>
      <c r="AL79">
        <f t="shared" si="27"/>
        <v>1499.1120594000001</v>
      </c>
      <c r="AM79">
        <f t="shared" si="28"/>
        <v>0.83284003300000009</v>
      </c>
      <c r="AN79">
        <f t="shared" si="29"/>
        <v>0.15339706058000002</v>
      </c>
      <c r="AO79">
        <v>31.2</v>
      </c>
      <c r="AP79">
        <v>0.5</v>
      </c>
      <c r="AQ79" t="s">
        <v>331</v>
      </c>
      <c r="AR79">
        <v>2</v>
      </c>
      <c r="AS79">
        <v>1690221675</v>
      </c>
      <c r="AT79">
        <v>722.07799999999997</v>
      </c>
      <c r="AU79">
        <v>800.14700000000005</v>
      </c>
      <c r="AV79">
        <v>22.569500000000001</v>
      </c>
      <c r="AW79">
        <v>18.066299999999998</v>
      </c>
      <c r="AX79">
        <v>722.51700000000005</v>
      </c>
      <c r="AY79">
        <v>22.406700000000001</v>
      </c>
      <c r="AZ79">
        <v>300.19799999999998</v>
      </c>
      <c r="BA79">
        <v>99.078199999999995</v>
      </c>
      <c r="BB79">
        <v>9.9983299999999997E-2</v>
      </c>
      <c r="BC79">
        <v>26.0685</v>
      </c>
      <c r="BD79">
        <v>26.960899999999999</v>
      </c>
      <c r="BE79">
        <v>27.7941</v>
      </c>
      <c r="BF79">
        <v>0</v>
      </c>
      <c r="BG79">
        <v>0</v>
      </c>
      <c r="BH79">
        <v>9952.5</v>
      </c>
      <c r="BI79">
        <v>1067.77</v>
      </c>
      <c r="BJ79">
        <v>1.3315699999999999</v>
      </c>
      <c r="BK79">
        <v>-78.069199999999995</v>
      </c>
      <c r="BL79">
        <v>738.75099999999998</v>
      </c>
      <c r="BM79">
        <v>814.86900000000003</v>
      </c>
      <c r="BN79">
        <v>4.50319</v>
      </c>
      <c r="BO79">
        <v>800.14700000000005</v>
      </c>
      <c r="BP79">
        <v>18.066299999999998</v>
      </c>
      <c r="BQ79">
        <v>2.2361399999999998</v>
      </c>
      <c r="BR79">
        <v>1.7899700000000001</v>
      </c>
      <c r="BS79">
        <v>19.223600000000001</v>
      </c>
      <c r="BT79">
        <v>15.6995</v>
      </c>
      <c r="BU79">
        <v>1800</v>
      </c>
      <c r="BV79">
        <v>0.91000800000000004</v>
      </c>
      <c r="BW79">
        <v>3.4002400000000002E-2</v>
      </c>
      <c r="BX79">
        <v>2.1995899999999999E-2</v>
      </c>
      <c r="BY79">
        <v>3.3993599999999999E-2</v>
      </c>
      <c r="BZ79">
        <v>26</v>
      </c>
      <c r="CA79">
        <v>33528.400000000001</v>
      </c>
      <c r="CB79">
        <v>1690220522.5999999</v>
      </c>
      <c r="CC79" t="s">
        <v>332</v>
      </c>
      <c r="CD79">
        <v>1690220522.5999999</v>
      </c>
      <c r="CE79">
        <v>1690220510.5999999</v>
      </c>
      <c r="CF79">
        <v>10</v>
      </c>
      <c r="CG79">
        <v>-0.22</v>
      </c>
      <c r="CH79">
        <v>-2.7E-2</v>
      </c>
      <c r="CI79">
        <v>-0.49299999999999999</v>
      </c>
      <c r="CJ79">
        <v>0.152</v>
      </c>
      <c r="CK79">
        <v>800</v>
      </c>
      <c r="CL79">
        <v>19</v>
      </c>
      <c r="CM79">
        <v>0.1</v>
      </c>
      <c r="CN79">
        <v>0.03</v>
      </c>
      <c r="CO79">
        <v>-75.635670731707322</v>
      </c>
      <c r="CP79">
        <v>-13.40888780487799</v>
      </c>
      <c r="CQ79">
        <v>1.322768291057165</v>
      </c>
      <c r="CR79">
        <v>-1</v>
      </c>
      <c r="CS79">
        <v>4.2875570731707313</v>
      </c>
      <c r="CT79">
        <v>1.0280418815331029</v>
      </c>
      <c r="CU79">
        <v>0.102287032014146</v>
      </c>
      <c r="CV79">
        <v>-1</v>
      </c>
      <c r="CW79">
        <v>0</v>
      </c>
      <c r="CX79">
        <v>0</v>
      </c>
      <c r="CY79" t="s">
        <v>333</v>
      </c>
      <c r="CZ79">
        <v>2.36429</v>
      </c>
      <c r="DA79">
        <v>2.71373</v>
      </c>
      <c r="DB79">
        <v>0.13694000000000001</v>
      </c>
      <c r="DC79">
        <v>0.14629400000000001</v>
      </c>
      <c r="DD79">
        <v>0.10908900000000001</v>
      </c>
      <c r="DE79">
        <v>9.1748999999999997E-2</v>
      </c>
      <c r="DF79">
        <v>31507.200000000001</v>
      </c>
      <c r="DG79">
        <v>27505.599999999999</v>
      </c>
      <c r="DH79">
        <v>31165.9</v>
      </c>
      <c r="DI79">
        <v>28074.400000000001</v>
      </c>
      <c r="DJ79">
        <v>37697.800000000003</v>
      </c>
      <c r="DK79">
        <v>36256.6</v>
      </c>
      <c r="DL79">
        <v>44351.8</v>
      </c>
      <c r="DM79">
        <v>42551.1</v>
      </c>
      <c r="DN79">
        <v>1.4735199999999999</v>
      </c>
      <c r="DO79">
        <v>2.0521199999999999</v>
      </c>
      <c r="DP79">
        <v>0.109125</v>
      </c>
      <c r="DQ79">
        <v>0.17117299999999999</v>
      </c>
      <c r="DR79">
        <v>25.1736</v>
      </c>
      <c r="DS79">
        <v>24.991900000000001</v>
      </c>
      <c r="DT79">
        <v>54.3</v>
      </c>
      <c r="DU79">
        <v>29.6</v>
      </c>
      <c r="DV79">
        <v>22.8171</v>
      </c>
      <c r="DW79">
        <v>62.034199999999998</v>
      </c>
      <c r="DX79">
        <v>35.296500000000002</v>
      </c>
      <c r="DY79">
        <v>1</v>
      </c>
      <c r="DZ79">
        <v>-7.9222600000000004E-2</v>
      </c>
      <c r="EA79">
        <v>0.496419</v>
      </c>
      <c r="EB79">
        <v>20.1892</v>
      </c>
      <c r="EC79">
        <v>5.2406499999999996</v>
      </c>
      <c r="ED79">
        <v>12.039899999999999</v>
      </c>
      <c r="EE79">
        <v>5.0167999999999999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1.8689100000000001</v>
      </c>
      <c r="EL79">
        <v>1.8646400000000001</v>
      </c>
      <c r="EM79">
        <v>1.8691899999999999</v>
      </c>
      <c r="EN79">
        <v>1.8672500000000001</v>
      </c>
      <c r="EO79">
        <v>1.8633999999999999</v>
      </c>
      <c r="EP79">
        <v>1.86452</v>
      </c>
      <c r="EQ79">
        <v>1.87015</v>
      </c>
      <c r="ER79">
        <v>1.86941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-0.439</v>
      </c>
      <c r="FG79">
        <v>0.1628</v>
      </c>
      <c r="FH79">
        <v>5.8509882529719233E-2</v>
      </c>
      <c r="FI79">
        <v>-6.1462078757559423E-4</v>
      </c>
      <c r="FJ79">
        <v>-1.8861989874597051E-7</v>
      </c>
      <c r="FK79">
        <v>1.1980462299894961E-10</v>
      </c>
      <c r="FL79">
        <v>0.16277811159127681</v>
      </c>
      <c r="FM79">
        <v>0</v>
      </c>
      <c r="FN79">
        <v>0</v>
      </c>
      <c r="FO79">
        <v>0</v>
      </c>
      <c r="FP79">
        <v>3</v>
      </c>
      <c r="FQ79">
        <v>2158</v>
      </c>
      <c r="FR79">
        <v>1</v>
      </c>
      <c r="FS79">
        <v>19</v>
      </c>
      <c r="FT79">
        <v>19.2</v>
      </c>
      <c r="FU79">
        <v>19.399999999999999</v>
      </c>
      <c r="FV79">
        <v>1.78955</v>
      </c>
      <c r="FW79">
        <v>2.5744600000000002</v>
      </c>
      <c r="FX79">
        <v>1.5490699999999999</v>
      </c>
      <c r="FY79">
        <v>2.3290999999999999</v>
      </c>
      <c r="FZ79">
        <v>1.50146</v>
      </c>
      <c r="GA79">
        <v>2.3828100000000001</v>
      </c>
      <c r="GB79">
        <v>33.918700000000001</v>
      </c>
      <c r="GC79">
        <v>23.982399999999998</v>
      </c>
      <c r="GD79">
        <v>19</v>
      </c>
      <c r="GE79">
        <v>282.512</v>
      </c>
      <c r="GF79">
        <v>598.20500000000004</v>
      </c>
      <c r="GG79">
        <v>23.497199999999999</v>
      </c>
      <c r="GH79">
        <v>26.386399999999998</v>
      </c>
      <c r="GI79">
        <v>29.9999</v>
      </c>
      <c r="GJ79">
        <v>26.526900000000001</v>
      </c>
      <c r="GK79">
        <v>26.5047</v>
      </c>
      <c r="GL79">
        <v>35.7879</v>
      </c>
      <c r="GM79">
        <v>40.050800000000002</v>
      </c>
      <c r="GN79">
        <v>100</v>
      </c>
      <c r="GO79">
        <v>23.525500000000001</v>
      </c>
      <c r="GP79">
        <v>800</v>
      </c>
      <c r="GQ79">
        <v>17.963200000000001</v>
      </c>
      <c r="GR79">
        <v>99.717299999999994</v>
      </c>
      <c r="GS79">
        <v>99.541799999999995</v>
      </c>
    </row>
    <row r="80" spans="1:201" x14ac:dyDescent="0.25">
      <c r="A80">
        <v>64</v>
      </c>
      <c r="B80">
        <v>1690221685</v>
      </c>
      <c r="C80">
        <v>802.5</v>
      </c>
      <c r="D80" t="s">
        <v>459</v>
      </c>
      <c r="E80" t="s">
        <v>460</v>
      </c>
      <c r="F80" t="s">
        <v>330</v>
      </c>
      <c r="H80">
        <v>1690221685</v>
      </c>
      <c r="I80">
        <f t="shared" si="0"/>
        <v>4.6249275771159806E-4</v>
      </c>
      <c r="J80">
        <f t="shared" si="1"/>
        <v>0.46249275771159803</v>
      </c>
      <c r="K80">
        <f t="shared" si="2"/>
        <v>7.4041849582767334</v>
      </c>
      <c r="L80">
        <f t="shared" si="3"/>
        <v>719.67899999999997</v>
      </c>
      <c r="M80">
        <f t="shared" si="4"/>
        <v>292.33779018272111</v>
      </c>
      <c r="N80">
        <f t="shared" si="5"/>
        <v>28.993625570001537</v>
      </c>
      <c r="O80">
        <f t="shared" si="6"/>
        <v>71.376688739252998</v>
      </c>
      <c r="P80">
        <f t="shared" si="7"/>
        <v>2.8776248663676052E-2</v>
      </c>
      <c r="Q80">
        <f t="shared" si="8"/>
        <v>2.1960478468602909</v>
      </c>
      <c r="R80">
        <f t="shared" si="9"/>
        <v>2.856839666405939E-2</v>
      </c>
      <c r="S80">
        <f t="shared" si="10"/>
        <v>1.787379733308116E-2</v>
      </c>
      <c r="T80">
        <f t="shared" si="11"/>
        <v>276.11483966999998</v>
      </c>
      <c r="U80">
        <f t="shared" si="12"/>
        <v>28.041669240018173</v>
      </c>
      <c r="V80">
        <f t="shared" si="13"/>
        <v>28.041669240018173</v>
      </c>
      <c r="W80">
        <f t="shared" si="14"/>
        <v>3.8040677780196717</v>
      </c>
      <c r="X80">
        <f t="shared" si="15"/>
        <v>66.317291947978021</v>
      </c>
      <c r="Y80">
        <f t="shared" si="16"/>
        <v>2.2474543935749001</v>
      </c>
      <c r="Z80">
        <f t="shared" si="17"/>
        <v>3.3889417489150411</v>
      </c>
      <c r="AA80">
        <f t="shared" si="18"/>
        <v>1.5566133844447716</v>
      </c>
      <c r="AB80">
        <f t="shared" si="19"/>
        <v>-20.395930615081475</v>
      </c>
      <c r="AC80">
        <f t="shared" si="20"/>
        <v>-233.02995265395629</v>
      </c>
      <c r="AD80">
        <f t="shared" si="21"/>
        <v>-22.913922413277017</v>
      </c>
      <c r="AE80">
        <f t="shared" si="22"/>
        <v>-0.22496601231480895</v>
      </c>
      <c r="AF80">
        <v>0</v>
      </c>
      <c r="AG80">
        <v>0</v>
      </c>
      <c r="AH80">
        <f t="shared" si="23"/>
        <v>1</v>
      </c>
      <c r="AI80">
        <f t="shared" si="24"/>
        <v>0</v>
      </c>
      <c r="AJ80">
        <f t="shared" si="25"/>
        <v>52627.814435640757</v>
      </c>
      <c r="AK80">
        <f t="shared" si="26"/>
        <v>1800</v>
      </c>
      <c r="AL80">
        <f t="shared" si="27"/>
        <v>1499.1116489999997</v>
      </c>
      <c r="AM80">
        <f t="shared" si="28"/>
        <v>0.83283980499999988</v>
      </c>
      <c r="AN80">
        <f t="shared" si="29"/>
        <v>0.15339713314999998</v>
      </c>
      <c r="AO80">
        <v>31.2</v>
      </c>
      <c r="AP80">
        <v>0.5</v>
      </c>
      <c r="AQ80" t="s">
        <v>331</v>
      </c>
      <c r="AR80">
        <v>2</v>
      </c>
      <c r="AS80">
        <v>1690221685</v>
      </c>
      <c r="AT80">
        <v>719.67899999999997</v>
      </c>
      <c r="AU80">
        <v>800.09400000000005</v>
      </c>
      <c r="AV80">
        <v>22.660699999999999</v>
      </c>
      <c r="AW80">
        <v>17.962700000000002</v>
      </c>
      <c r="AX80">
        <v>720.11699999999996</v>
      </c>
      <c r="AY80">
        <v>22.498000000000001</v>
      </c>
      <c r="AZ80">
        <v>300.18700000000001</v>
      </c>
      <c r="BA80">
        <v>99.078500000000005</v>
      </c>
      <c r="BB80">
        <v>0.100007</v>
      </c>
      <c r="BC80">
        <v>26.073399999999999</v>
      </c>
      <c r="BD80">
        <v>26.997900000000001</v>
      </c>
      <c r="BE80">
        <v>27.741700000000002</v>
      </c>
      <c r="BF80">
        <v>0</v>
      </c>
      <c r="BG80">
        <v>0</v>
      </c>
      <c r="BH80">
        <v>10015</v>
      </c>
      <c r="BI80">
        <v>1067.82</v>
      </c>
      <c r="BJ80">
        <v>1.3750199999999999</v>
      </c>
      <c r="BK80">
        <v>-80.4148</v>
      </c>
      <c r="BL80">
        <v>736.36599999999999</v>
      </c>
      <c r="BM80">
        <v>814.72900000000004</v>
      </c>
      <c r="BN80">
        <v>4.6980700000000004</v>
      </c>
      <c r="BO80">
        <v>800.09400000000005</v>
      </c>
      <c r="BP80">
        <v>17.962700000000002</v>
      </c>
      <c r="BQ80">
        <v>2.24519</v>
      </c>
      <c r="BR80">
        <v>1.77972</v>
      </c>
      <c r="BS80">
        <v>19.288499999999999</v>
      </c>
      <c r="BT80">
        <v>15.6098</v>
      </c>
      <c r="BU80">
        <v>1800</v>
      </c>
      <c r="BV80">
        <v>0.91000499999999995</v>
      </c>
      <c r="BW80">
        <v>3.4008400000000001E-2</v>
      </c>
      <c r="BX80">
        <v>2.1995000000000001E-2</v>
      </c>
      <c r="BY80">
        <v>3.3992099999999997E-2</v>
      </c>
      <c r="BZ80">
        <v>26</v>
      </c>
      <c r="CA80">
        <v>33528.400000000001</v>
      </c>
      <c r="CB80">
        <v>1690220522.5999999</v>
      </c>
      <c r="CC80" t="s">
        <v>332</v>
      </c>
      <c r="CD80">
        <v>1690220522.5999999</v>
      </c>
      <c r="CE80">
        <v>1690220510.5999999</v>
      </c>
      <c r="CF80">
        <v>10</v>
      </c>
      <c r="CG80">
        <v>-0.22</v>
      </c>
      <c r="CH80">
        <v>-2.7E-2</v>
      </c>
      <c r="CI80">
        <v>-0.49299999999999999</v>
      </c>
      <c r="CJ80">
        <v>0.152</v>
      </c>
      <c r="CK80">
        <v>800</v>
      </c>
      <c r="CL80">
        <v>19</v>
      </c>
      <c r="CM80">
        <v>0.1</v>
      </c>
      <c r="CN80">
        <v>0.03</v>
      </c>
      <c r="CO80">
        <v>-77.9057975609756</v>
      </c>
      <c r="CP80">
        <v>-13.913153310104541</v>
      </c>
      <c r="CQ80">
        <v>1.3722669047233229</v>
      </c>
      <c r="CR80">
        <v>-1</v>
      </c>
      <c r="CS80">
        <v>4.4935441463414634</v>
      </c>
      <c r="CT80">
        <v>1.4128358885017489</v>
      </c>
      <c r="CU80">
        <v>0.14039844302825821</v>
      </c>
      <c r="CV80">
        <v>-1</v>
      </c>
      <c r="CW80">
        <v>0</v>
      </c>
      <c r="CX80">
        <v>0</v>
      </c>
      <c r="CY80" t="s">
        <v>333</v>
      </c>
      <c r="CZ80">
        <v>2.3642599999999998</v>
      </c>
      <c r="DA80">
        <v>2.7138100000000001</v>
      </c>
      <c r="DB80">
        <v>0.13663400000000001</v>
      </c>
      <c r="DC80">
        <v>0.146286</v>
      </c>
      <c r="DD80">
        <v>0.109404</v>
      </c>
      <c r="DE80">
        <v>9.1371999999999995E-2</v>
      </c>
      <c r="DF80">
        <v>31518.1</v>
      </c>
      <c r="DG80">
        <v>27505.7</v>
      </c>
      <c r="DH80">
        <v>31165.599999999999</v>
      </c>
      <c r="DI80">
        <v>28074.3</v>
      </c>
      <c r="DJ80">
        <v>37683.9</v>
      </c>
      <c r="DK80">
        <v>36271.699999999997</v>
      </c>
      <c r="DL80">
        <v>44351.3</v>
      </c>
      <c r="DM80">
        <v>42551.1</v>
      </c>
      <c r="DN80">
        <v>1.4736499999999999</v>
      </c>
      <c r="DO80">
        <v>2.0518299999999998</v>
      </c>
      <c r="DP80">
        <v>0.111513</v>
      </c>
      <c r="DQ80">
        <v>0.167962</v>
      </c>
      <c r="DR80">
        <v>25.171500000000002</v>
      </c>
      <c r="DS80">
        <v>24.991900000000001</v>
      </c>
      <c r="DT80">
        <v>54.7</v>
      </c>
      <c r="DU80">
        <v>29.7</v>
      </c>
      <c r="DV80">
        <v>23.116399999999999</v>
      </c>
      <c r="DW80">
        <v>61.8142</v>
      </c>
      <c r="DX80">
        <v>36.4223</v>
      </c>
      <c r="DY80">
        <v>1</v>
      </c>
      <c r="DZ80">
        <v>-7.9245399999999994E-2</v>
      </c>
      <c r="EA80">
        <v>0.476356</v>
      </c>
      <c r="EB80">
        <v>20.189399999999999</v>
      </c>
      <c r="EC80">
        <v>5.2411000000000003</v>
      </c>
      <c r="ED80">
        <v>12.039899999999999</v>
      </c>
      <c r="EE80">
        <v>5.0164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1.8689199999999999</v>
      </c>
      <c r="EL80">
        <v>1.86463</v>
      </c>
      <c r="EM80">
        <v>1.8691899999999999</v>
      </c>
      <c r="EN80">
        <v>1.8672500000000001</v>
      </c>
      <c r="EO80">
        <v>1.8633900000000001</v>
      </c>
      <c r="EP80">
        <v>1.86452</v>
      </c>
      <c r="EQ80">
        <v>1.87015</v>
      </c>
      <c r="ER80">
        <v>1.8694299999999999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-0.438</v>
      </c>
      <c r="FG80">
        <v>0.16270000000000001</v>
      </c>
      <c r="FH80">
        <v>5.8509882529719233E-2</v>
      </c>
      <c r="FI80">
        <v>-6.1462078757559423E-4</v>
      </c>
      <c r="FJ80">
        <v>-1.8861989874597051E-7</v>
      </c>
      <c r="FK80">
        <v>1.1980462299894961E-10</v>
      </c>
      <c r="FL80">
        <v>0.16277811159127681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19.399999999999999</v>
      </c>
      <c r="FU80">
        <v>19.600000000000001</v>
      </c>
      <c r="FV80">
        <v>1.78955</v>
      </c>
      <c r="FW80">
        <v>2.5769000000000002</v>
      </c>
      <c r="FX80">
        <v>1.5490699999999999</v>
      </c>
      <c r="FY80">
        <v>2.3290999999999999</v>
      </c>
      <c r="FZ80">
        <v>1.50146</v>
      </c>
      <c r="GA80">
        <v>2.36572</v>
      </c>
      <c r="GB80">
        <v>33.918700000000001</v>
      </c>
      <c r="GC80">
        <v>23.973700000000001</v>
      </c>
      <c r="GD80">
        <v>19</v>
      </c>
      <c r="GE80">
        <v>282.55200000000002</v>
      </c>
      <c r="GF80">
        <v>597.92700000000002</v>
      </c>
      <c r="GG80">
        <v>23.5443</v>
      </c>
      <c r="GH80">
        <v>26.3825</v>
      </c>
      <c r="GI80">
        <v>29.9999</v>
      </c>
      <c r="GJ80">
        <v>26.523599999999998</v>
      </c>
      <c r="GK80">
        <v>26.502500000000001</v>
      </c>
      <c r="GL80">
        <v>35.782200000000003</v>
      </c>
      <c r="GM80">
        <v>40.337699999999998</v>
      </c>
      <c r="GN80">
        <v>99.625799999999998</v>
      </c>
      <c r="GO80">
        <v>23.554400000000001</v>
      </c>
      <c r="GP80">
        <v>800</v>
      </c>
      <c r="GQ80">
        <v>17.830400000000001</v>
      </c>
      <c r="GR80">
        <v>99.716200000000001</v>
      </c>
      <c r="GS80">
        <v>99.541600000000003</v>
      </c>
    </row>
    <row r="81" spans="1:201" x14ac:dyDescent="0.25">
      <c r="A81">
        <v>65</v>
      </c>
      <c r="B81">
        <v>1690221695</v>
      </c>
      <c r="C81">
        <v>812.5</v>
      </c>
      <c r="D81" t="s">
        <v>461</v>
      </c>
      <c r="E81" t="s">
        <v>462</v>
      </c>
      <c r="F81" t="s">
        <v>330</v>
      </c>
      <c r="H81">
        <v>1690221695</v>
      </c>
      <c r="I81">
        <f t="shared" ref="I81:I144" si="30">(J81)/1000</f>
        <v>4.88150147487596E-4</v>
      </c>
      <c r="J81">
        <f t="shared" ref="J81:J144" si="31">1000*AZ81*AH81*(AV81-AW81)/(100*AO81*(1000-AH81*AV81))</f>
        <v>0.488150147487596</v>
      </c>
      <c r="K81">
        <f t="shared" ref="K81:K144" si="32">AZ81*AH81*(AU81-AT81*(1000-AH81*AW81)/(1000-AH81*AV81))/(100*AO81)</f>
        <v>7.6244999472529598</v>
      </c>
      <c r="L81">
        <f t="shared" ref="L81:L144" si="33">AT81 - IF(AH81&gt;1, K81*AO81*100/(AJ81*BH81), 0)</f>
        <v>717.19799999999998</v>
      </c>
      <c r="M81">
        <f t="shared" ref="M81:M144" si="34">((S81-I81/2)*L81-K81)/(S81+I81/2)</f>
        <v>302.19414508583822</v>
      </c>
      <c r="N81">
        <f t="shared" ref="N81:N144" si="35">M81*(BA81+BB81)/1000</f>
        <v>29.970792918466994</v>
      </c>
      <c r="O81">
        <f t="shared" ref="O81:O144" si="36">(AT81 - IF(AH81&gt;1, K81*AO81*100/(AJ81*BH81), 0))*(BA81+BB81)/1000</f>
        <v>71.129745857362792</v>
      </c>
      <c r="P81">
        <f t="shared" ref="P81:P144" si="37">2/((1/R81-1/Q81)+SIGN(R81)*SQRT((1/R81-1/Q81)*(1/R81-1/Q81) + 4*AP81/((AP81+1)*(AP81+1))*(2*1/R81*1/Q81-1/Q81*1/Q81)))</f>
        <v>3.0555636800427121E-2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2.193959726612134</v>
      </c>
      <c r="R81">
        <f t="shared" ref="R81:R144" si="39">I81*(1000-(1000*0.61365*EXP(17.502*V81/(240.97+V81))/(BA81+BB81)+AV81)/2)/(1000*0.61365*EXP(17.502*V81/(240.97+V81))/(BA81+BB81)-AV81)</f>
        <v>3.0321176680057904E-2</v>
      </c>
      <c r="S81">
        <f t="shared" ref="S81:S144" si="40">1/((AP81+1)/(P81/1.6)+1/(Q81/1.37)) + AP81/((AP81+1)/(P81/1.6) + AP81/(Q81/1.37))</f>
        <v>1.8971650665430873E-2</v>
      </c>
      <c r="T81">
        <f t="shared" ref="T81:T144" si="41">(AK81*AN81)</f>
        <v>276.11309887981741</v>
      </c>
      <c r="U81">
        <f t="shared" ref="U81:U144" si="42">(BC81+(T81+2*0.95*0.0000000567*(((BC81+$B$7)+273)^4-(BC81+273)^4)-44100*I81)/(1.84*29.3*Q81+8*0.95*0.0000000567*(BC81+273)^3))</f>
        <v>28.037441256974649</v>
      </c>
      <c r="V81">
        <f t="shared" ref="V81:V144" si="43">($C$7*BD81+$D$7*BE81+$E$7*U81)</f>
        <v>28.037441256974649</v>
      </c>
      <c r="W81">
        <f t="shared" ref="W81:W144" si="44">0.61365*EXP(17.502*V81/(240.97+V81))</f>
        <v>3.8031305544055418</v>
      </c>
      <c r="X81">
        <f t="shared" ref="X81:X144" si="45">(Y81/Z81*100)</f>
        <v>66.5351819395093</v>
      </c>
      <c r="Y81">
        <f t="shared" ref="Y81:Y144" si="46">AV81*(BA81+BB81)/1000</f>
        <v>2.2552119735411198</v>
      </c>
      <c r="Z81">
        <f t="shared" ref="Z81:Z144" si="47">0.61365*EXP(17.502*BC81/(240.97+BC81))</f>
        <v>3.3895029784264419</v>
      </c>
      <c r="AA81">
        <f t="shared" ref="AA81:AA144" si="48">(W81-AV81*(BA81+BB81)/1000)</f>
        <v>1.547918580864422</v>
      </c>
      <c r="AB81">
        <f t="shared" ref="AB81:AB144" si="49">(-I81*44100)</f>
        <v>-21.527421504202984</v>
      </c>
      <c r="AC81">
        <f t="shared" ref="AC81:AC144" si="50">2*29.3*Q81*0.92*(BC81-V81)</f>
        <v>-231.97710010530352</v>
      </c>
      <c r="AD81">
        <f t="shared" ref="AD81:AD144" si="51">2*0.95*0.0000000567*(((BC81+$B$7)+273)^4-(V81+273)^4)</f>
        <v>-22.831940282860391</v>
      </c>
      <c r="AE81">
        <f t="shared" ref="AE81:AE144" si="52">T81+AD81+AB81+AC81</f>
        <v>-0.22336301254946989</v>
      </c>
      <c r="AF81">
        <v>0</v>
      </c>
      <c r="AG81">
        <v>0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52541.620028201396</v>
      </c>
      <c r="AK81">
        <f t="shared" ref="AK81:AK144" si="56">$B$11*BI81+$C$11*BJ81+$D$11*BU81</f>
        <v>1799.99</v>
      </c>
      <c r="AL81">
        <f t="shared" ref="AL81:AL144" si="57">AK81*AM81</f>
        <v>1499.10375259955</v>
      </c>
      <c r="AM81">
        <f t="shared" ref="AM81:AM144" si="58">($B$11*$D$9+$C$11*$D$9+$D$11*(BV81*$E$9+BW81*$F$9+BX81*$G$9+BY81*$H$9))/($B$11+$C$11+$D$11)</f>
        <v>0.83284004499999997</v>
      </c>
      <c r="AN81">
        <f t="shared" ref="AN81:AN144" si="59">($B$11*$K$9+$C$11*$K$9+$D$11*(BV81*$L$9+BW81*$M$9+BX81*$N$9+BY81*$O$9))/($B$11+$C$11+$D$11)</f>
        <v>0.15339701824999996</v>
      </c>
      <c r="AO81">
        <v>31.2</v>
      </c>
      <c r="AP81">
        <v>0.5</v>
      </c>
      <c r="AQ81" t="s">
        <v>331</v>
      </c>
      <c r="AR81">
        <v>2</v>
      </c>
      <c r="AS81">
        <v>1690221695</v>
      </c>
      <c r="AT81">
        <v>717.19799999999998</v>
      </c>
      <c r="AU81">
        <v>800.07500000000005</v>
      </c>
      <c r="AV81">
        <v>22.7392</v>
      </c>
      <c r="AW81">
        <v>17.781400000000001</v>
      </c>
      <c r="AX81">
        <v>717.63300000000004</v>
      </c>
      <c r="AY81">
        <v>22.5764</v>
      </c>
      <c r="AZ81">
        <v>300.21300000000002</v>
      </c>
      <c r="BA81">
        <v>99.077299999999994</v>
      </c>
      <c r="BB81">
        <v>9.9978600000000001E-2</v>
      </c>
      <c r="BC81">
        <v>26.0762</v>
      </c>
      <c r="BD81">
        <v>27.0349</v>
      </c>
      <c r="BE81">
        <v>27.744599999999998</v>
      </c>
      <c r="BF81">
        <v>0</v>
      </c>
      <c r="BG81">
        <v>0</v>
      </c>
      <c r="BH81">
        <v>9998.1200000000008</v>
      </c>
      <c r="BI81">
        <v>1067.92</v>
      </c>
      <c r="BJ81">
        <v>1.4016500000000001</v>
      </c>
      <c r="BK81">
        <v>-82.877099999999999</v>
      </c>
      <c r="BL81">
        <v>733.88599999999997</v>
      </c>
      <c r="BM81">
        <v>814.55899999999997</v>
      </c>
      <c r="BN81">
        <v>4.9577099999999996</v>
      </c>
      <c r="BO81">
        <v>800.07500000000005</v>
      </c>
      <c r="BP81">
        <v>17.781400000000001</v>
      </c>
      <c r="BQ81">
        <v>2.2529300000000001</v>
      </c>
      <c r="BR81">
        <v>1.7617400000000001</v>
      </c>
      <c r="BS81">
        <v>19.343800000000002</v>
      </c>
      <c r="BT81">
        <v>15.4514</v>
      </c>
      <c r="BU81">
        <v>1799.99</v>
      </c>
      <c r="BV81">
        <v>0.91000899999999996</v>
      </c>
      <c r="BW81">
        <v>3.40069E-2</v>
      </c>
      <c r="BX81">
        <v>2.1994E-2</v>
      </c>
      <c r="BY81">
        <v>3.39905E-2</v>
      </c>
      <c r="BZ81">
        <v>26</v>
      </c>
      <c r="CA81">
        <v>33528.300000000003</v>
      </c>
      <c r="CB81">
        <v>1690220522.5999999</v>
      </c>
      <c r="CC81" t="s">
        <v>332</v>
      </c>
      <c r="CD81">
        <v>1690220522.5999999</v>
      </c>
      <c r="CE81">
        <v>1690220510.5999999</v>
      </c>
      <c r="CF81">
        <v>10</v>
      </c>
      <c r="CG81">
        <v>-0.22</v>
      </c>
      <c r="CH81">
        <v>-2.7E-2</v>
      </c>
      <c r="CI81">
        <v>-0.49299999999999999</v>
      </c>
      <c r="CJ81">
        <v>0.152</v>
      </c>
      <c r="CK81">
        <v>800</v>
      </c>
      <c r="CL81">
        <v>19</v>
      </c>
      <c r="CM81">
        <v>0.1</v>
      </c>
      <c r="CN81">
        <v>0.03</v>
      </c>
      <c r="CO81">
        <v>-80.058099999999996</v>
      </c>
      <c r="CP81">
        <v>-14.59511916376316</v>
      </c>
      <c r="CQ81">
        <v>1.4398781491467409</v>
      </c>
      <c r="CR81">
        <v>-1</v>
      </c>
      <c r="CS81">
        <v>4.6886878048780476</v>
      </c>
      <c r="CT81">
        <v>1.199597770034829</v>
      </c>
      <c r="CU81">
        <v>0.11997795261919431</v>
      </c>
      <c r="CV81">
        <v>-1</v>
      </c>
      <c r="CW81">
        <v>0</v>
      </c>
      <c r="CX81">
        <v>0</v>
      </c>
      <c r="CY81" t="s">
        <v>333</v>
      </c>
      <c r="CZ81">
        <v>2.3643399999999999</v>
      </c>
      <c r="DA81">
        <v>2.7137699999999998</v>
      </c>
      <c r="DB81">
        <v>0.13631299999999999</v>
      </c>
      <c r="DC81">
        <v>0.14627899999999999</v>
      </c>
      <c r="DD81">
        <v>0.10967200000000001</v>
      </c>
      <c r="DE81">
        <v>9.0707999999999997E-2</v>
      </c>
      <c r="DF81">
        <v>31529.8</v>
      </c>
      <c r="DG81">
        <v>27506.3</v>
      </c>
      <c r="DH81">
        <v>31165.599999999999</v>
      </c>
      <c r="DI81">
        <v>28074.6</v>
      </c>
      <c r="DJ81">
        <v>37672.400000000001</v>
      </c>
      <c r="DK81">
        <v>36298.300000000003</v>
      </c>
      <c r="DL81">
        <v>44351.4</v>
      </c>
      <c r="DM81">
        <v>42551.1</v>
      </c>
      <c r="DN81">
        <v>1.4736</v>
      </c>
      <c r="DO81">
        <v>2.0519500000000002</v>
      </c>
      <c r="DP81">
        <v>0.113908</v>
      </c>
      <c r="DQ81">
        <v>0.168014</v>
      </c>
      <c r="DR81">
        <v>25.1693</v>
      </c>
      <c r="DS81">
        <v>24.994</v>
      </c>
      <c r="DT81">
        <v>55</v>
      </c>
      <c r="DU81">
        <v>29.6</v>
      </c>
      <c r="DV81">
        <v>23.112200000000001</v>
      </c>
      <c r="DW81">
        <v>61.624200000000002</v>
      </c>
      <c r="DX81">
        <v>35.584899999999998</v>
      </c>
      <c r="DY81">
        <v>1</v>
      </c>
      <c r="DZ81">
        <v>-7.9486799999999996E-2</v>
      </c>
      <c r="EA81">
        <v>0.46927799999999997</v>
      </c>
      <c r="EB81">
        <v>20.189299999999999</v>
      </c>
      <c r="EC81">
        <v>5.2406499999999996</v>
      </c>
      <c r="ED81">
        <v>12.039899999999999</v>
      </c>
      <c r="EE81">
        <v>5.0164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1.8689100000000001</v>
      </c>
      <c r="EL81">
        <v>1.8646400000000001</v>
      </c>
      <c r="EM81">
        <v>1.8692</v>
      </c>
      <c r="EN81">
        <v>1.86724</v>
      </c>
      <c r="EO81">
        <v>1.8633999999999999</v>
      </c>
      <c r="EP81">
        <v>1.86453</v>
      </c>
      <c r="EQ81">
        <v>1.87019</v>
      </c>
      <c r="ER81">
        <v>1.8694299999999999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-0.435</v>
      </c>
      <c r="FG81">
        <v>0.1628</v>
      </c>
      <c r="FH81">
        <v>5.8509882529719233E-2</v>
      </c>
      <c r="FI81">
        <v>-6.1462078757559423E-4</v>
      </c>
      <c r="FJ81">
        <v>-1.8861989874597051E-7</v>
      </c>
      <c r="FK81">
        <v>1.1980462299894961E-10</v>
      </c>
      <c r="FL81">
        <v>0.16277811159127681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19.5</v>
      </c>
      <c r="FU81">
        <v>19.7</v>
      </c>
      <c r="FV81">
        <v>1.78955</v>
      </c>
      <c r="FW81">
        <v>2.5793499999999998</v>
      </c>
      <c r="FX81">
        <v>1.5490699999999999</v>
      </c>
      <c r="FY81">
        <v>2.3290999999999999</v>
      </c>
      <c r="FZ81">
        <v>1.50146</v>
      </c>
      <c r="GA81">
        <v>2.4023400000000001</v>
      </c>
      <c r="GB81">
        <v>33.918700000000001</v>
      </c>
      <c r="GC81">
        <v>23.982399999999998</v>
      </c>
      <c r="GD81">
        <v>19</v>
      </c>
      <c r="GE81">
        <v>282.52</v>
      </c>
      <c r="GF81">
        <v>598.01400000000001</v>
      </c>
      <c r="GG81">
        <v>23.576499999999999</v>
      </c>
      <c r="GH81">
        <v>26.3797</v>
      </c>
      <c r="GI81">
        <v>30</v>
      </c>
      <c r="GJ81">
        <v>26.5214</v>
      </c>
      <c r="GK81">
        <v>26.500900000000001</v>
      </c>
      <c r="GL81">
        <v>35.776800000000001</v>
      </c>
      <c r="GM81">
        <v>40.634399999999999</v>
      </c>
      <c r="GN81">
        <v>99.625799999999998</v>
      </c>
      <c r="GO81">
        <v>23.5197</v>
      </c>
      <c r="GP81">
        <v>800</v>
      </c>
      <c r="GQ81">
        <v>17.691400000000002</v>
      </c>
      <c r="GR81">
        <v>99.716300000000004</v>
      </c>
      <c r="GS81">
        <v>99.542199999999994</v>
      </c>
    </row>
    <row r="82" spans="1:201" x14ac:dyDescent="0.25">
      <c r="A82">
        <v>66</v>
      </c>
      <c r="B82">
        <v>1690221705</v>
      </c>
      <c r="C82">
        <v>822.5</v>
      </c>
      <c r="D82" t="s">
        <v>463</v>
      </c>
      <c r="E82" t="s">
        <v>464</v>
      </c>
      <c r="F82" t="s">
        <v>330</v>
      </c>
      <c r="H82">
        <v>1690221705</v>
      </c>
      <c r="I82">
        <f t="shared" si="30"/>
        <v>5.0233803287581921E-4</v>
      </c>
      <c r="J82">
        <f t="shared" si="31"/>
        <v>0.50233803287581924</v>
      </c>
      <c r="K82">
        <f t="shared" si="32"/>
        <v>7.8649898038663526</v>
      </c>
      <c r="L82">
        <f t="shared" si="33"/>
        <v>714.60699999999997</v>
      </c>
      <c r="M82">
        <f t="shared" si="34"/>
        <v>300.63430335048383</v>
      </c>
      <c r="N82">
        <f t="shared" si="35"/>
        <v>29.816653464605928</v>
      </c>
      <c r="O82">
        <f t="shared" si="36"/>
        <v>70.874111985622008</v>
      </c>
      <c r="P82">
        <f t="shared" si="37"/>
        <v>3.1598801044664629E-2</v>
      </c>
      <c r="Q82">
        <f t="shared" si="38"/>
        <v>2.1915216611714565</v>
      </c>
      <c r="R82">
        <f t="shared" si="39"/>
        <v>3.1347853176182154E-2</v>
      </c>
      <c r="S82">
        <f t="shared" si="40"/>
        <v>1.9614788678565202E-2</v>
      </c>
      <c r="T82">
        <f t="shared" si="41"/>
        <v>276.11279338551475</v>
      </c>
      <c r="U82">
        <f t="shared" si="42"/>
        <v>28.028612343337461</v>
      </c>
      <c r="V82">
        <f t="shared" si="43"/>
        <v>28.028612343337461</v>
      </c>
      <c r="W82">
        <f t="shared" si="44"/>
        <v>3.8011740848497397</v>
      </c>
      <c r="X82">
        <f t="shared" si="45"/>
        <v>66.712843978198308</v>
      </c>
      <c r="Y82">
        <f t="shared" si="46"/>
        <v>2.2604315881443999</v>
      </c>
      <c r="Z82">
        <f t="shared" si="47"/>
        <v>3.3883004431397148</v>
      </c>
      <c r="AA82">
        <f t="shared" si="48"/>
        <v>1.5407424967053398</v>
      </c>
      <c r="AB82">
        <f t="shared" si="49"/>
        <v>-22.153107249823627</v>
      </c>
      <c r="AC82">
        <f t="shared" si="50"/>
        <v>-231.38507841386843</v>
      </c>
      <c r="AD82">
        <f t="shared" si="51"/>
        <v>-22.79731651753179</v>
      </c>
      <c r="AE82">
        <f t="shared" si="52"/>
        <v>-0.22270879570908164</v>
      </c>
      <c r="AF82">
        <v>0</v>
      </c>
      <c r="AG82">
        <v>0</v>
      </c>
      <c r="AH82">
        <f t="shared" si="53"/>
        <v>1</v>
      </c>
      <c r="AI82">
        <f t="shared" si="54"/>
        <v>0</v>
      </c>
      <c r="AJ82">
        <f t="shared" si="55"/>
        <v>52442.783498519537</v>
      </c>
      <c r="AK82">
        <f t="shared" si="56"/>
        <v>1799.99</v>
      </c>
      <c r="AL82">
        <f t="shared" si="57"/>
        <v>1499.1037759994201</v>
      </c>
      <c r="AM82">
        <f t="shared" si="58"/>
        <v>0.83284005800000005</v>
      </c>
      <c r="AN82">
        <f t="shared" si="59"/>
        <v>0.15339684853000002</v>
      </c>
      <c r="AO82">
        <v>31.2</v>
      </c>
      <c r="AP82">
        <v>0.5</v>
      </c>
      <c r="AQ82" t="s">
        <v>331</v>
      </c>
      <c r="AR82">
        <v>2</v>
      </c>
      <c r="AS82">
        <v>1690221705</v>
      </c>
      <c r="AT82">
        <v>714.60699999999997</v>
      </c>
      <c r="AU82">
        <v>800.11199999999997</v>
      </c>
      <c r="AV82">
        <v>22.791399999999999</v>
      </c>
      <c r="AW82">
        <v>17.6876</v>
      </c>
      <c r="AX82">
        <v>715.04100000000005</v>
      </c>
      <c r="AY82">
        <v>22.628599999999999</v>
      </c>
      <c r="AZ82">
        <v>300.08499999999998</v>
      </c>
      <c r="BA82">
        <v>99.079099999999997</v>
      </c>
      <c r="BB82">
        <v>0.100046</v>
      </c>
      <c r="BC82">
        <v>26.0702</v>
      </c>
      <c r="BD82">
        <v>26.989899999999999</v>
      </c>
      <c r="BE82">
        <v>27.729299999999999</v>
      </c>
      <c r="BF82">
        <v>0</v>
      </c>
      <c r="BG82">
        <v>0</v>
      </c>
      <c r="BH82">
        <v>9978.1200000000008</v>
      </c>
      <c r="BI82">
        <v>1068.06</v>
      </c>
      <c r="BJ82">
        <v>1.2783100000000001</v>
      </c>
      <c r="BK82">
        <v>-85.504400000000004</v>
      </c>
      <c r="BL82">
        <v>731.274</v>
      </c>
      <c r="BM82">
        <v>814.51900000000001</v>
      </c>
      <c r="BN82">
        <v>5.1037499999999998</v>
      </c>
      <c r="BO82">
        <v>800.11199999999997</v>
      </c>
      <c r="BP82">
        <v>17.6876</v>
      </c>
      <c r="BQ82">
        <v>2.2581500000000001</v>
      </c>
      <c r="BR82">
        <v>1.75248</v>
      </c>
      <c r="BS82">
        <v>19.3809</v>
      </c>
      <c r="BT82">
        <v>15.369199999999999</v>
      </c>
      <c r="BU82">
        <v>1799.99</v>
      </c>
      <c r="BV82">
        <v>0.91001299999999996</v>
      </c>
      <c r="BW82">
        <v>3.4005199999999999E-2</v>
      </c>
      <c r="BX82">
        <v>2.1992899999999999E-2</v>
      </c>
      <c r="BY82">
        <v>3.3988900000000002E-2</v>
      </c>
      <c r="BZ82">
        <v>26</v>
      </c>
      <c r="CA82">
        <v>33528.300000000003</v>
      </c>
      <c r="CB82">
        <v>1690220522.5999999</v>
      </c>
      <c r="CC82" t="s">
        <v>332</v>
      </c>
      <c r="CD82">
        <v>1690220522.5999999</v>
      </c>
      <c r="CE82">
        <v>1690220510.5999999</v>
      </c>
      <c r="CF82">
        <v>10</v>
      </c>
      <c r="CG82">
        <v>-0.22</v>
      </c>
      <c r="CH82">
        <v>-2.7E-2</v>
      </c>
      <c r="CI82">
        <v>-0.49299999999999999</v>
      </c>
      <c r="CJ82">
        <v>0.152</v>
      </c>
      <c r="CK82">
        <v>800</v>
      </c>
      <c r="CL82">
        <v>19</v>
      </c>
      <c r="CM82">
        <v>0.1</v>
      </c>
      <c r="CN82">
        <v>0.03</v>
      </c>
      <c r="CO82">
        <v>-82.713697499999995</v>
      </c>
      <c r="CP82">
        <v>-14.917448780487611</v>
      </c>
      <c r="CQ82">
        <v>1.4353847859524469</v>
      </c>
      <c r="CR82">
        <v>-1</v>
      </c>
      <c r="CS82">
        <v>4.9081190000000001</v>
      </c>
      <c r="CT82">
        <v>1.2856577110694041</v>
      </c>
      <c r="CU82">
        <v>0.1249249672763615</v>
      </c>
      <c r="CV82">
        <v>-1</v>
      </c>
      <c r="CW82">
        <v>0</v>
      </c>
      <c r="CX82">
        <v>0</v>
      </c>
      <c r="CY82" t="s">
        <v>333</v>
      </c>
      <c r="CZ82">
        <v>2.3639600000000001</v>
      </c>
      <c r="DA82">
        <v>2.7138200000000001</v>
      </c>
      <c r="DB82">
        <v>0.13598199999999999</v>
      </c>
      <c r="DC82">
        <v>0.146284</v>
      </c>
      <c r="DD82">
        <v>0.10985300000000001</v>
      </c>
      <c r="DE82">
        <v>9.0365399999999999E-2</v>
      </c>
      <c r="DF82">
        <v>31541.9</v>
      </c>
      <c r="DG82">
        <v>27505.5</v>
      </c>
      <c r="DH82">
        <v>31165.599999999999</v>
      </c>
      <c r="DI82">
        <v>28074.1</v>
      </c>
      <c r="DJ82">
        <v>37664.800000000003</v>
      </c>
      <c r="DK82">
        <v>36311.599999999999</v>
      </c>
      <c r="DL82">
        <v>44351.5</v>
      </c>
      <c r="DM82">
        <v>42550.6</v>
      </c>
      <c r="DN82">
        <v>1.4736499999999999</v>
      </c>
      <c r="DO82">
        <v>2.0520999999999998</v>
      </c>
      <c r="DP82">
        <v>0.111155</v>
      </c>
      <c r="DQ82">
        <v>0.167105</v>
      </c>
      <c r="DR82">
        <v>25.1693</v>
      </c>
      <c r="DS82">
        <v>24.993600000000001</v>
      </c>
      <c r="DT82">
        <v>55.3</v>
      </c>
      <c r="DU82">
        <v>29.6</v>
      </c>
      <c r="DV82">
        <v>23.238900000000001</v>
      </c>
      <c r="DW82">
        <v>61.824199999999998</v>
      </c>
      <c r="DX82">
        <v>35.865400000000001</v>
      </c>
      <c r="DY82">
        <v>1</v>
      </c>
      <c r="DZ82">
        <v>-7.9542699999999994E-2</v>
      </c>
      <c r="EA82">
        <v>0.72477899999999995</v>
      </c>
      <c r="EB82">
        <v>20.187899999999999</v>
      </c>
      <c r="EC82">
        <v>5.2404999999999999</v>
      </c>
      <c r="ED82">
        <v>12.039899999999999</v>
      </c>
      <c r="EE82">
        <v>5.01675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1.8689199999999999</v>
      </c>
      <c r="EL82">
        <v>1.86463</v>
      </c>
      <c r="EM82">
        <v>1.86917</v>
      </c>
      <c r="EN82">
        <v>1.86724</v>
      </c>
      <c r="EO82">
        <v>1.8633999999999999</v>
      </c>
      <c r="EP82">
        <v>1.86453</v>
      </c>
      <c r="EQ82">
        <v>1.87018</v>
      </c>
      <c r="ER82">
        <v>1.8694299999999999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-0.434</v>
      </c>
      <c r="FG82">
        <v>0.1628</v>
      </c>
      <c r="FH82">
        <v>5.8509882529719233E-2</v>
      </c>
      <c r="FI82">
        <v>-6.1462078757559423E-4</v>
      </c>
      <c r="FJ82">
        <v>-1.8861989874597051E-7</v>
      </c>
      <c r="FK82">
        <v>1.1980462299894961E-10</v>
      </c>
      <c r="FL82">
        <v>0.16277811159127681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19.7</v>
      </c>
      <c r="FU82">
        <v>19.899999999999999</v>
      </c>
      <c r="FV82">
        <v>1.78955</v>
      </c>
      <c r="FW82">
        <v>2.5866699999999998</v>
      </c>
      <c r="FX82">
        <v>1.5490699999999999</v>
      </c>
      <c r="FY82">
        <v>2.3290999999999999</v>
      </c>
      <c r="FZ82">
        <v>1.50146</v>
      </c>
      <c r="GA82">
        <v>2.2949199999999998</v>
      </c>
      <c r="GB82">
        <v>33.918700000000001</v>
      </c>
      <c r="GC82">
        <v>23.973700000000001</v>
      </c>
      <c r="GD82">
        <v>19</v>
      </c>
      <c r="GE82">
        <v>282.52999999999997</v>
      </c>
      <c r="GF82">
        <v>598.13199999999995</v>
      </c>
      <c r="GG82">
        <v>23.508199999999999</v>
      </c>
      <c r="GH82">
        <v>26.375800000000002</v>
      </c>
      <c r="GI82">
        <v>30</v>
      </c>
      <c r="GJ82">
        <v>26.5185</v>
      </c>
      <c r="GK82">
        <v>26.500299999999999</v>
      </c>
      <c r="GL82">
        <v>35.770699999999998</v>
      </c>
      <c r="GM82">
        <v>41.200299999999999</v>
      </c>
      <c r="GN82">
        <v>99.255499999999998</v>
      </c>
      <c r="GO82">
        <v>23.513999999999999</v>
      </c>
      <c r="GP82">
        <v>800</v>
      </c>
      <c r="GQ82">
        <v>17.5656</v>
      </c>
      <c r="GR82">
        <v>99.7166</v>
      </c>
      <c r="GS82">
        <v>99.540700000000001</v>
      </c>
    </row>
    <row r="83" spans="1:201" x14ac:dyDescent="0.25">
      <c r="A83">
        <v>67</v>
      </c>
      <c r="B83">
        <v>1690221715</v>
      </c>
      <c r="C83">
        <v>832.5</v>
      </c>
      <c r="D83" t="s">
        <v>465</v>
      </c>
      <c r="E83" t="s">
        <v>466</v>
      </c>
      <c r="F83" t="s">
        <v>330</v>
      </c>
      <c r="H83">
        <v>1690221715</v>
      </c>
      <c r="I83">
        <f t="shared" si="30"/>
        <v>5.1900942882951028E-4</v>
      </c>
      <c r="J83">
        <f t="shared" si="31"/>
        <v>0.51900942882951029</v>
      </c>
      <c r="K83">
        <f t="shared" si="32"/>
        <v>8.0919862133176057</v>
      </c>
      <c r="L83">
        <f t="shared" si="33"/>
        <v>712.10299999999995</v>
      </c>
      <c r="M83">
        <f t="shared" si="34"/>
        <v>300.45684209798742</v>
      </c>
      <c r="N83">
        <f t="shared" si="35"/>
        <v>29.79790310070916</v>
      </c>
      <c r="O83">
        <f t="shared" si="36"/>
        <v>70.623042043436385</v>
      </c>
      <c r="P83">
        <f t="shared" si="37"/>
        <v>3.2703771291249364E-2</v>
      </c>
      <c r="Q83">
        <f t="shared" si="38"/>
        <v>2.1928615010404311</v>
      </c>
      <c r="R83">
        <f t="shared" si="39"/>
        <v>3.2435209163899317E-2</v>
      </c>
      <c r="S83">
        <f t="shared" si="40"/>
        <v>2.0295951038507787E-2</v>
      </c>
      <c r="T83">
        <f t="shared" si="41"/>
        <v>276.11414888400003</v>
      </c>
      <c r="U83">
        <f t="shared" si="42"/>
        <v>28.032447657927584</v>
      </c>
      <c r="V83">
        <f t="shared" si="43"/>
        <v>28.032447657927584</v>
      </c>
      <c r="W83">
        <f t="shared" si="44"/>
        <v>3.8020238749727282</v>
      </c>
      <c r="X83">
        <f t="shared" si="45"/>
        <v>66.764700954697105</v>
      </c>
      <c r="Y83">
        <f t="shared" si="46"/>
        <v>2.2636072288868401</v>
      </c>
      <c r="Z83">
        <f t="shared" si="47"/>
        <v>3.3904251745586351</v>
      </c>
      <c r="AA83">
        <f t="shared" si="48"/>
        <v>1.5384166460858881</v>
      </c>
      <c r="AB83">
        <f t="shared" si="49"/>
        <v>-22.888315811381403</v>
      </c>
      <c r="AC83">
        <f t="shared" si="50"/>
        <v>-230.72680969880216</v>
      </c>
      <c r="AD83">
        <f t="shared" si="51"/>
        <v>-22.720208592135037</v>
      </c>
      <c r="AE83">
        <f t="shared" si="52"/>
        <v>-0.22118521831856697</v>
      </c>
      <c r="AF83">
        <v>0</v>
      </c>
      <c r="AG83">
        <v>0</v>
      </c>
      <c r="AH83">
        <f t="shared" si="53"/>
        <v>1</v>
      </c>
      <c r="AI83">
        <f t="shared" si="54"/>
        <v>0</v>
      </c>
      <c r="AJ83">
        <f t="shared" si="55"/>
        <v>52495.745437852202</v>
      </c>
      <c r="AK83">
        <f t="shared" si="56"/>
        <v>1800</v>
      </c>
      <c r="AL83">
        <f t="shared" si="57"/>
        <v>1499.1126713999997</v>
      </c>
      <c r="AM83">
        <f t="shared" si="58"/>
        <v>0.8328403729999998</v>
      </c>
      <c r="AN83">
        <f t="shared" si="59"/>
        <v>0.15339674938</v>
      </c>
      <c r="AO83">
        <v>31.2</v>
      </c>
      <c r="AP83">
        <v>0.5</v>
      </c>
      <c r="AQ83" t="s">
        <v>331</v>
      </c>
      <c r="AR83">
        <v>2</v>
      </c>
      <c r="AS83">
        <v>1690221715</v>
      </c>
      <c r="AT83">
        <v>712.10299999999995</v>
      </c>
      <c r="AU83">
        <v>800.05499999999995</v>
      </c>
      <c r="AV83">
        <v>22.824300000000001</v>
      </c>
      <c r="AW83">
        <v>17.552700000000002</v>
      </c>
      <c r="AX83">
        <v>712.53499999999997</v>
      </c>
      <c r="AY83">
        <v>22.6615</v>
      </c>
      <c r="AZ83">
        <v>300.16500000000002</v>
      </c>
      <c r="BA83">
        <v>99.075400000000002</v>
      </c>
      <c r="BB83">
        <v>9.9918800000000002E-2</v>
      </c>
      <c r="BC83">
        <v>26.0808</v>
      </c>
      <c r="BD83">
        <v>26.9816</v>
      </c>
      <c r="BE83">
        <v>27.740400000000001</v>
      </c>
      <c r="BF83">
        <v>0</v>
      </c>
      <c r="BG83">
        <v>0</v>
      </c>
      <c r="BH83">
        <v>9989.3799999999992</v>
      </c>
      <c r="BI83">
        <v>1068.1099999999999</v>
      </c>
      <c r="BJ83">
        <v>1.4016500000000001</v>
      </c>
      <c r="BK83">
        <v>-87.952200000000005</v>
      </c>
      <c r="BL83">
        <v>728.73599999999999</v>
      </c>
      <c r="BM83">
        <v>814.34900000000005</v>
      </c>
      <c r="BN83">
        <v>5.2715899999999998</v>
      </c>
      <c r="BO83">
        <v>800.05499999999995</v>
      </c>
      <c r="BP83">
        <v>17.552700000000002</v>
      </c>
      <c r="BQ83">
        <v>2.2613300000000001</v>
      </c>
      <c r="BR83">
        <v>1.7390399999999999</v>
      </c>
      <c r="BS83">
        <v>19.403500000000001</v>
      </c>
      <c r="BT83">
        <v>15.2494</v>
      </c>
      <c r="BU83">
        <v>1800</v>
      </c>
      <c r="BV83">
        <v>0.91001699999999996</v>
      </c>
      <c r="BW83">
        <v>3.4003699999999998E-2</v>
      </c>
      <c r="BX83">
        <v>2.1991900000000002E-2</v>
      </c>
      <c r="BY83">
        <v>3.3987400000000001E-2</v>
      </c>
      <c r="BZ83">
        <v>26</v>
      </c>
      <c r="CA83">
        <v>33528.400000000001</v>
      </c>
      <c r="CB83">
        <v>1690220522.5999999</v>
      </c>
      <c r="CC83" t="s">
        <v>332</v>
      </c>
      <c r="CD83">
        <v>1690220522.5999999</v>
      </c>
      <c r="CE83">
        <v>1690220510.5999999</v>
      </c>
      <c r="CF83">
        <v>10</v>
      </c>
      <c r="CG83">
        <v>-0.22</v>
      </c>
      <c r="CH83">
        <v>-2.7E-2</v>
      </c>
      <c r="CI83">
        <v>-0.49299999999999999</v>
      </c>
      <c r="CJ83">
        <v>0.152</v>
      </c>
      <c r="CK83">
        <v>800</v>
      </c>
      <c r="CL83">
        <v>19</v>
      </c>
      <c r="CM83">
        <v>0.1</v>
      </c>
      <c r="CN83">
        <v>0.03</v>
      </c>
      <c r="CO83">
        <v>-85.321119512195139</v>
      </c>
      <c r="CP83">
        <v>-15.441309407665671</v>
      </c>
      <c r="CQ83">
        <v>1.5235308168406629</v>
      </c>
      <c r="CR83">
        <v>-1</v>
      </c>
      <c r="CS83">
        <v>5.113520243902439</v>
      </c>
      <c r="CT83">
        <v>1.083134634146357</v>
      </c>
      <c r="CU83">
        <v>0.10768880568876329</v>
      </c>
      <c r="CV83">
        <v>-1</v>
      </c>
      <c r="CW83">
        <v>0</v>
      </c>
      <c r="CX83">
        <v>0</v>
      </c>
      <c r="CY83" t="s">
        <v>333</v>
      </c>
      <c r="CZ83">
        <v>2.3641999999999999</v>
      </c>
      <c r="DA83">
        <v>2.7136999999999998</v>
      </c>
      <c r="DB83">
        <v>0.135653</v>
      </c>
      <c r="DC83">
        <v>0.14627000000000001</v>
      </c>
      <c r="DD83">
        <v>0.109962</v>
      </c>
      <c r="DE83">
        <v>8.9866000000000001E-2</v>
      </c>
      <c r="DF83">
        <v>31554</v>
      </c>
      <c r="DG83">
        <v>27506.1</v>
      </c>
      <c r="DH83">
        <v>31165.7</v>
      </c>
      <c r="DI83">
        <v>28074.2</v>
      </c>
      <c r="DJ83">
        <v>37660.199999999997</v>
      </c>
      <c r="DK83">
        <v>36331.699999999997</v>
      </c>
      <c r="DL83">
        <v>44351.7</v>
      </c>
      <c r="DM83">
        <v>42550.8</v>
      </c>
      <c r="DN83">
        <v>1.4737499999999999</v>
      </c>
      <c r="DO83">
        <v>2.0518800000000001</v>
      </c>
      <c r="DP83">
        <v>0.110772</v>
      </c>
      <c r="DQ83">
        <v>0.16788400000000001</v>
      </c>
      <c r="DR83">
        <v>25.167300000000001</v>
      </c>
      <c r="DS83">
        <v>24.991900000000001</v>
      </c>
      <c r="DT83">
        <v>55.5</v>
      </c>
      <c r="DU83">
        <v>29.6</v>
      </c>
      <c r="DV83">
        <v>23.322099999999999</v>
      </c>
      <c r="DW83">
        <v>61.694200000000002</v>
      </c>
      <c r="DX83">
        <v>36.310099999999998</v>
      </c>
      <c r="DY83">
        <v>1</v>
      </c>
      <c r="DZ83">
        <v>-7.98653E-2</v>
      </c>
      <c r="EA83">
        <v>0.60765499999999995</v>
      </c>
      <c r="EB83">
        <v>20.188300000000002</v>
      </c>
      <c r="EC83">
        <v>5.2409499999999998</v>
      </c>
      <c r="ED83">
        <v>12.039899999999999</v>
      </c>
      <c r="EE83">
        <v>5.0168999999999997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1.86893</v>
      </c>
      <c r="EL83">
        <v>1.8646499999999999</v>
      </c>
      <c r="EM83">
        <v>1.86917</v>
      </c>
      <c r="EN83">
        <v>1.8672599999999999</v>
      </c>
      <c r="EO83">
        <v>1.8633999999999999</v>
      </c>
      <c r="EP83">
        <v>1.86453</v>
      </c>
      <c r="EQ83">
        <v>1.8702099999999999</v>
      </c>
      <c r="ER83">
        <v>1.8694500000000001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-0.432</v>
      </c>
      <c r="FG83">
        <v>0.1628</v>
      </c>
      <c r="FH83">
        <v>5.8509882529719233E-2</v>
      </c>
      <c r="FI83">
        <v>-6.1462078757559423E-4</v>
      </c>
      <c r="FJ83">
        <v>-1.8861989874597051E-7</v>
      </c>
      <c r="FK83">
        <v>1.1980462299894961E-10</v>
      </c>
      <c r="FL83">
        <v>0.16277811159127681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19.899999999999999</v>
      </c>
      <c r="FU83">
        <v>20.100000000000001</v>
      </c>
      <c r="FV83">
        <v>1.78833</v>
      </c>
      <c r="FW83">
        <v>2.5769000000000002</v>
      </c>
      <c r="FX83">
        <v>1.5490699999999999</v>
      </c>
      <c r="FY83">
        <v>2.3290999999999999</v>
      </c>
      <c r="FZ83">
        <v>1.50146</v>
      </c>
      <c r="GA83">
        <v>2.4255399999999998</v>
      </c>
      <c r="GB83">
        <v>33.918700000000001</v>
      </c>
      <c r="GC83">
        <v>23.982399999999998</v>
      </c>
      <c r="GD83">
        <v>19</v>
      </c>
      <c r="GE83">
        <v>282.55799999999999</v>
      </c>
      <c r="GF83">
        <v>597.91700000000003</v>
      </c>
      <c r="GG83">
        <v>23.503799999999998</v>
      </c>
      <c r="GH83">
        <v>26.373000000000001</v>
      </c>
      <c r="GI83">
        <v>29.9999</v>
      </c>
      <c r="GJ83">
        <v>26.5152</v>
      </c>
      <c r="GK83">
        <v>26.498000000000001</v>
      </c>
      <c r="GL83">
        <v>35.760899999999999</v>
      </c>
      <c r="GM83">
        <v>41.502099999999999</v>
      </c>
      <c r="GN83">
        <v>98.883499999999998</v>
      </c>
      <c r="GO83">
        <v>23.5059</v>
      </c>
      <c r="GP83">
        <v>800</v>
      </c>
      <c r="GQ83">
        <v>17.439800000000002</v>
      </c>
      <c r="GR83">
        <v>99.716899999999995</v>
      </c>
      <c r="GS83">
        <v>99.5411</v>
      </c>
    </row>
    <row r="84" spans="1:201" x14ac:dyDescent="0.25">
      <c r="A84">
        <v>68</v>
      </c>
      <c r="B84">
        <v>1690221725</v>
      </c>
      <c r="C84">
        <v>842.5</v>
      </c>
      <c r="D84" t="s">
        <v>467</v>
      </c>
      <c r="E84" t="s">
        <v>468</v>
      </c>
      <c r="F84" t="s">
        <v>330</v>
      </c>
      <c r="H84">
        <v>1690221725</v>
      </c>
      <c r="I84">
        <f t="shared" si="30"/>
        <v>5.3709843741645946E-4</v>
      </c>
      <c r="J84">
        <f t="shared" si="31"/>
        <v>0.53709843741645946</v>
      </c>
      <c r="K84">
        <f t="shared" si="32"/>
        <v>8.3510290269184821</v>
      </c>
      <c r="L84">
        <f t="shared" si="33"/>
        <v>709.322</v>
      </c>
      <c r="M84">
        <f t="shared" si="34"/>
        <v>301.14204434714884</v>
      </c>
      <c r="N84">
        <f t="shared" si="35"/>
        <v>29.866321167762795</v>
      </c>
      <c r="O84">
        <f t="shared" si="36"/>
        <v>70.348325851632012</v>
      </c>
      <c r="P84">
        <f t="shared" si="37"/>
        <v>3.4047540066264363E-2</v>
      </c>
      <c r="Q84">
        <f t="shared" si="38"/>
        <v>2.195719894633974</v>
      </c>
      <c r="R84">
        <f t="shared" si="39"/>
        <v>3.3756935817385293E-2</v>
      </c>
      <c r="S84">
        <f t="shared" si="40"/>
        <v>2.1123987685210673E-2</v>
      </c>
      <c r="T84">
        <f t="shared" si="41"/>
        <v>276.11250614311052</v>
      </c>
      <c r="U84">
        <f t="shared" si="42"/>
        <v>28.01050228303653</v>
      </c>
      <c r="V84">
        <f t="shared" si="43"/>
        <v>28.01050228303653</v>
      </c>
      <c r="W84">
        <f t="shared" si="44"/>
        <v>3.7971636794833463</v>
      </c>
      <c r="X84">
        <f t="shared" si="45"/>
        <v>66.930894656529432</v>
      </c>
      <c r="Y84">
        <f t="shared" si="46"/>
        <v>2.2674308703000001</v>
      </c>
      <c r="Z84">
        <f t="shared" si="47"/>
        <v>3.3877193513336685</v>
      </c>
      <c r="AA84">
        <f t="shared" si="48"/>
        <v>1.5297328091833462</v>
      </c>
      <c r="AB84">
        <f t="shared" si="49"/>
        <v>-23.686041090065864</v>
      </c>
      <c r="AC84">
        <f t="shared" si="50"/>
        <v>-230.02783520044909</v>
      </c>
      <c r="AD84">
        <f t="shared" si="51"/>
        <v>-22.61788106574619</v>
      </c>
      <c r="AE84">
        <f t="shared" si="52"/>
        <v>-0.21925121315061347</v>
      </c>
      <c r="AF84">
        <v>0</v>
      </c>
      <c r="AG84">
        <v>0</v>
      </c>
      <c r="AH84">
        <f t="shared" si="53"/>
        <v>1</v>
      </c>
      <c r="AI84">
        <f t="shared" si="54"/>
        <v>0</v>
      </c>
      <c r="AJ84">
        <f t="shared" si="55"/>
        <v>52615.388806913965</v>
      </c>
      <c r="AK84">
        <f t="shared" si="56"/>
        <v>1799.99</v>
      </c>
      <c r="AL84">
        <f t="shared" si="57"/>
        <v>1499.1051925915499</v>
      </c>
      <c r="AM84">
        <f t="shared" si="58"/>
        <v>0.83284084499999989</v>
      </c>
      <c r="AN84">
        <f t="shared" si="59"/>
        <v>0.15339668895</v>
      </c>
      <c r="AO84">
        <v>31.2</v>
      </c>
      <c r="AP84">
        <v>0.5</v>
      </c>
      <c r="AQ84" t="s">
        <v>331</v>
      </c>
      <c r="AR84">
        <v>2</v>
      </c>
      <c r="AS84">
        <v>1690221725</v>
      </c>
      <c r="AT84">
        <v>709.322</v>
      </c>
      <c r="AU84">
        <v>800.06799999999998</v>
      </c>
      <c r="AV84">
        <v>22.862500000000001</v>
      </c>
      <c r="AW84">
        <v>17.4084</v>
      </c>
      <c r="AX84">
        <v>709.75099999999998</v>
      </c>
      <c r="AY84">
        <v>22.6997</v>
      </c>
      <c r="AZ84">
        <v>300.221</v>
      </c>
      <c r="BA84">
        <v>99.076800000000006</v>
      </c>
      <c r="BB84">
        <v>0.10005600000000001</v>
      </c>
      <c r="BC84">
        <v>26.067299999999999</v>
      </c>
      <c r="BD84">
        <v>26.926300000000001</v>
      </c>
      <c r="BE84">
        <v>27.760200000000001</v>
      </c>
      <c r="BF84">
        <v>0</v>
      </c>
      <c r="BG84">
        <v>0</v>
      </c>
      <c r="BH84">
        <v>10012.5</v>
      </c>
      <c r="BI84">
        <v>1068.2</v>
      </c>
      <c r="BJ84">
        <v>1.4016500000000001</v>
      </c>
      <c r="BK84">
        <v>-90.746600000000001</v>
      </c>
      <c r="BL84">
        <v>725.91800000000001</v>
      </c>
      <c r="BM84">
        <v>814.24300000000005</v>
      </c>
      <c r="BN84">
        <v>5.4540699999999998</v>
      </c>
      <c r="BO84">
        <v>800.06799999999998</v>
      </c>
      <c r="BP84">
        <v>17.4084</v>
      </c>
      <c r="BQ84">
        <v>2.2651400000000002</v>
      </c>
      <c r="BR84">
        <v>1.7247699999999999</v>
      </c>
      <c r="BS84">
        <v>19.430599999999998</v>
      </c>
      <c r="BT84">
        <v>15.1211</v>
      </c>
      <c r="BU84">
        <v>1799.99</v>
      </c>
      <c r="BV84">
        <v>0.91002099999999997</v>
      </c>
      <c r="BW84">
        <v>3.4002299999999999E-2</v>
      </c>
      <c r="BX84">
        <v>2.1991E-2</v>
      </c>
      <c r="BY84">
        <v>3.3985899999999999E-2</v>
      </c>
      <c r="BZ84">
        <v>26</v>
      </c>
      <c r="CA84">
        <v>33528.400000000001</v>
      </c>
      <c r="CB84">
        <v>1690220522.5999999</v>
      </c>
      <c r="CC84" t="s">
        <v>332</v>
      </c>
      <c r="CD84">
        <v>1690220522.5999999</v>
      </c>
      <c r="CE84">
        <v>1690220510.5999999</v>
      </c>
      <c r="CF84">
        <v>10</v>
      </c>
      <c r="CG84">
        <v>-0.22</v>
      </c>
      <c r="CH84">
        <v>-2.7E-2</v>
      </c>
      <c r="CI84">
        <v>-0.49299999999999999</v>
      </c>
      <c r="CJ84">
        <v>0.152</v>
      </c>
      <c r="CK84">
        <v>800</v>
      </c>
      <c r="CL84">
        <v>19</v>
      </c>
      <c r="CM84">
        <v>0.1</v>
      </c>
      <c r="CN84">
        <v>0.03</v>
      </c>
      <c r="CO84">
        <v>-87.903756097560972</v>
      </c>
      <c r="CP84">
        <v>-15.41485296167264</v>
      </c>
      <c r="CQ84">
        <v>1.5219499214620791</v>
      </c>
      <c r="CR84">
        <v>-1</v>
      </c>
      <c r="CS84">
        <v>5.2701870731707317</v>
      </c>
      <c r="CT84">
        <v>0.84462334494772962</v>
      </c>
      <c r="CU84">
        <v>8.5223104626417953E-2</v>
      </c>
      <c r="CV84">
        <v>-1</v>
      </c>
      <c r="CW84">
        <v>0</v>
      </c>
      <c r="CX84">
        <v>0</v>
      </c>
      <c r="CY84" t="s">
        <v>333</v>
      </c>
      <c r="CZ84">
        <v>2.3643800000000001</v>
      </c>
      <c r="DA84">
        <v>2.7138599999999999</v>
      </c>
      <c r="DB84">
        <v>0.135295</v>
      </c>
      <c r="DC84">
        <v>0.14627200000000001</v>
      </c>
      <c r="DD84">
        <v>0.110095</v>
      </c>
      <c r="DE84">
        <v>8.9334800000000006E-2</v>
      </c>
      <c r="DF84">
        <v>31567</v>
      </c>
      <c r="DG84">
        <v>27506.5</v>
      </c>
      <c r="DH84">
        <v>31165.599999999999</v>
      </c>
      <c r="DI84">
        <v>28074.6</v>
      </c>
      <c r="DJ84">
        <v>37654.400000000001</v>
      </c>
      <c r="DK84">
        <v>36353.4</v>
      </c>
      <c r="DL84">
        <v>44351.6</v>
      </c>
      <c r="DM84">
        <v>42551.4</v>
      </c>
      <c r="DN84">
        <v>1.4746999999999999</v>
      </c>
      <c r="DO84">
        <v>2.0518299999999998</v>
      </c>
      <c r="DP84">
        <v>0.10752299999999999</v>
      </c>
      <c r="DQ84">
        <v>0.16922499999999999</v>
      </c>
      <c r="DR84">
        <v>25.165199999999999</v>
      </c>
      <c r="DS84">
        <v>24.989799999999999</v>
      </c>
      <c r="DT84">
        <v>55.8</v>
      </c>
      <c r="DU84">
        <v>29.6</v>
      </c>
      <c r="DV84">
        <v>23.4511</v>
      </c>
      <c r="DW84">
        <v>61.294199999999996</v>
      </c>
      <c r="DX84">
        <v>35.2684</v>
      </c>
      <c r="DY84">
        <v>1</v>
      </c>
      <c r="DZ84">
        <v>-8.0360799999999996E-2</v>
      </c>
      <c r="EA84">
        <v>0.52427800000000002</v>
      </c>
      <c r="EB84">
        <v>20.188600000000001</v>
      </c>
      <c r="EC84">
        <v>5.2401999999999997</v>
      </c>
      <c r="ED84">
        <v>12.039899999999999</v>
      </c>
      <c r="EE84">
        <v>5.01675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1.8689100000000001</v>
      </c>
      <c r="EL84">
        <v>1.8646400000000001</v>
      </c>
      <c r="EM84">
        <v>1.8691899999999999</v>
      </c>
      <c r="EN84">
        <v>1.8672299999999999</v>
      </c>
      <c r="EO84">
        <v>1.8633999999999999</v>
      </c>
      <c r="EP84">
        <v>1.8645099999999999</v>
      </c>
      <c r="EQ84">
        <v>1.8702000000000001</v>
      </c>
      <c r="ER84">
        <v>1.86938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-0.42899999999999999</v>
      </c>
      <c r="FG84">
        <v>0.1628</v>
      </c>
      <c r="FH84">
        <v>5.8509882529719233E-2</v>
      </c>
      <c r="FI84">
        <v>-6.1462078757559423E-4</v>
      </c>
      <c r="FJ84">
        <v>-1.8861989874597051E-7</v>
      </c>
      <c r="FK84">
        <v>1.1980462299894961E-10</v>
      </c>
      <c r="FL84">
        <v>0.16277811159127681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20</v>
      </c>
      <c r="FU84">
        <v>20.2</v>
      </c>
      <c r="FV84">
        <v>1.78833</v>
      </c>
      <c r="FW84">
        <v>2.5817899999999998</v>
      </c>
      <c r="FX84">
        <v>1.5490699999999999</v>
      </c>
      <c r="FY84">
        <v>2.3290999999999999</v>
      </c>
      <c r="FZ84">
        <v>1.50146</v>
      </c>
      <c r="GA84">
        <v>2.33765</v>
      </c>
      <c r="GB84">
        <v>33.918700000000001</v>
      </c>
      <c r="GC84">
        <v>23.973700000000001</v>
      </c>
      <c r="GD84">
        <v>19</v>
      </c>
      <c r="GE84">
        <v>282.952</v>
      </c>
      <c r="GF84">
        <v>597.84900000000005</v>
      </c>
      <c r="GG84">
        <v>23.515799999999999</v>
      </c>
      <c r="GH84">
        <v>26.3691</v>
      </c>
      <c r="GI84">
        <v>30</v>
      </c>
      <c r="GJ84">
        <v>26.512499999999999</v>
      </c>
      <c r="GK84">
        <v>26.495799999999999</v>
      </c>
      <c r="GL84">
        <v>35.758099999999999</v>
      </c>
      <c r="GM84">
        <v>41.809600000000003</v>
      </c>
      <c r="GN84">
        <v>98.883499999999998</v>
      </c>
      <c r="GO84">
        <v>23.573899999999998</v>
      </c>
      <c r="GP84">
        <v>800</v>
      </c>
      <c r="GQ84">
        <v>17.303999999999998</v>
      </c>
      <c r="GR84">
        <v>99.7166</v>
      </c>
      <c r="GS84">
        <v>99.542500000000004</v>
      </c>
    </row>
    <row r="85" spans="1:201" x14ac:dyDescent="0.25">
      <c r="A85">
        <v>69</v>
      </c>
      <c r="B85">
        <v>1690221735</v>
      </c>
      <c r="C85">
        <v>852.5</v>
      </c>
      <c r="D85" t="s">
        <v>469</v>
      </c>
      <c r="E85" t="s">
        <v>470</v>
      </c>
      <c r="F85" t="s">
        <v>330</v>
      </c>
      <c r="H85">
        <v>1690221735</v>
      </c>
      <c r="I85">
        <f t="shared" si="30"/>
        <v>5.5400459977661496E-4</v>
      </c>
      <c r="J85">
        <f t="shared" si="31"/>
        <v>0.55400459977661498</v>
      </c>
      <c r="K85">
        <f t="shared" si="32"/>
        <v>8.5896207273546938</v>
      </c>
      <c r="L85">
        <f t="shared" si="33"/>
        <v>706.596</v>
      </c>
      <c r="M85">
        <f t="shared" si="34"/>
        <v>300.57129610186104</v>
      </c>
      <c r="N85">
        <f t="shared" si="35"/>
        <v>29.809840948429773</v>
      </c>
      <c r="O85">
        <f t="shared" si="36"/>
        <v>70.078263120835203</v>
      </c>
      <c r="P85">
        <f t="shared" si="37"/>
        <v>3.521488974184793E-2</v>
      </c>
      <c r="Q85">
        <f t="shared" si="38"/>
        <v>2.1926537951451506</v>
      </c>
      <c r="R85">
        <f t="shared" si="39"/>
        <v>3.4903684340753499E-2</v>
      </c>
      <c r="S85">
        <f t="shared" si="40"/>
        <v>2.1842533963086393E-2</v>
      </c>
      <c r="T85">
        <f t="shared" si="41"/>
        <v>276.11471446200005</v>
      </c>
      <c r="U85">
        <f t="shared" si="42"/>
        <v>28.013837035693605</v>
      </c>
      <c r="V85">
        <f t="shared" si="43"/>
        <v>28.013837035693605</v>
      </c>
      <c r="W85">
        <f t="shared" si="44"/>
        <v>3.7979018706246648</v>
      </c>
      <c r="X85">
        <f t="shared" si="45"/>
        <v>67.036450047346264</v>
      </c>
      <c r="Y85">
        <f t="shared" si="46"/>
        <v>2.2718934222868796</v>
      </c>
      <c r="Z85">
        <f t="shared" si="47"/>
        <v>3.3890419625178465</v>
      </c>
      <c r="AA85">
        <f t="shared" si="48"/>
        <v>1.5260084483377852</v>
      </c>
      <c r="AB85">
        <f t="shared" si="49"/>
        <v>-24.431602850148721</v>
      </c>
      <c r="AC85">
        <f t="shared" si="50"/>
        <v>-229.32063869071419</v>
      </c>
      <c r="AD85">
        <f t="shared" si="51"/>
        <v>-22.580995953717572</v>
      </c>
      <c r="AE85">
        <f t="shared" si="52"/>
        <v>-0.21852303258043548</v>
      </c>
      <c r="AF85">
        <v>0</v>
      </c>
      <c r="AG85">
        <v>0</v>
      </c>
      <c r="AH85">
        <f t="shared" si="53"/>
        <v>1</v>
      </c>
      <c r="AI85">
        <f t="shared" si="54"/>
        <v>0</v>
      </c>
      <c r="AJ85">
        <f t="shared" si="55"/>
        <v>52488.484258352095</v>
      </c>
      <c r="AK85">
        <f t="shared" si="56"/>
        <v>1800</v>
      </c>
      <c r="AL85">
        <f t="shared" si="57"/>
        <v>1499.1116741999999</v>
      </c>
      <c r="AM85">
        <f t="shared" si="58"/>
        <v>0.83283981899999993</v>
      </c>
      <c r="AN85">
        <f t="shared" si="59"/>
        <v>0.15339706359000002</v>
      </c>
      <c r="AO85">
        <v>31.2</v>
      </c>
      <c r="AP85">
        <v>0.5</v>
      </c>
      <c r="AQ85" t="s">
        <v>331</v>
      </c>
      <c r="AR85">
        <v>2</v>
      </c>
      <c r="AS85">
        <v>1690221735</v>
      </c>
      <c r="AT85">
        <v>706.596</v>
      </c>
      <c r="AU85">
        <v>799.96</v>
      </c>
      <c r="AV85">
        <v>22.907399999999999</v>
      </c>
      <c r="AW85">
        <v>17.280100000000001</v>
      </c>
      <c r="AX85">
        <v>707.024</v>
      </c>
      <c r="AY85">
        <v>22.744700000000002</v>
      </c>
      <c r="AZ85">
        <v>300.12599999999998</v>
      </c>
      <c r="BA85">
        <v>99.077299999999994</v>
      </c>
      <c r="BB85">
        <v>9.9971199999999996E-2</v>
      </c>
      <c r="BC85">
        <v>26.073899999999998</v>
      </c>
      <c r="BD85">
        <v>26.963200000000001</v>
      </c>
      <c r="BE85">
        <v>27.7485</v>
      </c>
      <c r="BF85">
        <v>0</v>
      </c>
      <c r="BG85">
        <v>0</v>
      </c>
      <c r="BH85">
        <v>9987.5</v>
      </c>
      <c r="BI85">
        <v>1068.3399999999999</v>
      </c>
      <c r="BJ85">
        <v>1.4142699999999999</v>
      </c>
      <c r="BK85">
        <v>-93.363299999999995</v>
      </c>
      <c r="BL85">
        <v>723.16200000000003</v>
      </c>
      <c r="BM85">
        <v>814.02599999999995</v>
      </c>
      <c r="BN85">
        <v>5.6273</v>
      </c>
      <c r="BO85">
        <v>799.96</v>
      </c>
      <c r="BP85">
        <v>17.280100000000001</v>
      </c>
      <c r="BQ85">
        <v>2.2696100000000001</v>
      </c>
      <c r="BR85">
        <v>1.71207</v>
      </c>
      <c r="BS85">
        <v>19.462299999999999</v>
      </c>
      <c r="BT85">
        <v>15.0063</v>
      </c>
      <c r="BU85">
        <v>1800</v>
      </c>
      <c r="BV85">
        <v>0.91000400000000004</v>
      </c>
      <c r="BW85">
        <v>3.4000799999999998E-2</v>
      </c>
      <c r="BX85">
        <v>2.1995199999999999E-2</v>
      </c>
      <c r="BY85">
        <v>3.4000099999999998E-2</v>
      </c>
      <c r="BZ85">
        <v>26</v>
      </c>
      <c r="CA85">
        <v>33528.5</v>
      </c>
      <c r="CB85">
        <v>1690220522.5999999</v>
      </c>
      <c r="CC85" t="s">
        <v>332</v>
      </c>
      <c r="CD85">
        <v>1690220522.5999999</v>
      </c>
      <c r="CE85">
        <v>1690220510.5999999</v>
      </c>
      <c r="CF85">
        <v>10</v>
      </c>
      <c r="CG85">
        <v>-0.22</v>
      </c>
      <c r="CH85">
        <v>-2.7E-2</v>
      </c>
      <c r="CI85">
        <v>-0.49299999999999999</v>
      </c>
      <c r="CJ85">
        <v>0.152</v>
      </c>
      <c r="CK85">
        <v>800</v>
      </c>
      <c r="CL85">
        <v>19</v>
      </c>
      <c r="CM85">
        <v>0.1</v>
      </c>
      <c r="CN85">
        <v>0.03</v>
      </c>
      <c r="CO85">
        <v>-90.527543902439021</v>
      </c>
      <c r="CP85">
        <v>-16.366396515679462</v>
      </c>
      <c r="CQ85">
        <v>1.614798471764832</v>
      </c>
      <c r="CR85">
        <v>-1</v>
      </c>
      <c r="CS85">
        <v>5.4335812195121953</v>
      </c>
      <c r="CT85">
        <v>1.125562996515695</v>
      </c>
      <c r="CU85">
        <v>0.1119213837802825</v>
      </c>
      <c r="CV85">
        <v>-1</v>
      </c>
      <c r="CW85">
        <v>0</v>
      </c>
      <c r="CX85">
        <v>0</v>
      </c>
      <c r="CY85" t="s">
        <v>333</v>
      </c>
      <c r="CZ85">
        <v>2.36408</v>
      </c>
      <c r="DA85">
        <v>2.7137500000000001</v>
      </c>
      <c r="DB85">
        <v>0.13494200000000001</v>
      </c>
      <c r="DC85">
        <v>0.146257</v>
      </c>
      <c r="DD85">
        <v>0.11025</v>
      </c>
      <c r="DE85">
        <v>8.8860999999999996E-2</v>
      </c>
      <c r="DF85">
        <v>31580.3</v>
      </c>
      <c r="DG85">
        <v>27507.3</v>
      </c>
      <c r="DH85">
        <v>31165.9</v>
      </c>
      <c r="DI85">
        <v>28075</v>
      </c>
      <c r="DJ85">
        <v>37648.199999999997</v>
      </c>
      <c r="DK85">
        <v>36372.800000000003</v>
      </c>
      <c r="DL85">
        <v>44352.1</v>
      </c>
      <c r="DM85">
        <v>42551.9</v>
      </c>
      <c r="DN85">
        <v>1.4740800000000001</v>
      </c>
      <c r="DO85">
        <v>2.0514000000000001</v>
      </c>
      <c r="DP85">
        <v>0.109907</v>
      </c>
      <c r="DQ85">
        <v>0.16866600000000001</v>
      </c>
      <c r="DR85">
        <v>25.163</v>
      </c>
      <c r="DS85">
        <v>24.987300000000001</v>
      </c>
      <c r="DT85">
        <v>56</v>
      </c>
      <c r="DU85">
        <v>29.6</v>
      </c>
      <c r="DV85">
        <v>23.5351</v>
      </c>
      <c r="DW85">
        <v>61.794199999999996</v>
      </c>
      <c r="DX85">
        <v>36.718800000000002</v>
      </c>
      <c r="DY85">
        <v>1</v>
      </c>
      <c r="DZ85">
        <v>-8.0038100000000001E-2</v>
      </c>
      <c r="EA85">
        <v>0.46409</v>
      </c>
      <c r="EB85">
        <v>20.189299999999999</v>
      </c>
      <c r="EC85">
        <v>5.2411000000000003</v>
      </c>
      <c r="ED85">
        <v>12.039899999999999</v>
      </c>
      <c r="EE85">
        <v>5.0167999999999999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1.8689199999999999</v>
      </c>
      <c r="EL85">
        <v>1.8646199999999999</v>
      </c>
      <c r="EM85">
        <v>1.8692</v>
      </c>
      <c r="EN85">
        <v>1.8672299999999999</v>
      </c>
      <c r="EO85">
        <v>1.8633999999999999</v>
      </c>
      <c r="EP85">
        <v>1.86453</v>
      </c>
      <c r="EQ85">
        <v>1.8701700000000001</v>
      </c>
      <c r="ER85">
        <v>1.8694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-0.42799999999999999</v>
      </c>
      <c r="FG85">
        <v>0.16270000000000001</v>
      </c>
      <c r="FH85">
        <v>5.8509882529719233E-2</v>
      </c>
      <c r="FI85">
        <v>-6.1462078757559423E-4</v>
      </c>
      <c r="FJ85">
        <v>-1.8861989874597051E-7</v>
      </c>
      <c r="FK85">
        <v>1.1980462299894961E-10</v>
      </c>
      <c r="FL85">
        <v>0.16277811159127681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20.2</v>
      </c>
      <c r="FU85">
        <v>20.399999999999999</v>
      </c>
      <c r="FV85">
        <v>1.78833</v>
      </c>
      <c r="FW85">
        <v>2.5744600000000002</v>
      </c>
      <c r="FX85">
        <v>1.5490699999999999</v>
      </c>
      <c r="FY85">
        <v>2.3290999999999999</v>
      </c>
      <c r="FZ85">
        <v>1.50146</v>
      </c>
      <c r="GA85">
        <v>2.3767100000000001</v>
      </c>
      <c r="GB85">
        <v>33.918700000000001</v>
      </c>
      <c r="GC85">
        <v>23.982399999999998</v>
      </c>
      <c r="GD85">
        <v>19</v>
      </c>
      <c r="GE85">
        <v>282.67399999999998</v>
      </c>
      <c r="GF85">
        <v>597.46</v>
      </c>
      <c r="GG85">
        <v>23.5837</v>
      </c>
      <c r="GH85">
        <v>26.366399999999999</v>
      </c>
      <c r="GI85">
        <v>30</v>
      </c>
      <c r="GJ85">
        <v>26.510300000000001</v>
      </c>
      <c r="GK85">
        <v>26.493099999999998</v>
      </c>
      <c r="GL85">
        <v>35.760199999999998</v>
      </c>
      <c r="GM85">
        <v>42.355600000000003</v>
      </c>
      <c r="GN85">
        <v>98.511300000000006</v>
      </c>
      <c r="GO85">
        <v>23.598199999999999</v>
      </c>
      <c r="GP85">
        <v>800</v>
      </c>
      <c r="GQ85">
        <v>17.155100000000001</v>
      </c>
      <c r="GR85">
        <v>99.717799999999997</v>
      </c>
      <c r="GS85">
        <v>99.543700000000001</v>
      </c>
    </row>
    <row r="86" spans="1:201" x14ac:dyDescent="0.25">
      <c r="A86">
        <v>70</v>
      </c>
      <c r="B86">
        <v>1690221745</v>
      </c>
      <c r="C86">
        <v>862.5</v>
      </c>
      <c r="D86" t="s">
        <v>471</v>
      </c>
      <c r="E86" t="s">
        <v>472</v>
      </c>
      <c r="F86" t="s">
        <v>330</v>
      </c>
      <c r="H86">
        <v>1690221745</v>
      </c>
      <c r="I86">
        <f t="shared" si="30"/>
        <v>5.7227775549739028E-4</v>
      </c>
      <c r="J86">
        <f t="shared" si="31"/>
        <v>0.57227775549739024</v>
      </c>
      <c r="K86">
        <f t="shared" si="32"/>
        <v>8.8534311002963317</v>
      </c>
      <c r="L86">
        <f t="shared" si="33"/>
        <v>703.8</v>
      </c>
      <c r="M86">
        <f t="shared" si="34"/>
        <v>299.66615644676187</v>
      </c>
      <c r="N86">
        <f t="shared" si="35"/>
        <v>29.720464589646465</v>
      </c>
      <c r="O86">
        <f t="shared" si="36"/>
        <v>69.801886293119992</v>
      </c>
      <c r="P86">
        <f t="shared" si="37"/>
        <v>3.6474677618340723E-2</v>
      </c>
      <c r="Q86">
        <f t="shared" si="38"/>
        <v>2.190823320975241</v>
      </c>
      <c r="R86">
        <f t="shared" si="39"/>
        <v>3.6140645372993691E-2</v>
      </c>
      <c r="S86">
        <f t="shared" si="40"/>
        <v>2.261765978269693E-2</v>
      </c>
      <c r="T86">
        <f t="shared" si="41"/>
        <v>276.11622991799999</v>
      </c>
      <c r="U86">
        <f t="shared" si="42"/>
        <v>28.013102475728193</v>
      </c>
      <c r="V86">
        <f t="shared" si="43"/>
        <v>28.013102475728193</v>
      </c>
      <c r="W86">
        <f t="shared" si="44"/>
        <v>3.7977392554122611</v>
      </c>
      <c r="X86">
        <f t="shared" si="45"/>
        <v>67.122711118371654</v>
      </c>
      <c r="Y86">
        <f t="shared" si="46"/>
        <v>2.2753550374208</v>
      </c>
      <c r="Z86">
        <f t="shared" si="47"/>
        <v>3.38984376451688</v>
      </c>
      <c r="AA86">
        <f t="shared" si="48"/>
        <v>1.5223842179914611</v>
      </c>
      <c r="AB86">
        <f t="shared" si="49"/>
        <v>-25.237449017434912</v>
      </c>
      <c r="AC86">
        <f t="shared" si="50"/>
        <v>-228.56999015936699</v>
      </c>
      <c r="AD86">
        <f t="shared" si="51"/>
        <v>-22.526251943867248</v>
      </c>
      <c r="AE86">
        <f t="shared" si="52"/>
        <v>-0.21746120266917046</v>
      </c>
      <c r="AF86">
        <v>0</v>
      </c>
      <c r="AG86">
        <v>0</v>
      </c>
      <c r="AH86">
        <f t="shared" si="53"/>
        <v>1</v>
      </c>
      <c r="AI86">
        <f t="shared" si="54"/>
        <v>0</v>
      </c>
      <c r="AJ86">
        <f t="shared" si="55"/>
        <v>52412.82144229269</v>
      </c>
      <c r="AK86">
        <f t="shared" si="56"/>
        <v>1800</v>
      </c>
      <c r="AL86">
        <f t="shared" si="57"/>
        <v>1499.1105887999997</v>
      </c>
      <c r="AM86">
        <f t="shared" si="58"/>
        <v>0.83283921599999988</v>
      </c>
      <c r="AN86">
        <f t="shared" si="59"/>
        <v>0.15339790550999999</v>
      </c>
      <c r="AO86">
        <v>31.2</v>
      </c>
      <c r="AP86">
        <v>0.5</v>
      </c>
      <c r="AQ86" t="s">
        <v>331</v>
      </c>
      <c r="AR86">
        <v>2</v>
      </c>
      <c r="AS86">
        <v>1690221745</v>
      </c>
      <c r="AT86">
        <v>703.8</v>
      </c>
      <c r="AU86">
        <v>799.976</v>
      </c>
      <c r="AV86">
        <v>22.942</v>
      </c>
      <c r="AW86">
        <v>17.132200000000001</v>
      </c>
      <c r="AX86">
        <v>704.22699999999998</v>
      </c>
      <c r="AY86">
        <v>22.779299999999999</v>
      </c>
      <c r="AZ86">
        <v>300.27600000000001</v>
      </c>
      <c r="BA86">
        <v>99.078599999999994</v>
      </c>
      <c r="BB86">
        <v>9.9982399999999999E-2</v>
      </c>
      <c r="BC86">
        <v>26.0779</v>
      </c>
      <c r="BD86">
        <v>26.979500000000002</v>
      </c>
      <c r="BE86">
        <v>27.733799999999999</v>
      </c>
      <c r="BF86">
        <v>0</v>
      </c>
      <c r="BG86">
        <v>0</v>
      </c>
      <c r="BH86">
        <v>9972.5</v>
      </c>
      <c r="BI86">
        <v>1068.49</v>
      </c>
      <c r="BJ86">
        <v>1.5137799999999999</v>
      </c>
      <c r="BK86">
        <v>-96.175299999999993</v>
      </c>
      <c r="BL86">
        <v>720.32600000000002</v>
      </c>
      <c r="BM86">
        <v>813.92</v>
      </c>
      <c r="BN86">
        <v>5.8098200000000002</v>
      </c>
      <c r="BO86">
        <v>799.976</v>
      </c>
      <c r="BP86">
        <v>17.132200000000001</v>
      </c>
      <c r="BQ86">
        <v>2.2730700000000001</v>
      </c>
      <c r="BR86">
        <v>1.6974400000000001</v>
      </c>
      <c r="BS86">
        <v>19.486799999999999</v>
      </c>
      <c r="BT86">
        <v>14.872999999999999</v>
      </c>
      <c r="BU86">
        <v>1800</v>
      </c>
      <c r="BV86">
        <v>0.90998199999999996</v>
      </c>
      <c r="BW86">
        <v>3.3999000000000001E-2</v>
      </c>
      <c r="BX86">
        <v>2.2005299999999998E-2</v>
      </c>
      <c r="BY86">
        <v>3.40139E-2</v>
      </c>
      <c r="BZ86">
        <v>26</v>
      </c>
      <c r="CA86">
        <v>33528.300000000003</v>
      </c>
      <c r="CB86">
        <v>1690220522.5999999</v>
      </c>
      <c r="CC86" t="s">
        <v>332</v>
      </c>
      <c r="CD86">
        <v>1690220522.5999999</v>
      </c>
      <c r="CE86">
        <v>1690220510.5999999</v>
      </c>
      <c r="CF86">
        <v>10</v>
      </c>
      <c r="CG86">
        <v>-0.22</v>
      </c>
      <c r="CH86">
        <v>-2.7E-2</v>
      </c>
      <c r="CI86">
        <v>-0.49299999999999999</v>
      </c>
      <c r="CJ86">
        <v>0.152</v>
      </c>
      <c r="CK86">
        <v>800</v>
      </c>
      <c r="CL86">
        <v>19</v>
      </c>
      <c r="CM86">
        <v>0.1</v>
      </c>
      <c r="CN86">
        <v>0.03</v>
      </c>
      <c r="CO86">
        <v>-92.996221951219525</v>
      </c>
      <c r="CP86">
        <v>-16.551386759582009</v>
      </c>
      <c r="CQ86">
        <v>1.6330944975141</v>
      </c>
      <c r="CR86">
        <v>-1</v>
      </c>
      <c r="CS86">
        <v>5.6091231707317073</v>
      </c>
      <c r="CT86">
        <v>1.141685226480833</v>
      </c>
      <c r="CU86">
        <v>0.11353516039555329</v>
      </c>
      <c r="CV86">
        <v>-1</v>
      </c>
      <c r="CW86">
        <v>0</v>
      </c>
      <c r="CX86">
        <v>0</v>
      </c>
      <c r="CY86" t="s">
        <v>333</v>
      </c>
      <c r="CZ86">
        <v>2.3645499999999999</v>
      </c>
      <c r="DA86">
        <v>2.7137500000000001</v>
      </c>
      <c r="DB86">
        <v>0.13458000000000001</v>
      </c>
      <c r="DC86">
        <v>0.146259</v>
      </c>
      <c r="DD86">
        <v>0.11037</v>
      </c>
      <c r="DE86">
        <v>8.83134E-2</v>
      </c>
      <c r="DF86">
        <v>31593.599999999999</v>
      </c>
      <c r="DG86">
        <v>27507.200000000001</v>
      </c>
      <c r="DH86">
        <v>31166.1</v>
      </c>
      <c r="DI86">
        <v>28074.9</v>
      </c>
      <c r="DJ86">
        <v>37643.1</v>
      </c>
      <c r="DK86">
        <v>36394.9</v>
      </c>
      <c r="DL86">
        <v>44352.2</v>
      </c>
      <c r="DM86">
        <v>42552.1</v>
      </c>
      <c r="DN86">
        <v>1.4744299999999999</v>
      </c>
      <c r="DO86">
        <v>2.0514800000000002</v>
      </c>
      <c r="DP86">
        <v>0.11103200000000001</v>
      </c>
      <c r="DQ86">
        <v>0.16805899999999999</v>
      </c>
      <c r="DR86">
        <v>25.160900000000002</v>
      </c>
      <c r="DS86">
        <v>24.982500000000002</v>
      </c>
      <c r="DT86">
        <v>56.2</v>
      </c>
      <c r="DU86">
        <v>29.6</v>
      </c>
      <c r="DV86">
        <v>23.616800000000001</v>
      </c>
      <c r="DW86">
        <v>61.994199999999999</v>
      </c>
      <c r="DX86">
        <v>35.2684</v>
      </c>
      <c r="DY86">
        <v>1</v>
      </c>
      <c r="DZ86">
        <v>-8.0533499999999994E-2</v>
      </c>
      <c r="EA86">
        <v>0.43447400000000003</v>
      </c>
      <c r="EB86">
        <v>20.189</v>
      </c>
      <c r="EC86">
        <v>5.2408000000000001</v>
      </c>
      <c r="ED86">
        <v>12.039899999999999</v>
      </c>
      <c r="EE86">
        <v>5.0166000000000004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1.8689100000000001</v>
      </c>
      <c r="EL86">
        <v>1.8646199999999999</v>
      </c>
      <c r="EM86">
        <v>1.8691899999999999</v>
      </c>
      <c r="EN86">
        <v>1.8672299999999999</v>
      </c>
      <c r="EO86">
        <v>1.8633900000000001</v>
      </c>
      <c r="EP86">
        <v>1.86452</v>
      </c>
      <c r="EQ86">
        <v>1.87018</v>
      </c>
      <c r="ER86">
        <v>1.8694500000000001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-0.42699999999999999</v>
      </c>
      <c r="FG86">
        <v>0.16270000000000001</v>
      </c>
      <c r="FH86">
        <v>5.8509882529719233E-2</v>
      </c>
      <c r="FI86">
        <v>-6.1462078757559423E-4</v>
      </c>
      <c r="FJ86">
        <v>-1.8861989874597051E-7</v>
      </c>
      <c r="FK86">
        <v>1.1980462299894961E-10</v>
      </c>
      <c r="FL86">
        <v>0.16277811159127681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20.399999999999999</v>
      </c>
      <c r="FU86">
        <v>20.6</v>
      </c>
      <c r="FV86">
        <v>1.78833</v>
      </c>
      <c r="FW86">
        <v>2.5805699999999998</v>
      </c>
      <c r="FX86">
        <v>1.5490699999999999</v>
      </c>
      <c r="FY86">
        <v>2.3290999999999999</v>
      </c>
      <c r="FZ86">
        <v>1.50146</v>
      </c>
      <c r="GA86">
        <v>2.3840300000000001</v>
      </c>
      <c r="GB86">
        <v>33.918700000000001</v>
      </c>
      <c r="GC86">
        <v>23.973700000000001</v>
      </c>
      <c r="GD86">
        <v>19</v>
      </c>
      <c r="GE86">
        <v>282.80900000000003</v>
      </c>
      <c r="GF86">
        <v>597.48500000000001</v>
      </c>
      <c r="GG86">
        <v>23.618099999999998</v>
      </c>
      <c r="GH86">
        <v>26.362400000000001</v>
      </c>
      <c r="GI86">
        <v>29.9999</v>
      </c>
      <c r="GJ86">
        <v>26.506900000000002</v>
      </c>
      <c r="GK86">
        <v>26.489799999999999</v>
      </c>
      <c r="GL86">
        <v>35.7605</v>
      </c>
      <c r="GM86">
        <v>42.6569</v>
      </c>
      <c r="GN86">
        <v>98.137500000000003</v>
      </c>
      <c r="GO86">
        <v>23.636099999999999</v>
      </c>
      <c r="GP86">
        <v>800</v>
      </c>
      <c r="GQ86">
        <v>17.0108</v>
      </c>
      <c r="GR86">
        <v>99.718100000000007</v>
      </c>
      <c r="GS86">
        <v>99.543899999999994</v>
      </c>
    </row>
    <row r="87" spans="1:201" x14ac:dyDescent="0.25">
      <c r="A87">
        <v>71</v>
      </c>
      <c r="B87">
        <v>1690221755</v>
      </c>
      <c r="C87">
        <v>872.5</v>
      </c>
      <c r="D87" t="s">
        <v>473</v>
      </c>
      <c r="E87" t="s">
        <v>474</v>
      </c>
      <c r="F87" t="s">
        <v>330</v>
      </c>
      <c r="H87">
        <v>1690221755</v>
      </c>
      <c r="I87">
        <f t="shared" si="30"/>
        <v>5.9098945266464079E-4</v>
      </c>
      <c r="J87">
        <f t="shared" si="31"/>
        <v>0.59098945266464076</v>
      </c>
      <c r="K87">
        <f t="shared" si="32"/>
        <v>9.1059091708792153</v>
      </c>
      <c r="L87">
        <f t="shared" si="33"/>
        <v>701.04300000000001</v>
      </c>
      <c r="M87">
        <f t="shared" si="34"/>
        <v>299.61790315558932</v>
      </c>
      <c r="N87">
        <f t="shared" si="35"/>
        <v>29.71653442559251</v>
      </c>
      <c r="O87">
        <f t="shared" si="36"/>
        <v>69.530452699625414</v>
      </c>
      <c r="P87">
        <f t="shared" si="37"/>
        <v>3.7779659660919403E-2</v>
      </c>
      <c r="Q87">
        <f t="shared" si="38"/>
        <v>2.1938593995326952</v>
      </c>
      <c r="R87">
        <f t="shared" si="39"/>
        <v>3.7421915327053912E-2</v>
      </c>
      <c r="S87">
        <f t="shared" si="40"/>
        <v>2.3420556573353998E-2</v>
      </c>
      <c r="T87">
        <f t="shared" si="41"/>
        <v>276.11518285423978</v>
      </c>
      <c r="U87">
        <f t="shared" si="42"/>
        <v>28.006992291710297</v>
      </c>
      <c r="V87">
        <f t="shared" si="43"/>
        <v>28.006992291710297</v>
      </c>
      <c r="W87">
        <f t="shared" si="44"/>
        <v>3.796386832191299</v>
      </c>
      <c r="X87">
        <f t="shared" si="45"/>
        <v>67.190571265757455</v>
      </c>
      <c r="Y87">
        <f t="shared" si="46"/>
        <v>2.2780190996779601</v>
      </c>
      <c r="Z87">
        <f t="shared" si="47"/>
        <v>3.3903850745185049</v>
      </c>
      <c r="AA87">
        <f t="shared" si="48"/>
        <v>1.5183677325133389</v>
      </c>
      <c r="AB87">
        <f t="shared" si="49"/>
        <v>-26.062634862510659</v>
      </c>
      <c r="AC87">
        <f t="shared" si="50"/>
        <v>-227.84471858562276</v>
      </c>
      <c r="AD87">
        <f t="shared" si="51"/>
        <v>-22.423314747445762</v>
      </c>
      <c r="AE87">
        <f t="shared" si="52"/>
        <v>-0.21548534133941644</v>
      </c>
      <c r="AF87">
        <v>0</v>
      </c>
      <c r="AG87">
        <v>0</v>
      </c>
      <c r="AH87">
        <f t="shared" si="53"/>
        <v>1</v>
      </c>
      <c r="AI87">
        <f t="shared" si="54"/>
        <v>0</v>
      </c>
      <c r="AJ87">
        <f t="shared" si="55"/>
        <v>52536.82369072127</v>
      </c>
      <c r="AK87">
        <f t="shared" si="56"/>
        <v>1799.99</v>
      </c>
      <c r="AL87">
        <f t="shared" si="57"/>
        <v>1499.1028382046297</v>
      </c>
      <c r="AM87">
        <f t="shared" si="58"/>
        <v>0.83283953699999991</v>
      </c>
      <c r="AN87">
        <f t="shared" si="59"/>
        <v>0.15339817602</v>
      </c>
      <c r="AO87">
        <v>31.2</v>
      </c>
      <c r="AP87">
        <v>0.5</v>
      </c>
      <c r="AQ87" t="s">
        <v>331</v>
      </c>
      <c r="AR87">
        <v>2</v>
      </c>
      <c r="AS87">
        <v>1690221755</v>
      </c>
      <c r="AT87">
        <v>701.04300000000001</v>
      </c>
      <c r="AU87">
        <v>800.01499999999999</v>
      </c>
      <c r="AV87">
        <v>22.9682</v>
      </c>
      <c r="AW87">
        <v>16.965399999999999</v>
      </c>
      <c r="AX87">
        <v>701.46699999999998</v>
      </c>
      <c r="AY87">
        <v>22.805399999999999</v>
      </c>
      <c r="AZ87">
        <v>300.11599999999999</v>
      </c>
      <c r="BA87">
        <v>99.081500000000005</v>
      </c>
      <c r="BB87">
        <v>9.9937799999999993E-2</v>
      </c>
      <c r="BC87">
        <v>26.0806</v>
      </c>
      <c r="BD87">
        <v>26.978400000000001</v>
      </c>
      <c r="BE87">
        <v>27.7408</v>
      </c>
      <c r="BF87">
        <v>0</v>
      </c>
      <c r="BG87">
        <v>0</v>
      </c>
      <c r="BH87">
        <v>9996.8799999999992</v>
      </c>
      <c r="BI87">
        <v>1068.57</v>
      </c>
      <c r="BJ87">
        <v>1.5137799999999999</v>
      </c>
      <c r="BK87">
        <v>-98.971599999999995</v>
      </c>
      <c r="BL87">
        <v>717.52300000000002</v>
      </c>
      <c r="BM87">
        <v>813.822</v>
      </c>
      <c r="BN87">
        <v>6.0027900000000001</v>
      </c>
      <c r="BO87">
        <v>800.01499999999999</v>
      </c>
      <c r="BP87">
        <v>16.965399999999999</v>
      </c>
      <c r="BQ87">
        <v>2.2757200000000002</v>
      </c>
      <c r="BR87">
        <v>1.6809499999999999</v>
      </c>
      <c r="BS87">
        <v>19.505500000000001</v>
      </c>
      <c r="BT87">
        <v>14.7216</v>
      </c>
      <c r="BU87">
        <v>1799.99</v>
      </c>
      <c r="BV87">
        <v>0.90998000000000001</v>
      </c>
      <c r="BW87">
        <v>3.3998100000000003E-2</v>
      </c>
      <c r="BX87">
        <v>2.20091E-2</v>
      </c>
      <c r="BY87">
        <v>3.4013000000000002E-2</v>
      </c>
      <c r="BZ87">
        <v>26</v>
      </c>
      <c r="CA87">
        <v>33528.1</v>
      </c>
      <c r="CB87">
        <v>1690220522.5999999</v>
      </c>
      <c r="CC87" t="s">
        <v>332</v>
      </c>
      <c r="CD87">
        <v>1690220522.5999999</v>
      </c>
      <c r="CE87">
        <v>1690220510.5999999</v>
      </c>
      <c r="CF87">
        <v>10</v>
      </c>
      <c r="CG87">
        <v>-0.22</v>
      </c>
      <c r="CH87">
        <v>-2.7E-2</v>
      </c>
      <c r="CI87">
        <v>-0.49299999999999999</v>
      </c>
      <c r="CJ87">
        <v>0.152</v>
      </c>
      <c r="CK87">
        <v>800</v>
      </c>
      <c r="CL87">
        <v>19</v>
      </c>
      <c r="CM87">
        <v>0.1</v>
      </c>
      <c r="CN87">
        <v>0.03</v>
      </c>
      <c r="CO87">
        <v>-95.965119999999999</v>
      </c>
      <c r="CP87">
        <v>-16.67103714821727</v>
      </c>
      <c r="CQ87">
        <v>1.604306965670846</v>
      </c>
      <c r="CR87">
        <v>-1</v>
      </c>
      <c r="CS87">
        <v>5.7978062499999998</v>
      </c>
      <c r="CT87">
        <v>1.0053326454033731</v>
      </c>
      <c r="CU87">
        <v>9.7766296587512708E-2</v>
      </c>
      <c r="CV87">
        <v>-1</v>
      </c>
      <c r="CW87">
        <v>0</v>
      </c>
      <c r="CX87">
        <v>0</v>
      </c>
      <c r="CY87" t="s">
        <v>333</v>
      </c>
      <c r="CZ87">
        <v>2.3640599999999998</v>
      </c>
      <c r="DA87">
        <v>2.71373</v>
      </c>
      <c r="DB87">
        <v>0.13422500000000001</v>
      </c>
      <c r="DC87">
        <v>0.14626600000000001</v>
      </c>
      <c r="DD87">
        <v>0.11046300000000001</v>
      </c>
      <c r="DE87">
        <v>8.76942E-2</v>
      </c>
      <c r="DF87">
        <v>31607</v>
      </c>
      <c r="DG87">
        <v>27507.5</v>
      </c>
      <c r="DH87">
        <v>31166.5</v>
      </c>
      <c r="DI87">
        <v>28075.5</v>
      </c>
      <c r="DJ87">
        <v>37639.599999999999</v>
      </c>
      <c r="DK87">
        <v>36420.199999999997</v>
      </c>
      <c r="DL87">
        <v>44352.9</v>
      </c>
      <c r="DM87">
        <v>42552.7</v>
      </c>
      <c r="DN87">
        <v>1.4740800000000001</v>
      </c>
      <c r="DO87">
        <v>2.0508000000000002</v>
      </c>
      <c r="DP87">
        <v>0.111096</v>
      </c>
      <c r="DQ87">
        <v>0.16867699999999999</v>
      </c>
      <c r="DR87">
        <v>25.158799999999999</v>
      </c>
      <c r="DS87">
        <v>24.979299999999999</v>
      </c>
      <c r="DT87">
        <v>56.4</v>
      </c>
      <c r="DU87">
        <v>29.6</v>
      </c>
      <c r="DV87">
        <v>23.6999</v>
      </c>
      <c r="DW87">
        <v>61.7742</v>
      </c>
      <c r="DX87">
        <v>36.462299999999999</v>
      </c>
      <c r="DY87">
        <v>1</v>
      </c>
      <c r="DZ87">
        <v>-8.1049300000000005E-2</v>
      </c>
      <c r="EA87">
        <v>0.41459699999999999</v>
      </c>
      <c r="EB87">
        <v>20.189399999999999</v>
      </c>
      <c r="EC87">
        <v>5.2406499999999996</v>
      </c>
      <c r="ED87">
        <v>12.039899999999999</v>
      </c>
      <c r="EE87">
        <v>5.01675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1.8689199999999999</v>
      </c>
      <c r="EL87">
        <v>1.8646199999999999</v>
      </c>
      <c r="EM87">
        <v>1.8691899999999999</v>
      </c>
      <c r="EN87">
        <v>1.8672299999999999</v>
      </c>
      <c r="EO87">
        <v>1.8633999999999999</v>
      </c>
      <c r="EP87">
        <v>1.8645499999999999</v>
      </c>
      <c r="EQ87">
        <v>1.87015</v>
      </c>
      <c r="ER87">
        <v>1.86944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-0.42399999999999999</v>
      </c>
      <c r="FG87">
        <v>0.1628</v>
      </c>
      <c r="FH87">
        <v>5.8509882529719233E-2</v>
      </c>
      <c r="FI87">
        <v>-6.1462078757559423E-4</v>
      </c>
      <c r="FJ87">
        <v>-1.8861989874597051E-7</v>
      </c>
      <c r="FK87">
        <v>1.1980462299894961E-10</v>
      </c>
      <c r="FL87">
        <v>0.16277811159127681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20.5</v>
      </c>
      <c r="FU87">
        <v>20.7</v>
      </c>
      <c r="FV87">
        <v>1.78833</v>
      </c>
      <c r="FW87">
        <v>2.5793499999999998</v>
      </c>
      <c r="FX87">
        <v>1.5490699999999999</v>
      </c>
      <c r="FY87">
        <v>2.3290999999999999</v>
      </c>
      <c r="FZ87">
        <v>1.50146</v>
      </c>
      <c r="GA87">
        <v>2.3303199999999999</v>
      </c>
      <c r="GB87">
        <v>33.941299999999998</v>
      </c>
      <c r="GC87">
        <v>23.982399999999998</v>
      </c>
      <c r="GD87">
        <v>19</v>
      </c>
      <c r="GE87">
        <v>282.64499999999998</v>
      </c>
      <c r="GF87">
        <v>596.89099999999996</v>
      </c>
      <c r="GG87">
        <v>23.655799999999999</v>
      </c>
      <c r="GH87">
        <v>26.359100000000002</v>
      </c>
      <c r="GI87">
        <v>29.9999</v>
      </c>
      <c r="GJ87">
        <v>26.503599999999999</v>
      </c>
      <c r="GK87">
        <v>26.4876</v>
      </c>
      <c r="GL87">
        <v>35.761200000000002</v>
      </c>
      <c r="GM87">
        <v>42.9527</v>
      </c>
      <c r="GN87">
        <v>98.137500000000003</v>
      </c>
      <c r="GO87">
        <v>23.667400000000001</v>
      </c>
      <c r="GP87">
        <v>800</v>
      </c>
      <c r="GQ87">
        <v>16.864000000000001</v>
      </c>
      <c r="GR87">
        <v>99.7196</v>
      </c>
      <c r="GS87">
        <v>99.545599999999993</v>
      </c>
    </row>
    <row r="88" spans="1:201" x14ac:dyDescent="0.25">
      <c r="A88">
        <v>72</v>
      </c>
      <c r="B88">
        <v>1690221765</v>
      </c>
      <c r="C88">
        <v>882.5</v>
      </c>
      <c r="D88" t="s">
        <v>475</v>
      </c>
      <c r="E88" t="s">
        <v>476</v>
      </c>
      <c r="F88" t="s">
        <v>330</v>
      </c>
      <c r="H88">
        <v>1690221765</v>
      </c>
      <c r="I88">
        <f t="shared" si="30"/>
        <v>6.0510623258343624E-4</v>
      </c>
      <c r="J88">
        <f t="shared" si="31"/>
        <v>0.60510623258343621</v>
      </c>
      <c r="K88">
        <f t="shared" si="32"/>
        <v>9.3719018835565961</v>
      </c>
      <c r="L88">
        <f t="shared" si="33"/>
        <v>698.23</v>
      </c>
      <c r="M88">
        <f t="shared" si="34"/>
        <v>295.16732246331941</v>
      </c>
      <c r="N88">
        <f t="shared" si="35"/>
        <v>29.274300993536531</v>
      </c>
      <c r="O88">
        <f t="shared" si="36"/>
        <v>69.249519262949988</v>
      </c>
      <c r="P88">
        <f t="shared" si="37"/>
        <v>3.8718717851524379E-2</v>
      </c>
      <c r="Q88">
        <f t="shared" si="38"/>
        <v>2.1888201235053222</v>
      </c>
      <c r="R88">
        <f t="shared" si="39"/>
        <v>3.834220777959621E-2</v>
      </c>
      <c r="S88">
        <f t="shared" si="40"/>
        <v>2.3997402583382288E-2</v>
      </c>
      <c r="T88">
        <f t="shared" si="41"/>
        <v>276.11638299000003</v>
      </c>
      <c r="U88">
        <f t="shared" si="42"/>
        <v>28.01192598011847</v>
      </c>
      <c r="V88">
        <f t="shared" si="43"/>
        <v>28.01192598011847</v>
      </c>
      <c r="W88">
        <f t="shared" si="44"/>
        <v>3.7974788181492345</v>
      </c>
      <c r="X88">
        <f t="shared" si="45"/>
        <v>67.233015493838977</v>
      </c>
      <c r="Y88">
        <f t="shared" si="46"/>
        <v>2.2802266048814999</v>
      </c>
      <c r="Z88">
        <f t="shared" si="47"/>
        <v>3.3915280879978567</v>
      </c>
      <c r="AA88">
        <f t="shared" si="48"/>
        <v>1.5172522132677346</v>
      </c>
      <c r="AB88">
        <f t="shared" si="49"/>
        <v>-26.685184856929538</v>
      </c>
      <c r="AC88">
        <f t="shared" si="50"/>
        <v>-227.23093366109475</v>
      </c>
      <c r="AD88">
        <f t="shared" si="51"/>
        <v>-22.415586231059329</v>
      </c>
      <c r="AE88">
        <f t="shared" si="52"/>
        <v>-0.21532175908359363</v>
      </c>
      <c r="AF88">
        <v>0</v>
      </c>
      <c r="AG88">
        <v>0</v>
      </c>
      <c r="AH88">
        <f t="shared" si="53"/>
        <v>1</v>
      </c>
      <c r="AI88">
        <f t="shared" si="54"/>
        <v>0</v>
      </c>
      <c r="AJ88">
        <f t="shared" si="55"/>
        <v>52329.360665439526</v>
      </c>
      <c r="AK88">
        <f t="shared" si="56"/>
        <v>1800</v>
      </c>
      <c r="AL88">
        <f t="shared" si="57"/>
        <v>1499.1110550000001</v>
      </c>
      <c r="AM88">
        <f t="shared" si="58"/>
        <v>0.832839475</v>
      </c>
      <c r="AN88">
        <f t="shared" si="59"/>
        <v>0.15339799055000003</v>
      </c>
      <c r="AO88">
        <v>31.2</v>
      </c>
      <c r="AP88">
        <v>0.5</v>
      </c>
      <c r="AQ88" t="s">
        <v>331</v>
      </c>
      <c r="AR88">
        <v>2</v>
      </c>
      <c r="AS88">
        <v>1690221765</v>
      </c>
      <c r="AT88">
        <v>698.23</v>
      </c>
      <c r="AU88">
        <v>800.00699999999995</v>
      </c>
      <c r="AV88">
        <v>22.991099999999999</v>
      </c>
      <c r="AW88">
        <v>16.847799999999999</v>
      </c>
      <c r="AX88">
        <v>698.65200000000004</v>
      </c>
      <c r="AY88">
        <v>22.828299999999999</v>
      </c>
      <c r="AZ88">
        <v>300.25</v>
      </c>
      <c r="BA88">
        <v>99.078599999999994</v>
      </c>
      <c r="BB88">
        <v>0.100065</v>
      </c>
      <c r="BC88">
        <v>26.086300000000001</v>
      </c>
      <c r="BD88">
        <v>27.020399999999999</v>
      </c>
      <c r="BE88">
        <v>27.740200000000002</v>
      </c>
      <c r="BF88">
        <v>0</v>
      </c>
      <c r="BG88">
        <v>0</v>
      </c>
      <c r="BH88">
        <v>9956.25</v>
      </c>
      <c r="BI88">
        <v>1068.67</v>
      </c>
      <c r="BJ88">
        <v>1.5137799999999999</v>
      </c>
      <c r="BK88">
        <v>-101.777</v>
      </c>
      <c r="BL88">
        <v>714.66099999999994</v>
      </c>
      <c r="BM88">
        <v>813.71699999999998</v>
      </c>
      <c r="BN88">
        <v>6.1433</v>
      </c>
      <c r="BO88">
        <v>800.00699999999995</v>
      </c>
      <c r="BP88">
        <v>16.847799999999999</v>
      </c>
      <c r="BQ88">
        <v>2.2779199999999999</v>
      </c>
      <c r="BR88">
        <v>1.6692499999999999</v>
      </c>
      <c r="BS88">
        <v>19.521100000000001</v>
      </c>
      <c r="BT88">
        <v>14.6134</v>
      </c>
      <c r="BU88">
        <v>1800</v>
      </c>
      <c r="BV88">
        <v>0.90998400000000002</v>
      </c>
      <c r="BW88">
        <v>3.3996400000000003E-2</v>
      </c>
      <c r="BX88">
        <v>2.2008E-2</v>
      </c>
      <c r="BY88">
        <v>3.4011300000000001E-2</v>
      </c>
      <c r="BZ88">
        <v>26</v>
      </c>
      <c r="CA88">
        <v>33528.199999999997</v>
      </c>
      <c r="CB88">
        <v>1690220522.5999999</v>
      </c>
      <c r="CC88" t="s">
        <v>332</v>
      </c>
      <c r="CD88">
        <v>1690220522.5999999</v>
      </c>
      <c r="CE88">
        <v>1690220510.5999999</v>
      </c>
      <c r="CF88">
        <v>10</v>
      </c>
      <c r="CG88">
        <v>-0.22</v>
      </c>
      <c r="CH88">
        <v>-2.7E-2</v>
      </c>
      <c r="CI88">
        <v>-0.49299999999999999</v>
      </c>
      <c r="CJ88">
        <v>0.152</v>
      </c>
      <c r="CK88">
        <v>800</v>
      </c>
      <c r="CL88">
        <v>19</v>
      </c>
      <c r="CM88">
        <v>0.1</v>
      </c>
      <c r="CN88">
        <v>0.03</v>
      </c>
      <c r="CO88">
        <v>-98.742912500000017</v>
      </c>
      <c r="CP88">
        <v>-16.821592120074989</v>
      </c>
      <c r="CQ88">
        <v>1.6186466320953909</v>
      </c>
      <c r="CR88">
        <v>-1</v>
      </c>
      <c r="CS88">
        <v>5.96771575</v>
      </c>
      <c r="CT88">
        <v>1.0529089305816091</v>
      </c>
      <c r="CU88">
        <v>0.10175764794076909</v>
      </c>
      <c r="CV88">
        <v>-1</v>
      </c>
      <c r="CW88">
        <v>0</v>
      </c>
      <c r="CX88">
        <v>0</v>
      </c>
      <c r="CY88" t="s">
        <v>333</v>
      </c>
      <c r="CZ88">
        <v>2.36449</v>
      </c>
      <c r="DA88">
        <v>2.7138200000000001</v>
      </c>
      <c r="DB88">
        <v>0.133854</v>
      </c>
      <c r="DC88">
        <v>0.146259</v>
      </c>
      <c r="DD88">
        <v>0.110539</v>
      </c>
      <c r="DE88">
        <v>8.7252300000000005E-2</v>
      </c>
      <c r="DF88">
        <v>31620.3</v>
      </c>
      <c r="DG88">
        <v>27507.5</v>
      </c>
      <c r="DH88">
        <v>31166.3</v>
      </c>
      <c r="DI88">
        <v>28075.200000000001</v>
      </c>
      <c r="DJ88">
        <v>37636.1</v>
      </c>
      <c r="DK88">
        <v>36437.5</v>
      </c>
      <c r="DL88">
        <v>44352.6</v>
      </c>
      <c r="DM88">
        <v>42552.3</v>
      </c>
      <c r="DN88">
        <v>1.4746699999999999</v>
      </c>
      <c r="DO88">
        <v>2.0508000000000002</v>
      </c>
      <c r="DP88">
        <v>0.11379300000000001</v>
      </c>
      <c r="DQ88">
        <v>0.168771</v>
      </c>
      <c r="DR88">
        <v>25.156600000000001</v>
      </c>
      <c r="DS88">
        <v>24.9772</v>
      </c>
      <c r="DT88">
        <v>56.5</v>
      </c>
      <c r="DU88">
        <v>29.6</v>
      </c>
      <c r="DV88">
        <v>23.745200000000001</v>
      </c>
      <c r="DW88">
        <v>61.854199999999999</v>
      </c>
      <c r="DX88">
        <v>35.597000000000001</v>
      </c>
      <c r="DY88">
        <v>1</v>
      </c>
      <c r="DZ88">
        <v>-8.0856200000000003E-2</v>
      </c>
      <c r="EA88">
        <v>0.77179699999999996</v>
      </c>
      <c r="EB88">
        <v>20.1876</v>
      </c>
      <c r="EC88">
        <v>5.2411000000000003</v>
      </c>
      <c r="ED88">
        <v>12.039899999999999</v>
      </c>
      <c r="EE88">
        <v>5.0167999999999999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1.8689</v>
      </c>
      <c r="EL88">
        <v>1.86463</v>
      </c>
      <c r="EM88">
        <v>1.8691899999999999</v>
      </c>
      <c r="EN88">
        <v>1.8672299999999999</v>
      </c>
      <c r="EO88">
        <v>1.8633999999999999</v>
      </c>
      <c r="EP88">
        <v>1.8645400000000001</v>
      </c>
      <c r="EQ88">
        <v>1.8701700000000001</v>
      </c>
      <c r="ER88">
        <v>1.8694200000000001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-0.42199999999999999</v>
      </c>
      <c r="FG88">
        <v>0.1628</v>
      </c>
      <c r="FH88">
        <v>5.8509882529719233E-2</v>
      </c>
      <c r="FI88">
        <v>-6.1462078757559423E-4</v>
      </c>
      <c r="FJ88">
        <v>-1.8861989874597051E-7</v>
      </c>
      <c r="FK88">
        <v>1.1980462299894961E-10</v>
      </c>
      <c r="FL88">
        <v>0.16277811159127681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20.7</v>
      </c>
      <c r="FU88">
        <v>20.9</v>
      </c>
      <c r="FV88">
        <v>1.78833</v>
      </c>
      <c r="FW88">
        <v>2.5769000000000002</v>
      </c>
      <c r="FX88">
        <v>1.5490699999999999</v>
      </c>
      <c r="FY88">
        <v>2.3290999999999999</v>
      </c>
      <c r="FZ88">
        <v>1.50146</v>
      </c>
      <c r="GA88">
        <v>2.4047900000000002</v>
      </c>
      <c r="GB88">
        <v>33.918700000000001</v>
      </c>
      <c r="GC88">
        <v>23.982399999999998</v>
      </c>
      <c r="GD88">
        <v>19</v>
      </c>
      <c r="GE88">
        <v>282.89100000000002</v>
      </c>
      <c r="GF88">
        <v>596.86599999999999</v>
      </c>
      <c r="GG88">
        <v>23.6249</v>
      </c>
      <c r="GH88">
        <v>26.3553</v>
      </c>
      <c r="GI88">
        <v>30.0001</v>
      </c>
      <c r="GJ88">
        <v>26.501300000000001</v>
      </c>
      <c r="GK88">
        <v>26.485399999999998</v>
      </c>
      <c r="GL88">
        <v>35.758099999999999</v>
      </c>
      <c r="GM88">
        <v>43.531599999999997</v>
      </c>
      <c r="GN88">
        <v>97.765199999999993</v>
      </c>
      <c r="GO88">
        <v>23.562899999999999</v>
      </c>
      <c r="GP88">
        <v>800</v>
      </c>
      <c r="GQ88">
        <v>16.716200000000001</v>
      </c>
      <c r="GR88">
        <v>99.718800000000002</v>
      </c>
      <c r="GS88">
        <v>99.544600000000003</v>
      </c>
    </row>
    <row r="89" spans="1:201" x14ac:dyDescent="0.25">
      <c r="A89">
        <v>73</v>
      </c>
      <c r="B89">
        <v>1690221775</v>
      </c>
      <c r="C89">
        <v>892.5</v>
      </c>
      <c r="D89" t="s">
        <v>477</v>
      </c>
      <c r="E89" t="s">
        <v>478</v>
      </c>
      <c r="F89" t="s">
        <v>330</v>
      </c>
      <c r="H89">
        <v>1690221775</v>
      </c>
      <c r="I89">
        <f t="shared" si="30"/>
        <v>6.1783876730843327E-4</v>
      </c>
      <c r="J89">
        <f t="shared" si="31"/>
        <v>0.61783876730843323</v>
      </c>
      <c r="K89">
        <f t="shared" si="32"/>
        <v>9.6344227964709699</v>
      </c>
      <c r="L89">
        <f t="shared" si="33"/>
        <v>695.41399999999999</v>
      </c>
      <c r="M89">
        <f t="shared" si="34"/>
        <v>290.64278235841124</v>
      </c>
      <c r="N89">
        <f t="shared" si="35"/>
        <v>28.825356615431637</v>
      </c>
      <c r="O89">
        <f t="shared" si="36"/>
        <v>68.969737981121611</v>
      </c>
      <c r="P89">
        <f t="shared" si="37"/>
        <v>3.9624204766977728E-2</v>
      </c>
      <c r="Q89">
        <f t="shared" si="38"/>
        <v>2.1979549545416446</v>
      </c>
      <c r="R89">
        <f t="shared" si="39"/>
        <v>3.9231596083399191E-2</v>
      </c>
      <c r="S89">
        <f t="shared" si="40"/>
        <v>2.4554697608775804E-2</v>
      </c>
      <c r="T89">
        <f t="shared" si="41"/>
        <v>276.11642896199999</v>
      </c>
      <c r="U89">
        <f t="shared" si="42"/>
        <v>27.994125033984979</v>
      </c>
      <c r="V89">
        <f t="shared" si="43"/>
        <v>27.994125033984979</v>
      </c>
      <c r="W89">
        <f t="shared" si="44"/>
        <v>3.793540177751904</v>
      </c>
      <c r="X89">
        <f t="shared" si="45"/>
        <v>67.234956110956134</v>
      </c>
      <c r="Y89">
        <f t="shared" si="46"/>
        <v>2.2794565149524</v>
      </c>
      <c r="Z89">
        <f t="shared" si="47"/>
        <v>3.3902848262303777</v>
      </c>
      <c r="AA89">
        <f t="shared" si="48"/>
        <v>1.514083662799504</v>
      </c>
      <c r="AB89">
        <f t="shared" si="49"/>
        <v>-27.246689638301905</v>
      </c>
      <c r="AC89">
        <f t="shared" si="50"/>
        <v>-226.80459276347949</v>
      </c>
      <c r="AD89">
        <f t="shared" si="51"/>
        <v>-22.277867423808569</v>
      </c>
      <c r="AE89">
        <f t="shared" si="52"/>
        <v>-0.21272086358999331</v>
      </c>
      <c r="AF89">
        <v>0</v>
      </c>
      <c r="AG89">
        <v>0</v>
      </c>
      <c r="AH89">
        <f t="shared" si="53"/>
        <v>1</v>
      </c>
      <c r="AI89">
        <f t="shared" si="54"/>
        <v>0</v>
      </c>
      <c r="AJ89">
        <f t="shared" si="55"/>
        <v>52704.946087142554</v>
      </c>
      <c r="AK89">
        <f t="shared" si="56"/>
        <v>1800</v>
      </c>
      <c r="AL89">
        <f t="shared" si="57"/>
        <v>1499.1125921999999</v>
      </c>
      <c r="AM89">
        <f t="shared" si="58"/>
        <v>0.83284032899999993</v>
      </c>
      <c r="AN89">
        <f t="shared" si="59"/>
        <v>0.15339801609000001</v>
      </c>
      <c r="AO89">
        <v>31.2</v>
      </c>
      <c r="AP89">
        <v>0.5</v>
      </c>
      <c r="AQ89" t="s">
        <v>331</v>
      </c>
      <c r="AR89">
        <v>2</v>
      </c>
      <c r="AS89">
        <v>1690221775</v>
      </c>
      <c r="AT89">
        <v>695.41399999999999</v>
      </c>
      <c r="AU89">
        <v>800.00300000000004</v>
      </c>
      <c r="AV89">
        <v>22.983499999999999</v>
      </c>
      <c r="AW89">
        <v>16.7103</v>
      </c>
      <c r="AX89">
        <v>695.83399999999995</v>
      </c>
      <c r="AY89">
        <v>22.820699999999999</v>
      </c>
      <c r="AZ89">
        <v>300.22199999999998</v>
      </c>
      <c r="BA89">
        <v>99.078000000000003</v>
      </c>
      <c r="BB89">
        <v>9.9954399999999999E-2</v>
      </c>
      <c r="BC89">
        <v>26.080100000000002</v>
      </c>
      <c r="BD89">
        <v>26.966999999999999</v>
      </c>
      <c r="BE89">
        <v>27.712499999999999</v>
      </c>
      <c r="BF89">
        <v>0</v>
      </c>
      <c r="BG89">
        <v>0</v>
      </c>
      <c r="BH89">
        <v>10030.6</v>
      </c>
      <c r="BI89">
        <v>1068.8800000000001</v>
      </c>
      <c r="BJ89">
        <v>1.5137799999999999</v>
      </c>
      <c r="BK89">
        <v>-104.589</v>
      </c>
      <c r="BL89">
        <v>711.77300000000002</v>
      </c>
      <c r="BM89">
        <v>813.59799999999996</v>
      </c>
      <c r="BN89">
        <v>6.2732000000000001</v>
      </c>
      <c r="BO89">
        <v>800.00300000000004</v>
      </c>
      <c r="BP89">
        <v>16.7103</v>
      </c>
      <c r="BQ89">
        <v>2.2771599999999999</v>
      </c>
      <c r="BR89">
        <v>1.6556200000000001</v>
      </c>
      <c r="BS89">
        <v>19.515699999999999</v>
      </c>
      <c r="BT89">
        <v>14.486499999999999</v>
      </c>
      <c r="BU89">
        <v>1800</v>
      </c>
      <c r="BV89">
        <v>0.90998800000000002</v>
      </c>
      <c r="BW89">
        <v>3.39951E-2</v>
      </c>
      <c r="BX89">
        <v>2.2007200000000001E-2</v>
      </c>
      <c r="BY89">
        <v>3.4010100000000001E-2</v>
      </c>
      <c r="BZ89">
        <v>26</v>
      </c>
      <c r="CA89">
        <v>33528.199999999997</v>
      </c>
      <c r="CB89">
        <v>1690220522.5999999</v>
      </c>
      <c r="CC89" t="s">
        <v>332</v>
      </c>
      <c r="CD89">
        <v>1690220522.5999999</v>
      </c>
      <c r="CE89">
        <v>1690220510.5999999</v>
      </c>
      <c r="CF89">
        <v>10</v>
      </c>
      <c r="CG89">
        <v>-0.22</v>
      </c>
      <c r="CH89">
        <v>-2.7E-2</v>
      </c>
      <c r="CI89">
        <v>-0.49299999999999999</v>
      </c>
      <c r="CJ89">
        <v>0.152</v>
      </c>
      <c r="CK89">
        <v>800</v>
      </c>
      <c r="CL89">
        <v>19</v>
      </c>
      <c r="CM89">
        <v>0.1</v>
      </c>
      <c r="CN89">
        <v>0.03</v>
      </c>
      <c r="CO89">
        <v>-101.542575</v>
      </c>
      <c r="CP89">
        <v>-16.810372232645509</v>
      </c>
      <c r="CQ89">
        <v>1.6172734329342711</v>
      </c>
      <c r="CR89">
        <v>-1</v>
      </c>
      <c r="CS89">
        <v>6.1412899999999997</v>
      </c>
      <c r="CT89">
        <v>0.96289485928703744</v>
      </c>
      <c r="CU89">
        <v>9.3432059861698433E-2</v>
      </c>
      <c r="CV89">
        <v>-1</v>
      </c>
      <c r="CW89">
        <v>0</v>
      </c>
      <c r="CX89">
        <v>0</v>
      </c>
      <c r="CY89" t="s">
        <v>333</v>
      </c>
      <c r="CZ89">
        <v>2.3644099999999999</v>
      </c>
      <c r="DA89">
        <v>2.7137699999999998</v>
      </c>
      <c r="DB89">
        <v>0.13348399999999999</v>
      </c>
      <c r="DC89">
        <v>0.146256</v>
      </c>
      <c r="DD89">
        <v>0.110513</v>
      </c>
      <c r="DE89">
        <v>8.6736499999999994E-2</v>
      </c>
      <c r="DF89">
        <v>31633.8</v>
      </c>
      <c r="DG89">
        <v>27507.9</v>
      </c>
      <c r="DH89">
        <v>31166.2</v>
      </c>
      <c r="DI89">
        <v>28075.5</v>
      </c>
      <c r="DJ89">
        <v>37637.1</v>
      </c>
      <c r="DK89">
        <v>36458.699999999997</v>
      </c>
      <c r="DL89">
        <v>44352.6</v>
      </c>
      <c r="DM89">
        <v>42552.9</v>
      </c>
      <c r="DN89">
        <v>1.47465</v>
      </c>
      <c r="DO89">
        <v>2.05078</v>
      </c>
      <c r="DP89">
        <v>0.11068600000000001</v>
      </c>
      <c r="DQ89">
        <v>0.16732900000000001</v>
      </c>
      <c r="DR89">
        <v>25.1541</v>
      </c>
      <c r="DS89">
        <v>24.972999999999999</v>
      </c>
      <c r="DT89">
        <v>56.6</v>
      </c>
      <c r="DU89">
        <v>29.6</v>
      </c>
      <c r="DV89">
        <v>23.786999999999999</v>
      </c>
      <c r="DW89">
        <v>61.6342</v>
      </c>
      <c r="DX89">
        <v>35.873399999999997</v>
      </c>
      <c r="DY89">
        <v>1</v>
      </c>
      <c r="DZ89">
        <v>-8.1110299999999996E-2</v>
      </c>
      <c r="EA89">
        <v>0.69097500000000001</v>
      </c>
      <c r="EB89">
        <v>20.187999999999999</v>
      </c>
      <c r="EC89">
        <v>5.2408000000000001</v>
      </c>
      <c r="ED89">
        <v>12.039899999999999</v>
      </c>
      <c r="EE89">
        <v>5.01675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1.8689199999999999</v>
      </c>
      <c r="EL89">
        <v>1.86463</v>
      </c>
      <c r="EM89">
        <v>1.8692</v>
      </c>
      <c r="EN89">
        <v>1.8672200000000001</v>
      </c>
      <c r="EO89">
        <v>1.8633999999999999</v>
      </c>
      <c r="EP89">
        <v>1.86452</v>
      </c>
      <c r="EQ89">
        <v>1.87018</v>
      </c>
      <c r="ER89">
        <v>1.8694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-0.42</v>
      </c>
      <c r="FG89">
        <v>0.1628</v>
      </c>
      <c r="FH89">
        <v>5.8509882529719233E-2</v>
      </c>
      <c r="FI89">
        <v>-6.1462078757559423E-4</v>
      </c>
      <c r="FJ89">
        <v>-1.8861989874597051E-7</v>
      </c>
      <c r="FK89">
        <v>1.1980462299894961E-10</v>
      </c>
      <c r="FL89">
        <v>0.16277811159127681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20.9</v>
      </c>
      <c r="FU89">
        <v>21.1</v>
      </c>
      <c r="FV89">
        <v>1.78833</v>
      </c>
      <c r="FW89">
        <v>2.5817899999999998</v>
      </c>
      <c r="FX89">
        <v>1.5490699999999999</v>
      </c>
      <c r="FY89">
        <v>2.3290999999999999</v>
      </c>
      <c r="FZ89">
        <v>1.50146</v>
      </c>
      <c r="GA89">
        <v>2.2912599999999999</v>
      </c>
      <c r="GB89">
        <v>33.918700000000001</v>
      </c>
      <c r="GC89">
        <v>23.973700000000001</v>
      </c>
      <c r="GD89">
        <v>19</v>
      </c>
      <c r="GE89">
        <v>282.86599999999999</v>
      </c>
      <c r="GF89">
        <v>596.81299999999999</v>
      </c>
      <c r="GG89">
        <v>23.538399999999999</v>
      </c>
      <c r="GH89">
        <v>26.351900000000001</v>
      </c>
      <c r="GI89">
        <v>29.9999</v>
      </c>
      <c r="GJ89">
        <v>26.498000000000001</v>
      </c>
      <c r="GK89">
        <v>26.482600000000001</v>
      </c>
      <c r="GL89">
        <v>35.7622</v>
      </c>
      <c r="GM89">
        <v>43.817500000000003</v>
      </c>
      <c r="GN89">
        <v>97.388599999999997</v>
      </c>
      <c r="GO89">
        <v>23.562999999999999</v>
      </c>
      <c r="GP89">
        <v>800</v>
      </c>
      <c r="GQ89">
        <v>16.589600000000001</v>
      </c>
      <c r="GR89">
        <v>99.718800000000002</v>
      </c>
      <c r="GS89">
        <v>99.546000000000006</v>
      </c>
    </row>
    <row r="90" spans="1:201" x14ac:dyDescent="0.25">
      <c r="A90">
        <v>74</v>
      </c>
      <c r="B90">
        <v>1690221785</v>
      </c>
      <c r="C90">
        <v>902.5</v>
      </c>
      <c r="D90" t="s">
        <v>479</v>
      </c>
      <c r="E90" t="s">
        <v>480</v>
      </c>
      <c r="F90" t="s">
        <v>330</v>
      </c>
      <c r="H90">
        <v>1690221785</v>
      </c>
      <c r="I90">
        <f t="shared" si="30"/>
        <v>6.3458936891047429E-4</v>
      </c>
      <c r="J90">
        <f t="shared" si="31"/>
        <v>0.63458936891047424</v>
      </c>
      <c r="K90">
        <f t="shared" si="32"/>
        <v>9.9018180411899213</v>
      </c>
      <c r="L90">
        <f t="shared" si="33"/>
        <v>692.58600000000001</v>
      </c>
      <c r="M90">
        <f t="shared" si="34"/>
        <v>288.5800456700984</v>
      </c>
      <c r="N90">
        <f t="shared" si="35"/>
        <v>28.621304893648226</v>
      </c>
      <c r="O90">
        <f t="shared" si="36"/>
        <v>68.690525795166593</v>
      </c>
      <c r="P90">
        <f t="shared" si="37"/>
        <v>4.0805294344981057E-2</v>
      </c>
      <c r="Q90">
        <f t="shared" si="38"/>
        <v>2.1926085205380632</v>
      </c>
      <c r="R90">
        <f t="shared" si="39"/>
        <v>4.0388060534441564E-2</v>
      </c>
      <c r="S90">
        <f t="shared" si="40"/>
        <v>2.5279669031088602E-2</v>
      </c>
      <c r="T90">
        <f t="shared" si="41"/>
        <v>276.11456225368761</v>
      </c>
      <c r="U90">
        <f t="shared" si="42"/>
        <v>27.980190497755405</v>
      </c>
      <c r="V90">
        <f t="shared" si="43"/>
        <v>27.980190497755405</v>
      </c>
      <c r="W90">
        <f t="shared" si="44"/>
        <v>3.7904595072514558</v>
      </c>
      <c r="X90">
        <f t="shared" si="45"/>
        <v>67.294991129976594</v>
      </c>
      <c r="Y90">
        <f t="shared" si="46"/>
        <v>2.2798058872734601</v>
      </c>
      <c r="Z90">
        <f t="shared" si="47"/>
        <v>3.3877794602426503</v>
      </c>
      <c r="AA90">
        <f t="shared" si="48"/>
        <v>1.5106536199779956</v>
      </c>
      <c r="AB90">
        <f t="shared" si="49"/>
        <v>-27.985391168951917</v>
      </c>
      <c r="AC90">
        <f t="shared" si="50"/>
        <v>-226.08332649513883</v>
      </c>
      <c r="AD90">
        <f t="shared" si="51"/>
        <v>-22.258228314930324</v>
      </c>
      <c r="AE90">
        <f t="shared" si="52"/>
        <v>-0.21238372533346705</v>
      </c>
      <c r="AF90">
        <v>0</v>
      </c>
      <c r="AG90">
        <v>0</v>
      </c>
      <c r="AH90">
        <f t="shared" si="53"/>
        <v>1</v>
      </c>
      <c r="AI90">
        <f t="shared" si="54"/>
        <v>0</v>
      </c>
      <c r="AJ90">
        <f t="shared" si="55"/>
        <v>52487.78807812286</v>
      </c>
      <c r="AK90">
        <f t="shared" si="56"/>
        <v>1799.99</v>
      </c>
      <c r="AL90">
        <f t="shared" si="57"/>
        <v>1499.1031658028101</v>
      </c>
      <c r="AM90">
        <f t="shared" si="58"/>
        <v>0.83283971899999998</v>
      </c>
      <c r="AN90">
        <f t="shared" si="59"/>
        <v>0.15339783124</v>
      </c>
      <c r="AO90">
        <v>31.2</v>
      </c>
      <c r="AP90">
        <v>0.5</v>
      </c>
      <c r="AQ90" t="s">
        <v>331</v>
      </c>
      <c r="AR90">
        <v>2</v>
      </c>
      <c r="AS90">
        <v>1690221785</v>
      </c>
      <c r="AT90">
        <v>692.58600000000001</v>
      </c>
      <c r="AU90">
        <v>800.06700000000001</v>
      </c>
      <c r="AV90">
        <v>22.986599999999999</v>
      </c>
      <c r="AW90">
        <v>16.5427</v>
      </c>
      <c r="AX90">
        <v>693.00400000000002</v>
      </c>
      <c r="AY90">
        <v>22.823799999999999</v>
      </c>
      <c r="AZ90">
        <v>300.19200000000001</v>
      </c>
      <c r="BA90">
        <v>99.079800000000006</v>
      </c>
      <c r="BB90">
        <v>9.99781E-2</v>
      </c>
      <c r="BC90">
        <v>26.067599999999999</v>
      </c>
      <c r="BD90">
        <v>26.986499999999999</v>
      </c>
      <c r="BE90">
        <v>27.702000000000002</v>
      </c>
      <c r="BF90">
        <v>0</v>
      </c>
      <c r="BG90">
        <v>0</v>
      </c>
      <c r="BH90">
        <v>9986.8799999999992</v>
      </c>
      <c r="BI90">
        <v>1068.82</v>
      </c>
      <c r="BJ90">
        <v>1.5137799999999999</v>
      </c>
      <c r="BK90">
        <v>-107.48099999999999</v>
      </c>
      <c r="BL90">
        <v>708.88099999999997</v>
      </c>
      <c r="BM90">
        <v>813.52499999999998</v>
      </c>
      <c r="BN90">
        <v>6.4439299999999999</v>
      </c>
      <c r="BO90">
        <v>800.06700000000001</v>
      </c>
      <c r="BP90">
        <v>16.5427</v>
      </c>
      <c r="BQ90">
        <v>2.2775099999999999</v>
      </c>
      <c r="BR90">
        <v>1.6390400000000001</v>
      </c>
      <c r="BS90">
        <v>19.5182</v>
      </c>
      <c r="BT90">
        <v>14.3309</v>
      </c>
      <c r="BU90">
        <v>1799.99</v>
      </c>
      <c r="BV90">
        <v>0.90998900000000005</v>
      </c>
      <c r="BW90">
        <v>3.3994400000000001E-2</v>
      </c>
      <c r="BX90">
        <v>2.2006700000000001E-2</v>
      </c>
      <c r="BY90">
        <v>3.4009400000000002E-2</v>
      </c>
      <c r="BZ90">
        <v>26</v>
      </c>
      <c r="CA90">
        <v>33528.1</v>
      </c>
      <c r="CB90">
        <v>1690220522.5999999</v>
      </c>
      <c r="CC90" t="s">
        <v>332</v>
      </c>
      <c r="CD90">
        <v>1690220522.5999999</v>
      </c>
      <c r="CE90">
        <v>1690220510.5999999</v>
      </c>
      <c r="CF90">
        <v>10</v>
      </c>
      <c r="CG90">
        <v>-0.22</v>
      </c>
      <c r="CH90">
        <v>-2.7E-2</v>
      </c>
      <c r="CI90">
        <v>-0.49299999999999999</v>
      </c>
      <c r="CJ90">
        <v>0.152</v>
      </c>
      <c r="CK90">
        <v>800</v>
      </c>
      <c r="CL90">
        <v>19</v>
      </c>
      <c r="CM90">
        <v>0.1</v>
      </c>
      <c r="CN90">
        <v>0.03</v>
      </c>
      <c r="CO90">
        <v>-104.361225</v>
      </c>
      <c r="CP90">
        <v>-16.929354596622829</v>
      </c>
      <c r="CQ90">
        <v>1.6287589675501399</v>
      </c>
      <c r="CR90">
        <v>-1</v>
      </c>
      <c r="CS90">
        <v>6.2759632499999993</v>
      </c>
      <c r="CT90">
        <v>0.6866736585365818</v>
      </c>
      <c r="CU90">
        <v>6.7862146421532335E-2</v>
      </c>
      <c r="CV90">
        <v>-1</v>
      </c>
      <c r="CW90">
        <v>0</v>
      </c>
      <c r="CX90">
        <v>0</v>
      </c>
      <c r="CY90" t="s">
        <v>333</v>
      </c>
      <c r="CZ90">
        <v>2.3643100000000001</v>
      </c>
      <c r="DA90">
        <v>2.7137600000000002</v>
      </c>
      <c r="DB90">
        <v>0.13311500000000001</v>
      </c>
      <c r="DC90">
        <v>0.14626400000000001</v>
      </c>
      <c r="DD90">
        <v>0.110527</v>
      </c>
      <c r="DE90">
        <v>8.6107400000000001E-2</v>
      </c>
      <c r="DF90">
        <v>31647.9</v>
      </c>
      <c r="DG90">
        <v>27508.2</v>
      </c>
      <c r="DH90">
        <v>31166.799999999999</v>
      </c>
      <c r="DI90">
        <v>28076.1</v>
      </c>
      <c r="DJ90">
        <v>37637.300000000003</v>
      </c>
      <c r="DK90">
        <v>36484.5</v>
      </c>
      <c r="DL90">
        <v>44353.5</v>
      </c>
      <c r="DM90">
        <v>42553.7</v>
      </c>
      <c r="DN90">
        <v>1.4746999999999999</v>
      </c>
      <c r="DO90">
        <v>2.0505499999999999</v>
      </c>
      <c r="DP90">
        <v>0.112265</v>
      </c>
      <c r="DQ90">
        <v>0.16716900000000001</v>
      </c>
      <c r="DR90">
        <v>25.1478</v>
      </c>
      <c r="DS90">
        <v>24.9651</v>
      </c>
      <c r="DT90">
        <v>56.8</v>
      </c>
      <c r="DU90">
        <v>29.6</v>
      </c>
      <c r="DV90">
        <v>23.866800000000001</v>
      </c>
      <c r="DW90">
        <v>62.014200000000002</v>
      </c>
      <c r="DX90">
        <v>36.153799999999997</v>
      </c>
      <c r="DY90">
        <v>1</v>
      </c>
      <c r="DZ90">
        <v>-8.1529500000000005E-2</v>
      </c>
      <c r="EA90">
        <v>0.48095599999999999</v>
      </c>
      <c r="EB90">
        <v>20.1889</v>
      </c>
      <c r="EC90">
        <v>5.2408000000000001</v>
      </c>
      <c r="ED90">
        <v>12.039899999999999</v>
      </c>
      <c r="EE90">
        <v>5.01675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</v>
      </c>
      <c r="EL90">
        <v>1.8646400000000001</v>
      </c>
      <c r="EM90">
        <v>1.8692</v>
      </c>
      <c r="EN90">
        <v>1.8672299999999999</v>
      </c>
      <c r="EO90">
        <v>1.8633999999999999</v>
      </c>
      <c r="EP90">
        <v>1.8645099999999999</v>
      </c>
      <c r="EQ90">
        <v>1.8701700000000001</v>
      </c>
      <c r="ER90">
        <v>1.8694200000000001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-0.41799999999999998</v>
      </c>
      <c r="FG90">
        <v>0.1628</v>
      </c>
      <c r="FH90">
        <v>5.8509882529719233E-2</v>
      </c>
      <c r="FI90">
        <v>-6.1462078757559423E-4</v>
      </c>
      <c r="FJ90">
        <v>-1.8861989874597051E-7</v>
      </c>
      <c r="FK90">
        <v>1.1980462299894961E-10</v>
      </c>
      <c r="FL90">
        <v>0.16277811159127681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21</v>
      </c>
      <c r="FU90">
        <v>21.2</v>
      </c>
      <c r="FV90">
        <v>1.78833</v>
      </c>
      <c r="FW90">
        <v>2.5793499999999998</v>
      </c>
      <c r="FX90">
        <v>1.5490699999999999</v>
      </c>
      <c r="FY90">
        <v>2.3290999999999999</v>
      </c>
      <c r="FZ90">
        <v>1.50146</v>
      </c>
      <c r="GA90">
        <v>2.4267599999999998</v>
      </c>
      <c r="GB90">
        <v>33.941299999999998</v>
      </c>
      <c r="GC90">
        <v>23.982399999999998</v>
      </c>
      <c r="GD90">
        <v>19</v>
      </c>
      <c r="GE90">
        <v>282.87299999999999</v>
      </c>
      <c r="GF90">
        <v>596.59799999999996</v>
      </c>
      <c r="GG90">
        <v>23.5641</v>
      </c>
      <c r="GH90">
        <v>26.348600000000001</v>
      </c>
      <c r="GI90">
        <v>30</v>
      </c>
      <c r="GJ90">
        <v>26.494700000000002</v>
      </c>
      <c r="GK90">
        <v>26.480399999999999</v>
      </c>
      <c r="GL90">
        <v>35.763399999999997</v>
      </c>
      <c r="GM90">
        <v>44.112000000000002</v>
      </c>
      <c r="GN90">
        <v>97.014700000000005</v>
      </c>
      <c r="GO90">
        <v>23.582799999999999</v>
      </c>
      <c r="GP90">
        <v>800</v>
      </c>
      <c r="GQ90">
        <v>16.453499999999998</v>
      </c>
      <c r="GR90">
        <v>99.720799999999997</v>
      </c>
      <c r="GS90">
        <v>99.547700000000006</v>
      </c>
    </row>
    <row r="91" spans="1:201" x14ac:dyDescent="0.25">
      <c r="A91">
        <v>75</v>
      </c>
      <c r="B91">
        <v>1690221795</v>
      </c>
      <c r="C91">
        <v>912.5</v>
      </c>
      <c r="D91" t="s">
        <v>481</v>
      </c>
      <c r="E91" t="s">
        <v>482</v>
      </c>
      <c r="F91" t="s">
        <v>330</v>
      </c>
      <c r="H91">
        <v>1690221795</v>
      </c>
      <c r="I91">
        <f t="shared" si="30"/>
        <v>6.4634612065970923E-4</v>
      </c>
      <c r="J91">
        <f t="shared" si="31"/>
        <v>0.6463461206597092</v>
      </c>
      <c r="K91">
        <f t="shared" si="32"/>
        <v>10.158461707698844</v>
      </c>
      <c r="L91">
        <f t="shared" si="33"/>
        <v>689.774</v>
      </c>
      <c r="M91">
        <f t="shared" si="34"/>
        <v>284.00798075726351</v>
      </c>
      <c r="N91">
        <f t="shared" si="35"/>
        <v>28.167701365599633</v>
      </c>
      <c r="O91">
        <f t="shared" si="36"/>
        <v>68.411274887239998</v>
      </c>
      <c r="P91">
        <f t="shared" si="37"/>
        <v>4.166981090823154E-2</v>
      </c>
      <c r="Q91">
        <f t="shared" si="38"/>
        <v>2.1962038014267327</v>
      </c>
      <c r="R91">
        <f t="shared" si="39"/>
        <v>4.1235516232791432E-2</v>
      </c>
      <c r="S91">
        <f t="shared" si="40"/>
        <v>2.5810840025638035E-2</v>
      </c>
      <c r="T91">
        <f t="shared" si="41"/>
        <v>276.11598745800001</v>
      </c>
      <c r="U91">
        <f t="shared" si="42"/>
        <v>27.970762202394713</v>
      </c>
      <c r="V91">
        <f t="shared" si="43"/>
        <v>27.970762202394713</v>
      </c>
      <c r="W91">
        <f t="shared" si="44"/>
        <v>3.7883763222416582</v>
      </c>
      <c r="X91">
        <f t="shared" si="45"/>
        <v>67.351251118299771</v>
      </c>
      <c r="Y91">
        <f t="shared" si="46"/>
        <v>2.2813610102239998</v>
      </c>
      <c r="Z91">
        <f t="shared" si="47"/>
        <v>3.387258547308766</v>
      </c>
      <c r="AA91">
        <f t="shared" si="48"/>
        <v>1.5070153120176584</v>
      </c>
      <c r="AB91">
        <f t="shared" si="49"/>
        <v>-28.503863921093178</v>
      </c>
      <c r="AC91">
        <f t="shared" si="50"/>
        <v>-225.64555953676177</v>
      </c>
      <c r="AD91">
        <f t="shared" si="51"/>
        <v>-22.177427070745701</v>
      </c>
      <c r="AE91">
        <f t="shared" si="52"/>
        <v>-0.21086307060062381</v>
      </c>
      <c r="AF91">
        <v>0</v>
      </c>
      <c r="AG91">
        <v>0</v>
      </c>
      <c r="AH91">
        <f t="shared" si="53"/>
        <v>1</v>
      </c>
      <c r="AI91">
        <f t="shared" si="54"/>
        <v>0</v>
      </c>
      <c r="AJ91">
        <f t="shared" si="55"/>
        <v>52635.710424684141</v>
      </c>
      <c r="AK91">
        <f t="shared" si="56"/>
        <v>1800</v>
      </c>
      <c r="AL91">
        <f t="shared" si="57"/>
        <v>1499.1123438000002</v>
      </c>
      <c r="AM91">
        <f t="shared" si="58"/>
        <v>0.83284019100000006</v>
      </c>
      <c r="AN91">
        <f t="shared" si="59"/>
        <v>0.15339777081</v>
      </c>
      <c r="AO91">
        <v>31.2</v>
      </c>
      <c r="AP91">
        <v>0.5</v>
      </c>
      <c r="AQ91" t="s">
        <v>331</v>
      </c>
      <c r="AR91">
        <v>2</v>
      </c>
      <c r="AS91">
        <v>1690221795</v>
      </c>
      <c r="AT91">
        <v>689.774</v>
      </c>
      <c r="AU91">
        <v>799.96500000000003</v>
      </c>
      <c r="AV91">
        <v>23.002400000000002</v>
      </c>
      <c r="AW91">
        <v>16.4406</v>
      </c>
      <c r="AX91">
        <v>690.19</v>
      </c>
      <c r="AY91">
        <v>22.839600000000001</v>
      </c>
      <c r="AZ91">
        <v>300.255</v>
      </c>
      <c r="BA91">
        <v>99.0792</v>
      </c>
      <c r="BB91">
        <v>0.10006</v>
      </c>
      <c r="BC91">
        <v>26.065000000000001</v>
      </c>
      <c r="BD91">
        <v>26.998999999999999</v>
      </c>
      <c r="BE91">
        <v>27.700299999999999</v>
      </c>
      <c r="BF91">
        <v>0</v>
      </c>
      <c r="BG91">
        <v>0</v>
      </c>
      <c r="BH91">
        <v>10016.200000000001</v>
      </c>
      <c r="BI91">
        <v>1068.92</v>
      </c>
      <c r="BJ91">
        <v>1.5137799999999999</v>
      </c>
      <c r="BK91">
        <v>-110.191</v>
      </c>
      <c r="BL91">
        <v>706.01400000000001</v>
      </c>
      <c r="BM91">
        <v>813.33699999999999</v>
      </c>
      <c r="BN91">
        <v>6.5617900000000002</v>
      </c>
      <c r="BO91">
        <v>799.96500000000003</v>
      </c>
      <c r="BP91">
        <v>16.4406</v>
      </c>
      <c r="BQ91">
        <v>2.2790599999999999</v>
      </c>
      <c r="BR91">
        <v>1.6289199999999999</v>
      </c>
      <c r="BS91">
        <v>19.5291</v>
      </c>
      <c r="BT91">
        <v>14.235099999999999</v>
      </c>
      <c r="BU91">
        <v>1800</v>
      </c>
      <c r="BV91">
        <v>0.90999300000000005</v>
      </c>
      <c r="BW91">
        <v>3.3993000000000002E-2</v>
      </c>
      <c r="BX91">
        <v>2.2005799999999999E-2</v>
      </c>
      <c r="BY91">
        <v>3.4007900000000001E-2</v>
      </c>
      <c r="BZ91">
        <v>26</v>
      </c>
      <c r="CA91">
        <v>33528.300000000003</v>
      </c>
      <c r="CB91">
        <v>1690220522.5999999</v>
      </c>
      <c r="CC91" t="s">
        <v>332</v>
      </c>
      <c r="CD91">
        <v>1690220522.5999999</v>
      </c>
      <c r="CE91">
        <v>1690220510.5999999</v>
      </c>
      <c r="CF91">
        <v>10</v>
      </c>
      <c r="CG91">
        <v>-0.22</v>
      </c>
      <c r="CH91">
        <v>-2.7E-2</v>
      </c>
      <c r="CI91">
        <v>-0.49299999999999999</v>
      </c>
      <c r="CJ91">
        <v>0.152</v>
      </c>
      <c r="CK91">
        <v>800</v>
      </c>
      <c r="CL91">
        <v>19</v>
      </c>
      <c r="CM91">
        <v>0.1</v>
      </c>
      <c r="CN91">
        <v>0.03</v>
      </c>
      <c r="CO91">
        <v>-107.278243902439</v>
      </c>
      <c r="CP91">
        <v>-17.062013937282099</v>
      </c>
      <c r="CQ91">
        <v>1.6826651012458269</v>
      </c>
      <c r="CR91">
        <v>-1</v>
      </c>
      <c r="CS91">
        <v>6.4123478048780482</v>
      </c>
      <c r="CT91">
        <v>0.9104381184668785</v>
      </c>
      <c r="CU91">
        <v>9.0632661143282875E-2</v>
      </c>
      <c r="CV91">
        <v>-1</v>
      </c>
      <c r="CW91">
        <v>0</v>
      </c>
      <c r="CX91">
        <v>0</v>
      </c>
      <c r="CY91" t="s">
        <v>333</v>
      </c>
      <c r="CZ91">
        <v>2.3645399999999999</v>
      </c>
      <c r="DA91">
        <v>2.71387</v>
      </c>
      <c r="DB91">
        <v>0.132744</v>
      </c>
      <c r="DC91">
        <v>0.14624899999999999</v>
      </c>
      <c r="DD91">
        <v>0.11058</v>
      </c>
      <c r="DE91">
        <v>8.5721800000000001E-2</v>
      </c>
      <c r="DF91">
        <v>31662</v>
      </c>
      <c r="DG91">
        <v>27508.6</v>
      </c>
      <c r="DH91">
        <v>31167.4</v>
      </c>
      <c r="DI91">
        <v>28076</v>
      </c>
      <c r="DJ91">
        <v>37635.4</v>
      </c>
      <c r="DK91">
        <v>36499.9</v>
      </c>
      <c r="DL91">
        <v>44354.1</v>
      </c>
      <c r="DM91">
        <v>42553.599999999999</v>
      </c>
      <c r="DN91">
        <v>1.47532</v>
      </c>
      <c r="DO91">
        <v>2.0503999999999998</v>
      </c>
      <c r="DP91">
        <v>0.113484</v>
      </c>
      <c r="DQ91">
        <v>0.167578</v>
      </c>
      <c r="DR91">
        <v>25.1403</v>
      </c>
      <c r="DS91">
        <v>24.956700000000001</v>
      </c>
      <c r="DT91">
        <v>56.9</v>
      </c>
      <c r="DU91">
        <v>29.6</v>
      </c>
      <c r="DV91">
        <v>23.912099999999999</v>
      </c>
      <c r="DW91">
        <v>61.404200000000003</v>
      </c>
      <c r="DX91">
        <v>35.4968</v>
      </c>
      <c r="DY91">
        <v>1</v>
      </c>
      <c r="DZ91">
        <v>-8.1735299999999997E-2</v>
      </c>
      <c r="EA91">
        <v>0.41204000000000002</v>
      </c>
      <c r="EB91">
        <v>20.189399999999999</v>
      </c>
      <c r="EC91">
        <v>5.2408000000000001</v>
      </c>
      <c r="ED91">
        <v>12.039899999999999</v>
      </c>
      <c r="EE91">
        <v>5.0164499999999999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1.86893</v>
      </c>
      <c r="EL91">
        <v>1.86463</v>
      </c>
      <c r="EM91">
        <v>1.8691899999999999</v>
      </c>
      <c r="EN91">
        <v>1.8672299999999999</v>
      </c>
      <c r="EO91">
        <v>1.8633999999999999</v>
      </c>
      <c r="EP91">
        <v>1.86453</v>
      </c>
      <c r="EQ91">
        <v>1.87018</v>
      </c>
      <c r="ER91">
        <v>1.86944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-0.41599999999999998</v>
      </c>
      <c r="FG91">
        <v>0.1628</v>
      </c>
      <c r="FH91">
        <v>5.8509882529719233E-2</v>
      </c>
      <c r="FI91">
        <v>-6.1462078757559423E-4</v>
      </c>
      <c r="FJ91">
        <v>-1.8861989874597051E-7</v>
      </c>
      <c r="FK91">
        <v>1.1980462299894961E-10</v>
      </c>
      <c r="FL91">
        <v>0.16277811159127681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21.2</v>
      </c>
      <c r="FU91">
        <v>21.4</v>
      </c>
      <c r="FV91">
        <v>1.78833</v>
      </c>
      <c r="FW91">
        <v>2.5878899999999998</v>
      </c>
      <c r="FX91">
        <v>1.5490699999999999</v>
      </c>
      <c r="FY91">
        <v>2.3290999999999999</v>
      </c>
      <c r="FZ91">
        <v>1.50146</v>
      </c>
      <c r="GA91">
        <v>2.3071299999999999</v>
      </c>
      <c r="GB91">
        <v>33.941299999999998</v>
      </c>
      <c r="GC91">
        <v>23.973700000000001</v>
      </c>
      <c r="GD91">
        <v>19</v>
      </c>
      <c r="GE91">
        <v>283.13099999999997</v>
      </c>
      <c r="GF91">
        <v>596.44500000000005</v>
      </c>
      <c r="GG91">
        <v>23.6038</v>
      </c>
      <c r="GH91">
        <v>26.3446</v>
      </c>
      <c r="GI91">
        <v>29.9999</v>
      </c>
      <c r="GJ91">
        <v>26.4925</v>
      </c>
      <c r="GK91">
        <v>26.478100000000001</v>
      </c>
      <c r="GL91">
        <v>35.763800000000003</v>
      </c>
      <c r="GM91">
        <v>44.691200000000002</v>
      </c>
      <c r="GN91">
        <v>96.643600000000006</v>
      </c>
      <c r="GO91">
        <v>23.6389</v>
      </c>
      <c r="GP91">
        <v>800</v>
      </c>
      <c r="GQ91">
        <v>16.306799999999999</v>
      </c>
      <c r="GR91">
        <v>99.722300000000004</v>
      </c>
      <c r="GS91">
        <v>99.547399999999996</v>
      </c>
    </row>
    <row r="92" spans="1:201" x14ac:dyDescent="0.25">
      <c r="A92">
        <v>76</v>
      </c>
      <c r="B92">
        <v>1690221805</v>
      </c>
      <c r="C92">
        <v>922.5</v>
      </c>
      <c r="D92" t="s">
        <v>483</v>
      </c>
      <c r="E92" t="s">
        <v>484</v>
      </c>
      <c r="F92" t="s">
        <v>330</v>
      </c>
      <c r="H92">
        <v>1690221805</v>
      </c>
      <c r="I92">
        <f t="shared" si="30"/>
        <v>6.6456347008270026E-4</v>
      </c>
      <c r="J92">
        <f t="shared" si="31"/>
        <v>0.66456347008270023</v>
      </c>
      <c r="K92">
        <f t="shared" si="32"/>
        <v>10.425029204802684</v>
      </c>
      <c r="L92">
        <f t="shared" si="33"/>
        <v>686.90800000000002</v>
      </c>
      <c r="M92">
        <f t="shared" si="34"/>
        <v>282.4954874557518</v>
      </c>
      <c r="N92">
        <f t="shared" si="35"/>
        <v>28.017972617740547</v>
      </c>
      <c r="O92">
        <f t="shared" si="36"/>
        <v>68.127706067947202</v>
      </c>
      <c r="P92">
        <f t="shared" si="37"/>
        <v>4.2914603788882011E-2</v>
      </c>
      <c r="Q92">
        <f t="shared" si="38"/>
        <v>2.1954576240605852</v>
      </c>
      <c r="R92">
        <f t="shared" si="39"/>
        <v>4.2453974351315461E-2</v>
      </c>
      <c r="S92">
        <f t="shared" si="40"/>
        <v>2.6574707617123328E-2</v>
      </c>
      <c r="T92">
        <f t="shared" si="41"/>
        <v>276.11591664599996</v>
      </c>
      <c r="U92">
        <f t="shared" si="42"/>
        <v>27.97235449786055</v>
      </c>
      <c r="V92">
        <f t="shared" si="43"/>
        <v>27.97235449786055</v>
      </c>
      <c r="W92">
        <f t="shared" si="44"/>
        <v>3.7887280703384816</v>
      </c>
      <c r="X92">
        <f t="shared" si="45"/>
        <v>67.392027661677417</v>
      </c>
      <c r="Y92">
        <f t="shared" si="46"/>
        <v>2.2837144816335599</v>
      </c>
      <c r="Z92">
        <f t="shared" si="47"/>
        <v>3.3887012468274462</v>
      </c>
      <c r="AA92">
        <f t="shared" si="48"/>
        <v>1.5050135887049216</v>
      </c>
      <c r="AB92">
        <f t="shared" si="49"/>
        <v>-29.307249030647082</v>
      </c>
      <c r="AC92">
        <f t="shared" si="50"/>
        <v>-224.90515831416042</v>
      </c>
      <c r="AD92">
        <f t="shared" si="51"/>
        <v>-22.113140722944902</v>
      </c>
      <c r="AE92">
        <f t="shared" si="52"/>
        <v>-0.20963142175244798</v>
      </c>
      <c r="AF92">
        <v>0</v>
      </c>
      <c r="AG92">
        <v>0</v>
      </c>
      <c r="AH92">
        <f t="shared" si="53"/>
        <v>1</v>
      </c>
      <c r="AI92">
        <f t="shared" si="54"/>
        <v>0</v>
      </c>
      <c r="AJ92">
        <f t="shared" si="55"/>
        <v>52603.841305638707</v>
      </c>
      <c r="AK92">
        <f t="shared" si="56"/>
        <v>1800</v>
      </c>
      <c r="AL92">
        <f t="shared" si="57"/>
        <v>1499.1130476000001</v>
      </c>
      <c r="AM92">
        <f t="shared" si="58"/>
        <v>0.832840582</v>
      </c>
      <c r="AN92">
        <f t="shared" si="59"/>
        <v>0.15339773146999997</v>
      </c>
      <c r="AO92">
        <v>31.2</v>
      </c>
      <c r="AP92">
        <v>0.5</v>
      </c>
      <c r="AQ92" t="s">
        <v>331</v>
      </c>
      <c r="AR92">
        <v>2</v>
      </c>
      <c r="AS92">
        <v>1690221805</v>
      </c>
      <c r="AT92">
        <v>686.90800000000002</v>
      </c>
      <c r="AU92">
        <v>800.03700000000003</v>
      </c>
      <c r="AV92">
        <v>23.0259</v>
      </c>
      <c r="AW92">
        <v>16.2759</v>
      </c>
      <c r="AX92">
        <v>687.322</v>
      </c>
      <c r="AY92">
        <v>22.863099999999999</v>
      </c>
      <c r="AZ92">
        <v>300.10300000000001</v>
      </c>
      <c r="BA92">
        <v>99.080399999999997</v>
      </c>
      <c r="BB92">
        <v>9.9848400000000004E-2</v>
      </c>
      <c r="BC92">
        <v>26.072199999999999</v>
      </c>
      <c r="BD92">
        <v>26.918600000000001</v>
      </c>
      <c r="BE92">
        <v>27.689399999999999</v>
      </c>
      <c r="BF92">
        <v>0</v>
      </c>
      <c r="BG92">
        <v>0</v>
      </c>
      <c r="BH92">
        <v>10010</v>
      </c>
      <c r="BI92">
        <v>1068.99</v>
      </c>
      <c r="BJ92">
        <v>1.49977</v>
      </c>
      <c r="BK92">
        <v>-113.129</v>
      </c>
      <c r="BL92">
        <v>703.09799999999996</v>
      </c>
      <c r="BM92">
        <v>813.274</v>
      </c>
      <c r="BN92">
        <v>6.7499200000000004</v>
      </c>
      <c r="BO92">
        <v>800.03700000000003</v>
      </c>
      <c r="BP92">
        <v>16.2759</v>
      </c>
      <c r="BQ92">
        <v>2.2814100000000002</v>
      </c>
      <c r="BR92">
        <v>1.61263</v>
      </c>
      <c r="BS92">
        <v>19.5458</v>
      </c>
      <c r="BT92">
        <v>14.08</v>
      </c>
      <c r="BU92">
        <v>1800</v>
      </c>
      <c r="BV92">
        <v>0.90999600000000003</v>
      </c>
      <c r="BW92">
        <v>3.3991899999999999E-2</v>
      </c>
      <c r="BX92">
        <v>2.20051E-2</v>
      </c>
      <c r="BY92">
        <v>3.40069E-2</v>
      </c>
      <c r="BZ92">
        <v>26</v>
      </c>
      <c r="CA92">
        <v>33528.300000000003</v>
      </c>
      <c r="CB92">
        <v>1690220522.5999999</v>
      </c>
      <c r="CC92" t="s">
        <v>332</v>
      </c>
      <c r="CD92">
        <v>1690220522.5999999</v>
      </c>
      <c r="CE92">
        <v>1690220510.5999999</v>
      </c>
      <c r="CF92">
        <v>10</v>
      </c>
      <c r="CG92">
        <v>-0.22</v>
      </c>
      <c r="CH92">
        <v>-2.7E-2</v>
      </c>
      <c r="CI92">
        <v>-0.49299999999999999</v>
      </c>
      <c r="CJ92">
        <v>0.152</v>
      </c>
      <c r="CK92">
        <v>800</v>
      </c>
      <c r="CL92">
        <v>19</v>
      </c>
      <c r="CM92">
        <v>0.1</v>
      </c>
      <c r="CN92">
        <v>0.03</v>
      </c>
      <c r="CO92">
        <v>-109.85119512195121</v>
      </c>
      <c r="CP92">
        <v>-17.0399790940766</v>
      </c>
      <c r="CQ92">
        <v>1.681155906345279</v>
      </c>
      <c r="CR92">
        <v>-1</v>
      </c>
      <c r="CS92">
        <v>6.5589768292682926</v>
      </c>
      <c r="CT92">
        <v>0.96010662020905002</v>
      </c>
      <c r="CU92">
        <v>9.6131457617186972E-2</v>
      </c>
      <c r="CV92">
        <v>-1</v>
      </c>
      <c r="CW92">
        <v>0</v>
      </c>
      <c r="CX92">
        <v>0</v>
      </c>
      <c r="CY92" t="s">
        <v>333</v>
      </c>
      <c r="CZ92">
        <v>2.36408</v>
      </c>
      <c r="DA92">
        <v>2.7136499999999999</v>
      </c>
      <c r="DB92">
        <v>0.13236800000000001</v>
      </c>
      <c r="DC92">
        <v>0.146257</v>
      </c>
      <c r="DD92">
        <v>0.110662</v>
      </c>
      <c r="DE92">
        <v>8.5099400000000006E-2</v>
      </c>
      <c r="DF92">
        <v>31675.4</v>
      </c>
      <c r="DG92">
        <v>27508.6</v>
      </c>
      <c r="DH92">
        <v>31167</v>
      </c>
      <c r="DI92">
        <v>28076.3</v>
      </c>
      <c r="DJ92">
        <v>37631.800000000003</v>
      </c>
      <c r="DK92">
        <v>36524.9</v>
      </c>
      <c r="DL92">
        <v>44353.9</v>
      </c>
      <c r="DM92">
        <v>42553.7</v>
      </c>
      <c r="DN92">
        <v>1.4747300000000001</v>
      </c>
      <c r="DO92">
        <v>2.0505</v>
      </c>
      <c r="DP92">
        <v>0.108987</v>
      </c>
      <c r="DQ92">
        <v>0.167292</v>
      </c>
      <c r="DR92">
        <v>25.133400000000002</v>
      </c>
      <c r="DS92">
        <v>24.950500000000002</v>
      </c>
      <c r="DT92">
        <v>57</v>
      </c>
      <c r="DU92">
        <v>29.6</v>
      </c>
      <c r="DV92">
        <v>23.952999999999999</v>
      </c>
      <c r="DW92">
        <v>61.664200000000001</v>
      </c>
      <c r="DX92">
        <v>36.470399999999998</v>
      </c>
      <c r="DY92">
        <v>1</v>
      </c>
      <c r="DZ92">
        <v>-8.2134100000000002E-2</v>
      </c>
      <c r="EA92">
        <v>0.41116799999999998</v>
      </c>
      <c r="EB92">
        <v>20.189299999999999</v>
      </c>
      <c r="EC92">
        <v>5.2411000000000003</v>
      </c>
      <c r="ED92">
        <v>12.039899999999999</v>
      </c>
      <c r="EE92">
        <v>5.0170000000000003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</v>
      </c>
      <c r="EL92">
        <v>1.8646199999999999</v>
      </c>
      <c r="EM92">
        <v>1.8691899999999999</v>
      </c>
      <c r="EN92">
        <v>1.8672200000000001</v>
      </c>
      <c r="EO92">
        <v>1.8633999999999999</v>
      </c>
      <c r="EP92">
        <v>1.86453</v>
      </c>
      <c r="EQ92">
        <v>1.87016</v>
      </c>
      <c r="ER92">
        <v>1.8694299999999999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-0.41399999999999998</v>
      </c>
      <c r="FG92">
        <v>0.1628</v>
      </c>
      <c r="FH92">
        <v>5.8509882529719233E-2</v>
      </c>
      <c r="FI92">
        <v>-6.1462078757559423E-4</v>
      </c>
      <c r="FJ92">
        <v>-1.8861989874597051E-7</v>
      </c>
      <c r="FK92">
        <v>1.1980462299894961E-10</v>
      </c>
      <c r="FL92">
        <v>0.16277811159127681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21.4</v>
      </c>
      <c r="FU92">
        <v>21.6</v>
      </c>
      <c r="FV92">
        <v>1.78833</v>
      </c>
      <c r="FW92">
        <v>2.5769000000000002</v>
      </c>
      <c r="FX92">
        <v>1.5490699999999999</v>
      </c>
      <c r="FY92">
        <v>2.3290999999999999</v>
      </c>
      <c r="FZ92">
        <v>1.50146</v>
      </c>
      <c r="GA92">
        <v>2.4023400000000001</v>
      </c>
      <c r="GB92">
        <v>33.941299999999998</v>
      </c>
      <c r="GC92">
        <v>23.982399999999998</v>
      </c>
      <c r="GD92">
        <v>19</v>
      </c>
      <c r="GE92">
        <v>282.863</v>
      </c>
      <c r="GF92">
        <v>596.50300000000004</v>
      </c>
      <c r="GG92">
        <v>23.654800000000002</v>
      </c>
      <c r="GH92">
        <v>26.341899999999999</v>
      </c>
      <c r="GI92">
        <v>30</v>
      </c>
      <c r="GJ92">
        <v>26.490200000000002</v>
      </c>
      <c r="GK92">
        <v>26.475899999999999</v>
      </c>
      <c r="GL92">
        <v>35.757300000000001</v>
      </c>
      <c r="GM92">
        <v>44.961799999999997</v>
      </c>
      <c r="GN92">
        <v>96.269000000000005</v>
      </c>
      <c r="GO92">
        <v>23.689800000000002</v>
      </c>
      <c r="GP92">
        <v>800</v>
      </c>
      <c r="GQ92">
        <v>16.151900000000001</v>
      </c>
      <c r="GR92">
        <v>99.721599999999995</v>
      </c>
      <c r="GS92">
        <v>99.548100000000005</v>
      </c>
    </row>
    <row r="93" spans="1:201" x14ac:dyDescent="0.25">
      <c r="A93">
        <v>77</v>
      </c>
      <c r="B93">
        <v>1690221815</v>
      </c>
      <c r="C93">
        <v>932.5</v>
      </c>
      <c r="D93" t="s">
        <v>485</v>
      </c>
      <c r="E93" t="s">
        <v>486</v>
      </c>
      <c r="F93" t="s">
        <v>330</v>
      </c>
      <c r="H93">
        <v>1690221815</v>
      </c>
      <c r="I93">
        <f t="shared" si="30"/>
        <v>6.8146011698641139E-4</v>
      </c>
      <c r="J93">
        <f t="shared" si="31"/>
        <v>0.6814601169864114</v>
      </c>
      <c r="K93">
        <f t="shared" si="32"/>
        <v>10.693572362758729</v>
      </c>
      <c r="L93">
        <f t="shared" si="33"/>
        <v>684.11400000000003</v>
      </c>
      <c r="M93">
        <f t="shared" si="34"/>
        <v>280.24928201632508</v>
      </c>
      <c r="N93">
        <f t="shared" si="35"/>
        <v>27.795159942536507</v>
      </c>
      <c r="O93">
        <f t="shared" si="36"/>
        <v>67.850514770706013</v>
      </c>
      <c r="P93">
        <f t="shared" si="37"/>
        <v>4.4084489175668283E-2</v>
      </c>
      <c r="Q93">
        <f t="shared" si="38"/>
        <v>2.1903798930523202</v>
      </c>
      <c r="R93">
        <f t="shared" si="39"/>
        <v>4.3597443511961646E-2</v>
      </c>
      <c r="S93">
        <f t="shared" si="40"/>
        <v>2.7291712866817919E-2</v>
      </c>
      <c r="T93">
        <f t="shared" si="41"/>
        <v>276.11578913399995</v>
      </c>
      <c r="U93">
        <f t="shared" si="42"/>
        <v>27.971416452287052</v>
      </c>
      <c r="V93">
        <f t="shared" si="43"/>
        <v>27.971416452287052</v>
      </c>
      <c r="W93">
        <f t="shared" si="44"/>
        <v>3.7885208467149298</v>
      </c>
      <c r="X93">
        <f t="shared" si="45"/>
        <v>67.448461764635269</v>
      </c>
      <c r="Y93">
        <f t="shared" si="46"/>
        <v>2.2857350069727</v>
      </c>
      <c r="Z93">
        <f t="shared" si="47"/>
        <v>3.3888615798961954</v>
      </c>
      <c r="AA93">
        <f t="shared" si="48"/>
        <v>1.5027858397422298</v>
      </c>
      <c r="AB93">
        <f t="shared" si="49"/>
        <v>-30.052391159100743</v>
      </c>
      <c r="AC93">
        <f t="shared" si="50"/>
        <v>-224.17974790551679</v>
      </c>
      <c r="AD93">
        <f t="shared" si="51"/>
        <v>-22.092898479733773</v>
      </c>
      <c r="AE93">
        <f t="shared" si="52"/>
        <v>-0.2092484103513641</v>
      </c>
      <c r="AF93">
        <v>0</v>
      </c>
      <c r="AG93">
        <v>0</v>
      </c>
      <c r="AH93">
        <f t="shared" si="53"/>
        <v>1</v>
      </c>
      <c r="AI93">
        <f t="shared" si="54"/>
        <v>0</v>
      </c>
      <c r="AJ93">
        <f t="shared" si="55"/>
        <v>52395.555537185792</v>
      </c>
      <c r="AK93">
        <f t="shared" si="56"/>
        <v>1800</v>
      </c>
      <c r="AL93">
        <f t="shared" si="57"/>
        <v>1499.1134814</v>
      </c>
      <c r="AM93">
        <f t="shared" si="58"/>
        <v>0.83284082299999995</v>
      </c>
      <c r="AN93">
        <f t="shared" si="59"/>
        <v>0.15339766062999999</v>
      </c>
      <c r="AO93">
        <v>31.2</v>
      </c>
      <c r="AP93">
        <v>0.5</v>
      </c>
      <c r="AQ93" t="s">
        <v>331</v>
      </c>
      <c r="AR93">
        <v>2</v>
      </c>
      <c r="AS93">
        <v>1690221815</v>
      </c>
      <c r="AT93">
        <v>684.11400000000003</v>
      </c>
      <c r="AU93">
        <v>800.10599999999999</v>
      </c>
      <c r="AV93">
        <v>23.046299999999999</v>
      </c>
      <c r="AW93">
        <v>16.1266</v>
      </c>
      <c r="AX93">
        <v>684.52700000000004</v>
      </c>
      <c r="AY93">
        <v>22.883500000000002</v>
      </c>
      <c r="AZ93">
        <v>300.18</v>
      </c>
      <c r="BA93">
        <v>99.080100000000002</v>
      </c>
      <c r="BB93">
        <v>0.10002900000000001</v>
      </c>
      <c r="BC93">
        <v>26.073</v>
      </c>
      <c r="BD93">
        <v>26.965900000000001</v>
      </c>
      <c r="BE93">
        <v>27.7</v>
      </c>
      <c r="BF93">
        <v>0</v>
      </c>
      <c r="BG93">
        <v>0</v>
      </c>
      <c r="BH93">
        <v>9968.75</v>
      </c>
      <c r="BI93">
        <v>1068.92</v>
      </c>
      <c r="BJ93">
        <v>1.49977</v>
      </c>
      <c r="BK93">
        <v>-115.991</v>
      </c>
      <c r="BL93">
        <v>700.25300000000004</v>
      </c>
      <c r="BM93">
        <v>813.22</v>
      </c>
      <c r="BN93">
        <v>6.9196999999999997</v>
      </c>
      <c r="BO93">
        <v>800.10599999999999</v>
      </c>
      <c r="BP93">
        <v>16.1266</v>
      </c>
      <c r="BQ93">
        <v>2.2834300000000001</v>
      </c>
      <c r="BR93">
        <v>1.59782</v>
      </c>
      <c r="BS93">
        <v>19.559999999999999</v>
      </c>
      <c r="BT93">
        <v>13.937799999999999</v>
      </c>
      <c r="BU93">
        <v>1800</v>
      </c>
      <c r="BV93">
        <v>0.909999</v>
      </c>
      <c r="BW93">
        <v>3.3990800000000002E-2</v>
      </c>
      <c r="BX93">
        <v>2.20044E-2</v>
      </c>
      <c r="BY93">
        <v>3.40057E-2</v>
      </c>
      <c r="BZ93">
        <v>26</v>
      </c>
      <c r="CA93">
        <v>33528.400000000001</v>
      </c>
      <c r="CB93">
        <v>1690220522.5999999</v>
      </c>
      <c r="CC93" t="s">
        <v>332</v>
      </c>
      <c r="CD93">
        <v>1690220522.5999999</v>
      </c>
      <c r="CE93">
        <v>1690220510.5999999</v>
      </c>
      <c r="CF93">
        <v>10</v>
      </c>
      <c r="CG93">
        <v>-0.22</v>
      </c>
      <c r="CH93">
        <v>-2.7E-2</v>
      </c>
      <c r="CI93">
        <v>-0.49299999999999999</v>
      </c>
      <c r="CJ93">
        <v>0.152</v>
      </c>
      <c r="CK93">
        <v>800</v>
      </c>
      <c r="CL93">
        <v>19</v>
      </c>
      <c r="CM93">
        <v>0.1</v>
      </c>
      <c r="CN93">
        <v>0.03</v>
      </c>
      <c r="CO93">
        <v>-112.9367</v>
      </c>
      <c r="CP93">
        <v>-17.253073170731419</v>
      </c>
      <c r="CQ93">
        <v>1.66090433499344</v>
      </c>
      <c r="CR93">
        <v>-1</v>
      </c>
      <c r="CS93">
        <v>6.7334742500000004</v>
      </c>
      <c r="CT93">
        <v>0.99712063789867533</v>
      </c>
      <c r="CU93">
        <v>9.6697393731359119E-2</v>
      </c>
      <c r="CV93">
        <v>-1</v>
      </c>
      <c r="CW93">
        <v>0</v>
      </c>
      <c r="CX93">
        <v>0</v>
      </c>
      <c r="CY93" t="s">
        <v>333</v>
      </c>
      <c r="CZ93">
        <v>2.3643299999999998</v>
      </c>
      <c r="DA93">
        <v>2.7137899999999999</v>
      </c>
      <c r="DB93">
        <v>0.13199900000000001</v>
      </c>
      <c r="DC93">
        <v>0.146263</v>
      </c>
      <c r="DD93">
        <v>0.110732</v>
      </c>
      <c r="DE93">
        <v>8.4531400000000007E-2</v>
      </c>
      <c r="DF93">
        <v>31689.7</v>
      </c>
      <c r="DG93">
        <v>27508.6</v>
      </c>
      <c r="DH93">
        <v>31167.9</v>
      </c>
      <c r="DI93">
        <v>28076.400000000001</v>
      </c>
      <c r="DJ93">
        <v>37629.699999999997</v>
      </c>
      <c r="DK93">
        <v>36547.9</v>
      </c>
      <c r="DL93">
        <v>44355.1</v>
      </c>
      <c r="DM93">
        <v>42554.1</v>
      </c>
      <c r="DN93">
        <v>1.4753000000000001</v>
      </c>
      <c r="DO93">
        <v>2.0500799999999999</v>
      </c>
      <c r="DP93">
        <v>0.112202</v>
      </c>
      <c r="DQ93">
        <v>0.168327</v>
      </c>
      <c r="DR93">
        <v>25.1281</v>
      </c>
      <c r="DS93">
        <v>24.944099999999999</v>
      </c>
      <c r="DT93">
        <v>57.1</v>
      </c>
      <c r="DU93">
        <v>29.6</v>
      </c>
      <c r="DV93">
        <v>23.992999999999999</v>
      </c>
      <c r="DW93">
        <v>61.594200000000001</v>
      </c>
      <c r="DX93">
        <v>35.528799999999997</v>
      </c>
      <c r="DY93">
        <v>1</v>
      </c>
      <c r="DZ93">
        <v>-8.2373000000000002E-2</v>
      </c>
      <c r="EA93">
        <v>0.29862699999999998</v>
      </c>
      <c r="EB93">
        <v>20.189599999999999</v>
      </c>
      <c r="EC93">
        <v>5.2409499999999998</v>
      </c>
      <c r="ED93">
        <v>12.039899999999999</v>
      </c>
      <c r="EE93">
        <v>5.0164999999999997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1.8689100000000001</v>
      </c>
      <c r="EL93">
        <v>1.86463</v>
      </c>
      <c r="EM93">
        <v>1.8691899999999999</v>
      </c>
      <c r="EN93">
        <v>1.86724</v>
      </c>
      <c r="EO93">
        <v>1.8633999999999999</v>
      </c>
      <c r="EP93">
        <v>1.86453</v>
      </c>
      <c r="EQ93">
        <v>1.87016</v>
      </c>
      <c r="ER93">
        <v>1.86944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-0.41299999999999998</v>
      </c>
      <c r="FG93">
        <v>0.1628</v>
      </c>
      <c r="FH93">
        <v>5.8509882529719233E-2</v>
      </c>
      <c r="FI93">
        <v>-6.1462078757559423E-4</v>
      </c>
      <c r="FJ93">
        <v>-1.8861989874597051E-7</v>
      </c>
      <c r="FK93">
        <v>1.1980462299894961E-10</v>
      </c>
      <c r="FL93">
        <v>0.16277811159127681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21.5</v>
      </c>
      <c r="FU93">
        <v>21.7</v>
      </c>
      <c r="FV93">
        <v>1.78833</v>
      </c>
      <c r="FW93">
        <v>2.5805699999999998</v>
      </c>
      <c r="FX93">
        <v>1.5490699999999999</v>
      </c>
      <c r="FY93">
        <v>2.3290999999999999</v>
      </c>
      <c r="FZ93">
        <v>1.50146</v>
      </c>
      <c r="GA93">
        <v>2.32666</v>
      </c>
      <c r="GB93">
        <v>33.941299999999998</v>
      </c>
      <c r="GC93">
        <v>23.973700000000001</v>
      </c>
      <c r="GD93">
        <v>19</v>
      </c>
      <c r="GE93">
        <v>283.09399999999999</v>
      </c>
      <c r="GF93">
        <v>596.12</v>
      </c>
      <c r="GG93">
        <v>23.719200000000001</v>
      </c>
      <c r="GH93">
        <v>26.337499999999999</v>
      </c>
      <c r="GI93">
        <v>29.9999</v>
      </c>
      <c r="GJ93">
        <v>26.486899999999999</v>
      </c>
      <c r="GK93">
        <v>26.473700000000001</v>
      </c>
      <c r="GL93">
        <v>35.7515</v>
      </c>
      <c r="GM93">
        <v>45.521999999999998</v>
      </c>
      <c r="GN93">
        <v>95.895499999999998</v>
      </c>
      <c r="GO93">
        <v>23.738299999999999</v>
      </c>
      <c r="GP93">
        <v>800</v>
      </c>
      <c r="GQ93">
        <v>15.994300000000001</v>
      </c>
      <c r="GR93">
        <v>99.724199999999996</v>
      </c>
      <c r="GS93">
        <v>99.5488</v>
      </c>
    </row>
    <row r="94" spans="1:201" x14ac:dyDescent="0.25">
      <c r="A94">
        <v>78</v>
      </c>
      <c r="B94">
        <v>1690221825</v>
      </c>
      <c r="C94">
        <v>942.5</v>
      </c>
      <c r="D94" t="s">
        <v>487</v>
      </c>
      <c r="E94" t="s">
        <v>488</v>
      </c>
      <c r="F94" t="s">
        <v>330</v>
      </c>
      <c r="H94">
        <v>1690221825</v>
      </c>
      <c r="I94">
        <f t="shared" si="30"/>
        <v>6.9770293088432407E-4</v>
      </c>
      <c r="J94">
        <f t="shared" si="31"/>
        <v>0.69770293088432411</v>
      </c>
      <c r="K94">
        <f t="shared" si="32"/>
        <v>10.956625142008694</v>
      </c>
      <c r="L94">
        <f t="shared" si="33"/>
        <v>681.22400000000005</v>
      </c>
      <c r="M94">
        <f t="shared" si="34"/>
        <v>277.41783817538555</v>
      </c>
      <c r="N94">
        <f t="shared" si="35"/>
        <v>27.515247739898594</v>
      </c>
      <c r="O94">
        <f t="shared" si="36"/>
        <v>67.566120656288007</v>
      </c>
      <c r="P94">
        <f t="shared" si="37"/>
        <v>4.5176075225011207E-2</v>
      </c>
      <c r="Q94">
        <f t="shared" si="38"/>
        <v>2.1954211647618962</v>
      </c>
      <c r="R94">
        <f t="shared" si="39"/>
        <v>4.4665921942746496E-2</v>
      </c>
      <c r="S94">
        <f t="shared" si="40"/>
        <v>2.7961556359296955E-2</v>
      </c>
      <c r="T94">
        <f t="shared" si="41"/>
        <v>276.11588188799999</v>
      </c>
      <c r="U94">
        <f t="shared" si="42"/>
        <v>27.973210912732512</v>
      </c>
      <c r="V94">
        <f t="shared" si="43"/>
        <v>27.973210912732512</v>
      </c>
      <c r="W94">
        <f t="shared" si="44"/>
        <v>3.7889172695614475</v>
      </c>
      <c r="X94">
        <f t="shared" si="45"/>
        <v>67.443071900030446</v>
      </c>
      <c r="Y94">
        <f t="shared" si="46"/>
        <v>2.2870802156491998</v>
      </c>
      <c r="Z94">
        <f t="shared" si="47"/>
        <v>3.3911269923162668</v>
      </c>
      <c r="AA94">
        <f t="shared" si="48"/>
        <v>1.5018370539122476</v>
      </c>
      <c r="AB94">
        <f t="shared" si="49"/>
        <v>-30.76869925199869</v>
      </c>
      <c r="AC94">
        <f t="shared" si="50"/>
        <v>-223.57063775312187</v>
      </c>
      <c r="AD94">
        <f t="shared" si="51"/>
        <v>-21.983714325151809</v>
      </c>
      <c r="AE94">
        <f t="shared" si="52"/>
        <v>-0.20716944227240219</v>
      </c>
      <c r="AF94">
        <v>0</v>
      </c>
      <c r="AG94">
        <v>0</v>
      </c>
      <c r="AH94">
        <f t="shared" si="53"/>
        <v>1</v>
      </c>
      <c r="AI94">
        <f t="shared" si="54"/>
        <v>0</v>
      </c>
      <c r="AJ94">
        <f t="shared" si="55"/>
        <v>52600.28237976916</v>
      </c>
      <c r="AK94">
        <f t="shared" si="56"/>
        <v>1800</v>
      </c>
      <c r="AL94">
        <f t="shared" si="57"/>
        <v>1499.1125867999999</v>
      </c>
      <c r="AM94">
        <f t="shared" si="58"/>
        <v>0.83284032599999991</v>
      </c>
      <c r="AN94">
        <f t="shared" si="59"/>
        <v>0.15339771216</v>
      </c>
      <c r="AO94">
        <v>31.2</v>
      </c>
      <c r="AP94">
        <v>0.5</v>
      </c>
      <c r="AQ94" t="s">
        <v>331</v>
      </c>
      <c r="AR94">
        <v>2</v>
      </c>
      <c r="AS94">
        <v>1690221825</v>
      </c>
      <c r="AT94">
        <v>681.22400000000005</v>
      </c>
      <c r="AU94">
        <v>800.04899999999998</v>
      </c>
      <c r="AV94">
        <v>23.059100000000001</v>
      </c>
      <c r="AW94">
        <v>15.974299999999999</v>
      </c>
      <c r="AX94">
        <v>681.63499999999999</v>
      </c>
      <c r="AY94">
        <v>22.8963</v>
      </c>
      <c r="AZ94">
        <v>300.16899999999998</v>
      </c>
      <c r="BA94">
        <v>99.083399999999997</v>
      </c>
      <c r="BB94">
        <v>0.100012</v>
      </c>
      <c r="BC94">
        <v>26.084299999999999</v>
      </c>
      <c r="BD94">
        <v>27.013000000000002</v>
      </c>
      <c r="BE94">
        <v>27.710799999999999</v>
      </c>
      <c r="BF94">
        <v>0</v>
      </c>
      <c r="BG94">
        <v>0</v>
      </c>
      <c r="BH94">
        <v>10009.4</v>
      </c>
      <c r="BI94">
        <v>1069.03</v>
      </c>
      <c r="BJ94">
        <v>1.4577199999999999</v>
      </c>
      <c r="BK94">
        <v>-118.824</v>
      </c>
      <c r="BL94">
        <v>697.30399999999997</v>
      </c>
      <c r="BM94">
        <v>813.03599999999994</v>
      </c>
      <c r="BN94">
        <v>7.08474</v>
      </c>
      <c r="BO94">
        <v>800.04899999999998</v>
      </c>
      <c r="BP94">
        <v>15.974299999999999</v>
      </c>
      <c r="BQ94">
        <v>2.28477</v>
      </c>
      <c r="BR94">
        <v>1.5827899999999999</v>
      </c>
      <c r="BS94">
        <v>19.569400000000002</v>
      </c>
      <c r="BT94">
        <v>13.792299999999999</v>
      </c>
      <c r="BU94">
        <v>1800</v>
      </c>
      <c r="BV94">
        <v>0.909995</v>
      </c>
      <c r="BW94">
        <v>3.3996600000000002E-2</v>
      </c>
      <c r="BX94">
        <v>2.20038E-2</v>
      </c>
      <c r="BY94">
        <v>3.4004800000000002E-2</v>
      </c>
      <c r="BZ94">
        <v>26</v>
      </c>
      <c r="CA94">
        <v>33528.400000000001</v>
      </c>
      <c r="CB94">
        <v>1690220522.5999999</v>
      </c>
      <c r="CC94" t="s">
        <v>332</v>
      </c>
      <c r="CD94">
        <v>1690220522.5999999</v>
      </c>
      <c r="CE94">
        <v>1690220510.5999999</v>
      </c>
      <c r="CF94">
        <v>10</v>
      </c>
      <c r="CG94">
        <v>-0.22</v>
      </c>
      <c r="CH94">
        <v>-2.7E-2</v>
      </c>
      <c r="CI94">
        <v>-0.49299999999999999</v>
      </c>
      <c r="CJ94">
        <v>0.152</v>
      </c>
      <c r="CK94">
        <v>800</v>
      </c>
      <c r="CL94">
        <v>19</v>
      </c>
      <c r="CM94">
        <v>0.1</v>
      </c>
      <c r="CN94">
        <v>0.03</v>
      </c>
      <c r="CO94">
        <v>-115.85526829268289</v>
      </c>
      <c r="CP94">
        <v>-16.761951219512191</v>
      </c>
      <c r="CQ94">
        <v>1.6532315881680331</v>
      </c>
      <c r="CR94">
        <v>-1</v>
      </c>
      <c r="CS94">
        <v>6.9118826829268301</v>
      </c>
      <c r="CT94">
        <v>1.0590850871080011</v>
      </c>
      <c r="CU94">
        <v>0.1051462469558446</v>
      </c>
      <c r="CV94">
        <v>-1</v>
      </c>
      <c r="CW94">
        <v>0</v>
      </c>
      <c r="CX94">
        <v>0</v>
      </c>
      <c r="CY94" t="s">
        <v>333</v>
      </c>
      <c r="CZ94">
        <v>2.36429</v>
      </c>
      <c r="DA94">
        <v>2.7138100000000001</v>
      </c>
      <c r="DB94">
        <v>0.13162099999999999</v>
      </c>
      <c r="DC94">
        <v>0.146258</v>
      </c>
      <c r="DD94">
        <v>0.11078</v>
      </c>
      <c r="DE94">
        <v>8.3953399999999997E-2</v>
      </c>
      <c r="DF94">
        <v>31703.5</v>
      </c>
      <c r="DG94">
        <v>27508.9</v>
      </c>
      <c r="DH94">
        <v>31167.8</v>
      </c>
      <c r="DI94">
        <v>28076.6</v>
      </c>
      <c r="DJ94">
        <v>37627.4</v>
      </c>
      <c r="DK94">
        <v>36571.4</v>
      </c>
      <c r="DL94">
        <v>44354.8</v>
      </c>
      <c r="DM94">
        <v>42554.5</v>
      </c>
      <c r="DN94">
        <v>1.4754799999999999</v>
      </c>
      <c r="DO94">
        <v>2.0499000000000001</v>
      </c>
      <c r="DP94">
        <v>0.115275</v>
      </c>
      <c r="DQ94">
        <v>0.16927700000000001</v>
      </c>
      <c r="DR94">
        <v>25.1249</v>
      </c>
      <c r="DS94">
        <v>24.939399999999999</v>
      </c>
      <c r="DT94">
        <v>57.1</v>
      </c>
      <c r="DU94">
        <v>29.6</v>
      </c>
      <c r="DV94">
        <v>23.9925</v>
      </c>
      <c r="DW94">
        <v>61.584200000000003</v>
      </c>
      <c r="DX94">
        <v>36.662700000000001</v>
      </c>
      <c r="DY94">
        <v>1</v>
      </c>
      <c r="DZ94">
        <v>-8.2774399999999998E-2</v>
      </c>
      <c r="EA94">
        <v>0.33379900000000001</v>
      </c>
      <c r="EB94">
        <v>20.189599999999999</v>
      </c>
      <c r="EC94">
        <v>5.2403500000000003</v>
      </c>
      <c r="ED94">
        <v>12.039899999999999</v>
      </c>
      <c r="EE94">
        <v>5.0164999999999997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1.8689100000000001</v>
      </c>
      <c r="EL94">
        <v>1.8646199999999999</v>
      </c>
      <c r="EM94">
        <v>1.86917</v>
      </c>
      <c r="EN94">
        <v>1.8672299999999999</v>
      </c>
      <c r="EO94">
        <v>1.8633999999999999</v>
      </c>
      <c r="EP94">
        <v>1.8645499999999999</v>
      </c>
      <c r="EQ94">
        <v>1.87015</v>
      </c>
      <c r="ER94">
        <v>1.8693900000000001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-0.41099999999999998</v>
      </c>
      <c r="FG94">
        <v>0.1628</v>
      </c>
      <c r="FH94">
        <v>5.8509882529719233E-2</v>
      </c>
      <c r="FI94">
        <v>-6.1462078757559423E-4</v>
      </c>
      <c r="FJ94">
        <v>-1.8861989874597051E-7</v>
      </c>
      <c r="FK94">
        <v>1.1980462299894961E-10</v>
      </c>
      <c r="FL94">
        <v>0.16277811159127681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21.7</v>
      </c>
      <c r="FU94">
        <v>21.9</v>
      </c>
      <c r="FV94">
        <v>1.78833</v>
      </c>
      <c r="FW94">
        <v>2.5769000000000002</v>
      </c>
      <c r="FX94">
        <v>1.5490699999999999</v>
      </c>
      <c r="FY94">
        <v>2.3290999999999999</v>
      </c>
      <c r="FZ94">
        <v>1.50146</v>
      </c>
      <c r="GA94">
        <v>2.3974600000000001</v>
      </c>
      <c r="GB94">
        <v>33.941299999999998</v>
      </c>
      <c r="GC94">
        <v>23.982399999999998</v>
      </c>
      <c r="GD94">
        <v>19</v>
      </c>
      <c r="GE94">
        <v>283.154</v>
      </c>
      <c r="GF94">
        <v>595.94799999999998</v>
      </c>
      <c r="GG94">
        <v>23.761299999999999</v>
      </c>
      <c r="GH94">
        <v>26.3352</v>
      </c>
      <c r="GI94">
        <v>30</v>
      </c>
      <c r="GJ94">
        <v>26.483599999999999</v>
      </c>
      <c r="GK94">
        <v>26.471499999999999</v>
      </c>
      <c r="GL94">
        <v>35.747100000000003</v>
      </c>
      <c r="GM94">
        <v>46.091799999999999</v>
      </c>
      <c r="GN94">
        <v>95.524900000000002</v>
      </c>
      <c r="GO94">
        <v>23.761600000000001</v>
      </c>
      <c r="GP94">
        <v>800</v>
      </c>
      <c r="GQ94">
        <v>15.8386</v>
      </c>
      <c r="GR94">
        <v>99.7239</v>
      </c>
      <c r="GS94">
        <v>99.549700000000001</v>
      </c>
    </row>
    <row r="95" spans="1:201" x14ac:dyDescent="0.25">
      <c r="A95">
        <v>79</v>
      </c>
      <c r="B95">
        <v>1690221835</v>
      </c>
      <c r="C95">
        <v>952.5</v>
      </c>
      <c r="D95" t="s">
        <v>489</v>
      </c>
      <c r="E95" t="s">
        <v>490</v>
      </c>
      <c r="F95" t="s">
        <v>330</v>
      </c>
      <c r="H95">
        <v>1690221835</v>
      </c>
      <c r="I95">
        <f t="shared" si="30"/>
        <v>7.1332981190079482E-4</v>
      </c>
      <c r="J95">
        <f t="shared" si="31"/>
        <v>0.71332981190079481</v>
      </c>
      <c r="K95">
        <f t="shared" si="32"/>
        <v>11.230138973941262</v>
      </c>
      <c r="L95">
        <f t="shared" si="33"/>
        <v>678.36400000000003</v>
      </c>
      <c r="M95">
        <f t="shared" si="34"/>
        <v>273.37372715051242</v>
      </c>
      <c r="N95">
        <f t="shared" si="35"/>
        <v>27.114191771074196</v>
      </c>
      <c r="O95">
        <f t="shared" si="36"/>
        <v>67.28258702222</v>
      </c>
      <c r="P95">
        <f t="shared" si="37"/>
        <v>4.6165988676065875E-2</v>
      </c>
      <c r="Q95">
        <f t="shared" si="38"/>
        <v>2.1905773125178021</v>
      </c>
      <c r="R95">
        <f t="shared" si="39"/>
        <v>4.5632212265936077E-2</v>
      </c>
      <c r="S95">
        <f t="shared" si="40"/>
        <v>2.8567576054313329E-2</v>
      </c>
      <c r="T95">
        <f t="shared" si="41"/>
        <v>276.11418591177841</v>
      </c>
      <c r="U95">
        <f t="shared" si="42"/>
        <v>27.978375505762163</v>
      </c>
      <c r="V95">
        <f t="shared" si="43"/>
        <v>27.978375505762163</v>
      </c>
      <c r="W95">
        <f t="shared" si="44"/>
        <v>3.7900584065039657</v>
      </c>
      <c r="X95">
        <f t="shared" si="45"/>
        <v>67.417072102326969</v>
      </c>
      <c r="Y95">
        <f t="shared" si="46"/>
        <v>2.2871045027764998</v>
      </c>
      <c r="Z95">
        <f t="shared" si="47"/>
        <v>3.3924708259431489</v>
      </c>
      <c r="AA95">
        <f t="shared" si="48"/>
        <v>1.502953903727466</v>
      </c>
      <c r="AB95">
        <f t="shared" si="49"/>
        <v>-31.457844704825053</v>
      </c>
      <c r="AC95">
        <f t="shared" si="50"/>
        <v>-222.89603511596283</v>
      </c>
      <c r="AD95">
        <f t="shared" si="51"/>
        <v>-21.967147413812235</v>
      </c>
      <c r="AE95">
        <f t="shared" si="52"/>
        <v>-0.20684132282170253</v>
      </c>
      <c r="AF95">
        <v>0</v>
      </c>
      <c r="AG95">
        <v>0</v>
      </c>
      <c r="AH95">
        <f t="shared" si="53"/>
        <v>1</v>
      </c>
      <c r="AI95">
        <f t="shared" si="54"/>
        <v>0</v>
      </c>
      <c r="AJ95">
        <f t="shared" si="55"/>
        <v>52400.559132478884</v>
      </c>
      <c r="AK95">
        <f t="shared" si="56"/>
        <v>1799.99</v>
      </c>
      <c r="AL95">
        <f t="shared" si="57"/>
        <v>1499.1012614133901</v>
      </c>
      <c r="AM95">
        <f t="shared" si="58"/>
        <v>0.83283866100000004</v>
      </c>
      <c r="AN95">
        <f t="shared" si="59"/>
        <v>0.15339762216</v>
      </c>
      <c r="AO95">
        <v>31.2</v>
      </c>
      <c r="AP95">
        <v>0.5</v>
      </c>
      <c r="AQ95" t="s">
        <v>331</v>
      </c>
      <c r="AR95">
        <v>2</v>
      </c>
      <c r="AS95">
        <v>1690221835</v>
      </c>
      <c r="AT95">
        <v>678.36400000000003</v>
      </c>
      <c r="AU95">
        <v>800.07799999999997</v>
      </c>
      <c r="AV95">
        <v>23.0593</v>
      </c>
      <c r="AW95">
        <v>15.8184</v>
      </c>
      <c r="AX95">
        <v>678.77200000000005</v>
      </c>
      <c r="AY95">
        <v>22.8965</v>
      </c>
      <c r="AZ95">
        <v>300.27600000000001</v>
      </c>
      <c r="BA95">
        <v>99.083600000000004</v>
      </c>
      <c r="BB95">
        <v>0.100005</v>
      </c>
      <c r="BC95">
        <v>26.091000000000001</v>
      </c>
      <c r="BD95">
        <v>26.939</v>
      </c>
      <c r="BE95">
        <v>27.701499999999999</v>
      </c>
      <c r="BF95">
        <v>0</v>
      </c>
      <c r="BG95">
        <v>0</v>
      </c>
      <c r="BH95">
        <v>9970</v>
      </c>
      <c r="BI95">
        <v>1069.1400000000001</v>
      </c>
      <c r="BJ95">
        <v>1.47174</v>
      </c>
      <c r="BK95">
        <v>-121.714</v>
      </c>
      <c r="BL95">
        <v>694.37599999999998</v>
      </c>
      <c r="BM95">
        <v>812.93799999999999</v>
      </c>
      <c r="BN95">
        <v>7.24085</v>
      </c>
      <c r="BO95">
        <v>800.07799999999997</v>
      </c>
      <c r="BP95">
        <v>15.8184</v>
      </c>
      <c r="BQ95">
        <v>2.2848000000000002</v>
      </c>
      <c r="BR95">
        <v>1.56735</v>
      </c>
      <c r="BS95">
        <v>19.569600000000001</v>
      </c>
      <c r="BT95">
        <v>13.641500000000001</v>
      </c>
      <c r="BU95">
        <v>1799.99</v>
      </c>
      <c r="BV95">
        <v>0.90998800000000002</v>
      </c>
      <c r="BW95">
        <v>3.4004100000000002E-2</v>
      </c>
      <c r="BX95">
        <v>2.20033E-2</v>
      </c>
      <c r="BY95">
        <v>3.4004E-2</v>
      </c>
      <c r="BZ95">
        <v>26</v>
      </c>
      <c r="CA95">
        <v>33528.199999999997</v>
      </c>
      <c r="CB95">
        <v>1690220522.5999999</v>
      </c>
      <c r="CC95" t="s">
        <v>332</v>
      </c>
      <c r="CD95">
        <v>1690220522.5999999</v>
      </c>
      <c r="CE95">
        <v>1690220510.5999999</v>
      </c>
      <c r="CF95">
        <v>10</v>
      </c>
      <c r="CG95">
        <v>-0.22</v>
      </c>
      <c r="CH95">
        <v>-2.7E-2</v>
      </c>
      <c r="CI95">
        <v>-0.49299999999999999</v>
      </c>
      <c r="CJ95">
        <v>0.152</v>
      </c>
      <c r="CK95">
        <v>800</v>
      </c>
      <c r="CL95">
        <v>19</v>
      </c>
      <c r="CM95">
        <v>0.1</v>
      </c>
      <c r="CN95">
        <v>0.03</v>
      </c>
      <c r="CO95">
        <v>-118.4166097560976</v>
      </c>
      <c r="CP95">
        <v>-17.23528222996514</v>
      </c>
      <c r="CQ95">
        <v>1.700005206276803</v>
      </c>
      <c r="CR95">
        <v>-1</v>
      </c>
      <c r="CS95">
        <v>7.0706675609756093</v>
      </c>
      <c r="CT95">
        <v>1.0259274564459899</v>
      </c>
      <c r="CU95">
        <v>0.1019232824542375</v>
      </c>
      <c r="CV95">
        <v>-1</v>
      </c>
      <c r="CW95">
        <v>0</v>
      </c>
      <c r="CX95">
        <v>0</v>
      </c>
      <c r="CY95" t="s">
        <v>333</v>
      </c>
      <c r="CZ95">
        <v>2.3646500000000001</v>
      </c>
      <c r="DA95">
        <v>2.7137699999999998</v>
      </c>
      <c r="DB95">
        <v>0.131242</v>
      </c>
      <c r="DC95">
        <v>0.14626</v>
      </c>
      <c r="DD95">
        <v>0.11078200000000001</v>
      </c>
      <c r="DE95">
        <v>8.3356799999999995E-2</v>
      </c>
      <c r="DF95">
        <v>31717.7</v>
      </c>
      <c r="DG95">
        <v>27509.4</v>
      </c>
      <c r="DH95">
        <v>31168.2</v>
      </c>
      <c r="DI95">
        <v>28077.200000000001</v>
      </c>
      <c r="DJ95">
        <v>37627.699999999997</v>
      </c>
      <c r="DK95">
        <v>36595.9</v>
      </c>
      <c r="DL95">
        <v>44355.4</v>
      </c>
      <c r="DM95">
        <v>42555.199999999997</v>
      </c>
      <c r="DN95">
        <v>1.47553</v>
      </c>
      <c r="DO95">
        <v>2.0495999999999999</v>
      </c>
      <c r="DP95">
        <v>0.11104</v>
      </c>
      <c r="DQ95">
        <v>0.16899400000000001</v>
      </c>
      <c r="DR95">
        <v>25.120200000000001</v>
      </c>
      <c r="DS95">
        <v>24.934699999999999</v>
      </c>
      <c r="DT95">
        <v>57.2</v>
      </c>
      <c r="DU95">
        <v>29.6</v>
      </c>
      <c r="DV95">
        <v>24.035399999999999</v>
      </c>
      <c r="DW95">
        <v>61.574199999999998</v>
      </c>
      <c r="DX95">
        <v>35.3446</v>
      </c>
      <c r="DY95">
        <v>1</v>
      </c>
      <c r="DZ95">
        <v>-8.24873E-2</v>
      </c>
      <c r="EA95">
        <v>0.77942299999999998</v>
      </c>
      <c r="EB95">
        <v>20.1875</v>
      </c>
      <c r="EC95">
        <v>5.2406499999999996</v>
      </c>
      <c r="ED95">
        <v>12.039899999999999</v>
      </c>
      <c r="EE95">
        <v>5.0166000000000004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1.8689100000000001</v>
      </c>
      <c r="EL95">
        <v>1.86463</v>
      </c>
      <c r="EM95">
        <v>1.86917</v>
      </c>
      <c r="EN95">
        <v>1.8672200000000001</v>
      </c>
      <c r="EO95">
        <v>1.8633900000000001</v>
      </c>
      <c r="EP95">
        <v>1.8645499999999999</v>
      </c>
      <c r="EQ95">
        <v>1.8701300000000001</v>
      </c>
      <c r="ER95">
        <v>1.8693900000000001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-0.40799999999999997</v>
      </c>
      <c r="FG95">
        <v>0.1628</v>
      </c>
      <c r="FH95">
        <v>5.8509882529719233E-2</v>
      </c>
      <c r="FI95">
        <v>-6.1462078757559423E-4</v>
      </c>
      <c r="FJ95">
        <v>-1.8861989874597051E-7</v>
      </c>
      <c r="FK95">
        <v>1.1980462299894961E-10</v>
      </c>
      <c r="FL95">
        <v>0.16277811159127681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21.9</v>
      </c>
      <c r="FU95">
        <v>22.1</v>
      </c>
      <c r="FV95">
        <v>1.78833</v>
      </c>
      <c r="FW95">
        <v>2.5817899999999998</v>
      </c>
      <c r="FX95">
        <v>1.5490699999999999</v>
      </c>
      <c r="FY95">
        <v>2.3290999999999999</v>
      </c>
      <c r="FZ95">
        <v>1.50146</v>
      </c>
      <c r="GA95">
        <v>2.3559600000000001</v>
      </c>
      <c r="GB95">
        <v>33.941299999999998</v>
      </c>
      <c r="GC95">
        <v>23.973700000000001</v>
      </c>
      <c r="GD95">
        <v>19</v>
      </c>
      <c r="GE95">
        <v>283.166</v>
      </c>
      <c r="GF95">
        <v>595.65899999999999</v>
      </c>
      <c r="GG95">
        <v>23.709499999999998</v>
      </c>
      <c r="GH95">
        <v>26.331299999999999</v>
      </c>
      <c r="GI95">
        <v>30.0002</v>
      </c>
      <c r="GJ95">
        <v>26.481300000000001</v>
      </c>
      <c r="GK95">
        <v>26.4682</v>
      </c>
      <c r="GL95">
        <v>35.740299999999998</v>
      </c>
      <c r="GM95">
        <v>46.364400000000003</v>
      </c>
      <c r="GN95">
        <v>95.141499999999994</v>
      </c>
      <c r="GO95">
        <v>23.687899999999999</v>
      </c>
      <c r="GP95">
        <v>800</v>
      </c>
      <c r="GQ95">
        <v>15.6952</v>
      </c>
      <c r="GR95">
        <v>99.724999999999994</v>
      </c>
      <c r="GS95">
        <v>99.551500000000004</v>
      </c>
    </row>
    <row r="96" spans="1:201" x14ac:dyDescent="0.25">
      <c r="A96">
        <v>80</v>
      </c>
      <c r="B96">
        <v>1690221845</v>
      </c>
      <c r="C96">
        <v>962.5</v>
      </c>
      <c r="D96" t="s">
        <v>491</v>
      </c>
      <c r="E96" t="s">
        <v>492</v>
      </c>
      <c r="F96" t="s">
        <v>330</v>
      </c>
      <c r="H96">
        <v>1690221845</v>
      </c>
      <c r="I96">
        <f t="shared" si="30"/>
        <v>7.2879286571995983E-4</v>
      </c>
      <c r="J96">
        <f t="shared" si="31"/>
        <v>0.72879286571995983</v>
      </c>
      <c r="K96">
        <f t="shared" si="32"/>
        <v>11.504594246339259</v>
      </c>
      <c r="L96">
        <f t="shared" si="33"/>
        <v>675.52800000000002</v>
      </c>
      <c r="M96">
        <f t="shared" si="34"/>
        <v>270.67751173082905</v>
      </c>
      <c r="N96">
        <f t="shared" si="35"/>
        <v>26.846364009170511</v>
      </c>
      <c r="O96">
        <f t="shared" si="36"/>
        <v>67.000285581247198</v>
      </c>
      <c r="P96">
        <f t="shared" si="37"/>
        <v>4.7309391089956826E-2</v>
      </c>
      <c r="Q96">
        <f t="shared" si="38"/>
        <v>2.1951717142977127</v>
      </c>
      <c r="R96">
        <f t="shared" si="39"/>
        <v>4.6750177925464313E-2</v>
      </c>
      <c r="S96">
        <f t="shared" si="40"/>
        <v>2.9268553460872156E-2</v>
      </c>
      <c r="T96">
        <f t="shared" si="41"/>
        <v>276.11592163199998</v>
      </c>
      <c r="U96">
        <f t="shared" si="42"/>
        <v>27.953765198065732</v>
      </c>
      <c r="V96">
        <f t="shared" si="43"/>
        <v>27.953765198065732</v>
      </c>
      <c r="W96">
        <f t="shared" si="44"/>
        <v>3.7846233518810011</v>
      </c>
      <c r="X96">
        <f t="shared" si="45"/>
        <v>67.441026839435708</v>
      </c>
      <c r="Y96">
        <f t="shared" si="46"/>
        <v>2.2857804289253698</v>
      </c>
      <c r="Z96">
        <f t="shared" si="47"/>
        <v>3.389302529997622</v>
      </c>
      <c r="AA96">
        <f t="shared" si="48"/>
        <v>1.4988429229556313</v>
      </c>
      <c r="AB96">
        <f t="shared" si="49"/>
        <v>-32.139765378250232</v>
      </c>
      <c r="AC96">
        <f t="shared" si="50"/>
        <v>-222.32086001754004</v>
      </c>
      <c r="AD96">
        <f t="shared" si="51"/>
        <v>-21.860185363569439</v>
      </c>
      <c r="AE96">
        <f t="shared" si="52"/>
        <v>-0.20488912735970644</v>
      </c>
      <c r="AF96">
        <v>0</v>
      </c>
      <c r="AG96">
        <v>0</v>
      </c>
      <c r="AH96">
        <f t="shared" si="53"/>
        <v>1</v>
      </c>
      <c r="AI96">
        <f t="shared" si="54"/>
        <v>0</v>
      </c>
      <c r="AJ96">
        <f t="shared" si="55"/>
        <v>52591.617964843761</v>
      </c>
      <c r="AK96">
        <f t="shared" si="56"/>
        <v>1800</v>
      </c>
      <c r="AL96">
        <f t="shared" si="57"/>
        <v>1499.1098382</v>
      </c>
      <c r="AM96">
        <f t="shared" si="58"/>
        <v>0.83283879900000002</v>
      </c>
      <c r="AN96">
        <f t="shared" si="59"/>
        <v>0.15339773424</v>
      </c>
      <c r="AO96">
        <v>31.2</v>
      </c>
      <c r="AP96">
        <v>0.5</v>
      </c>
      <c r="AQ96" t="s">
        <v>331</v>
      </c>
      <c r="AR96">
        <v>2</v>
      </c>
      <c r="AS96">
        <v>1690221845</v>
      </c>
      <c r="AT96">
        <v>675.52800000000002</v>
      </c>
      <c r="AU96">
        <v>800.22400000000005</v>
      </c>
      <c r="AV96">
        <v>23.046299999999999</v>
      </c>
      <c r="AW96">
        <v>15.645799999999999</v>
      </c>
      <c r="AX96">
        <v>675.93399999999997</v>
      </c>
      <c r="AY96">
        <v>22.883600000000001</v>
      </c>
      <c r="AZ96">
        <v>300.173</v>
      </c>
      <c r="BA96">
        <v>99.082099999999997</v>
      </c>
      <c r="BB96">
        <v>9.9999900000000003E-2</v>
      </c>
      <c r="BC96">
        <v>26.075199999999999</v>
      </c>
      <c r="BD96">
        <v>26.9709</v>
      </c>
      <c r="BE96">
        <v>27.6676</v>
      </c>
      <c r="BF96">
        <v>0</v>
      </c>
      <c r="BG96">
        <v>0</v>
      </c>
      <c r="BH96">
        <v>10007.5</v>
      </c>
      <c r="BI96">
        <v>1069.1099999999999</v>
      </c>
      <c r="BJ96">
        <v>1.47174</v>
      </c>
      <c r="BK96">
        <v>-124.696</v>
      </c>
      <c r="BL96">
        <v>691.46299999999997</v>
      </c>
      <c r="BM96">
        <v>812.94299999999998</v>
      </c>
      <c r="BN96">
        <v>7.4005200000000002</v>
      </c>
      <c r="BO96">
        <v>800.22400000000005</v>
      </c>
      <c r="BP96">
        <v>15.645799999999999</v>
      </c>
      <c r="BQ96">
        <v>2.28348</v>
      </c>
      <c r="BR96">
        <v>1.5502199999999999</v>
      </c>
      <c r="BS96">
        <v>19.560300000000002</v>
      </c>
      <c r="BT96">
        <v>13.4727</v>
      </c>
      <c r="BU96">
        <v>1800</v>
      </c>
      <c r="BV96">
        <v>0.90998599999999996</v>
      </c>
      <c r="BW96">
        <v>3.4008299999999998E-2</v>
      </c>
      <c r="BX96">
        <v>2.20027E-2</v>
      </c>
      <c r="BY96">
        <v>3.4003199999999997E-2</v>
      </c>
      <c r="BZ96">
        <v>26</v>
      </c>
      <c r="CA96">
        <v>33528.199999999997</v>
      </c>
      <c r="CB96">
        <v>1690220522.5999999</v>
      </c>
      <c r="CC96" t="s">
        <v>332</v>
      </c>
      <c r="CD96">
        <v>1690220522.5999999</v>
      </c>
      <c r="CE96">
        <v>1690220510.5999999</v>
      </c>
      <c r="CF96">
        <v>10</v>
      </c>
      <c r="CG96">
        <v>-0.22</v>
      </c>
      <c r="CH96">
        <v>-2.7E-2</v>
      </c>
      <c r="CI96">
        <v>-0.49299999999999999</v>
      </c>
      <c r="CJ96">
        <v>0.152</v>
      </c>
      <c r="CK96">
        <v>800</v>
      </c>
      <c r="CL96">
        <v>19</v>
      </c>
      <c r="CM96">
        <v>0.1</v>
      </c>
      <c r="CN96">
        <v>0.03</v>
      </c>
      <c r="CO96">
        <v>-121.521225</v>
      </c>
      <c r="CP96">
        <v>-17.221362101312721</v>
      </c>
      <c r="CQ96">
        <v>1.6571673042801081</v>
      </c>
      <c r="CR96">
        <v>-1</v>
      </c>
      <c r="CS96">
        <v>7.2310017500000017</v>
      </c>
      <c r="CT96">
        <v>0.82077512195120728</v>
      </c>
      <c r="CU96">
        <v>8.0312262042838131E-2</v>
      </c>
      <c r="CV96">
        <v>-1</v>
      </c>
      <c r="CW96">
        <v>0</v>
      </c>
      <c r="CX96">
        <v>0</v>
      </c>
      <c r="CY96" t="s">
        <v>333</v>
      </c>
      <c r="CZ96">
        <v>2.3643100000000001</v>
      </c>
      <c r="DA96">
        <v>2.7138</v>
      </c>
      <c r="DB96">
        <v>0.13086300000000001</v>
      </c>
      <c r="DC96">
        <v>0.14627299999999999</v>
      </c>
      <c r="DD96">
        <v>0.110737</v>
      </c>
      <c r="DE96">
        <v>8.2692100000000004E-2</v>
      </c>
      <c r="DF96">
        <v>31731.3</v>
      </c>
      <c r="DG96">
        <v>27509.200000000001</v>
      </c>
      <c r="DH96">
        <v>31167.9</v>
      </c>
      <c r="DI96">
        <v>28077.4</v>
      </c>
      <c r="DJ96">
        <v>37629.199999999997</v>
      </c>
      <c r="DK96">
        <v>36622.699999999997</v>
      </c>
      <c r="DL96">
        <v>44355</v>
      </c>
      <c r="DM96">
        <v>42555.5</v>
      </c>
      <c r="DN96">
        <v>1.4755</v>
      </c>
      <c r="DO96">
        <v>2.04935</v>
      </c>
      <c r="DP96">
        <v>0.113219</v>
      </c>
      <c r="DQ96">
        <v>0.16714300000000001</v>
      </c>
      <c r="DR96">
        <v>25.116399999999999</v>
      </c>
      <c r="DS96">
        <v>24.931000000000001</v>
      </c>
      <c r="DT96">
        <v>57.3</v>
      </c>
      <c r="DU96">
        <v>29.6</v>
      </c>
      <c r="DV96">
        <v>24.080100000000002</v>
      </c>
      <c r="DW96">
        <v>61.414200000000001</v>
      </c>
      <c r="DX96">
        <v>36.618600000000001</v>
      </c>
      <c r="DY96">
        <v>1</v>
      </c>
      <c r="DZ96">
        <v>-8.2916699999999996E-2</v>
      </c>
      <c r="EA96">
        <v>0.4279</v>
      </c>
      <c r="EB96">
        <v>20.1891</v>
      </c>
      <c r="EC96">
        <v>5.2408000000000001</v>
      </c>
      <c r="ED96">
        <v>12.039899999999999</v>
      </c>
      <c r="EE96">
        <v>5.0168499999999998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</v>
      </c>
      <c r="EL96">
        <v>1.8646199999999999</v>
      </c>
      <c r="EM96">
        <v>1.8691500000000001</v>
      </c>
      <c r="EN96">
        <v>1.8672200000000001</v>
      </c>
      <c r="EO96">
        <v>1.8633999999999999</v>
      </c>
      <c r="EP96">
        <v>1.86453</v>
      </c>
      <c r="EQ96">
        <v>1.8701399999999999</v>
      </c>
      <c r="ER96">
        <v>1.86938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-0.40600000000000003</v>
      </c>
      <c r="FG96">
        <v>0.16270000000000001</v>
      </c>
      <c r="FH96">
        <v>5.8509882529719233E-2</v>
      </c>
      <c r="FI96">
        <v>-6.1462078757559423E-4</v>
      </c>
      <c r="FJ96">
        <v>-1.8861989874597051E-7</v>
      </c>
      <c r="FK96">
        <v>1.1980462299894961E-10</v>
      </c>
      <c r="FL96">
        <v>0.16277811159127681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22</v>
      </c>
      <c r="FU96">
        <v>22.2</v>
      </c>
      <c r="FV96">
        <v>1.78711</v>
      </c>
      <c r="FW96">
        <v>2.5781200000000002</v>
      </c>
      <c r="FX96">
        <v>1.5490699999999999</v>
      </c>
      <c r="FY96">
        <v>2.3290999999999999</v>
      </c>
      <c r="FZ96">
        <v>1.50146</v>
      </c>
      <c r="GA96">
        <v>2.3584000000000001</v>
      </c>
      <c r="GB96">
        <v>33.941299999999998</v>
      </c>
      <c r="GC96">
        <v>23.982399999999998</v>
      </c>
      <c r="GD96">
        <v>19</v>
      </c>
      <c r="GE96">
        <v>283.13799999999998</v>
      </c>
      <c r="GF96">
        <v>595.41700000000003</v>
      </c>
      <c r="GG96">
        <v>23.688300000000002</v>
      </c>
      <c r="GH96">
        <v>26.328499999999998</v>
      </c>
      <c r="GI96">
        <v>30</v>
      </c>
      <c r="GJ96">
        <v>26.477399999999999</v>
      </c>
      <c r="GK96">
        <v>26.465499999999999</v>
      </c>
      <c r="GL96">
        <v>35.725000000000001</v>
      </c>
      <c r="GM96">
        <v>46.6614</v>
      </c>
      <c r="GN96">
        <v>94.370999999999995</v>
      </c>
      <c r="GO96">
        <v>23.724799999999998</v>
      </c>
      <c r="GP96">
        <v>800</v>
      </c>
      <c r="GQ96">
        <v>15.558199999999999</v>
      </c>
      <c r="GR96">
        <v>99.724100000000007</v>
      </c>
      <c r="GS96">
        <v>99.552199999999999</v>
      </c>
    </row>
    <row r="97" spans="1:201" x14ac:dyDescent="0.25">
      <c r="A97">
        <v>81</v>
      </c>
      <c r="B97">
        <v>1690221855</v>
      </c>
      <c r="C97">
        <v>972.5</v>
      </c>
      <c r="D97" t="s">
        <v>493</v>
      </c>
      <c r="E97" t="s">
        <v>494</v>
      </c>
      <c r="F97" t="s">
        <v>330</v>
      </c>
      <c r="H97">
        <v>1690221855</v>
      </c>
      <c r="I97">
        <f t="shared" si="30"/>
        <v>7.394308517615142E-4</v>
      </c>
      <c r="J97">
        <f t="shared" si="31"/>
        <v>0.73943085176151424</v>
      </c>
      <c r="K97">
        <f t="shared" si="32"/>
        <v>11.769976331245655</v>
      </c>
      <c r="L97">
        <f t="shared" si="33"/>
        <v>672.63800000000003</v>
      </c>
      <c r="M97">
        <f t="shared" si="34"/>
        <v>264.79676078715369</v>
      </c>
      <c r="N97">
        <f t="shared" si="35"/>
        <v>26.26275695544938</v>
      </c>
      <c r="O97">
        <f t="shared" si="36"/>
        <v>66.712781004142002</v>
      </c>
      <c r="P97">
        <f t="shared" si="37"/>
        <v>4.8028102314765217E-2</v>
      </c>
      <c r="Q97">
        <f t="shared" si="38"/>
        <v>2.1979896975515985</v>
      </c>
      <c r="R97">
        <f t="shared" si="39"/>
        <v>4.7452610084572168E-2</v>
      </c>
      <c r="S97">
        <f t="shared" si="40"/>
        <v>2.9709012375627002E-2</v>
      </c>
      <c r="T97">
        <f t="shared" si="41"/>
        <v>276.11426014336604</v>
      </c>
      <c r="U97">
        <f t="shared" si="42"/>
        <v>27.953440304897619</v>
      </c>
      <c r="V97">
        <f t="shared" si="43"/>
        <v>27.953440304897619</v>
      </c>
      <c r="W97">
        <f t="shared" si="44"/>
        <v>3.7845516464674218</v>
      </c>
      <c r="X97">
        <f t="shared" si="45"/>
        <v>67.436353931850206</v>
      </c>
      <c r="Y97">
        <f t="shared" si="46"/>
        <v>2.2863655994725001</v>
      </c>
      <c r="Z97">
        <f t="shared" si="47"/>
        <v>3.3904051244867923</v>
      </c>
      <c r="AA97">
        <f t="shared" si="48"/>
        <v>1.4981860469949217</v>
      </c>
      <c r="AB97">
        <f t="shared" si="49"/>
        <v>-32.608900562682777</v>
      </c>
      <c r="AC97">
        <f t="shared" si="50"/>
        <v>-221.91601918026947</v>
      </c>
      <c r="AD97">
        <f t="shared" si="51"/>
        <v>-21.792965725004667</v>
      </c>
      <c r="AE97">
        <f t="shared" si="52"/>
        <v>-0.20362532459088811</v>
      </c>
      <c r="AF97">
        <v>0</v>
      </c>
      <c r="AG97">
        <v>0</v>
      </c>
      <c r="AH97">
        <f t="shared" si="53"/>
        <v>1</v>
      </c>
      <c r="AI97">
        <f t="shared" si="54"/>
        <v>0</v>
      </c>
      <c r="AJ97">
        <f t="shared" si="55"/>
        <v>52706.329821675274</v>
      </c>
      <c r="AK97">
        <f t="shared" si="56"/>
        <v>1799.99</v>
      </c>
      <c r="AL97">
        <f t="shared" si="57"/>
        <v>1499.1019436095999</v>
      </c>
      <c r="AM97">
        <f t="shared" si="58"/>
        <v>0.83283903999999997</v>
      </c>
      <c r="AN97">
        <f t="shared" si="59"/>
        <v>0.15339766340000002</v>
      </c>
      <c r="AO97">
        <v>31.2</v>
      </c>
      <c r="AP97">
        <v>0.5</v>
      </c>
      <c r="AQ97" t="s">
        <v>331</v>
      </c>
      <c r="AR97">
        <v>2</v>
      </c>
      <c r="AS97">
        <v>1690221855</v>
      </c>
      <c r="AT97">
        <v>672.63800000000003</v>
      </c>
      <c r="AU97">
        <v>800.13</v>
      </c>
      <c r="AV97">
        <v>23.052499999999998</v>
      </c>
      <c r="AW97">
        <v>15.5449</v>
      </c>
      <c r="AX97">
        <v>673.04200000000003</v>
      </c>
      <c r="AY97">
        <v>22.889700000000001</v>
      </c>
      <c r="AZ97">
        <v>300.20800000000003</v>
      </c>
      <c r="BA97">
        <v>99.080799999999996</v>
      </c>
      <c r="BB97">
        <v>0.100009</v>
      </c>
      <c r="BC97">
        <v>26.0807</v>
      </c>
      <c r="BD97">
        <v>26.966200000000001</v>
      </c>
      <c r="BE97">
        <v>27.6814</v>
      </c>
      <c r="BF97">
        <v>0</v>
      </c>
      <c r="BG97">
        <v>0</v>
      </c>
      <c r="BH97">
        <v>10030.6</v>
      </c>
      <c r="BI97">
        <v>1069.1099999999999</v>
      </c>
      <c r="BJ97">
        <v>1.48715</v>
      </c>
      <c r="BK97">
        <v>-127.491</v>
      </c>
      <c r="BL97">
        <v>688.51</v>
      </c>
      <c r="BM97">
        <v>812.76400000000001</v>
      </c>
      <c r="BN97">
        <v>7.5076099999999997</v>
      </c>
      <c r="BO97">
        <v>800.13</v>
      </c>
      <c r="BP97">
        <v>15.5449</v>
      </c>
      <c r="BQ97">
        <v>2.2840600000000002</v>
      </c>
      <c r="BR97">
        <v>1.5402</v>
      </c>
      <c r="BS97">
        <v>19.564399999999999</v>
      </c>
      <c r="BT97">
        <v>13.373200000000001</v>
      </c>
      <c r="BU97">
        <v>1799.99</v>
      </c>
      <c r="BV97">
        <v>0.90998900000000005</v>
      </c>
      <c r="BW97">
        <v>3.4007200000000001E-2</v>
      </c>
      <c r="BX97">
        <v>2.2002000000000001E-2</v>
      </c>
      <c r="BY97">
        <v>3.4001999999999998E-2</v>
      </c>
      <c r="BZ97">
        <v>26</v>
      </c>
      <c r="CA97">
        <v>33528.199999999997</v>
      </c>
      <c r="CB97">
        <v>1690220522.5999999</v>
      </c>
      <c r="CC97" t="s">
        <v>332</v>
      </c>
      <c r="CD97">
        <v>1690220522.5999999</v>
      </c>
      <c r="CE97">
        <v>1690220510.5999999</v>
      </c>
      <c r="CF97">
        <v>10</v>
      </c>
      <c r="CG97">
        <v>-0.22</v>
      </c>
      <c r="CH97">
        <v>-2.7E-2</v>
      </c>
      <c r="CI97">
        <v>-0.49299999999999999</v>
      </c>
      <c r="CJ97">
        <v>0.152</v>
      </c>
      <c r="CK97">
        <v>800</v>
      </c>
      <c r="CL97">
        <v>19</v>
      </c>
      <c r="CM97">
        <v>0.1</v>
      </c>
      <c r="CN97">
        <v>0.03</v>
      </c>
      <c r="CO97">
        <v>-124.38617499999999</v>
      </c>
      <c r="CP97">
        <v>-17.083958724202571</v>
      </c>
      <c r="CQ97">
        <v>1.645391790539565</v>
      </c>
      <c r="CR97">
        <v>-1</v>
      </c>
      <c r="CS97">
        <v>7.3678529999999993</v>
      </c>
      <c r="CT97">
        <v>0.82181673545964351</v>
      </c>
      <c r="CU97">
        <v>7.9944680567252277E-2</v>
      </c>
      <c r="CV97">
        <v>-1</v>
      </c>
      <c r="CW97">
        <v>0</v>
      </c>
      <c r="CX97">
        <v>0</v>
      </c>
      <c r="CY97" t="s">
        <v>333</v>
      </c>
      <c r="CZ97">
        <v>2.36443</v>
      </c>
      <c r="DA97">
        <v>2.7138300000000002</v>
      </c>
      <c r="DB97">
        <v>0.13047600000000001</v>
      </c>
      <c r="DC97">
        <v>0.146259</v>
      </c>
      <c r="DD97">
        <v>0.110758</v>
      </c>
      <c r="DE97">
        <v>8.2302E-2</v>
      </c>
      <c r="DF97">
        <v>31745.5</v>
      </c>
      <c r="DG97">
        <v>27509.7</v>
      </c>
      <c r="DH97">
        <v>31168</v>
      </c>
      <c r="DI97">
        <v>28077.4</v>
      </c>
      <c r="DJ97">
        <v>37628.5</v>
      </c>
      <c r="DK97">
        <v>36638.300000000003</v>
      </c>
      <c r="DL97">
        <v>44355.199999999997</v>
      </c>
      <c r="DM97">
        <v>42555.4</v>
      </c>
      <c r="DN97">
        <v>1.4757199999999999</v>
      </c>
      <c r="DO97">
        <v>2.0493000000000001</v>
      </c>
      <c r="DP97">
        <v>0.113092</v>
      </c>
      <c r="DQ97">
        <v>0.168212</v>
      </c>
      <c r="DR97">
        <v>25.113800000000001</v>
      </c>
      <c r="DS97">
        <v>24.927299999999999</v>
      </c>
      <c r="DT97">
        <v>57.3</v>
      </c>
      <c r="DU97">
        <v>29.6</v>
      </c>
      <c r="DV97">
        <v>24.0777</v>
      </c>
      <c r="DW97">
        <v>61.584200000000003</v>
      </c>
      <c r="DX97">
        <v>35.520800000000001</v>
      </c>
      <c r="DY97">
        <v>1</v>
      </c>
      <c r="DZ97">
        <v>-8.3424799999999993E-2</v>
      </c>
      <c r="EA97">
        <v>0.31409300000000001</v>
      </c>
      <c r="EB97">
        <v>20.189399999999999</v>
      </c>
      <c r="EC97">
        <v>5.2406499999999996</v>
      </c>
      <c r="ED97">
        <v>12.039899999999999</v>
      </c>
      <c r="EE97">
        <v>5.0167999999999999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1.8689100000000001</v>
      </c>
      <c r="EL97">
        <v>1.8646199999999999</v>
      </c>
      <c r="EM97">
        <v>1.8691800000000001</v>
      </c>
      <c r="EN97">
        <v>1.8672200000000001</v>
      </c>
      <c r="EO97">
        <v>1.8633999999999999</v>
      </c>
      <c r="EP97">
        <v>1.86449</v>
      </c>
      <c r="EQ97">
        <v>1.87012</v>
      </c>
      <c r="ER97">
        <v>1.86941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-0.40400000000000003</v>
      </c>
      <c r="FG97">
        <v>0.1628</v>
      </c>
      <c r="FH97">
        <v>5.8509882529719233E-2</v>
      </c>
      <c r="FI97">
        <v>-6.1462078757559423E-4</v>
      </c>
      <c r="FJ97">
        <v>-1.8861989874597051E-7</v>
      </c>
      <c r="FK97">
        <v>1.1980462299894961E-10</v>
      </c>
      <c r="FL97">
        <v>0.16277811159127681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22.2</v>
      </c>
      <c r="FU97">
        <v>22.4</v>
      </c>
      <c r="FV97">
        <v>1.78711</v>
      </c>
      <c r="FW97">
        <v>2.5830099999999998</v>
      </c>
      <c r="FX97">
        <v>1.5490699999999999</v>
      </c>
      <c r="FY97">
        <v>2.3290999999999999</v>
      </c>
      <c r="FZ97">
        <v>1.50146</v>
      </c>
      <c r="GA97">
        <v>2.36572</v>
      </c>
      <c r="GB97">
        <v>33.941299999999998</v>
      </c>
      <c r="GC97">
        <v>23.973700000000001</v>
      </c>
      <c r="GD97">
        <v>19</v>
      </c>
      <c r="GE97">
        <v>283.22300000000001</v>
      </c>
      <c r="GF97">
        <v>595.34199999999998</v>
      </c>
      <c r="GG97">
        <v>23.742999999999999</v>
      </c>
      <c r="GH97">
        <v>26.324200000000001</v>
      </c>
      <c r="GI97">
        <v>30</v>
      </c>
      <c r="GJ97">
        <v>26.474699999999999</v>
      </c>
      <c r="GK97">
        <v>26.462599999999998</v>
      </c>
      <c r="GL97">
        <v>35.720399999999998</v>
      </c>
      <c r="GM97">
        <v>47.258800000000001</v>
      </c>
      <c r="GN97">
        <v>93.981999999999999</v>
      </c>
      <c r="GO97">
        <v>23.7621</v>
      </c>
      <c r="GP97">
        <v>800</v>
      </c>
      <c r="GQ97">
        <v>15.4086</v>
      </c>
      <c r="GR97">
        <v>99.724500000000006</v>
      </c>
      <c r="GS97">
        <v>99.552099999999996</v>
      </c>
    </row>
    <row r="98" spans="1:201" x14ac:dyDescent="0.25">
      <c r="A98">
        <v>82</v>
      </c>
      <c r="B98">
        <v>1690221865</v>
      </c>
      <c r="C98">
        <v>982.5</v>
      </c>
      <c r="D98" t="s">
        <v>495</v>
      </c>
      <c r="E98" t="s">
        <v>496</v>
      </c>
      <c r="F98" t="s">
        <v>330</v>
      </c>
      <c r="H98">
        <v>1690221865</v>
      </c>
      <c r="I98">
        <f t="shared" si="30"/>
        <v>7.5711972232900607E-4</v>
      </c>
      <c r="J98">
        <f t="shared" si="31"/>
        <v>0.75711972232900604</v>
      </c>
      <c r="K98">
        <f t="shared" si="32"/>
        <v>12.023674032391476</v>
      </c>
      <c r="L98">
        <f t="shared" si="33"/>
        <v>669.77700000000004</v>
      </c>
      <c r="M98">
        <f t="shared" si="34"/>
        <v>263.23873711546139</v>
      </c>
      <c r="N98">
        <f t="shared" si="35"/>
        <v>26.108452554266435</v>
      </c>
      <c r="O98">
        <f t="shared" si="36"/>
        <v>66.429588661826998</v>
      </c>
      <c r="P98">
        <f t="shared" si="37"/>
        <v>4.9230716714699189E-2</v>
      </c>
      <c r="Q98">
        <f t="shared" si="38"/>
        <v>2.194317851126705</v>
      </c>
      <c r="R98">
        <f t="shared" si="39"/>
        <v>4.8625240767672738E-2</v>
      </c>
      <c r="S98">
        <f t="shared" si="40"/>
        <v>3.0444554597345172E-2</v>
      </c>
      <c r="T98">
        <f t="shared" si="41"/>
        <v>276.11558667000003</v>
      </c>
      <c r="U98">
        <f t="shared" si="42"/>
        <v>27.954989623576441</v>
      </c>
      <c r="V98">
        <f t="shared" si="43"/>
        <v>27.954989623576441</v>
      </c>
      <c r="W98">
        <f t="shared" si="44"/>
        <v>3.7848935988631762</v>
      </c>
      <c r="X98">
        <f t="shared" si="45"/>
        <v>67.461761311313694</v>
      </c>
      <c r="Y98">
        <f t="shared" si="46"/>
        <v>2.2878628162774</v>
      </c>
      <c r="Z98">
        <f t="shared" si="47"/>
        <v>3.3913475898141323</v>
      </c>
      <c r="AA98">
        <f t="shared" si="48"/>
        <v>1.4970307825857763</v>
      </c>
      <c r="AB98">
        <f t="shared" si="49"/>
        <v>-33.388979754709169</v>
      </c>
      <c r="AC98">
        <f t="shared" si="50"/>
        <v>-221.17257210402636</v>
      </c>
      <c r="AD98">
        <f t="shared" si="51"/>
        <v>-21.756980498720367</v>
      </c>
      <c r="AE98">
        <f t="shared" si="52"/>
        <v>-0.20294568745586616</v>
      </c>
      <c r="AF98">
        <v>0</v>
      </c>
      <c r="AG98">
        <v>0</v>
      </c>
      <c r="AH98">
        <f t="shared" si="53"/>
        <v>1</v>
      </c>
      <c r="AI98">
        <f t="shared" si="54"/>
        <v>0</v>
      </c>
      <c r="AJ98">
        <f t="shared" si="55"/>
        <v>52554.784467337413</v>
      </c>
      <c r="AK98">
        <f t="shared" si="56"/>
        <v>1800</v>
      </c>
      <c r="AL98">
        <f t="shared" si="57"/>
        <v>1499.110713</v>
      </c>
      <c r="AM98">
        <f t="shared" si="58"/>
        <v>0.83283928500000004</v>
      </c>
      <c r="AN98">
        <f t="shared" si="59"/>
        <v>0.15339754815000001</v>
      </c>
      <c r="AO98">
        <v>31.2</v>
      </c>
      <c r="AP98">
        <v>0.5</v>
      </c>
      <c r="AQ98" t="s">
        <v>331</v>
      </c>
      <c r="AR98">
        <v>2</v>
      </c>
      <c r="AS98">
        <v>1690221865</v>
      </c>
      <c r="AT98">
        <v>669.77700000000004</v>
      </c>
      <c r="AU98">
        <v>800.00199999999995</v>
      </c>
      <c r="AV98">
        <v>23.067399999999999</v>
      </c>
      <c r="AW98">
        <v>15.380599999999999</v>
      </c>
      <c r="AX98">
        <v>670.17899999999997</v>
      </c>
      <c r="AY98">
        <v>22.904599999999999</v>
      </c>
      <c r="AZ98">
        <v>300.21899999999999</v>
      </c>
      <c r="BA98">
        <v>99.081599999999995</v>
      </c>
      <c r="BB98">
        <v>0.100051</v>
      </c>
      <c r="BC98">
        <v>26.0854</v>
      </c>
      <c r="BD98">
        <v>26.956700000000001</v>
      </c>
      <c r="BE98">
        <v>27.709399999999999</v>
      </c>
      <c r="BF98">
        <v>0</v>
      </c>
      <c r="BG98">
        <v>0</v>
      </c>
      <c r="BH98">
        <v>10000.6</v>
      </c>
      <c r="BI98">
        <v>1069.19</v>
      </c>
      <c r="BJ98">
        <v>1.5137799999999999</v>
      </c>
      <c r="BK98">
        <v>-130.22399999999999</v>
      </c>
      <c r="BL98">
        <v>685.59199999999998</v>
      </c>
      <c r="BM98">
        <v>812.49800000000005</v>
      </c>
      <c r="BN98">
        <v>7.6867700000000001</v>
      </c>
      <c r="BO98">
        <v>800.00199999999995</v>
      </c>
      <c r="BP98">
        <v>15.380599999999999</v>
      </c>
      <c r="BQ98">
        <v>2.2855500000000002</v>
      </c>
      <c r="BR98">
        <v>1.52393</v>
      </c>
      <c r="BS98">
        <v>19.5749</v>
      </c>
      <c r="BT98">
        <v>13.2104</v>
      </c>
      <c r="BU98">
        <v>1800</v>
      </c>
      <c r="BV98">
        <v>0.90999300000000005</v>
      </c>
      <c r="BW98">
        <v>3.4005599999999997E-2</v>
      </c>
      <c r="BX98">
        <v>2.2001E-2</v>
      </c>
      <c r="BY98">
        <v>3.4000500000000003E-2</v>
      </c>
      <c r="BZ98">
        <v>26</v>
      </c>
      <c r="CA98">
        <v>33528.400000000001</v>
      </c>
      <c r="CB98">
        <v>1690220522.5999999</v>
      </c>
      <c r="CC98" t="s">
        <v>332</v>
      </c>
      <c r="CD98">
        <v>1690220522.5999999</v>
      </c>
      <c r="CE98">
        <v>1690220510.5999999</v>
      </c>
      <c r="CF98">
        <v>10</v>
      </c>
      <c r="CG98">
        <v>-0.22</v>
      </c>
      <c r="CH98">
        <v>-2.7E-2</v>
      </c>
      <c r="CI98">
        <v>-0.49299999999999999</v>
      </c>
      <c r="CJ98">
        <v>0.152</v>
      </c>
      <c r="CK98">
        <v>800</v>
      </c>
      <c r="CL98">
        <v>19</v>
      </c>
      <c r="CM98">
        <v>0.1</v>
      </c>
      <c r="CN98">
        <v>0.03</v>
      </c>
      <c r="CO98">
        <v>-127.0410487804878</v>
      </c>
      <c r="CP98">
        <v>-17.245379790940682</v>
      </c>
      <c r="CQ98">
        <v>1.7022959668036799</v>
      </c>
      <c r="CR98">
        <v>-1</v>
      </c>
      <c r="CS98">
        <v>7.5082175609756101</v>
      </c>
      <c r="CT98">
        <v>0.92507456445993419</v>
      </c>
      <c r="CU98">
        <v>9.3302931535271375E-2</v>
      </c>
      <c r="CV98">
        <v>-1</v>
      </c>
      <c r="CW98">
        <v>0</v>
      </c>
      <c r="CX98">
        <v>0</v>
      </c>
      <c r="CY98" t="s">
        <v>333</v>
      </c>
      <c r="CZ98">
        <v>2.3645200000000002</v>
      </c>
      <c r="DA98">
        <v>2.7138399999999998</v>
      </c>
      <c r="DB98">
        <v>0.13009499999999999</v>
      </c>
      <c r="DC98">
        <v>0.14624100000000001</v>
      </c>
      <c r="DD98">
        <v>0.11081000000000001</v>
      </c>
      <c r="DE98">
        <v>8.1666699999999995E-2</v>
      </c>
      <c r="DF98">
        <v>31759.3</v>
      </c>
      <c r="DG98">
        <v>27510.6</v>
      </c>
      <c r="DH98">
        <v>31167.8</v>
      </c>
      <c r="DI98">
        <v>28077.8</v>
      </c>
      <c r="DJ98">
        <v>37626.1</v>
      </c>
      <c r="DK98">
        <v>36664.5</v>
      </c>
      <c r="DL98">
        <v>44355.1</v>
      </c>
      <c r="DM98">
        <v>42556.4</v>
      </c>
      <c r="DN98">
        <v>1.47627</v>
      </c>
      <c r="DO98">
        <v>2.0491299999999999</v>
      </c>
      <c r="DP98">
        <v>0.112608</v>
      </c>
      <c r="DQ98">
        <v>0.169959</v>
      </c>
      <c r="DR98">
        <v>25.112200000000001</v>
      </c>
      <c r="DS98">
        <v>24.9268</v>
      </c>
      <c r="DT98">
        <v>57.4</v>
      </c>
      <c r="DU98">
        <v>29.6</v>
      </c>
      <c r="DV98">
        <v>24.122599999999998</v>
      </c>
      <c r="DW98">
        <v>61.664200000000001</v>
      </c>
      <c r="DX98">
        <v>36.338099999999997</v>
      </c>
      <c r="DY98">
        <v>1</v>
      </c>
      <c r="DZ98">
        <v>-8.3587400000000006E-2</v>
      </c>
      <c r="EA98">
        <v>0.28456399999999998</v>
      </c>
      <c r="EB98">
        <v>20.190100000000001</v>
      </c>
      <c r="EC98">
        <v>5.2403500000000003</v>
      </c>
      <c r="ED98">
        <v>12.039899999999999</v>
      </c>
      <c r="EE98">
        <v>5.0168999999999997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1.86893</v>
      </c>
      <c r="EL98">
        <v>1.8646199999999999</v>
      </c>
      <c r="EM98">
        <v>1.8692</v>
      </c>
      <c r="EN98">
        <v>1.8672200000000001</v>
      </c>
      <c r="EO98">
        <v>1.8633999999999999</v>
      </c>
      <c r="EP98">
        <v>1.8645499999999999</v>
      </c>
      <c r="EQ98">
        <v>1.87015</v>
      </c>
      <c r="ER98">
        <v>1.86944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-0.40200000000000002</v>
      </c>
      <c r="FG98">
        <v>0.1628</v>
      </c>
      <c r="FH98">
        <v>5.8509882529719233E-2</v>
      </c>
      <c r="FI98">
        <v>-6.1462078757559423E-4</v>
      </c>
      <c r="FJ98">
        <v>-1.8861989874597051E-7</v>
      </c>
      <c r="FK98">
        <v>1.1980462299894961E-10</v>
      </c>
      <c r="FL98">
        <v>0.16277811159127681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22.4</v>
      </c>
      <c r="FU98">
        <v>22.6</v>
      </c>
      <c r="FV98">
        <v>1.78589</v>
      </c>
      <c r="FW98">
        <v>2.5817899999999998</v>
      </c>
      <c r="FX98">
        <v>1.5490699999999999</v>
      </c>
      <c r="FY98">
        <v>2.3290999999999999</v>
      </c>
      <c r="FZ98">
        <v>1.50146</v>
      </c>
      <c r="GA98">
        <v>2.3339799999999999</v>
      </c>
      <c r="GB98">
        <v>33.941299999999998</v>
      </c>
      <c r="GC98">
        <v>23.973700000000001</v>
      </c>
      <c r="GD98">
        <v>19</v>
      </c>
      <c r="GE98">
        <v>283.447</v>
      </c>
      <c r="GF98">
        <v>595.16899999999998</v>
      </c>
      <c r="GG98">
        <v>23.7897</v>
      </c>
      <c r="GH98">
        <v>26.321899999999999</v>
      </c>
      <c r="GI98">
        <v>29.9999</v>
      </c>
      <c r="GJ98">
        <v>26.4724</v>
      </c>
      <c r="GK98">
        <v>26.4604</v>
      </c>
      <c r="GL98">
        <v>35.714300000000001</v>
      </c>
      <c r="GM98">
        <v>47.544899999999998</v>
      </c>
      <c r="GN98">
        <v>93.596000000000004</v>
      </c>
      <c r="GO98">
        <v>23.8278</v>
      </c>
      <c r="GP98">
        <v>800</v>
      </c>
      <c r="GQ98">
        <v>15.2529</v>
      </c>
      <c r="GR98">
        <v>99.724199999999996</v>
      </c>
      <c r="GS98">
        <v>99.554000000000002</v>
      </c>
    </row>
    <row r="99" spans="1:201" x14ac:dyDescent="0.25">
      <c r="A99">
        <v>83</v>
      </c>
      <c r="B99">
        <v>1690221875</v>
      </c>
      <c r="C99">
        <v>992.5</v>
      </c>
      <c r="D99" t="s">
        <v>497</v>
      </c>
      <c r="E99" t="s">
        <v>498</v>
      </c>
      <c r="F99" t="s">
        <v>330</v>
      </c>
      <c r="H99">
        <v>1690221875</v>
      </c>
      <c r="I99">
        <f t="shared" si="30"/>
        <v>7.7661157705192498E-4</v>
      </c>
      <c r="J99">
        <f t="shared" si="31"/>
        <v>0.77661157705192496</v>
      </c>
      <c r="K99">
        <f t="shared" si="32"/>
        <v>12.305939502414112</v>
      </c>
      <c r="L99">
        <f t="shared" si="33"/>
        <v>666.899</v>
      </c>
      <c r="M99">
        <f t="shared" si="34"/>
        <v>261.21575238182675</v>
      </c>
      <c r="N99">
        <f t="shared" si="35"/>
        <v>25.908082402168546</v>
      </c>
      <c r="O99">
        <f t="shared" si="36"/>
        <v>66.144840379564599</v>
      </c>
      <c r="P99">
        <f t="shared" si="37"/>
        <v>5.0501950695119827E-2</v>
      </c>
      <c r="Q99">
        <f t="shared" si="38"/>
        <v>2.1944912381182586</v>
      </c>
      <c r="R99">
        <f t="shared" si="39"/>
        <v>4.9865069677934658E-2</v>
      </c>
      <c r="S99">
        <f t="shared" si="40"/>
        <v>3.1222220556422375E-2</v>
      </c>
      <c r="T99">
        <f t="shared" si="41"/>
        <v>276.11404308257192</v>
      </c>
      <c r="U99">
        <f t="shared" si="42"/>
        <v>27.9620995935541</v>
      </c>
      <c r="V99">
        <f t="shared" si="43"/>
        <v>27.9620995935541</v>
      </c>
      <c r="W99">
        <f t="shared" si="44"/>
        <v>3.7864631964837532</v>
      </c>
      <c r="X99">
        <f t="shared" si="45"/>
        <v>67.442110505997206</v>
      </c>
      <c r="Y99">
        <f t="shared" si="46"/>
        <v>2.2890771002147599</v>
      </c>
      <c r="Z99">
        <f t="shared" si="47"/>
        <v>3.3941362199974545</v>
      </c>
      <c r="AA99">
        <f t="shared" si="48"/>
        <v>1.4973860962689933</v>
      </c>
      <c r="AB99">
        <f t="shared" si="49"/>
        <v>-34.248570547989893</v>
      </c>
      <c r="AC99">
        <f t="shared" si="50"/>
        <v>-220.38672389692994</v>
      </c>
      <c r="AD99">
        <f t="shared" si="51"/>
        <v>-21.680238516105867</v>
      </c>
      <c r="AE99">
        <f t="shared" si="52"/>
        <v>-0.20148987845377064</v>
      </c>
      <c r="AF99">
        <v>0</v>
      </c>
      <c r="AG99">
        <v>0</v>
      </c>
      <c r="AH99">
        <f t="shared" si="53"/>
        <v>1</v>
      </c>
      <c r="AI99">
        <f t="shared" si="54"/>
        <v>0</v>
      </c>
      <c r="AJ99">
        <f t="shared" si="55"/>
        <v>52559.47755685373</v>
      </c>
      <c r="AK99">
        <f t="shared" si="56"/>
        <v>1799.99</v>
      </c>
      <c r="AL99">
        <f t="shared" si="57"/>
        <v>1499.10266540559</v>
      </c>
      <c r="AM99">
        <f t="shared" si="58"/>
        <v>0.83283944099999996</v>
      </c>
      <c r="AN99">
        <f t="shared" si="59"/>
        <v>0.15339754281000001</v>
      </c>
      <c r="AO99">
        <v>31.2</v>
      </c>
      <c r="AP99">
        <v>0.5</v>
      </c>
      <c r="AQ99" t="s">
        <v>331</v>
      </c>
      <c r="AR99">
        <v>2</v>
      </c>
      <c r="AS99">
        <v>1690221875</v>
      </c>
      <c r="AT99">
        <v>666.899</v>
      </c>
      <c r="AU99">
        <v>800.15300000000002</v>
      </c>
      <c r="AV99">
        <v>23.0794</v>
      </c>
      <c r="AW99">
        <v>15.1958</v>
      </c>
      <c r="AX99">
        <v>667.29899999999998</v>
      </c>
      <c r="AY99">
        <v>22.916599999999999</v>
      </c>
      <c r="AZ99">
        <v>300.25700000000001</v>
      </c>
      <c r="BA99">
        <v>99.082700000000003</v>
      </c>
      <c r="BB99">
        <v>9.9995399999999998E-2</v>
      </c>
      <c r="BC99">
        <v>26.099299999999999</v>
      </c>
      <c r="BD99">
        <v>26.992799999999999</v>
      </c>
      <c r="BE99">
        <v>27.702500000000001</v>
      </c>
      <c r="BF99">
        <v>0</v>
      </c>
      <c r="BG99">
        <v>0</v>
      </c>
      <c r="BH99">
        <v>10001.9</v>
      </c>
      <c r="BI99">
        <v>1069.29</v>
      </c>
      <c r="BJ99">
        <v>1.5137799999999999</v>
      </c>
      <c r="BK99">
        <v>-133.255</v>
      </c>
      <c r="BL99">
        <v>682.654</v>
      </c>
      <c r="BM99">
        <v>812.5</v>
      </c>
      <c r="BN99">
        <v>7.88361</v>
      </c>
      <c r="BO99">
        <v>800.15300000000002</v>
      </c>
      <c r="BP99">
        <v>15.1958</v>
      </c>
      <c r="BQ99">
        <v>2.2867700000000002</v>
      </c>
      <c r="BR99">
        <v>1.5056400000000001</v>
      </c>
      <c r="BS99">
        <v>19.583500000000001</v>
      </c>
      <c r="BT99">
        <v>13.025600000000001</v>
      </c>
      <c r="BU99">
        <v>1799.99</v>
      </c>
      <c r="BV99">
        <v>0.90999399999999997</v>
      </c>
      <c r="BW99">
        <v>3.4005300000000002E-2</v>
      </c>
      <c r="BX99">
        <v>2.2000800000000001E-2</v>
      </c>
      <c r="BY99">
        <v>3.4000099999999998E-2</v>
      </c>
      <c r="BZ99">
        <v>26</v>
      </c>
      <c r="CA99">
        <v>33528.199999999997</v>
      </c>
      <c r="CB99">
        <v>1690220522.5999999</v>
      </c>
      <c r="CC99" t="s">
        <v>332</v>
      </c>
      <c r="CD99">
        <v>1690220522.5999999</v>
      </c>
      <c r="CE99">
        <v>1690220510.5999999</v>
      </c>
      <c r="CF99">
        <v>10</v>
      </c>
      <c r="CG99">
        <v>-0.22</v>
      </c>
      <c r="CH99">
        <v>-2.7E-2</v>
      </c>
      <c r="CI99">
        <v>-0.49299999999999999</v>
      </c>
      <c r="CJ99">
        <v>0.152</v>
      </c>
      <c r="CK99">
        <v>800</v>
      </c>
      <c r="CL99">
        <v>19</v>
      </c>
      <c r="CM99">
        <v>0.1</v>
      </c>
      <c r="CN99">
        <v>0.03</v>
      </c>
      <c r="CO99">
        <v>-130.1337</v>
      </c>
      <c r="CP99">
        <v>-17.219099437147879</v>
      </c>
      <c r="CQ99">
        <v>1.65765034310617</v>
      </c>
      <c r="CR99">
        <v>-1</v>
      </c>
      <c r="CS99">
        <v>7.6773214999999997</v>
      </c>
      <c r="CT99">
        <v>0.99640435272043737</v>
      </c>
      <c r="CU99">
        <v>9.6827510903410116E-2</v>
      </c>
      <c r="CV99">
        <v>-1</v>
      </c>
      <c r="CW99">
        <v>0</v>
      </c>
      <c r="CX99">
        <v>0</v>
      </c>
      <c r="CY99" t="s">
        <v>333</v>
      </c>
      <c r="CZ99">
        <v>2.3646400000000001</v>
      </c>
      <c r="DA99">
        <v>2.7137899999999999</v>
      </c>
      <c r="DB99">
        <v>0.12971099999999999</v>
      </c>
      <c r="DC99">
        <v>0.146259</v>
      </c>
      <c r="DD99">
        <v>0.11085299999999999</v>
      </c>
      <c r="DE99">
        <v>8.0949400000000005E-2</v>
      </c>
      <c r="DF99">
        <v>31773.9</v>
      </c>
      <c r="DG99">
        <v>27510.3</v>
      </c>
      <c r="DH99">
        <v>31168.400000000001</v>
      </c>
      <c r="DI99">
        <v>28078.1</v>
      </c>
      <c r="DJ99">
        <v>37624.9</v>
      </c>
      <c r="DK99">
        <v>36693.599999999999</v>
      </c>
      <c r="DL99">
        <v>44355.9</v>
      </c>
      <c r="DM99">
        <v>42556.800000000003</v>
      </c>
      <c r="DN99">
        <v>1.4762500000000001</v>
      </c>
      <c r="DO99">
        <v>2.0489700000000002</v>
      </c>
      <c r="DP99">
        <v>0.11494799999999999</v>
      </c>
      <c r="DQ99">
        <v>0.169408</v>
      </c>
      <c r="DR99">
        <v>25.110099999999999</v>
      </c>
      <c r="DS99">
        <v>24.928899999999999</v>
      </c>
      <c r="DT99">
        <v>57.4</v>
      </c>
      <c r="DU99">
        <v>29.6</v>
      </c>
      <c r="DV99">
        <v>24.119299999999999</v>
      </c>
      <c r="DW99">
        <v>61.924199999999999</v>
      </c>
      <c r="DX99">
        <v>35.829300000000003</v>
      </c>
      <c r="DY99">
        <v>1</v>
      </c>
      <c r="DZ99">
        <v>-8.4141300000000002E-2</v>
      </c>
      <c r="EA99">
        <v>0.27198800000000001</v>
      </c>
      <c r="EB99">
        <v>20.189800000000002</v>
      </c>
      <c r="EC99">
        <v>5.2408000000000001</v>
      </c>
      <c r="ED99">
        <v>12.039899999999999</v>
      </c>
      <c r="EE99">
        <v>5.0169499999999996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1.8689100000000001</v>
      </c>
      <c r="EL99">
        <v>1.8646199999999999</v>
      </c>
      <c r="EM99">
        <v>1.8691800000000001</v>
      </c>
      <c r="EN99">
        <v>1.8672200000000001</v>
      </c>
      <c r="EO99">
        <v>1.8633999999999999</v>
      </c>
      <c r="EP99">
        <v>1.86456</v>
      </c>
      <c r="EQ99">
        <v>1.8701399999999999</v>
      </c>
      <c r="ER99">
        <v>1.86941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-0.4</v>
      </c>
      <c r="FG99">
        <v>0.1628</v>
      </c>
      <c r="FH99">
        <v>5.8509882529719233E-2</v>
      </c>
      <c r="FI99">
        <v>-6.1462078757559423E-4</v>
      </c>
      <c r="FJ99">
        <v>-1.8861989874597051E-7</v>
      </c>
      <c r="FK99">
        <v>1.1980462299894961E-10</v>
      </c>
      <c r="FL99">
        <v>0.16277811159127681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22.5</v>
      </c>
      <c r="FU99">
        <v>22.7</v>
      </c>
      <c r="FV99">
        <v>1.78589</v>
      </c>
      <c r="FW99">
        <v>2.5793499999999998</v>
      </c>
      <c r="FX99">
        <v>1.5490699999999999</v>
      </c>
      <c r="FY99">
        <v>2.3290999999999999</v>
      </c>
      <c r="FZ99">
        <v>1.50146</v>
      </c>
      <c r="GA99">
        <v>2.4145500000000002</v>
      </c>
      <c r="GB99">
        <v>33.918700000000001</v>
      </c>
      <c r="GC99">
        <v>23.982399999999998</v>
      </c>
      <c r="GD99">
        <v>19</v>
      </c>
      <c r="GE99">
        <v>283.42200000000003</v>
      </c>
      <c r="GF99">
        <v>595</v>
      </c>
      <c r="GG99">
        <v>23.848099999999999</v>
      </c>
      <c r="GH99">
        <v>26.318000000000001</v>
      </c>
      <c r="GI99">
        <v>29.9999</v>
      </c>
      <c r="GJ99">
        <v>26.469000000000001</v>
      </c>
      <c r="GK99">
        <v>26.456600000000002</v>
      </c>
      <c r="GL99">
        <v>35.6995</v>
      </c>
      <c r="GM99">
        <v>47.831899999999997</v>
      </c>
      <c r="GN99">
        <v>93.207400000000007</v>
      </c>
      <c r="GO99">
        <v>23.851800000000001</v>
      </c>
      <c r="GP99">
        <v>800</v>
      </c>
      <c r="GQ99">
        <v>15.095599999999999</v>
      </c>
      <c r="GR99">
        <v>99.725999999999999</v>
      </c>
      <c r="GS99">
        <v>99.555000000000007</v>
      </c>
    </row>
    <row r="100" spans="1:201" x14ac:dyDescent="0.25">
      <c r="A100">
        <v>84</v>
      </c>
      <c r="B100">
        <v>1690221885</v>
      </c>
      <c r="C100">
        <v>1002.5</v>
      </c>
      <c r="D100" t="s">
        <v>499</v>
      </c>
      <c r="E100" t="s">
        <v>500</v>
      </c>
      <c r="F100" t="s">
        <v>330</v>
      </c>
      <c r="H100">
        <v>1690221885</v>
      </c>
      <c r="I100">
        <f t="shared" si="30"/>
        <v>7.8840297199647572E-4</v>
      </c>
      <c r="J100">
        <f t="shared" si="31"/>
        <v>0.78840297199647569</v>
      </c>
      <c r="K100">
        <f t="shared" si="32"/>
        <v>12.571720674954493</v>
      </c>
      <c r="L100">
        <f t="shared" si="33"/>
        <v>663.97199999999998</v>
      </c>
      <c r="M100">
        <f t="shared" si="34"/>
        <v>255.77644387758824</v>
      </c>
      <c r="N100">
        <f t="shared" si="35"/>
        <v>25.368430766606927</v>
      </c>
      <c r="O100">
        <f t="shared" si="36"/>
        <v>65.854100782739991</v>
      </c>
      <c r="P100">
        <f t="shared" si="37"/>
        <v>5.1260911530890234E-2</v>
      </c>
      <c r="Q100">
        <f t="shared" si="38"/>
        <v>2.1957844027637163</v>
      </c>
      <c r="R100">
        <f t="shared" si="39"/>
        <v>5.0605259261855308E-2</v>
      </c>
      <c r="S100">
        <f t="shared" si="40"/>
        <v>3.1686496053859065E-2</v>
      </c>
      <c r="T100">
        <f t="shared" si="41"/>
        <v>276.11370923842662</v>
      </c>
      <c r="U100">
        <f t="shared" si="42"/>
        <v>27.966978170846232</v>
      </c>
      <c r="V100">
        <f t="shared" si="43"/>
        <v>27.966978170846232</v>
      </c>
      <c r="W100">
        <f t="shared" si="44"/>
        <v>3.7875405201471479</v>
      </c>
      <c r="X100">
        <f t="shared" si="45"/>
        <v>67.420309037894839</v>
      </c>
      <c r="Y100">
        <f t="shared" si="46"/>
        <v>2.2896770180519996</v>
      </c>
      <c r="Z100">
        <f t="shared" si="47"/>
        <v>3.396123587575139</v>
      </c>
      <c r="AA100">
        <f t="shared" si="48"/>
        <v>1.4978635020951483</v>
      </c>
      <c r="AB100">
        <f t="shared" si="49"/>
        <v>-34.768571065044576</v>
      </c>
      <c r="AC100">
        <f t="shared" si="50"/>
        <v>-219.92216122315145</v>
      </c>
      <c r="AD100">
        <f t="shared" si="51"/>
        <v>-21.623393006099011</v>
      </c>
      <c r="AE100">
        <f t="shared" si="52"/>
        <v>-0.20041605586840205</v>
      </c>
      <c r="AF100">
        <v>0</v>
      </c>
      <c r="AG100">
        <v>0</v>
      </c>
      <c r="AH100">
        <f t="shared" si="53"/>
        <v>1</v>
      </c>
      <c r="AI100">
        <f t="shared" si="54"/>
        <v>0</v>
      </c>
      <c r="AJ100">
        <f t="shared" si="55"/>
        <v>52610.779412964599</v>
      </c>
      <c r="AK100">
        <f t="shared" si="56"/>
        <v>1799.99</v>
      </c>
      <c r="AL100">
        <f t="shared" si="57"/>
        <v>1499.1025538062102</v>
      </c>
      <c r="AM100">
        <f t="shared" si="58"/>
        <v>0.83283937900000005</v>
      </c>
      <c r="AN100">
        <f t="shared" si="59"/>
        <v>0.15339735734000001</v>
      </c>
      <c r="AO100">
        <v>31.2</v>
      </c>
      <c r="AP100">
        <v>0.5</v>
      </c>
      <c r="AQ100" t="s">
        <v>331</v>
      </c>
      <c r="AR100">
        <v>2</v>
      </c>
      <c r="AS100">
        <v>1690221885</v>
      </c>
      <c r="AT100">
        <v>663.97199999999998</v>
      </c>
      <c r="AU100">
        <v>800.09400000000005</v>
      </c>
      <c r="AV100">
        <v>23.085599999999999</v>
      </c>
      <c r="AW100">
        <v>15.079499999999999</v>
      </c>
      <c r="AX100">
        <v>664.37</v>
      </c>
      <c r="AY100">
        <v>22.922799999999999</v>
      </c>
      <c r="AZ100">
        <v>300.14999999999998</v>
      </c>
      <c r="BA100">
        <v>99.081999999999994</v>
      </c>
      <c r="BB100">
        <v>0.100045</v>
      </c>
      <c r="BC100">
        <v>26.109200000000001</v>
      </c>
      <c r="BD100">
        <v>26.9724</v>
      </c>
      <c r="BE100">
        <v>27.696899999999999</v>
      </c>
      <c r="BF100">
        <v>0</v>
      </c>
      <c r="BG100">
        <v>0</v>
      </c>
      <c r="BH100">
        <v>10012.5</v>
      </c>
      <c r="BI100">
        <v>1069.32</v>
      </c>
      <c r="BJ100">
        <v>1.5137799999999999</v>
      </c>
      <c r="BK100">
        <v>-136.12200000000001</v>
      </c>
      <c r="BL100">
        <v>679.66200000000003</v>
      </c>
      <c r="BM100">
        <v>812.34400000000005</v>
      </c>
      <c r="BN100">
        <v>8.0061199999999992</v>
      </c>
      <c r="BO100">
        <v>800.09400000000005</v>
      </c>
      <c r="BP100">
        <v>15.079499999999999</v>
      </c>
      <c r="BQ100">
        <v>2.2873700000000001</v>
      </c>
      <c r="BR100">
        <v>1.4941</v>
      </c>
      <c r="BS100">
        <v>19.587700000000002</v>
      </c>
      <c r="BT100">
        <v>12.907999999999999</v>
      </c>
      <c r="BU100">
        <v>1799.99</v>
      </c>
      <c r="BV100">
        <v>0.90999799999999997</v>
      </c>
      <c r="BW100">
        <v>3.4003600000000002E-2</v>
      </c>
      <c r="BX100">
        <v>2.1999700000000001E-2</v>
      </c>
      <c r="BY100">
        <v>3.3998399999999998E-2</v>
      </c>
      <c r="BZ100">
        <v>26</v>
      </c>
      <c r="CA100">
        <v>33528.1</v>
      </c>
      <c r="CB100">
        <v>1690220522.5999999</v>
      </c>
      <c r="CC100" t="s">
        <v>332</v>
      </c>
      <c r="CD100">
        <v>1690220522.5999999</v>
      </c>
      <c r="CE100">
        <v>1690220510.5999999</v>
      </c>
      <c r="CF100">
        <v>10</v>
      </c>
      <c r="CG100">
        <v>-0.22</v>
      </c>
      <c r="CH100">
        <v>-2.7E-2</v>
      </c>
      <c r="CI100">
        <v>-0.49299999999999999</v>
      </c>
      <c r="CJ100">
        <v>0.152</v>
      </c>
      <c r="CK100">
        <v>800</v>
      </c>
      <c r="CL100">
        <v>19</v>
      </c>
      <c r="CM100">
        <v>0.1</v>
      </c>
      <c r="CN100">
        <v>0.03</v>
      </c>
      <c r="CO100">
        <v>-132.99754999999999</v>
      </c>
      <c r="CP100">
        <v>-17.171212007504401</v>
      </c>
      <c r="CQ100">
        <v>1.6528416583266541</v>
      </c>
      <c r="CR100">
        <v>-1</v>
      </c>
      <c r="CS100">
        <v>7.8451829999999996</v>
      </c>
      <c r="CT100">
        <v>1.0157651031894821</v>
      </c>
      <c r="CU100">
        <v>9.8533288770851518E-2</v>
      </c>
      <c r="CV100">
        <v>-1</v>
      </c>
      <c r="CW100">
        <v>0</v>
      </c>
      <c r="CX100">
        <v>0</v>
      </c>
      <c r="CY100" t="s">
        <v>333</v>
      </c>
      <c r="CZ100">
        <v>2.3643000000000001</v>
      </c>
      <c r="DA100">
        <v>2.7138499999999999</v>
      </c>
      <c r="DB100">
        <v>0.12931799999999999</v>
      </c>
      <c r="DC100">
        <v>0.14624899999999999</v>
      </c>
      <c r="DD100">
        <v>0.110874</v>
      </c>
      <c r="DE100">
        <v>8.0495200000000003E-2</v>
      </c>
      <c r="DF100">
        <v>31788.3</v>
      </c>
      <c r="DG100">
        <v>27511</v>
      </c>
      <c r="DH100">
        <v>31168.5</v>
      </c>
      <c r="DI100">
        <v>28078.400000000001</v>
      </c>
      <c r="DJ100">
        <v>37624.1</v>
      </c>
      <c r="DK100">
        <v>36712.1</v>
      </c>
      <c r="DL100">
        <v>44356</v>
      </c>
      <c r="DM100">
        <v>42557.1</v>
      </c>
      <c r="DN100">
        <v>1.4760200000000001</v>
      </c>
      <c r="DO100">
        <v>2.0486200000000001</v>
      </c>
      <c r="DP100">
        <v>0.11369600000000001</v>
      </c>
      <c r="DQ100">
        <v>0.168908</v>
      </c>
      <c r="DR100">
        <v>25.110099999999999</v>
      </c>
      <c r="DS100">
        <v>24.9314</v>
      </c>
      <c r="DT100">
        <v>57.4</v>
      </c>
      <c r="DU100">
        <v>29.6</v>
      </c>
      <c r="DV100">
        <v>24.119599999999998</v>
      </c>
      <c r="DW100">
        <v>61.434199999999997</v>
      </c>
      <c r="DX100">
        <v>36.234000000000002</v>
      </c>
      <c r="DY100">
        <v>1</v>
      </c>
      <c r="DZ100">
        <v>-8.4242899999999996E-2</v>
      </c>
      <c r="EA100">
        <v>0.32305600000000001</v>
      </c>
      <c r="EB100">
        <v>20.189599999999999</v>
      </c>
      <c r="EC100">
        <v>5.2406499999999996</v>
      </c>
      <c r="ED100">
        <v>12.039899999999999</v>
      </c>
      <c r="EE100">
        <v>5.0170500000000002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</v>
      </c>
      <c r="EL100">
        <v>1.8646400000000001</v>
      </c>
      <c r="EM100">
        <v>1.8691800000000001</v>
      </c>
      <c r="EN100">
        <v>1.8672299999999999</v>
      </c>
      <c r="EO100">
        <v>1.8633999999999999</v>
      </c>
      <c r="EP100">
        <v>1.86456</v>
      </c>
      <c r="EQ100">
        <v>1.8701399999999999</v>
      </c>
      <c r="ER100">
        <v>1.8694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-0.39800000000000002</v>
      </c>
      <c r="FG100">
        <v>0.1628</v>
      </c>
      <c r="FH100">
        <v>5.8509882529719233E-2</v>
      </c>
      <c r="FI100">
        <v>-6.1462078757559423E-4</v>
      </c>
      <c r="FJ100">
        <v>-1.8861989874597051E-7</v>
      </c>
      <c r="FK100">
        <v>1.1980462299894961E-10</v>
      </c>
      <c r="FL100">
        <v>0.16277811159127681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22.7</v>
      </c>
      <c r="FU100">
        <v>22.9</v>
      </c>
      <c r="FV100">
        <v>1.78467</v>
      </c>
      <c r="FW100">
        <v>2.5842299999999998</v>
      </c>
      <c r="FX100">
        <v>1.5490699999999999</v>
      </c>
      <c r="FY100">
        <v>2.3290999999999999</v>
      </c>
      <c r="FZ100">
        <v>1.50146</v>
      </c>
      <c r="GA100">
        <v>2.2827099999999998</v>
      </c>
      <c r="GB100">
        <v>33.941299999999998</v>
      </c>
      <c r="GC100">
        <v>23.973700000000001</v>
      </c>
      <c r="GD100">
        <v>19</v>
      </c>
      <c r="GE100">
        <v>283.31099999999998</v>
      </c>
      <c r="GF100">
        <v>594.673</v>
      </c>
      <c r="GG100">
        <v>23.866499999999998</v>
      </c>
      <c r="GH100">
        <v>26.315300000000001</v>
      </c>
      <c r="GI100">
        <v>29.9999</v>
      </c>
      <c r="GJ100">
        <v>26.465800000000002</v>
      </c>
      <c r="GK100">
        <v>26.453800000000001</v>
      </c>
      <c r="GL100">
        <v>35.691400000000002</v>
      </c>
      <c r="GM100">
        <v>48.403799999999997</v>
      </c>
      <c r="GN100">
        <v>92.452299999999994</v>
      </c>
      <c r="GO100">
        <v>23.8843</v>
      </c>
      <c r="GP100">
        <v>800</v>
      </c>
      <c r="GQ100">
        <v>14.940899999999999</v>
      </c>
      <c r="GR100">
        <v>99.726299999999995</v>
      </c>
      <c r="GS100">
        <v>99.555899999999994</v>
      </c>
    </row>
    <row r="101" spans="1:201" x14ac:dyDescent="0.25">
      <c r="A101">
        <v>85</v>
      </c>
      <c r="B101">
        <v>1690221895</v>
      </c>
      <c r="C101">
        <v>1012.5</v>
      </c>
      <c r="D101" t="s">
        <v>501</v>
      </c>
      <c r="E101" t="s">
        <v>502</v>
      </c>
      <c r="F101" t="s">
        <v>330</v>
      </c>
      <c r="H101">
        <v>1690221895</v>
      </c>
      <c r="I101">
        <f t="shared" si="30"/>
        <v>8.0468140630563694E-4</v>
      </c>
      <c r="J101">
        <f t="shared" si="31"/>
        <v>0.80468140630563689</v>
      </c>
      <c r="K101">
        <f t="shared" si="32"/>
        <v>12.845993213092436</v>
      </c>
      <c r="L101">
        <f t="shared" si="33"/>
        <v>661.05</v>
      </c>
      <c r="M101">
        <f t="shared" si="34"/>
        <v>252.78093867712894</v>
      </c>
      <c r="N101">
        <f t="shared" si="35"/>
        <v>25.070903159396597</v>
      </c>
      <c r="O101">
        <f t="shared" si="36"/>
        <v>65.56317347443499</v>
      </c>
      <c r="P101">
        <f t="shared" si="37"/>
        <v>5.2372143581027937E-2</v>
      </c>
      <c r="Q101">
        <f t="shared" si="38"/>
        <v>2.1920769738182888</v>
      </c>
      <c r="R101">
        <f t="shared" si="39"/>
        <v>5.1686820570956027E-2</v>
      </c>
      <c r="S101">
        <f t="shared" si="40"/>
        <v>3.2365089220103421E-2</v>
      </c>
      <c r="T101">
        <f t="shared" si="41"/>
        <v>276.11540708399997</v>
      </c>
      <c r="U101">
        <f t="shared" si="42"/>
        <v>27.96372049515989</v>
      </c>
      <c r="V101">
        <f t="shared" si="43"/>
        <v>27.96372049515989</v>
      </c>
      <c r="W101">
        <f t="shared" si="44"/>
        <v>3.7868211063511241</v>
      </c>
      <c r="X101">
        <f t="shared" si="45"/>
        <v>67.433525833224607</v>
      </c>
      <c r="Y101">
        <f t="shared" si="46"/>
        <v>2.29004463591659</v>
      </c>
      <c r="Z101">
        <f t="shared" si="47"/>
        <v>3.3960031121319205</v>
      </c>
      <c r="AA101">
        <f t="shared" si="48"/>
        <v>1.4967764704345341</v>
      </c>
      <c r="AB101">
        <f t="shared" si="49"/>
        <v>-35.486450018078592</v>
      </c>
      <c r="AC101">
        <f t="shared" si="50"/>
        <v>-219.23675585025586</v>
      </c>
      <c r="AD101">
        <f t="shared" si="51"/>
        <v>-21.592042281957884</v>
      </c>
      <c r="AE101">
        <f t="shared" si="52"/>
        <v>-0.19984106629235043</v>
      </c>
      <c r="AF101">
        <v>0</v>
      </c>
      <c r="AG101">
        <v>0</v>
      </c>
      <c r="AH101">
        <f t="shared" si="53"/>
        <v>1</v>
      </c>
      <c r="AI101">
        <f t="shared" si="54"/>
        <v>0</v>
      </c>
      <c r="AJ101">
        <f t="shared" si="55"/>
        <v>52458.826411763992</v>
      </c>
      <c r="AK101">
        <f t="shared" si="56"/>
        <v>1800</v>
      </c>
      <c r="AL101">
        <f t="shared" si="57"/>
        <v>1499.1122664</v>
      </c>
      <c r="AM101">
        <f t="shared" si="58"/>
        <v>0.83284014799999995</v>
      </c>
      <c r="AN101">
        <f t="shared" si="59"/>
        <v>0.15339744838</v>
      </c>
      <c r="AO101">
        <v>31.2</v>
      </c>
      <c r="AP101">
        <v>0.5</v>
      </c>
      <c r="AQ101" t="s">
        <v>331</v>
      </c>
      <c r="AR101">
        <v>2</v>
      </c>
      <c r="AS101">
        <v>1690221895</v>
      </c>
      <c r="AT101">
        <v>661.05</v>
      </c>
      <c r="AU101">
        <v>800.09100000000001</v>
      </c>
      <c r="AV101">
        <v>23.089700000000001</v>
      </c>
      <c r="AW101">
        <v>14.919499999999999</v>
      </c>
      <c r="AX101">
        <v>661.44600000000003</v>
      </c>
      <c r="AY101">
        <v>22.9269</v>
      </c>
      <c r="AZ101">
        <v>300.19299999999998</v>
      </c>
      <c r="BA101">
        <v>99.080399999999997</v>
      </c>
      <c r="BB101">
        <v>9.9954699999999994E-2</v>
      </c>
      <c r="BC101">
        <v>26.108599999999999</v>
      </c>
      <c r="BD101">
        <v>26.947600000000001</v>
      </c>
      <c r="BE101">
        <v>27.720500000000001</v>
      </c>
      <c r="BF101">
        <v>0</v>
      </c>
      <c r="BG101">
        <v>0</v>
      </c>
      <c r="BH101">
        <v>9982.5</v>
      </c>
      <c r="BI101">
        <v>1069.42</v>
      </c>
      <c r="BJ101">
        <v>1.5137799999999999</v>
      </c>
      <c r="BK101">
        <v>-139.041</v>
      </c>
      <c r="BL101">
        <v>676.67399999999998</v>
      </c>
      <c r="BM101">
        <v>812.20899999999995</v>
      </c>
      <c r="BN101">
        <v>8.1702600000000007</v>
      </c>
      <c r="BO101">
        <v>800.09100000000001</v>
      </c>
      <c r="BP101">
        <v>14.919499999999999</v>
      </c>
      <c r="BQ101">
        <v>2.2877399999999999</v>
      </c>
      <c r="BR101">
        <v>1.4782299999999999</v>
      </c>
      <c r="BS101">
        <v>19.590299999999999</v>
      </c>
      <c r="BT101">
        <v>12.7448</v>
      </c>
      <c r="BU101">
        <v>1800</v>
      </c>
      <c r="BV101">
        <v>0.91</v>
      </c>
      <c r="BW101">
        <v>3.4003100000000001E-2</v>
      </c>
      <c r="BX101">
        <v>2.1999399999999999E-2</v>
      </c>
      <c r="BY101">
        <v>3.3998E-2</v>
      </c>
      <c r="BZ101">
        <v>26</v>
      </c>
      <c r="CA101">
        <v>33528.300000000003</v>
      </c>
      <c r="CB101">
        <v>1690220522.5999999</v>
      </c>
      <c r="CC101" t="s">
        <v>332</v>
      </c>
      <c r="CD101">
        <v>1690220522.5999999</v>
      </c>
      <c r="CE101">
        <v>1690220510.5999999</v>
      </c>
      <c r="CF101">
        <v>10</v>
      </c>
      <c r="CG101">
        <v>-0.22</v>
      </c>
      <c r="CH101">
        <v>-2.7E-2</v>
      </c>
      <c r="CI101">
        <v>-0.49299999999999999</v>
      </c>
      <c r="CJ101">
        <v>0.152</v>
      </c>
      <c r="CK101">
        <v>800</v>
      </c>
      <c r="CL101">
        <v>19</v>
      </c>
      <c r="CM101">
        <v>0.1</v>
      </c>
      <c r="CN101">
        <v>0.03</v>
      </c>
      <c r="CO101">
        <v>-135.67770731707321</v>
      </c>
      <c r="CP101">
        <v>-17.506202090592421</v>
      </c>
      <c r="CQ101">
        <v>1.7266171528122489</v>
      </c>
      <c r="CR101">
        <v>-1</v>
      </c>
      <c r="CS101">
        <v>8.0044053658536587</v>
      </c>
      <c r="CT101">
        <v>0.96394432055750523</v>
      </c>
      <c r="CU101">
        <v>9.6181224705457743E-2</v>
      </c>
      <c r="CV101">
        <v>-1</v>
      </c>
      <c r="CW101">
        <v>0</v>
      </c>
      <c r="CX101">
        <v>0</v>
      </c>
      <c r="CY101" t="s">
        <v>333</v>
      </c>
      <c r="CZ101">
        <v>2.3644599999999998</v>
      </c>
      <c r="DA101">
        <v>2.71373</v>
      </c>
      <c r="DB101">
        <v>0.12892300000000001</v>
      </c>
      <c r="DC101">
        <v>0.14624400000000001</v>
      </c>
      <c r="DD101">
        <v>0.110887</v>
      </c>
      <c r="DE101">
        <v>7.9867199999999999E-2</v>
      </c>
      <c r="DF101">
        <v>31802.799999999999</v>
      </c>
      <c r="DG101">
        <v>27511.3</v>
      </c>
      <c r="DH101">
        <v>31168.5</v>
      </c>
      <c r="DI101">
        <v>28078.5</v>
      </c>
      <c r="DJ101">
        <v>37623.800000000003</v>
      </c>
      <c r="DK101">
        <v>36737.4</v>
      </c>
      <c r="DL101">
        <v>44356.4</v>
      </c>
      <c r="DM101">
        <v>42557.4</v>
      </c>
      <c r="DN101">
        <v>1.4762999999999999</v>
      </c>
      <c r="DO101">
        <v>2.0485000000000002</v>
      </c>
      <c r="DP101">
        <v>0.112183</v>
      </c>
      <c r="DQ101">
        <v>0.17025299999999999</v>
      </c>
      <c r="DR101">
        <v>25.110099999999999</v>
      </c>
      <c r="DS101">
        <v>24.9331</v>
      </c>
      <c r="DT101">
        <v>57.5</v>
      </c>
      <c r="DU101">
        <v>29.6</v>
      </c>
      <c r="DV101">
        <v>24.163</v>
      </c>
      <c r="DW101">
        <v>61.6342</v>
      </c>
      <c r="DX101">
        <v>36.265999999999998</v>
      </c>
      <c r="DY101">
        <v>1</v>
      </c>
      <c r="DZ101">
        <v>-8.4700200000000003E-2</v>
      </c>
      <c r="EA101">
        <v>0.20683599999999999</v>
      </c>
      <c r="EB101">
        <v>20.189599999999999</v>
      </c>
      <c r="EC101">
        <v>5.2409499999999998</v>
      </c>
      <c r="ED101">
        <v>12.039899999999999</v>
      </c>
      <c r="EE101">
        <v>5.01675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1.8689100000000001</v>
      </c>
      <c r="EL101">
        <v>1.8646199999999999</v>
      </c>
      <c r="EM101">
        <v>1.8691899999999999</v>
      </c>
      <c r="EN101">
        <v>1.8672200000000001</v>
      </c>
      <c r="EO101">
        <v>1.8633999999999999</v>
      </c>
      <c r="EP101">
        <v>1.8645499999999999</v>
      </c>
      <c r="EQ101">
        <v>1.8701700000000001</v>
      </c>
      <c r="ER101">
        <v>1.8694200000000001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-0.39600000000000002</v>
      </c>
      <c r="FG101">
        <v>0.1628</v>
      </c>
      <c r="FH101">
        <v>5.8509882529719233E-2</v>
      </c>
      <c r="FI101">
        <v>-6.1462078757559423E-4</v>
      </c>
      <c r="FJ101">
        <v>-1.8861989874597051E-7</v>
      </c>
      <c r="FK101">
        <v>1.1980462299894961E-10</v>
      </c>
      <c r="FL101">
        <v>0.16277811159127681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22.9</v>
      </c>
      <c r="FU101">
        <v>23.1</v>
      </c>
      <c r="FV101">
        <v>1.78467</v>
      </c>
      <c r="FW101">
        <v>2.5769000000000002</v>
      </c>
      <c r="FX101">
        <v>1.5490699999999999</v>
      </c>
      <c r="FY101">
        <v>2.3290999999999999</v>
      </c>
      <c r="FZ101">
        <v>1.50146</v>
      </c>
      <c r="GA101">
        <v>2.4145500000000002</v>
      </c>
      <c r="GB101">
        <v>33.918700000000001</v>
      </c>
      <c r="GC101">
        <v>23.982399999999998</v>
      </c>
      <c r="GD101">
        <v>19</v>
      </c>
      <c r="GE101">
        <v>283.416</v>
      </c>
      <c r="GF101">
        <v>594.54300000000001</v>
      </c>
      <c r="GG101">
        <v>23.910699999999999</v>
      </c>
      <c r="GH101">
        <v>26.311900000000001</v>
      </c>
      <c r="GI101">
        <v>29.9999</v>
      </c>
      <c r="GJ101">
        <v>26.462900000000001</v>
      </c>
      <c r="GK101">
        <v>26.451599999999999</v>
      </c>
      <c r="GL101">
        <v>35.686999999999998</v>
      </c>
      <c r="GM101">
        <v>48.7057</v>
      </c>
      <c r="GN101">
        <v>92.058199999999999</v>
      </c>
      <c r="GO101">
        <v>23.954699999999999</v>
      </c>
      <c r="GP101">
        <v>800</v>
      </c>
      <c r="GQ101">
        <v>14.7852</v>
      </c>
      <c r="GR101">
        <v>99.726799999999997</v>
      </c>
      <c r="GS101">
        <v>99.5565</v>
      </c>
    </row>
    <row r="102" spans="1:201" x14ac:dyDescent="0.25">
      <c r="A102">
        <v>86</v>
      </c>
      <c r="B102">
        <v>1690221905</v>
      </c>
      <c r="C102">
        <v>1022.5</v>
      </c>
      <c r="D102" t="s">
        <v>503</v>
      </c>
      <c r="E102" t="s">
        <v>504</v>
      </c>
      <c r="F102" t="s">
        <v>330</v>
      </c>
      <c r="H102">
        <v>1690221905</v>
      </c>
      <c r="I102">
        <f t="shared" si="30"/>
        <v>8.2639484406448686E-4</v>
      </c>
      <c r="J102">
        <f t="shared" si="31"/>
        <v>0.82639484406448682</v>
      </c>
      <c r="K102">
        <f t="shared" si="32"/>
        <v>13.112525866266704</v>
      </c>
      <c r="L102">
        <f t="shared" si="33"/>
        <v>658.17100000000005</v>
      </c>
      <c r="M102">
        <f t="shared" si="34"/>
        <v>252.90859778882958</v>
      </c>
      <c r="N102">
        <f t="shared" si="35"/>
        <v>25.083845239791881</v>
      </c>
      <c r="O102">
        <f t="shared" si="36"/>
        <v>65.278364000515012</v>
      </c>
      <c r="P102">
        <f t="shared" si="37"/>
        <v>5.3876463850933899E-2</v>
      </c>
      <c r="Q102">
        <f t="shared" si="38"/>
        <v>2.195236716785919</v>
      </c>
      <c r="R102">
        <f t="shared" si="39"/>
        <v>5.315252766837425E-2</v>
      </c>
      <c r="S102">
        <f t="shared" si="40"/>
        <v>3.3284562134906631E-2</v>
      </c>
      <c r="T102">
        <f t="shared" si="41"/>
        <v>276.11345146185869</v>
      </c>
      <c r="U102">
        <f t="shared" si="42"/>
        <v>27.960588695199046</v>
      </c>
      <c r="V102">
        <f t="shared" si="43"/>
        <v>27.960588695199046</v>
      </c>
      <c r="W102">
        <f t="shared" si="44"/>
        <v>3.7861296029155285</v>
      </c>
      <c r="X102">
        <f t="shared" si="45"/>
        <v>67.444941411355359</v>
      </c>
      <c r="Y102">
        <f t="shared" si="46"/>
        <v>2.2913397951625001</v>
      </c>
      <c r="Z102">
        <f t="shared" si="47"/>
        <v>3.3973486331425877</v>
      </c>
      <c r="AA102">
        <f t="shared" si="48"/>
        <v>1.4947898077530284</v>
      </c>
      <c r="AB102">
        <f t="shared" si="49"/>
        <v>-36.444012623243871</v>
      </c>
      <c r="AC102">
        <f t="shared" si="50"/>
        <v>-218.38918242191409</v>
      </c>
      <c r="AD102">
        <f t="shared" si="51"/>
        <v>-21.477989365292714</v>
      </c>
      <c r="AE102">
        <f t="shared" si="52"/>
        <v>-0.19773294859200519</v>
      </c>
      <c r="AF102">
        <v>0</v>
      </c>
      <c r="AG102">
        <v>0</v>
      </c>
      <c r="AH102">
        <f t="shared" si="53"/>
        <v>1</v>
      </c>
      <c r="AI102">
        <f t="shared" si="54"/>
        <v>0</v>
      </c>
      <c r="AJ102">
        <f t="shared" si="55"/>
        <v>52587.219157353044</v>
      </c>
      <c r="AK102">
        <f t="shared" si="56"/>
        <v>1799.99</v>
      </c>
      <c r="AL102">
        <f t="shared" si="57"/>
        <v>1499.1031190030701</v>
      </c>
      <c r="AM102">
        <f t="shared" si="58"/>
        <v>0.83283969300000005</v>
      </c>
      <c r="AN102">
        <f t="shared" si="59"/>
        <v>0.15339721412999999</v>
      </c>
      <c r="AO102">
        <v>31.2</v>
      </c>
      <c r="AP102">
        <v>0.5</v>
      </c>
      <c r="AQ102" t="s">
        <v>331</v>
      </c>
      <c r="AR102">
        <v>2</v>
      </c>
      <c r="AS102">
        <v>1690221905</v>
      </c>
      <c r="AT102">
        <v>658.17100000000005</v>
      </c>
      <c r="AU102">
        <v>800.12599999999998</v>
      </c>
      <c r="AV102">
        <v>23.102499999999999</v>
      </c>
      <c r="AW102">
        <v>14.710800000000001</v>
      </c>
      <c r="AX102">
        <v>658.56500000000005</v>
      </c>
      <c r="AY102">
        <v>22.939699999999998</v>
      </c>
      <c r="AZ102">
        <v>300.15199999999999</v>
      </c>
      <c r="BA102">
        <v>99.081400000000002</v>
      </c>
      <c r="BB102">
        <v>0.100065</v>
      </c>
      <c r="BC102">
        <v>26.115300000000001</v>
      </c>
      <c r="BD102">
        <v>26.964400000000001</v>
      </c>
      <c r="BE102">
        <v>27.693200000000001</v>
      </c>
      <c r="BF102">
        <v>0</v>
      </c>
      <c r="BG102">
        <v>0</v>
      </c>
      <c r="BH102">
        <v>10008.1</v>
      </c>
      <c r="BI102">
        <v>1069.4100000000001</v>
      </c>
      <c r="BJ102">
        <v>1.5137799999999999</v>
      </c>
      <c r="BK102">
        <v>-141.95500000000001</v>
      </c>
      <c r="BL102">
        <v>673.73599999999999</v>
      </c>
      <c r="BM102">
        <v>812.07299999999998</v>
      </c>
      <c r="BN102">
        <v>8.3917000000000002</v>
      </c>
      <c r="BO102">
        <v>800.12599999999998</v>
      </c>
      <c r="BP102">
        <v>14.710800000000001</v>
      </c>
      <c r="BQ102">
        <v>2.2890199999999998</v>
      </c>
      <c r="BR102">
        <v>1.45756</v>
      </c>
      <c r="BS102">
        <v>19.599399999999999</v>
      </c>
      <c r="BT102">
        <v>12.530099999999999</v>
      </c>
      <c r="BU102">
        <v>1799.99</v>
      </c>
      <c r="BV102">
        <v>0.91000300000000001</v>
      </c>
      <c r="BW102">
        <v>3.4001700000000003E-2</v>
      </c>
      <c r="BX102">
        <v>2.1998400000000001E-2</v>
      </c>
      <c r="BY102">
        <v>3.3996499999999999E-2</v>
      </c>
      <c r="BZ102">
        <v>26</v>
      </c>
      <c r="CA102">
        <v>33528.300000000003</v>
      </c>
      <c r="CB102">
        <v>1690220522.5999999</v>
      </c>
      <c r="CC102" t="s">
        <v>332</v>
      </c>
      <c r="CD102">
        <v>1690220522.5999999</v>
      </c>
      <c r="CE102">
        <v>1690220510.5999999</v>
      </c>
      <c r="CF102">
        <v>10</v>
      </c>
      <c r="CG102">
        <v>-0.22</v>
      </c>
      <c r="CH102">
        <v>-2.7E-2</v>
      </c>
      <c r="CI102">
        <v>-0.49299999999999999</v>
      </c>
      <c r="CJ102">
        <v>0.152</v>
      </c>
      <c r="CK102">
        <v>800</v>
      </c>
      <c r="CL102">
        <v>19</v>
      </c>
      <c r="CM102">
        <v>0.1</v>
      </c>
      <c r="CN102">
        <v>0.03</v>
      </c>
      <c r="CO102">
        <v>-138.81462500000001</v>
      </c>
      <c r="CP102">
        <v>-17.318622889305701</v>
      </c>
      <c r="CQ102">
        <v>1.666290381168601</v>
      </c>
      <c r="CR102">
        <v>-1</v>
      </c>
      <c r="CS102">
        <v>8.1775907499999985</v>
      </c>
      <c r="CT102">
        <v>1.0017213883677261</v>
      </c>
      <c r="CU102">
        <v>9.7855826177788249E-2</v>
      </c>
      <c r="CV102">
        <v>-1</v>
      </c>
      <c r="CW102">
        <v>0</v>
      </c>
      <c r="CX102">
        <v>0</v>
      </c>
      <c r="CY102" t="s">
        <v>333</v>
      </c>
      <c r="CZ102">
        <v>2.3643399999999999</v>
      </c>
      <c r="DA102">
        <v>2.7138599999999999</v>
      </c>
      <c r="DB102">
        <v>0.12853700000000001</v>
      </c>
      <c r="DC102">
        <v>0.14624699999999999</v>
      </c>
      <c r="DD102">
        <v>0.110932</v>
      </c>
      <c r="DE102">
        <v>7.9046699999999998E-2</v>
      </c>
      <c r="DF102">
        <v>31817</v>
      </c>
      <c r="DG102">
        <v>27511.9</v>
      </c>
      <c r="DH102">
        <v>31168.6</v>
      </c>
      <c r="DI102">
        <v>28079.200000000001</v>
      </c>
      <c r="DJ102">
        <v>37621.800000000003</v>
      </c>
      <c r="DK102">
        <v>36771</v>
      </c>
      <c r="DL102">
        <v>44356.4</v>
      </c>
      <c r="DM102">
        <v>42558.3</v>
      </c>
      <c r="DN102">
        <v>1.4763999999999999</v>
      </c>
      <c r="DO102">
        <v>2.04833</v>
      </c>
      <c r="DP102">
        <v>0.113081</v>
      </c>
      <c r="DQ102">
        <v>0.168458</v>
      </c>
      <c r="DR102">
        <v>25.112200000000001</v>
      </c>
      <c r="DS102">
        <v>24.935199999999998</v>
      </c>
      <c r="DT102">
        <v>57.5</v>
      </c>
      <c r="DU102">
        <v>29.6</v>
      </c>
      <c r="DV102">
        <v>24.1648</v>
      </c>
      <c r="DW102">
        <v>61.534199999999998</v>
      </c>
      <c r="DX102">
        <v>35.865400000000001</v>
      </c>
      <c r="DY102">
        <v>1</v>
      </c>
      <c r="DZ102">
        <v>-8.5505600000000001E-2</v>
      </c>
      <c r="EA102">
        <v>0.12798200000000001</v>
      </c>
      <c r="EB102">
        <v>20.190000000000001</v>
      </c>
      <c r="EC102">
        <v>5.2408000000000001</v>
      </c>
      <c r="ED102">
        <v>12.039899999999999</v>
      </c>
      <c r="EE102">
        <v>5.01715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</v>
      </c>
      <c r="EL102">
        <v>1.8646199999999999</v>
      </c>
      <c r="EM102">
        <v>1.8691800000000001</v>
      </c>
      <c r="EN102">
        <v>1.8672200000000001</v>
      </c>
      <c r="EO102">
        <v>1.8633999999999999</v>
      </c>
      <c r="EP102">
        <v>1.86453</v>
      </c>
      <c r="EQ102">
        <v>1.87015</v>
      </c>
      <c r="ER102">
        <v>1.8694299999999999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-0.39400000000000002</v>
      </c>
      <c r="FG102">
        <v>0.1628</v>
      </c>
      <c r="FH102">
        <v>5.8509882529719233E-2</v>
      </c>
      <c r="FI102">
        <v>-6.1462078757559423E-4</v>
      </c>
      <c r="FJ102">
        <v>-1.8861989874597051E-7</v>
      </c>
      <c r="FK102">
        <v>1.1980462299894961E-10</v>
      </c>
      <c r="FL102">
        <v>0.16277811159127681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23</v>
      </c>
      <c r="FU102">
        <v>23.2</v>
      </c>
      <c r="FV102">
        <v>1.78467</v>
      </c>
      <c r="FW102">
        <v>2.5854499999999998</v>
      </c>
      <c r="FX102">
        <v>1.5490699999999999</v>
      </c>
      <c r="FY102">
        <v>2.3290999999999999</v>
      </c>
      <c r="FZ102">
        <v>1.50146</v>
      </c>
      <c r="GA102">
        <v>2.3168899999999999</v>
      </c>
      <c r="GB102">
        <v>33.941299999999998</v>
      </c>
      <c r="GC102">
        <v>23.973700000000001</v>
      </c>
      <c r="GD102">
        <v>19</v>
      </c>
      <c r="GE102">
        <v>283.447</v>
      </c>
      <c r="GF102">
        <v>594.37099999999998</v>
      </c>
      <c r="GG102">
        <v>23.986799999999999</v>
      </c>
      <c r="GH102">
        <v>26.308599999999998</v>
      </c>
      <c r="GI102">
        <v>29.999700000000001</v>
      </c>
      <c r="GJ102">
        <v>26.4602</v>
      </c>
      <c r="GK102">
        <v>26.449300000000001</v>
      </c>
      <c r="GL102">
        <v>35.682299999999998</v>
      </c>
      <c r="GM102">
        <v>48.9846</v>
      </c>
      <c r="GN102">
        <v>91.662999999999997</v>
      </c>
      <c r="GO102">
        <v>24.006799999999998</v>
      </c>
      <c r="GP102">
        <v>800</v>
      </c>
      <c r="GQ102">
        <v>14.623699999999999</v>
      </c>
      <c r="GR102">
        <v>99.727000000000004</v>
      </c>
      <c r="GS102">
        <v>99.558700000000002</v>
      </c>
    </row>
    <row r="103" spans="1:201" x14ac:dyDescent="0.25">
      <c r="A103">
        <v>87</v>
      </c>
      <c r="B103">
        <v>1690221915</v>
      </c>
      <c r="C103">
        <v>1032.5</v>
      </c>
      <c r="D103" t="s">
        <v>505</v>
      </c>
      <c r="E103" t="s">
        <v>506</v>
      </c>
      <c r="F103" t="s">
        <v>330</v>
      </c>
      <c r="H103">
        <v>1690221915</v>
      </c>
      <c r="I103">
        <f t="shared" si="30"/>
        <v>8.3882502329742429E-4</v>
      </c>
      <c r="J103">
        <f t="shared" si="31"/>
        <v>0.83882502329742425</v>
      </c>
      <c r="K103">
        <f t="shared" si="32"/>
        <v>13.382481977691171</v>
      </c>
      <c r="L103">
        <f t="shared" si="33"/>
        <v>655.26099999999997</v>
      </c>
      <c r="M103">
        <f t="shared" si="34"/>
        <v>247.54919672428292</v>
      </c>
      <c r="N103">
        <f t="shared" si="35"/>
        <v>24.552172424425564</v>
      </c>
      <c r="O103">
        <f t="shared" si="36"/>
        <v>64.989429446301997</v>
      </c>
      <c r="P103">
        <f t="shared" si="37"/>
        <v>5.4640855289798736E-2</v>
      </c>
      <c r="Q103">
        <f t="shared" si="38"/>
        <v>2.1998282098017841</v>
      </c>
      <c r="R103">
        <f t="shared" si="39"/>
        <v>5.3897915319112998E-2</v>
      </c>
      <c r="S103">
        <f t="shared" si="40"/>
        <v>3.3752105676801654E-2</v>
      </c>
      <c r="T103">
        <f t="shared" si="41"/>
        <v>276.11501266800002</v>
      </c>
      <c r="U103">
        <f t="shared" si="42"/>
        <v>27.971447631593101</v>
      </c>
      <c r="V103">
        <f t="shared" si="43"/>
        <v>27.971447631593101</v>
      </c>
      <c r="W103">
        <f t="shared" si="44"/>
        <v>3.7885277343757462</v>
      </c>
      <c r="X103">
        <f t="shared" si="45"/>
        <v>67.398195337298645</v>
      </c>
      <c r="Y103">
        <f t="shared" si="46"/>
        <v>2.2922708559839999</v>
      </c>
      <c r="Z103">
        <f t="shared" si="47"/>
        <v>3.4010864007740582</v>
      </c>
      <c r="AA103">
        <f t="shared" si="48"/>
        <v>1.4962568783917463</v>
      </c>
      <c r="AB103">
        <f t="shared" si="49"/>
        <v>-36.992183527416408</v>
      </c>
      <c r="AC103">
        <f t="shared" si="50"/>
        <v>-217.92789086669845</v>
      </c>
      <c r="AD103">
        <f t="shared" si="51"/>
        <v>-21.391036662703279</v>
      </c>
      <c r="AE103">
        <f t="shared" si="52"/>
        <v>-0.1960983888181147</v>
      </c>
      <c r="AF103">
        <v>0</v>
      </c>
      <c r="AG103">
        <v>0</v>
      </c>
      <c r="AH103">
        <f t="shared" si="53"/>
        <v>1</v>
      </c>
      <c r="AI103">
        <f t="shared" si="54"/>
        <v>0</v>
      </c>
      <c r="AJ103">
        <f t="shared" si="55"/>
        <v>52772.518302287848</v>
      </c>
      <c r="AK103">
        <f t="shared" si="56"/>
        <v>1800</v>
      </c>
      <c r="AL103">
        <f t="shared" si="57"/>
        <v>1499.1125688</v>
      </c>
      <c r="AM103">
        <f t="shared" si="58"/>
        <v>0.83284031599999997</v>
      </c>
      <c r="AN103">
        <f t="shared" si="59"/>
        <v>0.15339722926000002</v>
      </c>
      <c r="AO103">
        <v>31.2</v>
      </c>
      <c r="AP103">
        <v>0.5</v>
      </c>
      <c r="AQ103" t="s">
        <v>331</v>
      </c>
      <c r="AR103">
        <v>2</v>
      </c>
      <c r="AS103">
        <v>1690221915</v>
      </c>
      <c r="AT103">
        <v>655.26099999999997</v>
      </c>
      <c r="AU103">
        <v>800.07600000000002</v>
      </c>
      <c r="AV103">
        <v>23.111999999999998</v>
      </c>
      <c r="AW103">
        <v>14.5945</v>
      </c>
      <c r="AX103">
        <v>655.65300000000002</v>
      </c>
      <c r="AY103">
        <v>22.949200000000001</v>
      </c>
      <c r="AZ103">
        <v>300.16399999999999</v>
      </c>
      <c r="BA103">
        <v>99.0809</v>
      </c>
      <c r="BB103">
        <v>0.100082</v>
      </c>
      <c r="BC103">
        <v>26.133900000000001</v>
      </c>
      <c r="BD103">
        <v>26.954899999999999</v>
      </c>
      <c r="BE103">
        <v>27.685199999999998</v>
      </c>
      <c r="BF103">
        <v>0</v>
      </c>
      <c r="BG103">
        <v>0</v>
      </c>
      <c r="BH103">
        <v>10045.6</v>
      </c>
      <c r="BI103">
        <v>1069.49</v>
      </c>
      <c r="BJ103">
        <v>1.68198</v>
      </c>
      <c r="BK103">
        <v>-144.81399999999999</v>
      </c>
      <c r="BL103">
        <v>670.76400000000001</v>
      </c>
      <c r="BM103">
        <v>811.92499999999995</v>
      </c>
      <c r="BN103">
        <v>8.5175199999999993</v>
      </c>
      <c r="BO103">
        <v>800.07600000000002</v>
      </c>
      <c r="BP103">
        <v>14.5945</v>
      </c>
      <c r="BQ103">
        <v>2.2899600000000002</v>
      </c>
      <c r="BR103">
        <v>1.44604</v>
      </c>
      <c r="BS103">
        <v>19.605899999999998</v>
      </c>
      <c r="BT103">
        <v>12.4092</v>
      </c>
      <c r="BU103">
        <v>1800</v>
      </c>
      <c r="BV103">
        <v>0.91000599999999998</v>
      </c>
      <c r="BW103">
        <v>3.4000700000000002E-2</v>
      </c>
      <c r="BX103">
        <v>2.1997800000000001E-2</v>
      </c>
      <c r="BY103">
        <v>3.3995600000000001E-2</v>
      </c>
      <c r="BZ103">
        <v>26</v>
      </c>
      <c r="CA103">
        <v>33528.400000000001</v>
      </c>
      <c r="CB103">
        <v>1690220522.5999999</v>
      </c>
      <c r="CC103" t="s">
        <v>332</v>
      </c>
      <c r="CD103">
        <v>1690220522.5999999</v>
      </c>
      <c r="CE103">
        <v>1690220510.5999999</v>
      </c>
      <c r="CF103">
        <v>10</v>
      </c>
      <c r="CG103">
        <v>-0.22</v>
      </c>
      <c r="CH103">
        <v>-2.7E-2</v>
      </c>
      <c r="CI103">
        <v>-0.49299999999999999</v>
      </c>
      <c r="CJ103">
        <v>0.152</v>
      </c>
      <c r="CK103">
        <v>800</v>
      </c>
      <c r="CL103">
        <v>19</v>
      </c>
      <c r="CM103">
        <v>0.1</v>
      </c>
      <c r="CN103">
        <v>0.03</v>
      </c>
      <c r="CO103">
        <v>-141.78770731707311</v>
      </c>
      <c r="CP103">
        <v>-17.475825783972301</v>
      </c>
      <c r="CQ103">
        <v>1.7237580363830789</v>
      </c>
      <c r="CR103">
        <v>-1</v>
      </c>
      <c r="CS103">
        <v>8.3515836585365832</v>
      </c>
      <c r="CT103">
        <v>1.067155818815327</v>
      </c>
      <c r="CU103">
        <v>0.10627047897346301</v>
      </c>
      <c r="CV103">
        <v>-1</v>
      </c>
      <c r="CW103">
        <v>0</v>
      </c>
      <c r="CX103">
        <v>0</v>
      </c>
      <c r="CY103" t="s">
        <v>333</v>
      </c>
      <c r="CZ103">
        <v>2.36436</v>
      </c>
      <c r="DA103">
        <v>2.7139099999999998</v>
      </c>
      <c r="DB103">
        <v>0.12814400000000001</v>
      </c>
      <c r="DC103">
        <v>0.14623800000000001</v>
      </c>
      <c r="DD103">
        <v>0.11096499999999999</v>
      </c>
      <c r="DE103">
        <v>7.8587099999999993E-2</v>
      </c>
      <c r="DF103">
        <v>31831.9</v>
      </c>
      <c r="DG103">
        <v>27512</v>
      </c>
      <c r="DH103">
        <v>31169.200000000001</v>
      </c>
      <c r="DI103">
        <v>28079.1</v>
      </c>
      <c r="DJ103">
        <v>37620.9</v>
      </c>
      <c r="DK103">
        <v>36789.4</v>
      </c>
      <c r="DL103">
        <v>44357.1</v>
      </c>
      <c r="DM103">
        <v>42558.3</v>
      </c>
      <c r="DN103">
        <v>1.4764200000000001</v>
      </c>
      <c r="DO103">
        <v>2.04813</v>
      </c>
      <c r="DP103">
        <v>0.11237</v>
      </c>
      <c r="DQ103">
        <v>0.16777600000000001</v>
      </c>
      <c r="DR103">
        <v>25.1143</v>
      </c>
      <c r="DS103">
        <v>24.938300000000002</v>
      </c>
      <c r="DT103">
        <v>57.5</v>
      </c>
      <c r="DU103">
        <v>29.6</v>
      </c>
      <c r="DV103">
        <v>24.1616</v>
      </c>
      <c r="DW103">
        <v>61.374200000000002</v>
      </c>
      <c r="DX103">
        <v>36.7027</v>
      </c>
      <c r="DY103">
        <v>1</v>
      </c>
      <c r="DZ103">
        <v>-8.5914599999999994E-2</v>
      </c>
      <c r="EA103">
        <v>0.20393800000000001</v>
      </c>
      <c r="EB103">
        <v>20.189900000000002</v>
      </c>
      <c r="EC103">
        <v>5.2413999999999996</v>
      </c>
      <c r="ED103">
        <v>12.039899999999999</v>
      </c>
      <c r="EE103">
        <v>5.0170000000000003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1.8689100000000001</v>
      </c>
      <c r="EL103">
        <v>1.8646400000000001</v>
      </c>
      <c r="EM103">
        <v>1.8691800000000001</v>
      </c>
      <c r="EN103">
        <v>1.8672299999999999</v>
      </c>
      <c r="EO103">
        <v>1.8633999999999999</v>
      </c>
      <c r="EP103">
        <v>1.8645700000000001</v>
      </c>
      <c r="EQ103">
        <v>1.87016</v>
      </c>
      <c r="ER103">
        <v>1.8694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-0.39200000000000002</v>
      </c>
      <c r="FG103">
        <v>0.1628</v>
      </c>
      <c r="FH103">
        <v>5.8509882529719233E-2</v>
      </c>
      <c r="FI103">
        <v>-6.1462078757559423E-4</v>
      </c>
      <c r="FJ103">
        <v>-1.8861989874597051E-7</v>
      </c>
      <c r="FK103">
        <v>1.1980462299894961E-10</v>
      </c>
      <c r="FL103">
        <v>0.16277811159127681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23.2</v>
      </c>
      <c r="FU103">
        <v>23.4</v>
      </c>
      <c r="FV103">
        <v>1.78467</v>
      </c>
      <c r="FW103">
        <v>2.5769000000000002</v>
      </c>
      <c r="FX103">
        <v>1.5490699999999999</v>
      </c>
      <c r="FY103">
        <v>2.3290999999999999</v>
      </c>
      <c r="FZ103">
        <v>1.50146</v>
      </c>
      <c r="GA103">
        <v>2.4023400000000001</v>
      </c>
      <c r="GB103">
        <v>33.941299999999998</v>
      </c>
      <c r="GC103">
        <v>23.982399999999998</v>
      </c>
      <c r="GD103">
        <v>19</v>
      </c>
      <c r="GE103">
        <v>283.44299999999998</v>
      </c>
      <c r="GF103">
        <v>594.173</v>
      </c>
      <c r="GG103">
        <v>24.026900000000001</v>
      </c>
      <c r="GH103">
        <v>26.3063</v>
      </c>
      <c r="GI103">
        <v>29.9999</v>
      </c>
      <c r="GJ103">
        <v>26.456900000000001</v>
      </c>
      <c r="GK103">
        <v>26.4466</v>
      </c>
      <c r="GL103">
        <v>35.673400000000001</v>
      </c>
      <c r="GM103">
        <v>49.551299999999998</v>
      </c>
      <c r="GN103">
        <v>90.905699999999996</v>
      </c>
      <c r="GO103">
        <v>24.033300000000001</v>
      </c>
      <c r="GP103">
        <v>800</v>
      </c>
      <c r="GQ103">
        <v>14.463699999999999</v>
      </c>
      <c r="GR103">
        <v>99.7286</v>
      </c>
      <c r="GS103">
        <v>99.558499999999995</v>
      </c>
    </row>
    <row r="104" spans="1:201" x14ac:dyDescent="0.25">
      <c r="A104">
        <v>88</v>
      </c>
      <c r="B104">
        <v>1690221925</v>
      </c>
      <c r="C104">
        <v>1042.5</v>
      </c>
      <c r="D104" t="s">
        <v>507</v>
      </c>
      <c r="E104" t="s">
        <v>508</v>
      </c>
      <c r="F104" t="s">
        <v>330</v>
      </c>
      <c r="H104">
        <v>1690221925</v>
      </c>
      <c r="I104">
        <f t="shared" si="30"/>
        <v>8.589955725197511E-4</v>
      </c>
      <c r="J104">
        <f t="shared" si="31"/>
        <v>0.85899557251975112</v>
      </c>
      <c r="K104">
        <f t="shared" si="32"/>
        <v>13.65539554181821</v>
      </c>
      <c r="L104">
        <f t="shared" si="33"/>
        <v>652.37900000000002</v>
      </c>
      <c r="M104">
        <f t="shared" si="34"/>
        <v>246.39809667166512</v>
      </c>
      <c r="N104">
        <f t="shared" si="35"/>
        <v>24.437851413774546</v>
      </c>
      <c r="O104">
        <f t="shared" si="36"/>
        <v>64.703182706444096</v>
      </c>
      <c r="P104">
        <f t="shared" si="37"/>
        <v>5.6008637040138191E-2</v>
      </c>
      <c r="Q104">
        <f t="shared" si="38"/>
        <v>2.1971510449106244</v>
      </c>
      <c r="R104">
        <f t="shared" si="39"/>
        <v>5.5227386588869588E-2</v>
      </c>
      <c r="S104">
        <f t="shared" si="40"/>
        <v>3.4586400986018416E-2</v>
      </c>
      <c r="T104">
        <f t="shared" si="41"/>
        <v>276.11479672199999</v>
      </c>
      <c r="U104">
        <f t="shared" si="42"/>
        <v>27.969039231415955</v>
      </c>
      <c r="V104">
        <f t="shared" si="43"/>
        <v>27.969039231415955</v>
      </c>
      <c r="W104">
        <f t="shared" si="44"/>
        <v>3.7879957391962575</v>
      </c>
      <c r="X104">
        <f t="shared" si="45"/>
        <v>67.39987293013202</v>
      </c>
      <c r="Y104">
        <f t="shared" si="46"/>
        <v>2.2926531532164001</v>
      </c>
      <c r="Z104">
        <f t="shared" si="47"/>
        <v>3.4015689548747479</v>
      </c>
      <c r="AA104">
        <f t="shared" si="48"/>
        <v>1.4953425859798575</v>
      </c>
      <c r="AB104">
        <f t="shared" si="49"/>
        <v>-37.881704748121024</v>
      </c>
      <c r="AC104">
        <f t="shared" si="50"/>
        <v>-217.09310670440308</v>
      </c>
      <c r="AD104">
        <f t="shared" si="51"/>
        <v>-21.335059756185004</v>
      </c>
      <c r="AE104">
        <f t="shared" si="52"/>
        <v>-0.19507448670910321</v>
      </c>
      <c r="AF104">
        <v>0</v>
      </c>
      <c r="AG104">
        <v>0</v>
      </c>
      <c r="AH104">
        <f t="shared" si="53"/>
        <v>1</v>
      </c>
      <c r="AI104">
        <f t="shared" si="54"/>
        <v>0</v>
      </c>
      <c r="AJ104">
        <f t="shared" si="55"/>
        <v>52662.079473856371</v>
      </c>
      <c r="AK104">
        <f t="shared" si="56"/>
        <v>1800</v>
      </c>
      <c r="AL104">
        <f t="shared" si="57"/>
        <v>1499.1123041999999</v>
      </c>
      <c r="AM104">
        <f t="shared" si="58"/>
        <v>0.83284016900000002</v>
      </c>
      <c r="AN104">
        <f t="shared" si="59"/>
        <v>0.15339710929</v>
      </c>
      <c r="AO104">
        <v>31.2</v>
      </c>
      <c r="AP104">
        <v>0.5</v>
      </c>
      <c r="AQ104" t="s">
        <v>331</v>
      </c>
      <c r="AR104">
        <v>2</v>
      </c>
      <c r="AS104">
        <v>1690221925</v>
      </c>
      <c r="AT104">
        <v>652.37900000000002</v>
      </c>
      <c r="AU104">
        <v>800.13599999999997</v>
      </c>
      <c r="AV104">
        <v>23.116</v>
      </c>
      <c r="AW104">
        <v>14.3941</v>
      </c>
      <c r="AX104">
        <v>652.76800000000003</v>
      </c>
      <c r="AY104">
        <v>22.953299999999999</v>
      </c>
      <c r="AZ104">
        <v>300.17700000000002</v>
      </c>
      <c r="BA104">
        <v>99.080399999999997</v>
      </c>
      <c r="BB104">
        <v>9.9957900000000002E-2</v>
      </c>
      <c r="BC104">
        <v>26.136299999999999</v>
      </c>
      <c r="BD104">
        <v>27.005500000000001</v>
      </c>
      <c r="BE104">
        <v>27.7102</v>
      </c>
      <c r="BF104">
        <v>0</v>
      </c>
      <c r="BG104">
        <v>0</v>
      </c>
      <c r="BH104">
        <v>10023.799999999999</v>
      </c>
      <c r="BI104">
        <v>1069.5899999999999</v>
      </c>
      <c r="BJ104">
        <v>1.68198</v>
      </c>
      <c r="BK104">
        <v>-147.75700000000001</v>
      </c>
      <c r="BL104">
        <v>667.81600000000003</v>
      </c>
      <c r="BM104">
        <v>811.82100000000003</v>
      </c>
      <c r="BN104">
        <v>8.7219200000000008</v>
      </c>
      <c r="BO104">
        <v>800.13599999999997</v>
      </c>
      <c r="BP104">
        <v>14.3941</v>
      </c>
      <c r="BQ104">
        <v>2.2903500000000001</v>
      </c>
      <c r="BR104">
        <v>1.42618</v>
      </c>
      <c r="BS104">
        <v>19.608699999999999</v>
      </c>
      <c r="BT104">
        <v>12.1988</v>
      </c>
      <c r="BU104">
        <v>1800</v>
      </c>
      <c r="BV104">
        <v>0.91000800000000004</v>
      </c>
      <c r="BW104">
        <v>3.3999799999999997E-2</v>
      </c>
      <c r="BX104">
        <v>2.1997200000000001E-2</v>
      </c>
      <c r="BY104">
        <v>3.3994700000000003E-2</v>
      </c>
      <c r="BZ104">
        <v>26</v>
      </c>
      <c r="CA104">
        <v>33528.400000000001</v>
      </c>
      <c r="CB104">
        <v>1690220522.5999999</v>
      </c>
      <c r="CC104" t="s">
        <v>332</v>
      </c>
      <c r="CD104">
        <v>1690220522.5999999</v>
      </c>
      <c r="CE104">
        <v>1690220510.5999999</v>
      </c>
      <c r="CF104">
        <v>10</v>
      </c>
      <c r="CG104">
        <v>-0.22</v>
      </c>
      <c r="CH104">
        <v>-2.7E-2</v>
      </c>
      <c r="CI104">
        <v>-0.49299999999999999</v>
      </c>
      <c r="CJ104">
        <v>0.152</v>
      </c>
      <c r="CK104">
        <v>800</v>
      </c>
      <c r="CL104">
        <v>19</v>
      </c>
      <c r="CM104">
        <v>0.1</v>
      </c>
      <c r="CN104">
        <v>0.03</v>
      </c>
      <c r="CO104">
        <v>-144.6931219512195</v>
      </c>
      <c r="CP104">
        <v>-17.563275261323842</v>
      </c>
      <c r="CQ104">
        <v>1.7323365469668901</v>
      </c>
      <c r="CR104">
        <v>-1</v>
      </c>
      <c r="CS104">
        <v>8.5189302439024388</v>
      </c>
      <c r="CT104">
        <v>0.93478306620208085</v>
      </c>
      <c r="CU104">
        <v>9.2821791030901879E-2</v>
      </c>
      <c r="CV104">
        <v>-1</v>
      </c>
      <c r="CW104">
        <v>0</v>
      </c>
      <c r="CX104">
        <v>0</v>
      </c>
      <c r="CY104" t="s">
        <v>333</v>
      </c>
      <c r="CZ104">
        <v>2.3644400000000001</v>
      </c>
      <c r="DA104">
        <v>2.7137699999999998</v>
      </c>
      <c r="DB104">
        <v>0.12775300000000001</v>
      </c>
      <c r="DC104">
        <v>0.14624200000000001</v>
      </c>
      <c r="DD104">
        <v>0.11097899999999999</v>
      </c>
      <c r="DE104">
        <v>7.7791700000000005E-2</v>
      </c>
      <c r="DF104">
        <v>31846.2</v>
      </c>
      <c r="DG104">
        <v>27512.1</v>
      </c>
      <c r="DH104">
        <v>31169.200000000001</v>
      </c>
      <c r="DI104">
        <v>28079.3</v>
      </c>
      <c r="DJ104">
        <v>37620.400000000001</v>
      </c>
      <c r="DK104">
        <v>36821.4</v>
      </c>
      <c r="DL104">
        <v>44357.2</v>
      </c>
      <c r="DM104">
        <v>42558.5</v>
      </c>
      <c r="DN104">
        <v>1.4767699999999999</v>
      </c>
      <c r="DO104">
        <v>2.0479500000000002</v>
      </c>
      <c r="DP104">
        <v>0.11540599999999999</v>
      </c>
      <c r="DQ104">
        <v>0.16917699999999999</v>
      </c>
      <c r="DR104">
        <v>25.115300000000001</v>
      </c>
      <c r="DS104">
        <v>24.9404</v>
      </c>
      <c r="DT104">
        <v>57.4</v>
      </c>
      <c r="DU104">
        <v>29.5</v>
      </c>
      <c r="DV104">
        <v>23.983699999999999</v>
      </c>
      <c r="DW104">
        <v>61.754199999999997</v>
      </c>
      <c r="DX104">
        <v>35.548900000000003</v>
      </c>
      <c r="DY104">
        <v>1</v>
      </c>
      <c r="DZ104">
        <v>-8.5442100000000007E-2</v>
      </c>
      <c r="EA104">
        <v>0.25484499999999999</v>
      </c>
      <c r="EB104">
        <v>20.189699999999998</v>
      </c>
      <c r="EC104">
        <v>5.2409499999999998</v>
      </c>
      <c r="ED104">
        <v>12.039899999999999</v>
      </c>
      <c r="EE104">
        <v>5.0169499999999996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1.8689199999999999</v>
      </c>
      <c r="EL104">
        <v>1.8646499999999999</v>
      </c>
      <c r="EM104">
        <v>1.8691899999999999</v>
      </c>
      <c r="EN104">
        <v>1.8672299999999999</v>
      </c>
      <c r="EO104">
        <v>1.8633999999999999</v>
      </c>
      <c r="EP104">
        <v>1.8645499999999999</v>
      </c>
      <c r="EQ104">
        <v>1.8701700000000001</v>
      </c>
      <c r="ER104">
        <v>1.8694500000000001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-0.38900000000000001</v>
      </c>
      <c r="FG104">
        <v>0.16270000000000001</v>
      </c>
      <c r="FH104">
        <v>5.8509882529719233E-2</v>
      </c>
      <c r="FI104">
        <v>-6.1462078757559423E-4</v>
      </c>
      <c r="FJ104">
        <v>-1.8861989874597051E-7</v>
      </c>
      <c r="FK104">
        <v>1.1980462299894961E-10</v>
      </c>
      <c r="FL104">
        <v>0.16277811159127681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23.4</v>
      </c>
      <c r="FU104">
        <v>23.6</v>
      </c>
      <c r="FV104">
        <v>1.78467</v>
      </c>
      <c r="FW104">
        <v>2.5805699999999998</v>
      </c>
      <c r="FX104">
        <v>1.5490699999999999</v>
      </c>
      <c r="FY104">
        <v>2.3290999999999999</v>
      </c>
      <c r="FZ104">
        <v>1.50146</v>
      </c>
      <c r="GA104">
        <v>2.34009</v>
      </c>
      <c r="GB104">
        <v>33.941299999999998</v>
      </c>
      <c r="GC104">
        <v>23.973700000000001</v>
      </c>
      <c r="GD104">
        <v>19</v>
      </c>
      <c r="GE104">
        <v>283.58199999999999</v>
      </c>
      <c r="GF104">
        <v>593.98800000000006</v>
      </c>
      <c r="GG104">
        <v>24.040900000000001</v>
      </c>
      <c r="GH104">
        <v>26.302399999999999</v>
      </c>
      <c r="GI104">
        <v>30.000299999999999</v>
      </c>
      <c r="GJ104">
        <v>26.454699999999999</v>
      </c>
      <c r="GK104">
        <v>26.443300000000001</v>
      </c>
      <c r="GL104">
        <v>35.665599999999998</v>
      </c>
      <c r="GM104">
        <v>49.841900000000003</v>
      </c>
      <c r="GN104">
        <v>90.517499999999998</v>
      </c>
      <c r="GO104">
        <v>23.8644</v>
      </c>
      <c r="GP104">
        <v>800</v>
      </c>
      <c r="GQ104">
        <v>14.3041</v>
      </c>
      <c r="GR104">
        <v>99.728700000000003</v>
      </c>
      <c r="GS104">
        <v>99.559200000000004</v>
      </c>
    </row>
    <row r="105" spans="1:201" x14ac:dyDescent="0.25">
      <c r="A105">
        <v>89</v>
      </c>
      <c r="B105">
        <v>1690221935</v>
      </c>
      <c r="C105">
        <v>1052.5</v>
      </c>
      <c r="D105" t="s">
        <v>509</v>
      </c>
      <c r="E105" t="s">
        <v>510</v>
      </c>
      <c r="F105" t="s">
        <v>330</v>
      </c>
      <c r="H105">
        <v>1690221935</v>
      </c>
      <c r="I105">
        <f t="shared" si="30"/>
        <v>8.6861385307864284E-4</v>
      </c>
      <c r="J105">
        <f t="shared" si="31"/>
        <v>0.86861385307864281</v>
      </c>
      <c r="K105">
        <f t="shared" si="32"/>
        <v>13.93410960793228</v>
      </c>
      <c r="L105">
        <f t="shared" si="33"/>
        <v>649.471</v>
      </c>
      <c r="M105">
        <f t="shared" si="34"/>
        <v>239.30120399328004</v>
      </c>
      <c r="N105">
        <f t="shared" si="35"/>
        <v>23.733974248000223</v>
      </c>
      <c r="O105">
        <f t="shared" si="36"/>
        <v>64.414753171303801</v>
      </c>
      <c r="P105">
        <f t="shared" si="37"/>
        <v>5.6544702227163623E-2</v>
      </c>
      <c r="Q105">
        <f t="shared" si="38"/>
        <v>2.1929997722939403</v>
      </c>
      <c r="R105">
        <f t="shared" si="39"/>
        <v>5.5747055772490887E-2</v>
      </c>
      <c r="S105">
        <f t="shared" si="40"/>
        <v>3.4912637818918214E-2</v>
      </c>
      <c r="T105">
        <f t="shared" si="41"/>
        <v>276.11470780200005</v>
      </c>
      <c r="U105">
        <f t="shared" si="42"/>
        <v>27.971426628213543</v>
      </c>
      <c r="V105">
        <f t="shared" si="43"/>
        <v>27.971426628213543</v>
      </c>
      <c r="W105">
        <f t="shared" si="44"/>
        <v>3.788523094625535</v>
      </c>
      <c r="X105">
        <f t="shared" si="45"/>
        <v>67.327220807126878</v>
      </c>
      <c r="Y105">
        <f t="shared" si="46"/>
        <v>2.2905203113221</v>
      </c>
      <c r="Z105">
        <f t="shared" si="47"/>
        <v>3.4020716789777823</v>
      </c>
      <c r="AA105">
        <f t="shared" si="48"/>
        <v>1.4980027833034351</v>
      </c>
      <c r="AB105">
        <f t="shared" si="49"/>
        <v>-38.30587092076815</v>
      </c>
      <c r="AC105">
        <f t="shared" si="50"/>
        <v>-216.66962045159724</v>
      </c>
      <c r="AD105">
        <f t="shared" si="51"/>
        <v>-21.334270151081917</v>
      </c>
      <c r="AE105">
        <f t="shared" si="52"/>
        <v>-0.19505372144723765</v>
      </c>
      <c r="AF105">
        <v>0</v>
      </c>
      <c r="AG105">
        <v>0</v>
      </c>
      <c r="AH105">
        <f t="shared" si="53"/>
        <v>1</v>
      </c>
      <c r="AI105">
        <f t="shared" si="54"/>
        <v>0</v>
      </c>
      <c r="AJ105">
        <f t="shared" si="55"/>
        <v>52491.341192607986</v>
      </c>
      <c r="AK105">
        <f t="shared" si="56"/>
        <v>1800</v>
      </c>
      <c r="AL105">
        <f t="shared" si="57"/>
        <v>1499.1125832</v>
      </c>
      <c r="AM105">
        <f t="shared" si="58"/>
        <v>0.83284032399999997</v>
      </c>
      <c r="AN105">
        <f t="shared" si="59"/>
        <v>0.15339705989000002</v>
      </c>
      <c r="AO105">
        <v>31.2</v>
      </c>
      <c r="AP105">
        <v>0.5</v>
      </c>
      <c r="AQ105" t="s">
        <v>331</v>
      </c>
      <c r="AR105">
        <v>2</v>
      </c>
      <c r="AS105">
        <v>1690221935</v>
      </c>
      <c r="AT105">
        <v>649.471</v>
      </c>
      <c r="AU105">
        <v>800.19200000000001</v>
      </c>
      <c r="AV105">
        <v>23.0945</v>
      </c>
      <c r="AW105">
        <v>14.273099999999999</v>
      </c>
      <c r="AX105">
        <v>649.85900000000004</v>
      </c>
      <c r="AY105">
        <v>22.931799999999999</v>
      </c>
      <c r="AZ105">
        <v>300.12099999999998</v>
      </c>
      <c r="BA105">
        <v>99.080399999999997</v>
      </c>
      <c r="BB105">
        <v>9.9937799999999993E-2</v>
      </c>
      <c r="BC105">
        <v>26.1388</v>
      </c>
      <c r="BD105">
        <v>27.011600000000001</v>
      </c>
      <c r="BE105">
        <v>27.7133</v>
      </c>
      <c r="BF105">
        <v>0</v>
      </c>
      <c r="BG105">
        <v>0</v>
      </c>
      <c r="BH105">
        <v>9990</v>
      </c>
      <c r="BI105">
        <v>1069.77</v>
      </c>
      <c r="BJ105">
        <v>1.68198</v>
      </c>
      <c r="BK105">
        <v>-150.721</v>
      </c>
      <c r="BL105">
        <v>664.82500000000005</v>
      </c>
      <c r="BM105">
        <v>811.77800000000002</v>
      </c>
      <c r="BN105">
        <v>8.8214400000000008</v>
      </c>
      <c r="BO105">
        <v>800.19200000000001</v>
      </c>
      <c r="BP105">
        <v>14.273099999999999</v>
      </c>
      <c r="BQ105">
        <v>2.2882199999999999</v>
      </c>
      <c r="BR105">
        <v>1.4141900000000001</v>
      </c>
      <c r="BS105">
        <v>19.593699999999998</v>
      </c>
      <c r="BT105">
        <v>12.070600000000001</v>
      </c>
      <c r="BU105">
        <v>1800</v>
      </c>
      <c r="BV105">
        <v>0.91000999999999999</v>
      </c>
      <c r="BW105">
        <v>3.3999099999999997E-2</v>
      </c>
      <c r="BX105">
        <v>2.1996700000000001E-2</v>
      </c>
      <c r="BY105">
        <v>3.3993900000000001E-2</v>
      </c>
      <c r="BZ105">
        <v>26</v>
      </c>
      <c r="CA105">
        <v>33528.400000000001</v>
      </c>
      <c r="CB105">
        <v>1690220522.5999999</v>
      </c>
      <c r="CC105" t="s">
        <v>332</v>
      </c>
      <c r="CD105">
        <v>1690220522.5999999</v>
      </c>
      <c r="CE105">
        <v>1690220510.5999999</v>
      </c>
      <c r="CF105">
        <v>10</v>
      </c>
      <c r="CG105">
        <v>-0.22</v>
      </c>
      <c r="CH105">
        <v>-2.7E-2</v>
      </c>
      <c r="CI105">
        <v>-0.49299999999999999</v>
      </c>
      <c r="CJ105">
        <v>0.152</v>
      </c>
      <c r="CK105">
        <v>800</v>
      </c>
      <c r="CL105">
        <v>19</v>
      </c>
      <c r="CM105">
        <v>0.1</v>
      </c>
      <c r="CN105">
        <v>0.03</v>
      </c>
      <c r="CO105">
        <v>-147.27890243902439</v>
      </c>
      <c r="CP105">
        <v>-17.231498257839881</v>
      </c>
      <c r="CQ105">
        <v>1.700017342879659</v>
      </c>
      <c r="CR105">
        <v>-1</v>
      </c>
      <c r="CS105">
        <v>8.6692734146341461</v>
      </c>
      <c r="CT105">
        <v>1.0188144250871209</v>
      </c>
      <c r="CU105">
        <v>0.1022478859369923</v>
      </c>
      <c r="CV105">
        <v>-1</v>
      </c>
      <c r="CW105">
        <v>0</v>
      </c>
      <c r="CX105">
        <v>0</v>
      </c>
      <c r="CY105" t="s">
        <v>333</v>
      </c>
      <c r="CZ105">
        <v>2.3642599999999998</v>
      </c>
      <c r="DA105">
        <v>2.7137199999999999</v>
      </c>
      <c r="DB105">
        <v>0.127358</v>
      </c>
      <c r="DC105">
        <v>0.14624699999999999</v>
      </c>
      <c r="DD105">
        <v>0.110906</v>
      </c>
      <c r="DE105">
        <v>7.7309699999999995E-2</v>
      </c>
      <c r="DF105">
        <v>31860.2</v>
      </c>
      <c r="DG105">
        <v>27511.9</v>
      </c>
      <c r="DH105">
        <v>31168.799999999999</v>
      </c>
      <c r="DI105">
        <v>28079.3</v>
      </c>
      <c r="DJ105">
        <v>37622.800000000003</v>
      </c>
      <c r="DK105">
        <v>36840.699999999997</v>
      </c>
      <c r="DL105">
        <v>44356.4</v>
      </c>
      <c r="DM105">
        <v>42558.5</v>
      </c>
      <c r="DN105">
        <v>1.47645</v>
      </c>
      <c r="DO105">
        <v>2.0477500000000002</v>
      </c>
      <c r="DP105">
        <v>0.11570800000000001</v>
      </c>
      <c r="DQ105">
        <v>0.16930000000000001</v>
      </c>
      <c r="DR105">
        <v>25.116399999999999</v>
      </c>
      <c r="DS105">
        <v>24.941500000000001</v>
      </c>
      <c r="DT105">
        <v>57.4</v>
      </c>
      <c r="DU105">
        <v>29.6</v>
      </c>
      <c r="DV105">
        <v>24.120100000000001</v>
      </c>
      <c r="DW105">
        <v>61.894199999999998</v>
      </c>
      <c r="DX105">
        <v>36.726799999999997</v>
      </c>
      <c r="DY105">
        <v>1</v>
      </c>
      <c r="DZ105">
        <v>-8.5281999999999997E-2</v>
      </c>
      <c r="EA105">
        <v>0.584897</v>
      </c>
      <c r="EB105">
        <v>20.187999999999999</v>
      </c>
      <c r="EC105">
        <v>5.2413999999999996</v>
      </c>
      <c r="ED105">
        <v>12.039899999999999</v>
      </c>
      <c r="EE105">
        <v>5.01715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1.8689100000000001</v>
      </c>
      <c r="EL105">
        <v>1.8646199999999999</v>
      </c>
      <c r="EM105">
        <v>1.8692</v>
      </c>
      <c r="EN105">
        <v>1.8672200000000001</v>
      </c>
      <c r="EO105">
        <v>1.8633999999999999</v>
      </c>
      <c r="EP105">
        <v>1.86453</v>
      </c>
      <c r="EQ105">
        <v>1.87015</v>
      </c>
      <c r="ER105">
        <v>1.8694299999999999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-0.38800000000000001</v>
      </c>
      <c r="FG105">
        <v>0.16270000000000001</v>
      </c>
      <c r="FH105">
        <v>5.8509882529719233E-2</v>
      </c>
      <c r="FI105">
        <v>-6.1462078757559423E-4</v>
      </c>
      <c r="FJ105">
        <v>-1.8861989874597051E-7</v>
      </c>
      <c r="FK105">
        <v>1.1980462299894961E-10</v>
      </c>
      <c r="FL105">
        <v>0.16277811159127681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23.5</v>
      </c>
      <c r="FU105">
        <v>23.7</v>
      </c>
      <c r="FV105">
        <v>1.78345</v>
      </c>
      <c r="FW105">
        <v>2.5744600000000002</v>
      </c>
      <c r="FX105">
        <v>1.5490699999999999</v>
      </c>
      <c r="FY105">
        <v>2.3290999999999999</v>
      </c>
      <c r="FZ105">
        <v>1.50146</v>
      </c>
      <c r="GA105">
        <v>2.3767100000000001</v>
      </c>
      <c r="GB105">
        <v>33.941299999999998</v>
      </c>
      <c r="GC105">
        <v>23.982399999999998</v>
      </c>
      <c r="GD105">
        <v>19</v>
      </c>
      <c r="GE105">
        <v>283.42899999999997</v>
      </c>
      <c r="GF105">
        <v>593.78899999999999</v>
      </c>
      <c r="GG105">
        <v>23.851099999999999</v>
      </c>
      <c r="GH105">
        <v>26.299700000000001</v>
      </c>
      <c r="GI105">
        <v>29.9999</v>
      </c>
      <c r="GJ105">
        <v>26.4513</v>
      </c>
      <c r="GK105">
        <v>26.4406</v>
      </c>
      <c r="GL105">
        <v>35.658000000000001</v>
      </c>
      <c r="GM105">
        <v>50.116900000000001</v>
      </c>
      <c r="GN105">
        <v>89.741900000000001</v>
      </c>
      <c r="GO105">
        <v>23.8538</v>
      </c>
      <c r="GP105">
        <v>800</v>
      </c>
      <c r="GQ105">
        <v>14.165900000000001</v>
      </c>
      <c r="GR105">
        <v>99.727199999999996</v>
      </c>
      <c r="GS105">
        <v>99.559100000000001</v>
      </c>
    </row>
    <row r="106" spans="1:201" x14ac:dyDescent="0.25">
      <c r="A106">
        <v>90</v>
      </c>
      <c r="B106">
        <v>1690221945</v>
      </c>
      <c r="C106">
        <v>1062.5</v>
      </c>
      <c r="D106" t="s">
        <v>511</v>
      </c>
      <c r="E106" t="s">
        <v>512</v>
      </c>
      <c r="F106" t="s">
        <v>330</v>
      </c>
      <c r="H106">
        <v>1690221945</v>
      </c>
      <c r="I106">
        <f t="shared" si="30"/>
        <v>8.8397505956604085E-4</v>
      </c>
      <c r="J106">
        <f t="shared" si="31"/>
        <v>0.88397505956604083</v>
      </c>
      <c r="K106">
        <f t="shared" si="32"/>
        <v>14.181075483836779</v>
      </c>
      <c r="L106">
        <f t="shared" si="33"/>
        <v>646.62800000000004</v>
      </c>
      <c r="M106">
        <f t="shared" si="34"/>
        <v>237.60344660042117</v>
      </c>
      <c r="N106">
        <f t="shared" si="35"/>
        <v>23.565402912278802</v>
      </c>
      <c r="O106">
        <f t="shared" si="36"/>
        <v>64.132274057400011</v>
      </c>
      <c r="P106">
        <f t="shared" si="37"/>
        <v>5.7714022255474361E-2</v>
      </c>
      <c r="Q106">
        <f t="shared" si="38"/>
        <v>2.1942930443391409</v>
      </c>
      <c r="R106">
        <f t="shared" si="39"/>
        <v>5.6883788057413578E-2</v>
      </c>
      <c r="S106">
        <f t="shared" si="40"/>
        <v>3.5625965814430657E-2</v>
      </c>
      <c r="T106">
        <f t="shared" si="41"/>
        <v>276.11478599400004</v>
      </c>
      <c r="U106">
        <f t="shared" si="42"/>
        <v>27.946356163737494</v>
      </c>
      <c r="V106">
        <f t="shared" si="43"/>
        <v>27.946356163737494</v>
      </c>
      <c r="W106">
        <f t="shared" si="44"/>
        <v>3.7829884386599963</v>
      </c>
      <c r="X106">
        <f t="shared" si="45"/>
        <v>67.355255192982128</v>
      </c>
      <c r="Y106">
        <f t="shared" si="46"/>
        <v>2.2889152446750001</v>
      </c>
      <c r="Z106">
        <f t="shared" si="47"/>
        <v>3.398272693224814</v>
      </c>
      <c r="AA106">
        <f t="shared" si="48"/>
        <v>1.4940731939849963</v>
      </c>
      <c r="AB106">
        <f t="shared" si="49"/>
        <v>-38.983300126862403</v>
      </c>
      <c r="AC106">
        <f t="shared" si="50"/>
        <v>-216.06743837257736</v>
      </c>
      <c r="AD106">
        <f t="shared" si="51"/>
        <v>-21.257762840779915</v>
      </c>
      <c r="AE106">
        <f t="shared" si="52"/>
        <v>-0.1937153462196477</v>
      </c>
      <c r="AF106">
        <v>0</v>
      </c>
      <c r="AG106">
        <v>0</v>
      </c>
      <c r="AH106">
        <f t="shared" si="53"/>
        <v>1</v>
      </c>
      <c r="AI106">
        <f t="shared" si="54"/>
        <v>0</v>
      </c>
      <c r="AJ106">
        <f t="shared" si="55"/>
        <v>52547.662168385934</v>
      </c>
      <c r="AK106">
        <f t="shared" si="56"/>
        <v>1800</v>
      </c>
      <c r="AL106">
        <f t="shared" si="57"/>
        <v>1499.1135714</v>
      </c>
      <c r="AM106">
        <f t="shared" si="58"/>
        <v>0.83284087299999998</v>
      </c>
      <c r="AN106">
        <f t="shared" si="59"/>
        <v>0.15339710333000003</v>
      </c>
      <c r="AO106">
        <v>31.2</v>
      </c>
      <c r="AP106">
        <v>0.5</v>
      </c>
      <c r="AQ106" t="s">
        <v>331</v>
      </c>
      <c r="AR106">
        <v>2</v>
      </c>
      <c r="AS106">
        <v>1690221945</v>
      </c>
      <c r="AT106">
        <v>646.62800000000004</v>
      </c>
      <c r="AU106">
        <v>799.947</v>
      </c>
      <c r="AV106">
        <v>23.078499999999998</v>
      </c>
      <c r="AW106">
        <v>14.1037</v>
      </c>
      <c r="AX106">
        <v>647.01400000000001</v>
      </c>
      <c r="AY106">
        <v>22.915700000000001</v>
      </c>
      <c r="AZ106">
        <v>300.21300000000002</v>
      </c>
      <c r="BA106">
        <v>99.079599999999999</v>
      </c>
      <c r="BB106">
        <v>9.9949999999999997E-2</v>
      </c>
      <c r="BC106">
        <v>26.119900000000001</v>
      </c>
      <c r="BD106">
        <v>26.948599999999999</v>
      </c>
      <c r="BE106">
        <v>27.6874</v>
      </c>
      <c r="BF106">
        <v>0</v>
      </c>
      <c r="BG106">
        <v>0</v>
      </c>
      <c r="BH106">
        <v>10000.6</v>
      </c>
      <c r="BI106">
        <v>1069.8900000000001</v>
      </c>
      <c r="BJ106">
        <v>1.68198</v>
      </c>
      <c r="BK106">
        <v>-153.31899999999999</v>
      </c>
      <c r="BL106">
        <v>661.904</v>
      </c>
      <c r="BM106">
        <v>811.39</v>
      </c>
      <c r="BN106">
        <v>8.9747900000000005</v>
      </c>
      <c r="BO106">
        <v>799.947</v>
      </c>
      <c r="BP106">
        <v>14.1037</v>
      </c>
      <c r="BQ106">
        <v>2.28661</v>
      </c>
      <c r="BR106">
        <v>1.3973899999999999</v>
      </c>
      <c r="BS106">
        <v>19.5824</v>
      </c>
      <c r="BT106">
        <v>11.8894</v>
      </c>
      <c r="BU106">
        <v>1800</v>
      </c>
      <c r="BV106">
        <v>0.91001200000000004</v>
      </c>
      <c r="BW106">
        <v>3.3998500000000001E-2</v>
      </c>
      <c r="BX106">
        <v>2.1996399999999999E-2</v>
      </c>
      <c r="BY106">
        <v>3.3993299999999997E-2</v>
      </c>
      <c r="BZ106">
        <v>26</v>
      </c>
      <c r="CA106">
        <v>33528.400000000001</v>
      </c>
      <c r="CB106">
        <v>1690220522.5999999</v>
      </c>
      <c r="CC106" t="s">
        <v>332</v>
      </c>
      <c r="CD106">
        <v>1690220522.5999999</v>
      </c>
      <c r="CE106">
        <v>1690220510.5999999</v>
      </c>
      <c r="CF106">
        <v>10</v>
      </c>
      <c r="CG106">
        <v>-0.22</v>
      </c>
      <c r="CH106">
        <v>-2.7E-2</v>
      </c>
      <c r="CI106">
        <v>-0.49299999999999999</v>
      </c>
      <c r="CJ106">
        <v>0.152</v>
      </c>
      <c r="CK106">
        <v>800</v>
      </c>
      <c r="CL106">
        <v>19</v>
      </c>
      <c r="CM106">
        <v>0.1</v>
      </c>
      <c r="CN106">
        <v>0.03</v>
      </c>
      <c r="CO106">
        <v>-150.4499512195122</v>
      </c>
      <c r="CP106">
        <v>-17.455191637630879</v>
      </c>
      <c r="CQ106">
        <v>1.722603814015133</v>
      </c>
      <c r="CR106">
        <v>-1</v>
      </c>
      <c r="CS106">
        <v>8.824682682926829</v>
      </c>
      <c r="CT106">
        <v>0.61791114982577133</v>
      </c>
      <c r="CU106">
        <v>6.187919832613227E-2</v>
      </c>
      <c r="CV106">
        <v>-1</v>
      </c>
      <c r="CW106">
        <v>0</v>
      </c>
      <c r="CX106">
        <v>0</v>
      </c>
      <c r="CY106" t="s">
        <v>333</v>
      </c>
      <c r="CZ106">
        <v>2.3645499999999999</v>
      </c>
      <c r="DA106">
        <v>2.71374</v>
      </c>
      <c r="DB106">
        <v>0.126971</v>
      </c>
      <c r="DC106">
        <v>0.14621400000000001</v>
      </c>
      <c r="DD106">
        <v>0.11085200000000001</v>
      </c>
      <c r="DE106">
        <v>7.6631500000000005E-2</v>
      </c>
      <c r="DF106">
        <v>31874.7</v>
      </c>
      <c r="DG106">
        <v>27513</v>
      </c>
      <c r="DH106">
        <v>31169.1</v>
      </c>
      <c r="DI106">
        <v>28079.3</v>
      </c>
      <c r="DJ106">
        <v>37625.800000000003</v>
      </c>
      <c r="DK106">
        <v>36868</v>
      </c>
      <c r="DL106">
        <v>44357.2</v>
      </c>
      <c r="DM106">
        <v>42558.7</v>
      </c>
      <c r="DN106">
        <v>1.4765299999999999</v>
      </c>
      <c r="DO106">
        <v>2.04745</v>
      </c>
      <c r="DP106">
        <v>0.111986</v>
      </c>
      <c r="DQ106">
        <v>0.16784299999999999</v>
      </c>
      <c r="DR106">
        <v>25.1143</v>
      </c>
      <c r="DS106">
        <v>24.939399999999999</v>
      </c>
      <c r="DT106">
        <v>57.4</v>
      </c>
      <c r="DU106">
        <v>29.5</v>
      </c>
      <c r="DV106">
        <v>23.982600000000001</v>
      </c>
      <c r="DW106">
        <v>61.434199999999997</v>
      </c>
      <c r="DX106">
        <v>35.556899999999999</v>
      </c>
      <c r="DY106">
        <v>1</v>
      </c>
      <c r="DZ106">
        <v>-8.5452200000000006E-2</v>
      </c>
      <c r="EA106">
        <v>0.44175700000000001</v>
      </c>
      <c r="EB106">
        <v>20.189</v>
      </c>
      <c r="EC106">
        <v>5.2409499999999998</v>
      </c>
      <c r="ED106">
        <v>12.039899999999999</v>
      </c>
      <c r="EE106">
        <v>5.0170000000000003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1.8689100000000001</v>
      </c>
      <c r="EL106">
        <v>1.86463</v>
      </c>
      <c r="EM106">
        <v>1.8692</v>
      </c>
      <c r="EN106">
        <v>1.8672299999999999</v>
      </c>
      <c r="EO106">
        <v>1.8633999999999999</v>
      </c>
      <c r="EP106">
        <v>1.86459</v>
      </c>
      <c r="EQ106">
        <v>1.8701399999999999</v>
      </c>
      <c r="ER106">
        <v>1.8694299999999999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-0.38600000000000001</v>
      </c>
      <c r="FG106">
        <v>0.1628</v>
      </c>
      <c r="FH106">
        <v>5.8509882529719233E-2</v>
      </c>
      <c r="FI106">
        <v>-6.1462078757559423E-4</v>
      </c>
      <c r="FJ106">
        <v>-1.8861989874597051E-7</v>
      </c>
      <c r="FK106">
        <v>1.1980462299894961E-10</v>
      </c>
      <c r="FL106">
        <v>0.16277811159127681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23.7</v>
      </c>
      <c r="FU106">
        <v>23.9</v>
      </c>
      <c r="FV106">
        <v>1.78345</v>
      </c>
      <c r="FW106">
        <v>2.5817899999999998</v>
      </c>
      <c r="FX106">
        <v>1.5490699999999999</v>
      </c>
      <c r="FY106">
        <v>2.3290999999999999</v>
      </c>
      <c r="FZ106">
        <v>1.50146</v>
      </c>
      <c r="GA106">
        <v>2.3584000000000001</v>
      </c>
      <c r="GB106">
        <v>33.941299999999998</v>
      </c>
      <c r="GC106">
        <v>23.973700000000001</v>
      </c>
      <c r="GD106">
        <v>19</v>
      </c>
      <c r="GE106">
        <v>283.44600000000003</v>
      </c>
      <c r="GF106">
        <v>593.51</v>
      </c>
      <c r="GG106">
        <v>23.829799999999999</v>
      </c>
      <c r="GH106">
        <v>26.296299999999999</v>
      </c>
      <c r="GI106">
        <v>29.9999</v>
      </c>
      <c r="GJ106">
        <v>26.448</v>
      </c>
      <c r="GK106">
        <v>26.438300000000002</v>
      </c>
      <c r="GL106">
        <v>35.657600000000002</v>
      </c>
      <c r="GM106">
        <v>50.389699999999998</v>
      </c>
      <c r="GN106">
        <v>89.344800000000006</v>
      </c>
      <c r="GO106">
        <v>23.847100000000001</v>
      </c>
      <c r="GP106">
        <v>800</v>
      </c>
      <c r="GQ106">
        <v>14.026899999999999</v>
      </c>
      <c r="GR106">
        <v>99.728700000000003</v>
      </c>
      <c r="GS106">
        <v>99.559399999999997</v>
      </c>
    </row>
    <row r="107" spans="1:201" x14ac:dyDescent="0.25">
      <c r="A107">
        <v>91</v>
      </c>
      <c r="B107">
        <v>1690221955</v>
      </c>
      <c r="C107">
        <v>1072.5</v>
      </c>
      <c r="D107" t="s">
        <v>513</v>
      </c>
      <c r="E107" t="s">
        <v>514</v>
      </c>
      <c r="F107" t="s">
        <v>330</v>
      </c>
      <c r="H107">
        <v>1690221955</v>
      </c>
      <c r="I107">
        <f t="shared" si="30"/>
        <v>8.9706679666001006E-4</v>
      </c>
      <c r="J107">
        <f t="shared" si="31"/>
        <v>0.8970667966600101</v>
      </c>
      <c r="K107">
        <f t="shared" si="32"/>
        <v>14.488893961787042</v>
      </c>
      <c r="L107">
        <f t="shared" si="33"/>
        <v>643.60400000000004</v>
      </c>
      <c r="M107">
        <f t="shared" si="34"/>
        <v>232.32283702545681</v>
      </c>
      <c r="N107">
        <f t="shared" si="35"/>
        <v>23.041658586490655</v>
      </c>
      <c r="O107">
        <f t="shared" si="36"/>
        <v>63.832311204407198</v>
      </c>
      <c r="P107">
        <f t="shared" si="37"/>
        <v>5.8630410223261507E-2</v>
      </c>
      <c r="Q107">
        <f t="shared" si="38"/>
        <v>2.1913739358029343</v>
      </c>
      <c r="R107">
        <f t="shared" si="39"/>
        <v>5.7772689575841391E-2</v>
      </c>
      <c r="S107">
        <f t="shared" si="40"/>
        <v>3.618394845768233E-2</v>
      </c>
      <c r="T107">
        <f t="shared" si="41"/>
        <v>276.11458878599996</v>
      </c>
      <c r="U107">
        <f t="shared" si="42"/>
        <v>27.943420122566359</v>
      </c>
      <c r="V107">
        <f t="shared" si="43"/>
        <v>27.943420122566359</v>
      </c>
      <c r="W107">
        <f t="shared" si="44"/>
        <v>3.7823407281614667</v>
      </c>
      <c r="X107">
        <f t="shared" si="45"/>
        <v>67.37434080157891</v>
      </c>
      <c r="Y107">
        <f t="shared" si="46"/>
        <v>2.2894690758193796</v>
      </c>
      <c r="Z107">
        <f t="shared" si="47"/>
        <v>3.3981320612278645</v>
      </c>
      <c r="AA107">
        <f t="shared" si="48"/>
        <v>1.4928716523420871</v>
      </c>
      <c r="AB107">
        <f t="shared" si="49"/>
        <v>-39.56064573270644</v>
      </c>
      <c r="AC107">
        <f t="shared" si="50"/>
        <v>-215.51583094517551</v>
      </c>
      <c r="AD107">
        <f t="shared" si="51"/>
        <v>-21.231351567524872</v>
      </c>
      <c r="AE107">
        <f t="shared" si="52"/>
        <v>-0.19323945940686826</v>
      </c>
      <c r="AF107">
        <v>0</v>
      </c>
      <c r="AG107">
        <v>0</v>
      </c>
      <c r="AH107">
        <f t="shared" si="53"/>
        <v>1</v>
      </c>
      <c r="AI107">
        <f t="shared" si="54"/>
        <v>0</v>
      </c>
      <c r="AJ107">
        <f t="shared" si="55"/>
        <v>52428.150964876309</v>
      </c>
      <c r="AK107">
        <f t="shared" si="56"/>
        <v>1800</v>
      </c>
      <c r="AL107">
        <f t="shared" si="57"/>
        <v>1499.1137225999998</v>
      </c>
      <c r="AM107">
        <f t="shared" si="58"/>
        <v>0.83284095699999994</v>
      </c>
      <c r="AN107">
        <f t="shared" si="59"/>
        <v>0.15339699376999999</v>
      </c>
      <c r="AO107">
        <v>31.2</v>
      </c>
      <c r="AP107">
        <v>0.5</v>
      </c>
      <c r="AQ107" t="s">
        <v>331</v>
      </c>
      <c r="AR107">
        <v>2</v>
      </c>
      <c r="AS107">
        <v>1690221955</v>
      </c>
      <c r="AT107">
        <v>643.60400000000004</v>
      </c>
      <c r="AU107">
        <v>800.23400000000004</v>
      </c>
      <c r="AV107">
        <v>23.084099999999999</v>
      </c>
      <c r="AW107">
        <v>13.9734</v>
      </c>
      <c r="AX107">
        <v>643.98800000000006</v>
      </c>
      <c r="AY107">
        <v>22.921399999999998</v>
      </c>
      <c r="AZ107">
        <v>300.113</v>
      </c>
      <c r="BA107">
        <v>99.079499999999996</v>
      </c>
      <c r="BB107">
        <v>9.9981799999999996E-2</v>
      </c>
      <c r="BC107">
        <v>26.119199999999999</v>
      </c>
      <c r="BD107">
        <v>26.9848</v>
      </c>
      <c r="BE107">
        <v>27.7</v>
      </c>
      <c r="BF107">
        <v>0</v>
      </c>
      <c r="BG107">
        <v>0</v>
      </c>
      <c r="BH107">
        <v>9976.8799999999992</v>
      </c>
      <c r="BI107">
        <v>1069.83</v>
      </c>
      <c r="BJ107">
        <v>1.68198</v>
      </c>
      <c r="BK107">
        <v>-156.63</v>
      </c>
      <c r="BL107">
        <v>658.81200000000001</v>
      </c>
      <c r="BM107">
        <v>811.57399999999996</v>
      </c>
      <c r="BN107">
        <v>9.1107099999999992</v>
      </c>
      <c r="BO107">
        <v>800.23400000000004</v>
      </c>
      <c r="BP107">
        <v>13.9734</v>
      </c>
      <c r="BQ107">
        <v>2.2871600000000001</v>
      </c>
      <c r="BR107">
        <v>1.3844799999999999</v>
      </c>
      <c r="BS107">
        <v>19.586300000000001</v>
      </c>
      <c r="BT107">
        <v>11.748699999999999</v>
      </c>
      <c r="BU107">
        <v>1800</v>
      </c>
      <c r="BV107">
        <v>0.91001500000000002</v>
      </c>
      <c r="BW107">
        <v>3.3997300000000001E-2</v>
      </c>
      <c r="BX107">
        <v>2.1995600000000001E-2</v>
      </c>
      <c r="BY107">
        <v>3.3992099999999997E-2</v>
      </c>
      <c r="BZ107">
        <v>26</v>
      </c>
      <c r="CA107">
        <v>33528.400000000001</v>
      </c>
      <c r="CB107">
        <v>1690220522.5999999</v>
      </c>
      <c r="CC107" t="s">
        <v>332</v>
      </c>
      <c r="CD107">
        <v>1690220522.5999999</v>
      </c>
      <c r="CE107">
        <v>1690220510.5999999</v>
      </c>
      <c r="CF107">
        <v>10</v>
      </c>
      <c r="CG107">
        <v>-0.22</v>
      </c>
      <c r="CH107">
        <v>-2.7E-2</v>
      </c>
      <c r="CI107">
        <v>-0.49299999999999999</v>
      </c>
      <c r="CJ107">
        <v>0.152</v>
      </c>
      <c r="CK107">
        <v>800</v>
      </c>
      <c r="CL107">
        <v>19</v>
      </c>
      <c r="CM107">
        <v>0.1</v>
      </c>
      <c r="CN107">
        <v>0.03</v>
      </c>
      <c r="CO107">
        <v>-153.37609756097561</v>
      </c>
      <c r="CP107">
        <v>-17.74484320557519</v>
      </c>
      <c r="CQ107">
        <v>1.7521963333148101</v>
      </c>
      <c r="CR107">
        <v>-1</v>
      </c>
      <c r="CS107">
        <v>8.9500707317073154</v>
      </c>
      <c r="CT107">
        <v>0.8396586062717738</v>
      </c>
      <c r="CU107">
        <v>8.3735279868085224E-2</v>
      </c>
      <c r="CV107">
        <v>-1</v>
      </c>
      <c r="CW107">
        <v>0</v>
      </c>
      <c r="CX107">
        <v>0</v>
      </c>
      <c r="CY107" t="s">
        <v>333</v>
      </c>
      <c r="CZ107">
        <v>2.3642500000000002</v>
      </c>
      <c r="DA107">
        <v>2.7137500000000001</v>
      </c>
      <c r="DB107">
        <v>0.126559</v>
      </c>
      <c r="DC107">
        <v>0.14624699999999999</v>
      </c>
      <c r="DD107">
        <v>0.110871</v>
      </c>
      <c r="DE107">
        <v>7.6108099999999998E-2</v>
      </c>
      <c r="DF107">
        <v>31889.8</v>
      </c>
      <c r="DG107">
        <v>27512.6</v>
      </c>
      <c r="DH107">
        <v>31169.1</v>
      </c>
      <c r="DI107">
        <v>28079.9</v>
      </c>
      <c r="DJ107">
        <v>37624.9</v>
      </c>
      <c r="DK107">
        <v>36889.599999999999</v>
      </c>
      <c r="DL107">
        <v>44357.2</v>
      </c>
      <c r="DM107">
        <v>42559.4</v>
      </c>
      <c r="DN107">
        <v>1.47705</v>
      </c>
      <c r="DO107">
        <v>2.0472999999999999</v>
      </c>
      <c r="DP107">
        <v>0.114325</v>
      </c>
      <c r="DQ107">
        <v>0.16874400000000001</v>
      </c>
      <c r="DR107">
        <v>25.112200000000001</v>
      </c>
      <c r="DS107">
        <v>24.9373</v>
      </c>
      <c r="DT107">
        <v>57.3</v>
      </c>
      <c r="DU107">
        <v>29.5</v>
      </c>
      <c r="DV107">
        <v>23.942</v>
      </c>
      <c r="DW107">
        <v>61.4542</v>
      </c>
      <c r="DX107">
        <v>36.462299999999999</v>
      </c>
      <c r="DY107">
        <v>1</v>
      </c>
      <c r="DZ107">
        <v>-8.5863800000000004E-2</v>
      </c>
      <c r="EA107">
        <v>0.225852</v>
      </c>
      <c r="EB107">
        <v>20.189699999999998</v>
      </c>
      <c r="EC107">
        <v>5.2413999999999996</v>
      </c>
      <c r="ED107">
        <v>12.039899999999999</v>
      </c>
      <c r="EE107">
        <v>5.0173500000000004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1.8689100000000001</v>
      </c>
      <c r="EL107">
        <v>1.8646199999999999</v>
      </c>
      <c r="EM107">
        <v>1.8692</v>
      </c>
      <c r="EN107">
        <v>1.8672200000000001</v>
      </c>
      <c r="EO107">
        <v>1.8633999999999999</v>
      </c>
      <c r="EP107">
        <v>1.86456</v>
      </c>
      <c r="EQ107">
        <v>1.8701399999999999</v>
      </c>
      <c r="ER107">
        <v>1.86941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-0.38400000000000001</v>
      </c>
      <c r="FG107">
        <v>0.16270000000000001</v>
      </c>
      <c r="FH107">
        <v>5.8509882529719233E-2</v>
      </c>
      <c r="FI107">
        <v>-6.1462078757559423E-4</v>
      </c>
      <c r="FJ107">
        <v>-1.8861989874597051E-7</v>
      </c>
      <c r="FK107">
        <v>1.1980462299894961E-10</v>
      </c>
      <c r="FL107">
        <v>0.16277811159127681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23.9</v>
      </c>
      <c r="FU107">
        <v>24.1</v>
      </c>
      <c r="FV107">
        <v>1.78345</v>
      </c>
      <c r="FW107">
        <v>2.5732400000000002</v>
      </c>
      <c r="FX107">
        <v>1.5490699999999999</v>
      </c>
      <c r="FY107">
        <v>2.3290999999999999</v>
      </c>
      <c r="FZ107">
        <v>1.50146</v>
      </c>
      <c r="GA107">
        <v>2.34253</v>
      </c>
      <c r="GB107">
        <v>33.941299999999998</v>
      </c>
      <c r="GC107">
        <v>23.973700000000001</v>
      </c>
      <c r="GD107">
        <v>19</v>
      </c>
      <c r="GE107">
        <v>283.661</v>
      </c>
      <c r="GF107">
        <v>593.36</v>
      </c>
      <c r="GG107">
        <v>23.867000000000001</v>
      </c>
      <c r="GH107">
        <v>26.293099999999999</v>
      </c>
      <c r="GI107">
        <v>30</v>
      </c>
      <c r="GJ107">
        <v>26.445799999999998</v>
      </c>
      <c r="GK107">
        <v>26.4361</v>
      </c>
      <c r="GL107">
        <v>35.649299999999997</v>
      </c>
      <c r="GM107">
        <v>50.663499999999999</v>
      </c>
      <c r="GN107">
        <v>88.574799999999996</v>
      </c>
      <c r="GO107">
        <v>23.895299999999999</v>
      </c>
      <c r="GP107">
        <v>800</v>
      </c>
      <c r="GQ107">
        <v>13.869400000000001</v>
      </c>
      <c r="GR107">
        <v>99.728700000000003</v>
      </c>
      <c r="GS107">
        <v>99.561300000000003</v>
      </c>
    </row>
    <row r="108" spans="1:201" x14ac:dyDescent="0.25">
      <c r="A108">
        <v>92</v>
      </c>
      <c r="B108">
        <v>1690221965</v>
      </c>
      <c r="C108">
        <v>1082.5</v>
      </c>
      <c r="D108" t="s">
        <v>515</v>
      </c>
      <c r="E108" t="s">
        <v>516</v>
      </c>
      <c r="F108" t="s">
        <v>330</v>
      </c>
      <c r="H108">
        <v>1690221965</v>
      </c>
      <c r="I108">
        <f t="shared" si="30"/>
        <v>9.16695759998873E-4</v>
      </c>
      <c r="J108">
        <f t="shared" si="31"/>
        <v>0.91669575999887298</v>
      </c>
      <c r="K108">
        <f t="shared" si="32"/>
        <v>14.73633542837932</v>
      </c>
      <c r="L108">
        <f t="shared" si="33"/>
        <v>640.79200000000003</v>
      </c>
      <c r="M108">
        <f t="shared" si="34"/>
        <v>232.39802412430518</v>
      </c>
      <c r="N108">
        <f t="shared" si="35"/>
        <v>23.049062733442</v>
      </c>
      <c r="O108">
        <f t="shared" si="36"/>
        <v>63.553272721405598</v>
      </c>
      <c r="P108">
        <f t="shared" si="37"/>
        <v>6.007209637319523E-2</v>
      </c>
      <c r="Q108">
        <f t="shared" si="38"/>
        <v>2.197664639840665</v>
      </c>
      <c r="R108">
        <f t="shared" si="39"/>
        <v>5.917455948751834E-2</v>
      </c>
      <c r="S108">
        <f t="shared" si="40"/>
        <v>3.7063622675424956E-2</v>
      </c>
      <c r="T108">
        <f t="shared" si="41"/>
        <v>276.11450947800006</v>
      </c>
      <c r="U108">
        <f t="shared" si="42"/>
        <v>27.934698533626072</v>
      </c>
      <c r="V108">
        <f t="shared" si="43"/>
        <v>27.934698533626072</v>
      </c>
      <c r="W108">
        <f t="shared" si="44"/>
        <v>3.7804172573422785</v>
      </c>
      <c r="X108">
        <f t="shared" si="45"/>
        <v>67.409247938278199</v>
      </c>
      <c r="Y108">
        <f t="shared" si="46"/>
        <v>2.2910209384791398</v>
      </c>
      <c r="Z108">
        <f t="shared" si="47"/>
        <v>3.398674526938593</v>
      </c>
      <c r="AA108">
        <f t="shared" si="48"/>
        <v>1.4893963188631387</v>
      </c>
      <c r="AB108">
        <f t="shared" si="49"/>
        <v>-40.426283015950297</v>
      </c>
      <c r="AC108">
        <f t="shared" si="50"/>
        <v>-214.78126952645903</v>
      </c>
      <c r="AD108">
        <f t="shared" si="51"/>
        <v>-21.097782779867707</v>
      </c>
      <c r="AE108">
        <f t="shared" si="52"/>
        <v>-0.19082584427698634</v>
      </c>
      <c r="AF108">
        <v>0</v>
      </c>
      <c r="AG108">
        <v>0</v>
      </c>
      <c r="AH108">
        <f t="shared" si="53"/>
        <v>1</v>
      </c>
      <c r="AI108">
        <f t="shared" si="54"/>
        <v>0</v>
      </c>
      <c r="AJ108">
        <f t="shared" si="55"/>
        <v>52685.684078168313</v>
      </c>
      <c r="AK108">
        <f t="shared" si="56"/>
        <v>1800</v>
      </c>
      <c r="AL108">
        <f t="shared" si="57"/>
        <v>1499.1137208000002</v>
      </c>
      <c r="AM108">
        <f t="shared" si="58"/>
        <v>0.83284095600000008</v>
      </c>
      <c r="AN108">
        <f t="shared" si="59"/>
        <v>0.15339694971000004</v>
      </c>
      <c r="AO108">
        <v>31.2</v>
      </c>
      <c r="AP108">
        <v>0.5</v>
      </c>
      <c r="AQ108" t="s">
        <v>331</v>
      </c>
      <c r="AR108">
        <v>2</v>
      </c>
      <c r="AS108">
        <v>1690221965</v>
      </c>
      <c r="AT108">
        <v>640.79200000000003</v>
      </c>
      <c r="AU108">
        <v>800.03899999999999</v>
      </c>
      <c r="AV108">
        <v>23.099799999999998</v>
      </c>
      <c r="AW108">
        <v>13.7934</v>
      </c>
      <c r="AX108">
        <v>641.17399999999998</v>
      </c>
      <c r="AY108">
        <v>22.937000000000001</v>
      </c>
      <c r="AZ108">
        <v>300.226</v>
      </c>
      <c r="BA108">
        <v>99.079300000000003</v>
      </c>
      <c r="BB108">
        <v>9.9954299999999996E-2</v>
      </c>
      <c r="BC108">
        <v>26.1219</v>
      </c>
      <c r="BD108">
        <v>26.959700000000002</v>
      </c>
      <c r="BE108">
        <v>27.690799999999999</v>
      </c>
      <c r="BF108">
        <v>0</v>
      </c>
      <c r="BG108">
        <v>0</v>
      </c>
      <c r="BH108">
        <v>10028.1</v>
      </c>
      <c r="BI108">
        <v>1069.9100000000001</v>
      </c>
      <c r="BJ108">
        <v>1.68198</v>
      </c>
      <c r="BK108">
        <v>-159.24700000000001</v>
      </c>
      <c r="BL108">
        <v>655.94500000000005</v>
      </c>
      <c r="BM108">
        <v>811.22900000000004</v>
      </c>
      <c r="BN108">
        <v>9.3063300000000009</v>
      </c>
      <c r="BO108">
        <v>800.03899999999999</v>
      </c>
      <c r="BP108">
        <v>13.7934</v>
      </c>
      <c r="BQ108">
        <v>2.28871</v>
      </c>
      <c r="BR108">
        <v>1.3666400000000001</v>
      </c>
      <c r="BS108">
        <v>19.597100000000001</v>
      </c>
      <c r="BT108">
        <v>11.5525</v>
      </c>
      <c r="BU108">
        <v>1800</v>
      </c>
      <c r="BV108">
        <v>0.91001600000000005</v>
      </c>
      <c r="BW108">
        <v>3.3996899999999997E-2</v>
      </c>
      <c r="BX108">
        <v>2.1995299999999999E-2</v>
      </c>
      <c r="BY108">
        <v>3.39917E-2</v>
      </c>
      <c r="BZ108">
        <v>26</v>
      </c>
      <c r="CA108">
        <v>33528.5</v>
      </c>
      <c r="CB108">
        <v>1690220522.5999999</v>
      </c>
      <c r="CC108" t="s">
        <v>332</v>
      </c>
      <c r="CD108">
        <v>1690220522.5999999</v>
      </c>
      <c r="CE108">
        <v>1690220510.5999999</v>
      </c>
      <c r="CF108">
        <v>10</v>
      </c>
      <c r="CG108">
        <v>-0.22</v>
      </c>
      <c r="CH108">
        <v>-2.7E-2</v>
      </c>
      <c r="CI108">
        <v>-0.49299999999999999</v>
      </c>
      <c r="CJ108">
        <v>0.152</v>
      </c>
      <c r="CK108">
        <v>800</v>
      </c>
      <c r="CL108">
        <v>19</v>
      </c>
      <c r="CM108">
        <v>0.1</v>
      </c>
      <c r="CN108">
        <v>0.03</v>
      </c>
      <c r="CO108">
        <v>-156.22200000000001</v>
      </c>
      <c r="CP108">
        <v>-17.629801125703231</v>
      </c>
      <c r="CQ108">
        <v>1.6989615799069739</v>
      </c>
      <c r="CR108">
        <v>-1</v>
      </c>
      <c r="CS108">
        <v>9.0989342499999992</v>
      </c>
      <c r="CT108">
        <v>0.89887801125701683</v>
      </c>
      <c r="CU108">
        <v>8.7533432209856252E-2</v>
      </c>
      <c r="CV108">
        <v>-1</v>
      </c>
      <c r="CW108">
        <v>0</v>
      </c>
      <c r="CX108">
        <v>0</v>
      </c>
      <c r="CY108" t="s">
        <v>333</v>
      </c>
      <c r="CZ108">
        <v>2.3646199999999999</v>
      </c>
      <c r="DA108">
        <v>2.7137699999999998</v>
      </c>
      <c r="DB108">
        <v>0.12617400000000001</v>
      </c>
      <c r="DC108">
        <v>0.14621999999999999</v>
      </c>
      <c r="DD108">
        <v>0.110925</v>
      </c>
      <c r="DE108">
        <v>7.5382199999999996E-2</v>
      </c>
      <c r="DF108">
        <v>31904.1</v>
      </c>
      <c r="DG108">
        <v>27513.5</v>
      </c>
      <c r="DH108">
        <v>31169.4</v>
      </c>
      <c r="DI108">
        <v>28080</v>
      </c>
      <c r="DJ108">
        <v>37623</v>
      </c>
      <c r="DK108">
        <v>36918.9</v>
      </c>
      <c r="DL108">
        <v>44357.7</v>
      </c>
      <c r="DM108">
        <v>42559.7</v>
      </c>
      <c r="DN108">
        <v>1.4770000000000001</v>
      </c>
      <c r="DO108">
        <v>2.0468999999999999</v>
      </c>
      <c r="DP108">
        <v>0.112925</v>
      </c>
      <c r="DQ108">
        <v>0.16833500000000001</v>
      </c>
      <c r="DR108">
        <v>25.110099999999999</v>
      </c>
      <c r="DS108">
        <v>24.934699999999999</v>
      </c>
      <c r="DT108">
        <v>57.2</v>
      </c>
      <c r="DU108">
        <v>29.5</v>
      </c>
      <c r="DV108">
        <v>23.898700000000002</v>
      </c>
      <c r="DW108">
        <v>61.144199999999998</v>
      </c>
      <c r="DX108">
        <v>36.173900000000003</v>
      </c>
      <c r="DY108">
        <v>1</v>
      </c>
      <c r="DZ108">
        <v>-8.6605699999999994E-2</v>
      </c>
      <c r="EA108">
        <v>0.25154399999999999</v>
      </c>
      <c r="EB108">
        <v>20.189800000000002</v>
      </c>
      <c r="EC108">
        <v>5.2413999999999996</v>
      </c>
      <c r="ED108">
        <v>12.039899999999999</v>
      </c>
      <c r="EE108">
        <v>5.0172999999999996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1.8689100000000001</v>
      </c>
      <c r="EL108">
        <v>1.86463</v>
      </c>
      <c r="EM108">
        <v>1.8691800000000001</v>
      </c>
      <c r="EN108">
        <v>1.8672299999999999</v>
      </c>
      <c r="EO108">
        <v>1.8633999999999999</v>
      </c>
      <c r="EP108">
        <v>1.86452</v>
      </c>
      <c r="EQ108">
        <v>1.8701399999999999</v>
      </c>
      <c r="ER108">
        <v>1.86941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-0.38200000000000001</v>
      </c>
      <c r="FG108">
        <v>0.1628</v>
      </c>
      <c r="FH108">
        <v>5.8509882529719233E-2</v>
      </c>
      <c r="FI108">
        <v>-6.1462078757559423E-4</v>
      </c>
      <c r="FJ108">
        <v>-1.8861989874597051E-7</v>
      </c>
      <c r="FK108">
        <v>1.1980462299894961E-10</v>
      </c>
      <c r="FL108">
        <v>0.16277811159127681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24</v>
      </c>
      <c r="FU108">
        <v>24.2</v>
      </c>
      <c r="FV108">
        <v>1.78223</v>
      </c>
      <c r="FW108">
        <v>2.5817899999999998</v>
      </c>
      <c r="FX108">
        <v>1.5490699999999999</v>
      </c>
      <c r="FY108">
        <v>2.3290999999999999</v>
      </c>
      <c r="FZ108">
        <v>1.50146</v>
      </c>
      <c r="GA108">
        <v>2.4072300000000002</v>
      </c>
      <c r="GB108">
        <v>33.941299999999998</v>
      </c>
      <c r="GC108">
        <v>23.982399999999998</v>
      </c>
      <c r="GD108">
        <v>19</v>
      </c>
      <c r="GE108">
        <v>283.62900000000002</v>
      </c>
      <c r="GF108">
        <v>592.98800000000006</v>
      </c>
      <c r="GG108">
        <v>23.915700000000001</v>
      </c>
      <c r="GH108">
        <v>26.290900000000001</v>
      </c>
      <c r="GI108">
        <v>29.9998</v>
      </c>
      <c r="GJ108">
        <v>26.4435</v>
      </c>
      <c r="GK108">
        <v>26.4328</v>
      </c>
      <c r="GL108">
        <v>35.642800000000001</v>
      </c>
      <c r="GM108">
        <v>50.953400000000002</v>
      </c>
      <c r="GN108">
        <v>88.2</v>
      </c>
      <c r="GO108">
        <v>23.945499999999999</v>
      </c>
      <c r="GP108">
        <v>800</v>
      </c>
      <c r="GQ108">
        <v>13.7075</v>
      </c>
      <c r="GR108">
        <v>99.729699999999994</v>
      </c>
      <c r="GS108">
        <v>99.561800000000005</v>
      </c>
    </row>
    <row r="109" spans="1:201" x14ac:dyDescent="0.25">
      <c r="A109">
        <v>93</v>
      </c>
      <c r="B109">
        <v>1690221975</v>
      </c>
      <c r="C109">
        <v>1092.5</v>
      </c>
      <c r="D109" t="s">
        <v>517</v>
      </c>
      <c r="E109" t="s">
        <v>518</v>
      </c>
      <c r="F109" t="s">
        <v>330</v>
      </c>
      <c r="H109">
        <v>1690221975</v>
      </c>
      <c r="I109">
        <f t="shared" si="30"/>
        <v>9.3233052254837554E-4</v>
      </c>
      <c r="J109">
        <f t="shared" si="31"/>
        <v>0.93233052254837556</v>
      </c>
      <c r="K109">
        <f t="shared" si="32"/>
        <v>15.021424380317908</v>
      </c>
      <c r="L109">
        <f t="shared" si="33"/>
        <v>637.84900000000005</v>
      </c>
      <c r="M109">
        <f t="shared" si="34"/>
        <v>229.07444993239358</v>
      </c>
      <c r="N109">
        <f t="shared" si="35"/>
        <v>22.718959534959694</v>
      </c>
      <c r="O109">
        <f t="shared" si="36"/>
        <v>63.260069486978111</v>
      </c>
      <c r="P109">
        <f t="shared" si="37"/>
        <v>6.1177280278270123E-2</v>
      </c>
      <c r="Q109">
        <f t="shared" si="38"/>
        <v>2.1953442548583473</v>
      </c>
      <c r="R109">
        <f t="shared" si="39"/>
        <v>6.0245722881450553E-2</v>
      </c>
      <c r="S109">
        <f t="shared" si="40"/>
        <v>3.7736091873403467E-2</v>
      </c>
      <c r="T109">
        <f t="shared" si="41"/>
        <v>276.1128473672149</v>
      </c>
      <c r="U109">
        <f t="shared" si="42"/>
        <v>27.934318152458356</v>
      </c>
      <c r="V109">
        <f t="shared" si="43"/>
        <v>27.934318152458356</v>
      </c>
      <c r="W109">
        <f t="shared" si="44"/>
        <v>3.780333386999696</v>
      </c>
      <c r="X109">
        <f t="shared" si="45"/>
        <v>67.440314019541546</v>
      </c>
      <c r="Y109">
        <f t="shared" si="46"/>
        <v>2.2925104283495701</v>
      </c>
      <c r="Z109">
        <f t="shared" si="47"/>
        <v>3.3993175471948289</v>
      </c>
      <c r="AA109">
        <f t="shared" si="48"/>
        <v>1.4878229586501259</v>
      </c>
      <c r="AB109">
        <f t="shared" si="49"/>
        <v>-41.11577604438336</v>
      </c>
      <c r="AC109">
        <f t="shared" si="50"/>
        <v>-214.1307371588268</v>
      </c>
      <c r="AD109">
        <f t="shared" si="51"/>
        <v>-21.056409512063638</v>
      </c>
      <c r="AE109">
        <f t="shared" si="52"/>
        <v>-0.19007534805888326</v>
      </c>
      <c r="AF109">
        <v>0</v>
      </c>
      <c r="AG109">
        <v>0</v>
      </c>
      <c r="AH109">
        <f t="shared" si="53"/>
        <v>1</v>
      </c>
      <c r="AI109">
        <f t="shared" si="54"/>
        <v>0</v>
      </c>
      <c r="AJ109">
        <f t="shared" si="55"/>
        <v>52589.81688053465</v>
      </c>
      <c r="AK109">
        <f t="shared" si="56"/>
        <v>1799.99</v>
      </c>
      <c r="AL109">
        <f t="shared" si="57"/>
        <v>1499.1058351879801</v>
      </c>
      <c r="AM109">
        <f t="shared" si="58"/>
        <v>0.832841202</v>
      </c>
      <c r="AN109">
        <f t="shared" si="59"/>
        <v>0.15339687852000006</v>
      </c>
      <c r="AO109">
        <v>31.2</v>
      </c>
      <c r="AP109">
        <v>0.5</v>
      </c>
      <c r="AQ109" t="s">
        <v>331</v>
      </c>
      <c r="AR109">
        <v>2</v>
      </c>
      <c r="AS109">
        <v>1690221975</v>
      </c>
      <c r="AT109">
        <v>637.84900000000005</v>
      </c>
      <c r="AU109">
        <v>800.15700000000004</v>
      </c>
      <c r="AV109">
        <v>23.115300000000001</v>
      </c>
      <c r="AW109">
        <v>13.648999999999999</v>
      </c>
      <c r="AX109">
        <v>638.22900000000004</v>
      </c>
      <c r="AY109">
        <v>22.952500000000001</v>
      </c>
      <c r="AZ109">
        <v>300.18400000000003</v>
      </c>
      <c r="BA109">
        <v>99.077200000000005</v>
      </c>
      <c r="BB109">
        <v>9.9986900000000004E-2</v>
      </c>
      <c r="BC109">
        <v>26.1251</v>
      </c>
      <c r="BD109">
        <v>26.9297</v>
      </c>
      <c r="BE109">
        <v>27.703700000000001</v>
      </c>
      <c r="BF109">
        <v>0</v>
      </c>
      <c r="BG109">
        <v>0</v>
      </c>
      <c r="BH109">
        <v>10009.4</v>
      </c>
      <c r="BI109">
        <v>1069.96</v>
      </c>
      <c r="BJ109">
        <v>1.68198</v>
      </c>
      <c r="BK109">
        <v>-162.30699999999999</v>
      </c>
      <c r="BL109">
        <v>652.94200000000001</v>
      </c>
      <c r="BM109">
        <v>811.22900000000004</v>
      </c>
      <c r="BN109">
        <v>9.4663199999999996</v>
      </c>
      <c r="BO109">
        <v>800.15700000000004</v>
      </c>
      <c r="BP109">
        <v>13.648999999999999</v>
      </c>
      <c r="BQ109">
        <v>2.2902</v>
      </c>
      <c r="BR109">
        <v>1.3523000000000001</v>
      </c>
      <c r="BS109">
        <v>19.607600000000001</v>
      </c>
      <c r="BT109">
        <v>11.3931</v>
      </c>
      <c r="BU109">
        <v>1799.99</v>
      </c>
      <c r="BV109">
        <v>0.91001900000000002</v>
      </c>
      <c r="BW109">
        <v>3.3995699999999997E-2</v>
      </c>
      <c r="BX109">
        <v>2.19946E-2</v>
      </c>
      <c r="BY109">
        <v>3.3990600000000003E-2</v>
      </c>
      <c r="BZ109">
        <v>26</v>
      </c>
      <c r="CA109">
        <v>33528.400000000001</v>
      </c>
      <c r="CB109">
        <v>1690220522.5999999</v>
      </c>
      <c r="CC109" t="s">
        <v>332</v>
      </c>
      <c r="CD109">
        <v>1690220522.5999999</v>
      </c>
      <c r="CE109">
        <v>1690220510.5999999</v>
      </c>
      <c r="CF109">
        <v>10</v>
      </c>
      <c r="CG109">
        <v>-0.22</v>
      </c>
      <c r="CH109">
        <v>-2.7E-2</v>
      </c>
      <c r="CI109">
        <v>-0.49299999999999999</v>
      </c>
      <c r="CJ109">
        <v>0.152</v>
      </c>
      <c r="CK109">
        <v>800</v>
      </c>
      <c r="CL109">
        <v>19</v>
      </c>
      <c r="CM109">
        <v>0.1</v>
      </c>
      <c r="CN109">
        <v>0.03</v>
      </c>
      <c r="CO109">
        <v>-159.18207317073171</v>
      </c>
      <c r="CP109">
        <v>-17.116891986062591</v>
      </c>
      <c r="CQ109">
        <v>1.689143849962329</v>
      </c>
      <c r="CR109">
        <v>-1</v>
      </c>
      <c r="CS109">
        <v>9.2737192682926839</v>
      </c>
      <c r="CT109">
        <v>1.0583027874564479</v>
      </c>
      <c r="CU109">
        <v>0.1051651440305998</v>
      </c>
      <c r="CV109">
        <v>-1</v>
      </c>
      <c r="CW109">
        <v>0</v>
      </c>
      <c r="CX109">
        <v>0</v>
      </c>
      <c r="CY109" t="s">
        <v>333</v>
      </c>
      <c r="CZ109">
        <v>2.36449</v>
      </c>
      <c r="DA109">
        <v>2.7137899999999999</v>
      </c>
      <c r="DB109">
        <v>0.12576899999999999</v>
      </c>
      <c r="DC109">
        <v>0.146229</v>
      </c>
      <c r="DD109">
        <v>0.11097600000000001</v>
      </c>
      <c r="DE109">
        <v>7.4795399999999998E-2</v>
      </c>
      <c r="DF109">
        <v>31918.6</v>
      </c>
      <c r="DG109">
        <v>27513.599999999999</v>
      </c>
      <c r="DH109">
        <v>31169.200000000001</v>
      </c>
      <c r="DI109">
        <v>28080.400000000001</v>
      </c>
      <c r="DJ109">
        <v>37620.5</v>
      </c>
      <c r="DK109">
        <v>36943</v>
      </c>
      <c r="DL109">
        <v>44357.5</v>
      </c>
      <c r="DM109">
        <v>42560.4</v>
      </c>
      <c r="DN109">
        <v>1.47712</v>
      </c>
      <c r="DO109">
        <v>2.0466700000000002</v>
      </c>
      <c r="DP109">
        <v>0.11121499999999999</v>
      </c>
      <c r="DQ109">
        <v>0.16928799999999999</v>
      </c>
      <c r="DR109">
        <v>25.108000000000001</v>
      </c>
      <c r="DS109">
        <v>24.932099999999998</v>
      </c>
      <c r="DT109">
        <v>57.2</v>
      </c>
      <c r="DU109">
        <v>29.5</v>
      </c>
      <c r="DV109">
        <v>23.896899999999999</v>
      </c>
      <c r="DW109">
        <v>61.5242</v>
      </c>
      <c r="DX109">
        <v>35.737200000000001</v>
      </c>
      <c r="DY109">
        <v>1</v>
      </c>
      <c r="DZ109">
        <v>-8.6659E-2</v>
      </c>
      <c r="EA109">
        <v>0.159409</v>
      </c>
      <c r="EB109">
        <v>20.189900000000002</v>
      </c>
      <c r="EC109">
        <v>5.2416999999999998</v>
      </c>
      <c r="ED109">
        <v>12.039899999999999</v>
      </c>
      <c r="EE109">
        <v>5.0174000000000003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1.8689100000000001</v>
      </c>
      <c r="EL109">
        <v>1.86463</v>
      </c>
      <c r="EM109">
        <v>1.86917</v>
      </c>
      <c r="EN109">
        <v>1.8672299999999999</v>
      </c>
      <c r="EO109">
        <v>1.8633999999999999</v>
      </c>
      <c r="EP109">
        <v>1.86453</v>
      </c>
      <c r="EQ109">
        <v>1.87015</v>
      </c>
      <c r="ER109">
        <v>1.86944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-0.38</v>
      </c>
      <c r="FG109">
        <v>0.1628</v>
      </c>
      <c r="FH109">
        <v>5.8509882529719233E-2</v>
      </c>
      <c r="FI109">
        <v>-6.1462078757559423E-4</v>
      </c>
      <c r="FJ109">
        <v>-1.8861989874597051E-7</v>
      </c>
      <c r="FK109">
        <v>1.1980462299894961E-10</v>
      </c>
      <c r="FL109">
        <v>0.16277811159127681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24.2</v>
      </c>
      <c r="FU109">
        <v>24.4</v>
      </c>
      <c r="FV109">
        <v>1.78223</v>
      </c>
      <c r="FW109">
        <v>2.5854499999999998</v>
      </c>
      <c r="FX109">
        <v>1.5490699999999999</v>
      </c>
      <c r="FY109">
        <v>2.3278799999999999</v>
      </c>
      <c r="FZ109">
        <v>1.50146</v>
      </c>
      <c r="GA109">
        <v>2.2936999999999999</v>
      </c>
      <c r="GB109">
        <v>33.941299999999998</v>
      </c>
      <c r="GC109">
        <v>23.973700000000001</v>
      </c>
      <c r="GD109">
        <v>19</v>
      </c>
      <c r="GE109">
        <v>283.67099999999999</v>
      </c>
      <c r="GF109">
        <v>592.76700000000005</v>
      </c>
      <c r="GG109">
        <v>23.976400000000002</v>
      </c>
      <c r="GH109">
        <v>26.288599999999999</v>
      </c>
      <c r="GI109">
        <v>29.9999</v>
      </c>
      <c r="GJ109">
        <v>26.4407</v>
      </c>
      <c r="GK109">
        <v>26.430099999999999</v>
      </c>
      <c r="GL109">
        <v>35.638500000000001</v>
      </c>
      <c r="GM109">
        <v>51.252099999999999</v>
      </c>
      <c r="GN109">
        <v>87.424400000000006</v>
      </c>
      <c r="GO109">
        <v>24.039300000000001</v>
      </c>
      <c r="GP109">
        <v>800</v>
      </c>
      <c r="GQ109">
        <v>13.5387</v>
      </c>
      <c r="GR109">
        <v>99.729100000000003</v>
      </c>
      <c r="GS109">
        <v>99.563299999999998</v>
      </c>
    </row>
    <row r="110" spans="1:201" x14ac:dyDescent="0.25">
      <c r="A110">
        <v>94</v>
      </c>
      <c r="B110">
        <v>1690221985</v>
      </c>
      <c r="C110">
        <v>1102.5</v>
      </c>
      <c r="D110" t="s">
        <v>519</v>
      </c>
      <c r="E110" t="s">
        <v>520</v>
      </c>
      <c r="F110" t="s">
        <v>330</v>
      </c>
      <c r="H110">
        <v>1690221985</v>
      </c>
      <c r="I110">
        <f t="shared" si="30"/>
        <v>9.5141839863657274E-4</v>
      </c>
      <c r="J110">
        <f t="shared" si="31"/>
        <v>0.95141839863657274</v>
      </c>
      <c r="K110">
        <f t="shared" si="32"/>
        <v>15.265216406936993</v>
      </c>
      <c r="L110">
        <f t="shared" si="33"/>
        <v>635.00699999999995</v>
      </c>
      <c r="M110">
        <f t="shared" si="34"/>
        <v>227.9413867645647</v>
      </c>
      <c r="N110">
        <f t="shared" si="35"/>
        <v>22.607060114155804</v>
      </c>
      <c r="O110">
        <f t="shared" si="36"/>
        <v>62.979530069882998</v>
      </c>
      <c r="P110">
        <f t="shared" si="37"/>
        <v>6.2448086477928398E-2</v>
      </c>
      <c r="Q110">
        <f t="shared" si="38"/>
        <v>2.1935235250813969</v>
      </c>
      <c r="R110">
        <f t="shared" si="39"/>
        <v>6.1476964545487837E-2</v>
      </c>
      <c r="S110">
        <f t="shared" si="40"/>
        <v>3.8509096281712632E-2</v>
      </c>
      <c r="T110">
        <f t="shared" si="41"/>
        <v>276.11288484300661</v>
      </c>
      <c r="U110">
        <f t="shared" si="42"/>
        <v>27.941381474145089</v>
      </c>
      <c r="V110">
        <f t="shared" si="43"/>
        <v>27.941381474145089</v>
      </c>
      <c r="W110">
        <f t="shared" si="44"/>
        <v>3.781891045478297</v>
      </c>
      <c r="X110">
        <f t="shared" si="45"/>
        <v>67.435674642139759</v>
      </c>
      <c r="Y110">
        <f t="shared" si="46"/>
        <v>2.2940065740431002</v>
      </c>
      <c r="Z110">
        <f t="shared" si="47"/>
        <v>3.4017700367300878</v>
      </c>
      <c r="AA110">
        <f t="shared" si="48"/>
        <v>1.4878844714351969</v>
      </c>
      <c r="AB110">
        <f t="shared" si="49"/>
        <v>-41.957551379872861</v>
      </c>
      <c r="AC110">
        <f t="shared" si="50"/>
        <v>-213.34569638022845</v>
      </c>
      <c r="AD110">
        <f t="shared" si="51"/>
        <v>-20.998647875046849</v>
      </c>
      <c r="AE110">
        <f t="shared" si="52"/>
        <v>-0.18901079214154493</v>
      </c>
      <c r="AF110">
        <v>0</v>
      </c>
      <c r="AG110">
        <v>0</v>
      </c>
      <c r="AH110">
        <f t="shared" si="53"/>
        <v>1</v>
      </c>
      <c r="AI110">
        <f t="shared" si="54"/>
        <v>0</v>
      </c>
      <c r="AJ110">
        <f t="shared" si="55"/>
        <v>52513.046204938466</v>
      </c>
      <c r="AK110">
        <f t="shared" si="56"/>
        <v>1799.99</v>
      </c>
      <c r="AL110">
        <f t="shared" si="57"/>
        <v>1499.10666678336</v>
      </c>
      <c r="AM110">
        <f t="shared" si="58"/>
        <v>0.83284166399999993</v>
      </c>
      <c r="AN110">
        <f t="shared" si="59"/>
        <v>0.15339689934</v>
      </c>
      <c r="AO110">
        <v>31.2</v>
      </c>
      <c r="AP110">
        <v>0.5</v>
      </c>
      <c r="AQ110" t="s">
        <v>331</v>
      </c>
      <c r="AR110">
        <v>2</v>
      </c>
      <c r="AS110">
        <v>1690221985</v>
      </c>
      <c r="AT110">
        <v>635.00699999999995</v>
      </c>
      <c r="AU110">
        <v>799.97699999999998</v>
      </c>
      <c r="AV110">
        <v>23.129899999999999</v>
      </c>
      <c r="AW110">
        <v>13.4682</v>
      </c>
      <c r="AX110">
        <v>635.38400000000001</v>
      </c>
      <c r="AY110">
        <v>22.967099999999999</v>
      </c>
      <c r="AZ110">
        <v>300.13</v>
      </c>
      <c r="BA110">
        <v>99.0792</v>
      </c>
      <c r="BB110">
        <v>0.10006900000000001</v>
      </c>
      <c r="BC110">
        <v>26.1373</v>
      </c>
      <c r="BD110">
        <v>26.987200000000001</v>
      </c>
      <c r="BE110">
        <v>27.660799999999998</v>
      </c>
      <c r="BF110">
        <v>0</v>
      </c>
      <c r="BG110">
        <v>0</v>
      </c>
      <c r="BH110">
        <v>9994.3799999999992</v>
      </c>
      <c r="BI110">
        <v>1069.96</v>
      </c>
      <c r="BJ110">
        <v>1.68198</v>
      </c>
      <c r="BK110">
        <v>-164.97</v>
      </c>
      <c r="BL110">
        <v>650.04200000000003</v>
      </c>
      <c r="BM110">
        <v>810.89800000000002</v>
      </c>
      <c r="BN110">
        <v>9.6616999999999997</v>
      </c>
      <c r="BO110">
        <v>799.97699999999998</v>
      </c>
      <c r="BP110">
        <v>13.4682</v>
      </c>
      <c r="BQ110">
        <v>2.29169</v>
      </c>
      <c r="BR110">
        <v>1.3344100000000001</v>
      </c>
      <c r="BS110">
        <v>19.618099999999998</v>
      </c>
      <c r="BT110">
        <v>11.1922</v>
      </c>
      <c r="BU110">
        <v>1799.99</v>
      </c>
      <c r="BV110">
        <v>0.91002099999999997</v>
      </c>
      <c r="BW110">
        <v>3.39951E-2</v>
      </c>
      <c r="BX110">
        <v>2.1994199999999998E-2</v>
      </c>
      <c r="BY110">
        <v>3.3989999999999999E-2</v>
      </c>
      <c r="BZ110">
        <v>26</v>
      </c>
      <c r="CA110">
        <v>33528.400000000001</v>
      </c>
      <c r="CB110">
        <v>1690220522.5999999</v>
      </c>
      <c r="CC110" t="s">
        <v>332</v>
      </c>
      <c r="CD110">
        <v>1690220522.5999999</v>
      </c>
      <c r="CE110">
        <v>1690220510.5999999</v>
      </c>
      <c r="CF110">
        <v>10</v>
      </c>
      <c r="CG110">
        <v>-0.22</v>
      </c>
      <c r="CH110">
        <v>-2.7E-2</v>
      </c>
      <c r="CI110">
        <v>-0.49299999999999999</v>
      </c>
      <c r="CJ110">
        <v>0.152</v>
      </c>
      <c r="CK110">
        <v>800</v>
      </c>
      <c r="CL110">
        <v>19</v>
      </c>
      <c r="CM110">
        <v>0.1</v>
      </c>
      <c r="CN110">
        <v>0.03</v>
      </c>
      <c r="CO110">
        <v>-162.07668292682931</v>
      </c>
      <c r="CP110">
        <v>-17.6690801393732</v>
      </c>
      <c r="CQ110">
        <v>1.7426869699043339</v>
      </c>
      <c r="CR110">
        <v>-1</v>
      </c>
      <c r="CS110">
        <v>9.4599134146341441</v>
      </c>
      <c r="CT110">
        <v>1.120293658536595</v>
      </c>
      <c r="CU110">
        <v>0.11166963238990441</v>
      </c>
      <c r="CV110">
        <v>-1</v>
      </c>
      <c r="CW110">
        <v>0</v>
      </c>
      <c r="CX110">
        <v>0</v>
      </c>
      <c r="CY110" t="s">
        <v>333</v>
      </c>
      <c r="CZ110">
        <v>2.36435</v>
      </c>
      <c r="DA110">
        <v>2.7138599999999999</v>
      </c>
      <c r="DB110">
        <v>0.12538199999999999</v>
      </c>
      <c r="DC110">
        <v>0.146207</v>
      </c>
      <c r="DD110">
        <v>0.111029</v>
      </c>
      <c r="DE110">
        <v>7.4061100000000005E-2</v>
      </c>
      <c r="DF110">
        <v>31933.599999999999</v>
      </c>
      <c r="DG110">
        <v>27514.400000000001</v>
      </c>
      <c r="DH110">
        <v>31170</v>
      </c>
      <c r="DI110">
        <v>28080.5</v>
      </c>
      <c r="DJ110">
        <v>37619.1</v>
      </c>
      <c r="DK110">
        <v>36972.400000000001</v>
      </c>
      <c r="DL110">
        <v>44358.5</v>
      </c>
      <c r="DM110">
        <v>42560.5</v>
      </c>
      <c r="DN110">
        <v>1.4775499999999999</v>
      </c>
      <c r="DO110">
        <v>2.0464699999999998</v>
      </c>
      <c r="DP110">
        <v>0.11489199999999999</v>
      </c>
      <c r="DQ110">
        <v>0.166822</v>
      </c>
      <c r="DR110">
        <v>25.105399999999999</v>
      </c>
      <c r="DS110">
        <v>24.929500000000001</v>
      </c>
      <c r="DT110">
        <v>57</v>
      </c>
      <c r="DU110">
        <v>29.5</v>
      </c>
      <c r="DV110">
        <v>23.8154</v>
      </c>
      <c r="DW110">
        <v>61.874200000000002</v>
      </c>
      <c r="DX110">
        <v>36.718800000000002</v>
      </c>
      <c r="DY110">
        <v>1</v>
      </c>
      <c r="DZ110">
        <v>-8.8005600000000003E-2</v>
      </c>
      <c r="EA110">
        <v>9.1876399999999997E-2</v>
      </c>
      <c r="EB110">
        <v>20.190100000000001</v>
      </c>
      <c r="EC110">
        <v>5.24125</v>
      </c>
      <c r="ED110">
        <v>12.039899999999999</v>
      </c>
      <c r="EE110">
        <v>5.0171999999999999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1.8689100000000001</v>
      </c>
      <c r="EL110">
        <v>1.8646199999999999</v>
      </c>
      <c r="EM110">
        <v>1.86917</v>
      </c>
      <c r="EN110">
        <v>1.8672200000000001</v>
      </c>
      <c r="EO110">
        <v>1.8633999999999999</v>
      </c>
      <c r="EP110">
        <v>1.8645400000000001</v>
      </c>
      <c r="EQ110">
        <v>1.87015</v>
      </c>
      <c r="ER110">
        <v>1.8694200000000001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-0.377</v>
      </c>
      <c r="FG110">
        <v>0.1628</v>
      </c>
      <c r="FH110">
        <v>5.8509882529719233E-2</v>
      </c>
      <c r="FI110">
        <v>-6.1462078757559423E-4</v>
      </c>
      <c r="FJ110">
        <v>-1.8861989874597051E-7</v>
      </c>
      <c r="FK110">
        <v>1.1980462299894961E-10</v>
      </c>
      <c r="FL110">
        <v>0.16277811159127681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24.4</v>
      </c>
      <c r="FU110">
        <v>24.6</v>
      </c>
      <c r="FV110">
        <v>1.78223</v>
      </c>
      <c r="FW110">
        <v>2.5756800000000002</v>
      </c>
      <c r="FX110">
        <v>1.5490699999999999</v>
      </c>
      <c r="FY110">
        <v>2.3290999999999999</v>
      </c>
      <c r="FZ110">
        <v>1.50146</v>
      </c>
      <c r="GA110">
        <v>2.4060100000000002</v>
      </c>
      <c r="GB110">
        <v>33.941299999999998</v>
      </c>
      <c r="GC110">
        <v>23.982399999999998</v>
      </c>
      <c r="GD110">
        <v>19</v>
      </c>
      <c r="GE110">
        <v>283.83999999999997</v>
      </c>
      <c r="GF110">
        <v>592.56799999999998</v>
      </c>
      <c r="GG110">
        <v>24.069900000000001</v>
      </c>
      <c r="GH110">
        <v>26.285299999999999</v>
      </c>
      <c r="GI110">
        <v>29.999600000000001</v>
      </c>
      <c r="GJ110">
        <v>26.437899999999999</v>
      </c>
      <c r="GK110">
        <v>26.427299999999999</v>
      </c>
      <c r="GL110">
        <v>35.6374</v>
      </c>
      <c r="GM110">
        <v>51.539400000000001</v>
      </c>
      <c r="GN110">
        <v>87.037099999999995</v>
      </c>
      <c r="GO110">
        <v>24.073499999999999</v>
      </c>
      <c r="GP110">
        <v>800</v>
      </c>
      <c r="GQ110">
        <v>13.3741</v>
      </c>
      <c r="GR110">
        <v>99.731499999999997</v>
      </c>
      <c r="GS110">
        <v>99.563599999999994</v>
      </c>
    </row>
    <row r="111" spans="1:201" x14ac:dyDescent="0.25">
      <c r="A111">
        <v>95</v>
      </c>
      <c r="B111">
        <v>1690221995</v>
      </c>
      <c r="C111">
        <v>1112.5</v>
      </c>
      <c r="D111" t="s">
        <v>521</v>
      </c>
      <c r="E111" t="s">
        <v>522</v>
      </c>
      <c r="F111" t="s">
        <v>330</v>
      </c>
      <c r="H111">
        <v>1690221995</v>
      </c>
      <c r="I111">
        <f t="shared" si="30"/>
        <v>9.6568935387387426E-4</v>
      </c>
      <c r="J111">
        <f t="shared" si="31"/>
        <v>0.96568935387387422</v>
      </c>
      <c r="K111">
        <f t="shared" si="32"/>
        <v>15.544753234432092</v>
      </c>
      <c r="L111">
        <f t="shared" si="33"/>
        <v>632.101</v>
      </c>
      <c r="M111">
        <f t="shared" si="34"/>
        <v>223.55172718344721</v>
      </c>
      <c r="N111">
        <f t="shared" si="35"/>
        <v>22.171545027053444</v>
      </c>
      <c r="O111">
        <f t="shared" si="36"/>
        <v>62.690885727959696</v>
      </c>
      <c r="P111">
        <f t="shared" si="37"/>
        <v>6.3353479442296426E-2</v>
      </c>
      <c r="Q111">
        <f t="shared" si="38"/>
        <v>2.1937459859265305</v>
      </c>
      <c r="R111">
        <f t="shared" si="39"/>
        <v>6.2354336600673389E-2</v>
      </c>
      <c r="S111">
        <f t="shared" si="40"/>
        <v>3.9059916785666705E-2</v>
      </c>
      <c r="T111">
        <f t="shared" si="41"/>
        <v>276.114155778</v>
      </c>
      <c r="U111">
        <f t="shared" si="42"/>
        <v>27.949255435212564</v>
      </c>
      <c r="V111">
        <f t="shared" si="43"/>
        <v>27.949255435212564</v>
      </c>
      <c r="W111">
        <f t="shared" si="44"/>
        <v>3.7836281324759184</v>
      </c>
      <c r="X111">
        <f t="shared" si="45"/>
        <v>67.404787655983611</v>
      </c>
      <c r="Y111">
        <f t="shared" si="46"/>
        <v>2.2947049477478698</v>
      </c>
      <c r="Z111">
        <f t="shared" si="47"/>
        <v>3.4043649235414004</v>
      </c>
      <c r="AA111">
        <f t="shared" si="48"/>
        <v>1.4889231847280486</v>
      </c>
      <c r="AB111">
        <f t="shared" si="49"/>
        <v>-42.586900505837853</v>
      </c>
      <c r="AC111">
        <f t="shared" si="50"/>
        <v>-212.77290751439855</v>
      </c>
      <c r="AD111">
        <f t="shared" si="51"/>
        <v>-20.942320951994951</v>
      </c>
      <c r="AE111">
        <f t="shared" si="52"/>
        <v>-0.18797319423137537</v>
      </c>
      <c r="AF111">
        <v>0</v>
      </c>
      <c r="AG111">
        <v>0</v>
      </c>
      <c r="AH111">
        <f t="shared" si="53"/>
        <v>1</v>
      </c>
      <c r="AI111">
        <f t="shared" si="54"/>
        <v>0</v>
      </c>
      <c r="AJ111">
        <f t="shared" si="55"/>
        <v>52519.88821415836</v>
      </c>
      <c r="AK111">
        <f t="shared" si="56"/>
        <v>1800</v>
      </c>
      <c r="AL111">
        <f t="shared" si="57"/>
        <v>1499.1141798000001</v>
      </c>
      <c r="AM111">
        <f t="shared" si="58"/>
        <v>0.83284121100000008</v>
      </c>
      <c r="AN111">
        <f t="shared" si="59"/>
        <v>0.15339675320999999</v>
      </c>
      <c r="AO111">
        <v>31.2</v>
      </c>
      <c r="AP111">
        <v>0.5</v>
      </c>
      <c r="AQ111" t="s">
        <v>331</v>
      </c>
      <c r="AR111">
        <v>2</v>
      </c>
      <c r="AS111">
        <v>1690221995</v>
      </c>
      <c r="AT111">
        <v>632.101</v>
      </c>
      <c r="AU111">
        <v>800</v>
      </c>
      <c r="AV111">
        <v>23.1371</v>
      </c>
      <c r="AW111">
        <v>13.333</v>
      </c>
      <c r="AX111">
        <v>632.476</v>
      </c>
      <c r="AY111">
        <v>22.974299999999999</v>
      </c>
      <c r="AZ111">
        <v>300.20499999999998</v>
      </c>
      <c r="BA111">
        <v>99.078599999999994</v>
      </c>
      <c r="BB111">
        <v>9.9989700000000001E-2</v>
      </c>
      <c r="BC111">
        <v>26.150200000000002</v>
      </c>
      <c r="BD111">
        <v>27.005600000000001</v>
      </c>
      <c r="BE111">
        <v>27.6936</v>
      </c>
      <c r="BF111">
        <v>0</v>
      </c>
      <c r="BG111">
        <v>0</v>
      </c>
      <c r="BH111">
        <v>9996.25</v>
      </c>
      <c r="BI111">
        <v>1070.08</v>
      </c>
      <c r="BJ111">
        <v>1.68198</v>
      </c>
      <c r="BK111">
        <v>-167.899</v>
      </c>
      <c r="BL111">
        <v>647.072</v>
      </c>
      <c r="BM111">
        <v>810.81100000000004</v>
      </c>
      <c r="BN111">
        <v>9.8040199999999995</v>
      </c>
      <c r="BO111">
        <v>800</v>
      </c>
      <c r="BP111">
        <v>13.333</v>
      </c>
      <c r="BQ111">
        <v>2.2923900000000001</v>
      </c>
      <c r="BR111">
        <v>1.3210200000000001</v>
      </c>
      <c r="BS111">
        <v>19.623000000000001</v>
      </c>
      <c r="BT111">
        <v>11.040100000000001</v>
      </c>
      <c r="BU111">
        <v>1800</v>
      </c>
      <c r="BV111">
        <v>0.910022</v>
      </c>
      <c r="BW111">
        <v>3.3994499999999997E-2</v>
      </c>
      <c r="BX111">
        <v>2.1993800000000001E-2</v>
      </c>
      <c r="BY111">
        <v>3.39893E-2</v>
      </c>
      <c r="BZ111">
        <v>26</v>
      </c>
      <c r="CA111">
        <v>33528.5</v>
      </c>
      <c r="CB111">
        <v>1690220522.5999999</v>
      </c>
      <c r="CC111" t="s">
        <v>332</v>
      </c>
      <c r="CD111">
        <v>1690220522.5999999</v>
      </c>
      <c r="CE111">
        <v>1690220510.5999999</v>
      </c>
      <c r="CF111">
        <v>10</v>
      </c>
      <c r="CG111">
        <v>-0.22</v>
      </c>
      <c r="CH111">
        <v>-2.7E-2</v>
      </c>
      <c r="CI111">
        <v>-0.49299999999999999</v>
      </c>
      <c r="CJ111">
        <v>0.152</v>
      </c>
      <c r="CK111">
        <v>800</v>
      </c>
      <c r="CL111">
        <v>19</v>
      </c>
      <c r="CM111">
        <v>0.1</v>
      </c>
      <c r="CN111">
        <v>0.03</v>
      </c>
      <c r="CO111">
        <v>-164.88477499999999</v>
      </c>
      <c r="CP111">
        <v>-16.97528330206368</v>
      </c>
      <c r="CQ111">
        <v>1.6339691320141281</v>
      </c>
      <c r="CR111">
        <v>-1</v>
      </c>
      <c r="CS111">
        <v>9.6317374999999998</v>
      </c>
      <c r="CT111">
        <v>1.0287455909943659</v>
      </c>
      <c r="CU111">
        <v>0.1003035864949504</v>
      </c>
      <c r="CV111">
        <v>-1</v>
      </c>
      <c r="CW111">
        <v>0</v>
      </c>
      <c r="CX111">
        <v>0</v>
      </c>
      <c r="CY111" t="s">
        <v>333</v>
      </c>
      <c r="CZ111">
        <v>2.3645800000000001</v>
      </c>
      <c r="DA111">
        <v>2.7137799999999999</v>
      </c>
      <c r="DB111">
        <v>0.124982</v>
      </c>
      <c r="DC111">
        <v>0.146208</v>
      </c>
      <c r="DD111">
        <v>0.111053</v>
      </c>
      <c r="DE111">
        <v>7.3508400000000002E-2</v>
      </c>
      <c r="DF111">
        <v>31948.3</v>
      </c>
      <c r="DG111">
        <v>27514.7</v>
      </c>
      <c r="DH111">
        <v>31170.1</v>
      </c>
      <c r="DI111">
        <v>28080.799999999999</v>
      </c>
      <c r="DJ111">
        <v>37618.300000000003</v>
      </c>
      <c r="DK111">
        <v>36994.699999999997</v>
      </c>
      <c r="DL111">
        <v>44358.8</v>
      </c>
      <c r="DM111">
        <v>42560.7</v>
      </c>
      <c r="DN111">
        <v>1.4776499999999999</v>
      </c>
      <c r="DO111">
        <v>2.04623</v>
      </c>
      <c r="DP111">
        <v>0.116143</v>
      </c>
      <c r="DQ111">
        <v>0.16892299999999999</v>
      </c>
      <c r="DR111">
        <v>25.103300000000001</v>
      </c>
      <c r="DS111">
        <v>24.927900000000001</v>
      </c>
      <c r="DT111">
        <v>56.9</v>
      </c>
      <c r="DU111">
        <v>29.5</v>
      </c>
      <c r="DV111">
        <v>23.7699</v>
      </c>
      <c r="DW111">
        <v>61.234200000000001</v>
      </c>
      <c r="DX111">
        <v>35.697099999999999</v>
      </c>
      <c r="DY111">
        <v>1</v>
      </c>
      <c r="DZ111">
        <v>-8.7497500000000006E-2</v>
      </c>
      <c r="EA111">
        <v>0.21304200000000001</v>
      </c>
      <c r="EB111">
        <v>20.190100000000001</v>
      </c>
      <c r="EC111">
        <v>5.2415500000000002</v>
      </c>
      <c r="ED111">
        <v>12.039899999999999</v>
      </c>
      <c r="EE111">
        <v>5.0177500000000004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1.8689100000000001</v>
      </c>
      <c r="EL111">
        <v>1.8646199999999999</v>
      </c>
      <c r="EM111">
        <v>1.8691800000000001</v>
      </c>
      <c r="EN111">
        <v>1.8672200000000001</v>
      </c>
      <c r="EO111">
        <v>1.8633999999999999</v>
      </c>
      <c r="EP111">
        <v>1.8645499999999999</v>
      </c>
      <c r="EQ111">
        <v>1.87015</v>
      </c>
      <c r="ER111">
        <v>1.8694299999999999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-0.375</v>
      </c>
      <c r="FG111">
        <v>0.1628</v>
      </c>
      <c r="FH111">
        <v>5.8509882529719233E-2</v>
      </c>
      <c r="FI111">
        <v>-6.1462078757559423E-4</v>
      </c>
      <c r="FJ111">
        <v>-1.8861989874597051E-7</v>
      </c>
      <c r="FK111">
        <v>1.1980462299894961E-10</v>
      </c>
      <c r="FL111">
        <v>0.16277811159127681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24.5</v>
      </c>
      <c r="FU111">
        <v>24.7</v>
      </c>
      <c r="FV111">
        <v>1.78223</v>
      </c>
      <c r="FW111">
        <v>2.5793499999999998</v>
      </c>
      <c r="FX111">
        <v>1.5490699999999999</v>
      </c>
      <c r="FY111">
        <v>2.3290999999999999</v>
      </c>
      <c r="FZ111">
        <v>1.50146</v>
      </c>
      <c r="GA111">
        <v>2.3706100000000001</v>
      </c>
      <c r="GB111">
        <v>33.941299999999998</v>
      </c>
      <c r="GC111">
        <v>23.973700000000001</v>
      </c>
      <c r="GD111">
        <v>19</v>
      </c>
      <c r="GE111">
        <v>283.87099999999998</v>
      </c>
      <c r="GF111">
        <v>592.33299999999997</v>
      </c>
      <c r="GG111">
        <v>24.091000000000001</v>
      </c>
      <c r="GH111">
        <v>26.282499999999999</v>
      </c>
      <c r="GI111">
        <v>30.0002</v>
      </c>
      <c r="GJ111">
        <v>26.435099999999998</v>
      </c>
      <c r="GK111">
        <v>26.425000000000001</v>
      </c>
      <c r="GL111">
        <v>35.634300000000003</v>
      </c>
      <c r="GM111">
        <v>52.120100000000001</v>
      </c>
      <c r="GN111">
        <v>86.274799999999999</v>
      </c>
      <c r="GO111">
        <v>23.969000000000001</v>
      </c>
      <c r="GP111">
        <v>800</v>
      </c>
      <c r="GQ111">
        <v>13.205500000000001</v>
      </c>
      <c r="GR111">
        <v>99.732100000000003</v>
      </c>
      <c r="GS111">
        <v>99.564400000000006</v>
      </c>
    </row>
    <row r="112" spans="1:201" x14ac:dyDescent="0.25">
      <c r="A112">
        <v>96</v>
      </c>
      <c r="B112">
        <v>1690222005</v>
      </c>
      <c r="C112">
        <v>1122.5</v>
      </c>
      <c r="D112" t="s">
        <v>523</v>
      </c>
      <c r="E112" t="s">
        <v>524</v>
      </c>
      <c r="F112" t="s">
        <v>330</v>
      </c>
      <c r="H112">
        <v>1690222005</v>
      </c>
      <c r="I112">
        <f t="shared" si="30"/>
        <v>9.8270015549790164E-4</v>
      </c>
      <c r="J112">
        <f t="shared" si="31"/>
        <v>0.98270015549790157</v>
      </c>
      <c r="K112">
        <f t="shared" si="32"/>
        <v>15.817436546120639</v>
      </c>
      <c r="L112">
        <f t="shared" si="33"/>
        <v>629.16099999999994</v>
      </c>
      <c r="M112">
        <f t="shared" si="34"/>
        <v>220.93454328346613</v>
      </c>
      <c r="N112">
        <f t="shared" si="35"/>
        <v>21.912512914219235</v>
      </c>
      <c r="O112">
        <f t="shared" si="36"/>
        <v>62.400828465897995</v>
      </c>
      <c r="P112">
        <f t="shared" si="37"/>
        <v>6.4520716850296006E-2</v>
      </c>
      <c r="Q112">
        <f t="shared" si="38"/>
        <v>2.1947772996273427</v>
      </c>
      <c r="R112">
        <f t="shared" si="39"/>
        <v>6.3485220950680807E-2</v>
      </c>
      <c r="S112">
        <f t="shared" si="40"/>
        <v>3.9769913954108144E-2</v>
      </c>
      <c r="T112">
        <f t="shared" si="41"/>
        <v>276.11413268399997</v>
      </c>
      <c r="U112">
        <f t="shared" si="42"/>
        <v>27.941510145395227</v>
      </c>
      <c r="V112">
        <f t="shared" si="43"/>
        <v>27.941510145395227</v>
      </c>
      <c r="W112">
        <f t="shared" si="44"/>
        <v>3.781919426252903</v>
      </c>
      <c r="X112">
        <f t="shared" si="45"/>
        <v>67.380044164243643</v>
      </c>
      <c r="Y112">
        <f t="shared" si="46"/>
        <v>2.2936998946752003</v>
      </c>
      <c r="Z112">
        <f t="shared" si="47"/>
        <v>3.4041234658204496</v>
      </c>
      <c r="AA112">
        <f t="shared" si="48"/>
        <v>1.4882195315777027</v>
      </c>
      <c r="AB112">
        <f t="shared" si="49"/>
        <v>-43.337076857457461</v>
      </c>
      <c r="AC112">
        <f t="shared" si="50"/>
        <v>-212.0984649983892</v>
      </c>
      <c r="AD112">
        <f t="shared" si="51"/>
        <v>-20.865194536068049</v>
      </c>
      <c r="AE112">
        <f t="shared" si="52"/>
        <v>-0.18660370791474179</v>
      </c>
      <c r="AF112">
        <v>0</v>
      </c>
      <c r="AG112">
        <v>0</v>
      </c>
      <c r="AH112">
        <f t="shared" si="53"/>
        <v>1</v>
      </c>
      <c r="AI112">
        <f t="shared" si="54"/>
        <v>0</v>
      </c>
      <c r="AJ112">
        <f t="shared" si="55"/>
        <v>52562.440843022501</v>
      </c>
      <c r="AK112">
        <f t="shared" si="56"/>
        <v>1800</v>
      </c>
      <c r="AL112">
        <f t="shared" si="57"/>
        <v>1499.1154254</v>
      </c>
      <c r="AM112">
        <f t="shared" si="58"/>
        <v>0.83284190300000005</v>
      </c>
      <c r="AN112">
        <f t="shared" si="59"/>
        <v>0.15339674037999998</v>
      </c>
      <c r="AO112">
        <v>31.2</v>
      </c>
      <c r="AP112">
        <v>0.5</v>
      </c>
      <c r="AQ112" t="s">
        <v>331</v>
      </c>
      <c r="AR112">
        <v>2</v>
      </c>
      <c r="AS112">
        <v>1690222005</v>
      </c>
      <c r="AT112">
        <v>629.16099999999994</v>
      </c>
      <c r="AU112">
        <v>800.04399999999998</v>
      </c>
      <c r="AV112">
        <v>23.1264</v>
      </c>
      <c r="AW112">
        <v>13.1455</v>
      </c>
      <c r="AX112">
        <v>629.53499999999997</v>
      </c>
      <c r="AY112">
        <v>22.963699999999999</v>
      </c>
      <c r="AZ112">
        <v>300.08499999999998</v>
      </c>
      <c r="BA112">
        <v>99.081000000000003</v>
      </c>
      <c r="BB112">
        <v>0.100018</v>
      </c>
      <c r="BC112">
        <v>26.149000000000001</v>
      </c>
      <c r="BD112">
        <v>27.014399999999998</v>
      </c>
      <c r="BE112">
        <v>27.691500000000001</v>
      </c>
      <c r="BF112">
        <v>0</v>
      </c>
      <c r="BG112">
        <v>0</v>
      </c>
      <c r="BH112">
        <v>10004.4</v>
      </c>
      <c r="BI112">
        <v>1070.1199999999999</v>
      </c>
      <c r="BJ112">
        <v>1.68198</v>
      </c>
      <c r="BK112">
        <v>-170.88200000000001</v>
      </c>
      <c r="BL112">
        <v>644.05600000000004</v>
      </c>
      <c r="BM112">
        <v>810.70100000000002</v>
      </c>
      <c r="BN112">
        <v>9.98095</v>
      </c>
      <c r="BO112">
        <v>800.04399999999998</v>
      </c>
      <c r="BP112">
        <v>13.1455</v>
      </c>
      <c r="BQ112">
        <v>2.2913899999999998</v>
      </c>
      <c r="BR112">
        <v>1.30247</v>
      </c>
      <c r="BS112">
        <v>19.616</v>
      </c>
      <c r="BT112">
        <v>10.827400000000001</v>
      </c>
      <c r="BU112">
        <v>1800</v>
      </c>
      <c r="BV112">
        <v>0.910026</v>
      </c>
      <c r="BW112">
        <v>3.3993200000000001E-2</v>
      </c>
      <c r="BX112">
        <v>2.1992899999999999E-2</v>
      </c>
      <c r="BY112">
        <v>3.3987999999999997E-2</v>
      </c>
      <c r="BZ112">
        <v>26</v>
      </c>
      <c r="CA112">
        <v>33528.6</v>
      </c>
      <c r="CB112">
        <v>1690220522.5999999</v>
      </c>
      <c r="CC112" t="s">
        <v>332</v>
      </c>
      <c r="CD112">
        <v>1690220522.5999999</v>
      </c>
      <c r="CE112">
        <v>1690220510.5999999</v>
      </c>
      <c r="CF112">
        <v>10</v>
      </c>
      <c r="CG112">
        <v>-0.22</v>
      </c>
      <c r="CH112">
        <v>-2.7E-2</v>
      </c>
      <c r="CI112">
        <v>-0.49299999999999999</v>
      </c>
      <c r="CJ112">
        <v>0.152</v>
      </c>
      <c r="CK112">
        <v>800</v>
      </c>
      <c r="CL112">
        <v>19</v>
      </c>
      <c r="CM112">
        <v>0.1</v>
      </c>
      <c r="CN112">
        <v>0.03</v>
      </c>
      <c r="CO112">
        <v>-167.81856097560981</v>
      </c>
      <c r="CP112">
        <v>-17.516529616724942</v>
      </c>
      <c r="CQ112">
        <v>1.7287657524285309</v>
      </c>
      <c r="CR112">
        <v>-1</v>
      </c>
      <c r="CS112">
        <v>9.8122334146341448</v>
      </c>
      <c r="CT112">
        <v>1.0970517073170649</v>
      </c>
      <c r="CU112">
        <v>0.1093546719001481</v>
      </c>
      <c r="CV112">
        <v>-1</v>
      </c>
      <c r="CW112">
        <v>0</v>
      </c>
      <c r="CX112">
        <v>0</v>
      </c>
      <c r="CY112" t="s">
        <v>333</v>
      </c>
      <c r="CZ112">
        <v>2.3641999999999999</v>
      </c>
      <c r="DA112">
        <v>2.7138100000000001</v>
      </c>
      <c r="DB112">
        <v>0.12458</v>
      </c>
      <c r="DC112">
        <v>0.14621300000000001</v>
      </c>
      <c r="DD112">
        <v>0.11101999999999999</v>
      </c>
      <c r="DE112">
        <v>7.2739899999999996E-2</v>
      </c>
      <c r="DF112">
        <v>31962.5</v>
      </c>
      <c r="DG112">
        <v>27514</v>
      </c>
      <c r="DH112">
        <v>31169.599999999999</v>
      </c>
      <c r="DI112">
        <v>28080.3</v>
      </c>
      <c r="DJ112">
        <v>37619</v>
      </c>
      <c r="DK112">
        <v>37025</v>
      </c>
      <c r="DL112">
        <v>44358.1</v>
      </c>
      <c r="DM112">
        <v>42560.1</v>
      </c>
      <c r="DN112">
        <v>1.47732</v>
      </c>
      <c r="DO112">
        <v>2.0459999999999998</v>
      </c>
      <c r="DP112">
        <v>0.116784</v>
      </c>
      <c r="DQ112">
        <v>0.16886399999999999</v>
      </c>
      <c r="DR112">
        <v>25.101600000000001</v>
      </c>
      <c r="DS112">
        <v>24.9268</v>
      </c>
      <c r="DT112">
        <v>56.8</v>
      </c>
      <c r="DU112">
        <v>29.5</v>
      </c>
      <c r="DV112">
        <v>23.732700000000001</v>
      </c>
      <c r="DW112">
        <v>61.464199999999998</v>
      </c>
      <c r="DX112">
        <v>36.354199999999999</v>
      </c>
      <c r="DY112">
        <v>1</v>
      </c>
      <c r="DZ112">
        <v>-8.6989300000000006E-2</v>
      </c>
      <c r="EA112">
        <v>0.36900300000000003</v>
      </c>
      <c r="EB112">
        <v>20.1891</v>
      </c>
      <c r="EC112">
        <v>5.2413999999999996</v>
      </c>
      <c r="ED112">
        <v>12.039899999999999</v>
      </c>
      <c r="EE112">
        <v>5.0172499999999998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1.8689199999999999</v>
      </c>
      <c r="EL112">
        <v>1.86463</v>
      </c>
      <c r="EM112">
        <v>1.8691899999999999</v>
      </c>
      <c r="EN112">
        <v>1.8672200000000001</v>
      </c>
      <c r="EO112">
        <v>1.8633999999999999</v>
      </c>
      <c r="EP112">
        <v>1.8645499999999999</v>
      </c>
      <c r="EQ112">
        <v>1.87015</v>
      </c>
      <c r="ER112">
        <v>1.8694299999999999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-0.374</v>
      </c>
      <c r="FG112">
        <v>0.16270000000000001</v>
      </c>
      <c r="FH112">
        <v>5.8509882529719233E-2</v>
      </c>
      <c r="FI112">
        <v>-6.1462078757559423E-4</v>
      </c>
      <c r="FJ112">
        <v>-1.8861989874597051E-7</v>
      </c>
      <c r="FK112">
        <v>1.1980462299894961E-10</v>
      </c>
      <c r="FL112">
        <v>0.16277811159127681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24.7</v>
      </c>
      <c r="FU112">
        <v>24.9</v>
      </c>
      <c r="FV112">
        <v>1.78101</v>
      </c>
      <c r="FW112">
        <v>2.5817899999999998</v>
      </c>
      <c r="FX112">
        <v>1.5490699999999999</v>
      </c>
      <c r="FY112">
        <v>2.3278799999999999</v>
      </c>
      <c r="FZ112">
        <v>1.50146</v>
      </c>
      <c r="GA112">
        <v>2.3132299999999999</v>
      </c>
      <c r="GB112">
        <v>33.941299999999998</v>
      </c>
      <c r="GC112">
        <v>23.973700000000001</v>
      </c>
      <c r="GD112">
        <v>19</v>
      </c>
      <c r="GE112">
        <v>283.72000000000003</v>
      </c>
      <c r="GF112">
        <v>592.12</v>
      </c>
      <c r="GG112">
        <v>23.9788</v>
      </c>
      <c r="GH112">
        <v>26.279800000000002</v>
      </c>
      <c r="GI112">
        <v>30.0002</v>
      </c>
      <c r="GJ112">
        <v>26.432500000000001</v>
      </c>
      <c r="GK112">
        <v>26.422799999999999</v>
      </c>
      <c r="GL112">
        <v>35.623800000000003</v>
      </c>
      <c r="GM112">
        <v>52.120100000000001</v>
      </c>
      <c r="GN112">
        <v>85.875699999999995</v>
      </c>
      <c r="GO112">
        <v>23.986499999999999</v>
      </c>
      <c r="GP112">
        <v>800</v>
      </c>
      <c r="GQ112">
        <v>13.0558</v>
      </c>
      <c r="GR112">
        <v>99.730500000000006</v>
      </c>
      <c r="GS112">
        <v>99.562799999999996</v>
      </c>
    </row>
    <row r="113" spans="1:201" x14ac:dyDescent="0.25">
      <c r="A113">
        <v>97</v>
      </c>
      <c r="B113">
        <v>1690222015</v>
      </c>
      <c r="C113">
        <v>1132.5</v>
      </c>
      <c r="D113" t="s">
        <v>525</v>
      </c>
      <c r="E113" t="s">
        <v>526</v>
      </c>
      <c r="F113" t="s">
        <v>330</v>
      </c>
      <c r="H113">
        <v>1690222015</v>
      </c>
      <c r="I113">
        <f t="shared" si="30"/>
        <v>9.9440722730835172E-4</v>
      </c>
      <c r="J113">
        <f t="shared" si="31"/>
        <v>0.99440722730835174</v>
      </c>
      <c r="K113">
        <f t="shared" si="32"/>
        <v>16.094227053831936</v>
      </c>
      <c r="L113">
        <f t="shared" si="33"/>
        <v>626.26199999999994</v>
      </c>
      <c r="M113">
        <f t="shared" si="34"/>
        <v>216.71624404872367</v>
      </c>
      <c r="N113">
        <f t="shared" si="35"/>
        <v>21.494069219555733</v>
      </c>
      <c r="O113">
        <f t="shared" si="36"/>
        <v>62.113104795923995</v>
      </c>
      <c r="P113">
        <f t="shared" si="37"/>
        <v>6.5426714723379423E-2</v>
      </c>
      <c r="Q113">
        <f t="shared" si="38"/>
        <v>2.1970689179199168</v>
      </c>
      <c r="R113">
        <f t="shared" si="39"/>
        <v>6.4363283368899987E-2</v>
      </c>
      <c r="S113">
        <f t="shared" si="40"/>
        <v>4.032115738728205E-2</v>
      </c>
      <c r="T113">
        <f t="shared" si="41"/>
        <v>276.11420174999995</v>
      </c>
      <c r="U113">
        <f t="shared" si="42"/>
        <v>27.925551465326045</v>
      </c>
      <c r="V113">
        <f t="shared" si="43"/>
        <v>27.925551465326045</v>
      </c>
      <c r="W113">
        <f t="shared" si="44"/>
        <v>3.7784008676865208</v>
      </c>
      <c r="X113">
        <f t="shared" si="45"/>
        <v>67.399582906341223</v>
      </c>
      <c r="Y113">
        <f t="shared" si="46"/>
        <v>2.2929685676082001</v>
      </c>
      <c r="Z113">
        <f t="shared" si="47"/>
        <v>3.4020515687678956</v>
      </c>
      <c r="AA113">
        <f t="shared" si="48"/>
        <v>1.4854323000783207</v>
      </c>
      <c r="AB113">
        <f t="shared" si="49"/>
        <v>-43.85335872429831</v>
      </c>
      <c r="AC113">
        <f t="shared" si="50"/>
        <v>-211.64966048024974</v>
      </c>
      <c r="AD113">
        <f t="shared" si="51"/>
        <v>-20.796594875203521</v>
      </c>
      <c r="AE113">
        <f t="shared" si="52"/>
        <v>-0.18541232975161392</v>
      </c>
      <c r="AF113">
        <v>0</v>
      </c>
      <c r="AG113">
        <v>0</v>
      </c>
      <c r="AH113">
        <f t="shared" si="53"/>
        <v>1</v>
      </c>
      <c r="AI113">
        <f t="shared" si="54"/>
        <v>0</v>
      </c>
      <c r="AJ113">
        <f t="shared" si="55"/>
        <v>52658.291221825057</v>
      </c>
      <c r="AK113">
        <f t="shared" si="56"/>
        <v>1800</v>
      </c>
      <c r="AL113">
        <f t="shared" si="57"/>
        <v>1499.1157170000001</v>
      </c>
      <c r="AM113">
        <f t="shared" si="58"/>
        <v>0.83284206500000002</v>
      </c>
      <c r="AN113">
        <f t="shared" si="59"/>
        <v>0.15339677874999996</v>
      </c>
      <c r="AO113">
        <v>31.2</v>
      </c>
      <c r="AP113">
        <v>0.5</v>
      </c>
      <c r="AQ113" t="s">
        <v>331</v>
      </c>
      <c r="AR113">
        <v>2</v>
      </c>
      <c r="AS113">
        <v>1690222015</v>
      </c>
      <c r="AT113">
        <v>626.26199999999994</v>
      </c>
      <c r="AU113">
        <v>799.98199999999997</v>
      </c>
      <c r="AV113">
        <v>23.1191</v>
      </c>
      <c r="AW113">
        <v>13.0243</v>
      </c>
      <c r="AX113">
        <v>626.63300000000004</v>
      </c>
      <c r="AY113">
        <v>22.956399999999999</v>
      </c>
      <c r="AZ113">
        <v>300.23599999999999</v>
      </c>
      <c r="BA113">
        <v>99.080699999999993</v>
      </c>
      <c r="BB113">
        <v>0.10000199999999999</v>
      </c>
      <c r="BC113">
        <v>26.1387</v>
      </c>
      <c r="BD113">
        <v>26.969000000000001</v>
      </c>
      <c r="BE113">
        <v>27.668299999999999</v>
      </c>
      <c r="BF113">
        <v>0</v>
      </c>
      <c r="BG113">
        <v>0</v>
      </c>
      <c r="BH113">
        <v>10023.1</v>
      </c>
      <c r="BI113">
        <v>1070.24</v>
      </c>
      <c r="BJ113">
        <v>1.68198</v>
      </c>
      <c r="BK113">
        <v>-173.72</v>
      </c>
      <c r="BL113">
        <v>641.08299999999997</v>
      </c>
      <c r="BM113">
        <v>810.53899999999999</v>
      </c>
      <c r="BN113">
        <v>10.094799999999999</v>
      </c>
      <c r="BO113">
        <v>799.98199999999997</v>
      </c>
      <c r="BP113">
        <v>13.0243</v>
      </c>
      <c r="BQ113">
        <v>2.2906599999999999</v>
      </c>
      <c r="BR113">
        <v>1.2904599999999999</v>
      </c>
      <c r="BS113">
        <v>19.610900000000001</v>
      </c>
      <c r="BT113">
        <v>10.6882</v>
      </c>
      <c r="BU113">
        <v>1800</v>
      </c>
      <c r="BV113">
        <v>0.910026</v>
      </c>
      <c r="BW113">
        <v>3.3993200000000001E-2</v>
      </c>
      <c r="BX113">
        <v>2.1992999999999999E-2</v>
      </c>
      <c r="BY113">
        <v>3.39881E-2</v>
      </c>
      <c r="BZ113">
        <v>26</v>
      </c>
      <c r="CA113">
        <v>33528.5</v>
      </c>
      <c r="CB113">
        <v>1690220522.5999999</v>
      </c>
      <c r="CC113" t="s">
        <v>332</v>
      </c>
      <c r="CD113">
        <v>1690220522.5999999</v>
      </c>
      <c r="CE113">
        <v>1690220510.5999999</v>
      </c>
      <c r="CF113">
        <v>10</v>
      </c>
      <c r="CG113">
        <v>-0.22</v>
      </c>
      <c r="CH113">
        <v>-2.7E-2</v>
      </c>
      <c r="CI113">
        <v>-0.49299999999999999</v>
      </c>
      <c r="CJ113">
        <v>0.152</v>
      </c>
      <c r="CK113">
        <v>800</v>
      </c>
      <c r="CL113">
        <v>19</v>
      </c>
      <c r="CM113">
        <v>0.1</v>
      </c>
      <c r="CN113">
        <v>0.03</v>
      </c>
      <c r="CO113">
        <v>-170.7341463414634</v>
      </c>
      <c r="CP113">
        <v>-17.394543554007011</v>
      </c>
      <c r="CQ113">
        <v>1.716410442712484</v>
      </c>
      <c r="CR113">
        <v>-1</v>
      </c>
      <c r="CS113">
        <v>9.9632224390243902</v>
      </c>
      <c r="CT113">
        <v>0.77220752613239496</v>
      </c>
      <c r="CU113">
        <v>7.9202532534665832E-2</v>
      </c>
      <c r="CV113">
        <v>-1</v>
      </c>
      <c r="CW113">
        <v>0</v>
      </c>
      <c r="CX113">
        <v>0</v>
      </c>
      <c r="CY113" t="s">
        <v>333</v>
      </c>
      <c r="CZ113">
        <v>2.36469</v>
      </c>
      <c r="DA113">
        <v>2.7138200000000001</v>
      </c>
      <c r="DB113">
        <v>0.124179</v>
      </c>
      <c r="DC113">
        <v>0.146204</v>
      </c>
      <c r="DD113">
        <v>0.110996</v>
      </c>
      <c r="DE113">
        <v>7.2240200000000004E-2</v>
      </c>
      <c r="DF113">
        <v>31977.599999999999</v>
      </c>
      <c r="DG113">
        <v>27514.3</v>
      </c>
      <c r="DH113">
        <v>31170</v>
      </c>
      <c r="DI113">
        <v>28080.2</v>
      </c>
      <c r="DJ113">
        <v>37620.6</v>
      </c>
      <c r="DK113">
        <v>37045</v>
      </c>
      <c r="DL113">
        <v>44358.8</v>
      </c>
      <c r="DM113">
        <v>42560.1</v>
      </c>
      <c r="DN113">
        <v>1.4778</v>
      </c>
      <c r="DO113">
        <v>2.0459499999999999</v>
      </c>
      <c r="DP113">
        <v>0.114009</v>
      </c>
      <c r="DQ113">
        <v>0.167571</v>
      </c>
      <c r="DR113">
        <v>25.101600000000001</v>
      </c>
      <c r="DS113">
        <v>24.924700000000001</v>
      </c>
      <c r="DT113">
        <v>56.7</v>
      </c>
      <c r="DU113">
        <v>29.5</v>
      </c>
      <c r="DV113">
        <v>23.6905</v>
      </c>
      <c r="DW113">
        <v>61.784199999999998</v>
      </c>
      <c r="DX113">
        <v>36.5745</v>
      </c>
      <c r="DY113">
        <v>1</v>
      </c>
      <c r="DZ113">
        <v>-8.7078299999999997E-2</v>
      </c>
      <c r="EA113">
        <v>0.327181</v>
      </c>
      <c r="EB113">
        <v>20.189399999999999</v>
      </c>
      <c r="EC113">
        <v>5.2416999999999998</v>
      </c>
      <c r="ED113">
        <v>12.039899999999999</v>
      </c>
      <c r="EE113">
        <v>5.01755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1.8689199999999999</v>
      </c>
      <c r="EL113">
        <v>1.86463</v>
      </c>
      <c r="EM113">
        <v>1.8691899999999999</v>
      </c>
      <c r="EN113">
        <v>1.8672200000000001</v>
      </c>
      <c r="EO113">
        <v>1.8633999999999999</v>
      </c>
      <c r="EP113">
        <v>1.8645499999999999</v>
      </c>
      <c r="EQ113">
        <v>1.87016</v>
      </c>
      <c r="ER113">
        <v>1.86941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-0.371</v>
      </c>
      <c r="FG113">
        <v>0.16270000000000001</v>
      </c>
      <c r="FH113">
        <v>5.8509882529719233E-2</v>
      </c>
      <c r="FI113">
        <v>-6.1462078757559423E-4</v>
      </c>
      <c r="FJ113">
        <v>-1.8861989874597051E-7</v>
      </c>
      <c r="FK113">
        <v>1.1980462299894961E-10</v>
      </c>
      <c r="FL113">
        <v>0.16277811159127681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24.9</v>
      </c>
      <c r="FU113">
        <v>25.1</v>
      </c>
      <c r="FV113">
        <v>1.78223</v>
      </c>
      <c r="FW113">
        <v>2.5744600000000002</v>
      </c>
      <c r="FX113">
        <v>1.5490699999999999</v>
      </c>
      <c r="FY113">
        <v>2.3278799999999999</v>
      </c>
      <c r="FZ113">
        <v>1.50146</v>
      </c>
      <c r="GA113">
        <v>2.4023400000000001</v>
      </c>
      <c r="GB113">
        <v>33.941299999999998</v>
      </c>
      <c r="GC113">
        <v>23.982399999999998</v>
      </c>
      <c r="GD113">
        <v>19</v>
      </c>
      <c r="GE113">
        <v>283.91300000000001</v>
      </c>
      <c r="GF113">
        <v>592.04100000000005</v>
      </c>
      <c r="GG113">
        <v>23.976600000000001</v>
      </c>
      <c r="GH113">
        <v>26.2775</v>
      </c>
      <c r="GI113">
        <v>30.0001</v>
      </c>
      <c r="GJ113">
        <v>26.430199999999999</v>
      </c>
      <c r="GK113">
        <v>26.419599999999999</v>
      </c>
      <c r="GL113">
        <v>35.624099999999999</v>
      </c>
      <c r="GM113">
        <v>52.707000000000001</v>
      </c>
      <c r="GN113">
        <v>85.105800000000002</v>
      </c>
      <c r="GO113">
        <v>23.9815</v>
      </c>
      <c r="GP113">
        <v>800</v>
      </c>
      <c r="GQ113">
        <v>12.9011</v>
      </c>
      <c r="GR113">
        <v>99.731899999999996</v>
      </c>
      <c r="GS113">
        <v>99.562799999999996</v>
      </c>
    </row>
    <row r="114" spans="1:201" x14ac:dyDescent="0.25">
      <c r="A114">
        <v>98</v>
      </c>
      <c r="B114">
        <v>1690222025</v>
      </c>
      <c r="C114">
        <v>1142.5</v>
      </c>
      <c r="D114" t="s">
        <v>527</v>
      </c>
      <c r="E114" t="s">
        <v>528</v>
      </c>
      <c r="F114" t="s">
        <v>330</v>
      </c>
      <c r="H114">
        <v>1690222025</v>
      </c>
      <c r="I114">
        <f t="shared" si="30"/>
        <v>1.0125964664602837E-3</v>
      </c>
      <c r="J114">
        <f t="shared" si="31"/>
        <v>1.0125964664602838</v>
      </c>
      <c r="K114">
        <f t="shared" si="32"/>
        <v>16.36596946196234</v>
      </c>
      <c r="L114">
        <f t="shared" si="33"/>
        <v>623.33900000000006</v>
      </c>
      <c r="M114">
        <f t="shared" si="34"/>
        <v>215.17002232926743</v>
      </c>
      <c r="N114">
        <f t="shared" si="35"/>
        <v>21.340819663072399</v>
      </c>
      <c r="O114">
        <f t="shared" si="36"/>
        <v>61.823506099764302</v>
      </c>
      <c r="P114">
        <f t="shared" si="37"/>
        <v>6.6769759793027281E-2</v>
      </c>
      <c r="Q114">
        <f t="shared" si="38"/>
        <v>2.1936245586927452</v>
      </c>
      <c r="R114">
        <f t="shared" si="39"/>
        <v>6.566091219466845E-2</v>
      </c>
      <c r="S114">
        <f t="shared" si="40"/>
        <v>4.1136161778713071E-2</v>
      </c>
      <c r="T114">
        <f t="shared" si="41"/>
        <v>276.11402439599999</v>
      </c>
      <c r="U114">
        <f t="shared" si="42"/>
        <v>27.916435191366606</v>
      </c>
      <c r="V114">
        <f t="shared" si="43"/>
        <v>27.916435191366606</v>
      </c>
      <c r="W114">
        <f t="shared" si="44"/>
        <v>3.7763922000536931</v>
      </c>
      <c r="X114">
        <f t="shared" si="45"/>
        <v>67.441956150645723</v>
      </c>
      <c r="Y114">
        <f t="shared" si="46"/>
        <v>2.2936642855062002</v>
      </c>
      <c r="Z114">
        <f t="shared" si="47"/>
        <v>3.4009456670901139</v>
      </c>
      <c r="AA114">
        <f t="shared" si="48"/>
        <v>1.482727914547493</v>
      </c>
      <c r="AB114">
        <f t="shared" si="49"/>
        <v>-44.65550417089851</v>
      </c>
      <c r="AC114">
        <f t="shared" si="50"/>
        <v>-210.89018565532095</v>
      </c>
      <c r="AD114">
        <f t="shared" si="51"/>
        <v>-20.752988911262261</v>
      </c>
      <c r="AE114">
        <f t="shared" si="52"/>
        <v>-0.18465434148171767</v>
      </c>
      <c r="AF114">
        <v>0</v>
      </c>
      <c r="AG114">
        <v>0</v>
      </c>
      <c r="AH114">
        <f t="shared" si="53"/>
        <v>1</v>
      </c>
      <c r="AI114">
        <f t="shared" si="54"/>
        <v>0</v>
      </c>
      <c r="AJ114">
        <f t="shared" si="55"/>
        <v>52517.951008655553</v>
      </c>
      <c r="AK114">
        <f t="shared" si="56"/>
        <v>1800</v>
      </c>
      <c r="AL114">
        <f t="shared" si="57"/>
        <v>1499.1152976000001</v>
      </c>
      <c r="AM114">
        <f t="shared" si="58"/>
        <v>0.83284183200000006</v>
      </c>
      <c r="AN114">
        <f t="shared" si="59"/>
        <v>0.15339668022</v>
      </c>
      <c r="AO114">
        <v>31.2</v>
      </c>
      <c r="AP114">
        <v>0.5</v>
      </c>
      <c r="AQ114" t="s">
        <v>331</v>
      </c>
      <c r="AR114">
        <v>2</v>
      </c>
      <c r="AS114">
        <v>1690222025</v>
      </c>
      <c r="AT114">
        <v>623.33900000000006</v>
      </c>
      <c r="AU114">
        <v>800.00699999999995</v>
      </c>
      <c r="AV114">
        <v>23.126000000000001</v>
      </c>
      <c r="AW114">
        <v>12.8445</v>
      </c>
      <c r="AX114">
        <v>623.70799999999997</v>
      </c>
      <c r="AY114">
        <v>22.963200000000001</v>
      </c>
      <c r="AZ114">
        <v>300.17399999999998</v>
      </c>
      <c r="BA114">
        <v>99.081199999999995</v>
      </c>
      <c r="BB114">
        <v>9.9993700000000005E-2</v>
      </c>
      <c r="BC114">
        <v>26.133199999999999</v>
      </c>
      <c r="BD114">
        <v>26.988900000000001</v>
      </c>
      <c r="BE114">
        <v>27.6524</v>
      </c>
      <c r="BF114">
        <v>0</v>
      </c>
      <c r="BG114">
        <v>0</v>
      </c>
      <c r="BH114">
        <v>9995</v>
      </c>
      <c r="BI114">
        <v>1070.3699999999999</v>
      </c>
      <c r="BJ114">
        <v>1.68198</v>
      </c>
      <c r="BK114">
        <v>-176.66800000000001</v>
      </c>
      <c r="BL114">
        <v>638.096</v>
      </c>
      <c r="BM114">
        <v>810.41700000000003</v>
      </c>
      <c r="BN114">
        <v>10.281499999999999</v>
      </c>
      <c r="BO114">
        <v>800.00699999999995</v>
      </c>
      <c r="BP114">
        <v>12.8445</v>
      </c>
      <c r="BQ114">
        <v>2.29135</v>
      </c>
      <c r="BR114">
        <v>1.2726500000000001</v>
      </c>
      <c r="BS114">
        <v>19.6157</v>
      </c>
      <c r="BT114">
        <v>10.479699999999999</v>
      </c>
      <c r="BU114">
        <v>1800</v>
      </c>
      <c r="BV114">
        <v>0.91002700000000003</v>
      </c>
      <c r="BW114">
        <v>3.3992700000000001E-2</v>
      </c>
      <c r="BX114">
        <v>2.1992600000000001E-2</v>
      </c>
      <c r="BY114">
        <v>3.39876E-2</v>
      </c>
      <c r="BZ114">
        <v>26</v>
      </c>
      <c r="CA114">
        <v>33528.5</v>
      </c>
      <c r="CB114">
        <v>1690220522.5999999</v>
      </c>
      <c r="CC114" t="s">
        <v>332</v>
      </c>
      <c r="CD114">
        <v>1690220522.5999999</v>
      </c>
      <c r="CE114">
        <v>1690220510.5999999</v>
      </c>
      <c r="CF114">
        <v>10</v>
      </c>
      <c r="CG114">
        <v>-0.22</v>
      </c>
      <c r="CH114">
        <v>-2.7E-2</v>
      </c>
      <c r="CI114">
        <v>-0.49299999999999999</v>
      </c>
      <c r="CJ114">
        <v>0.152</v>
      </c>
      <c r="CK114">
        <v>800</v>
      </c>
      <c r="CL114">
        <v>19</v>
      </c>
      <c r="CM114">
        <v>0.1</v>
      </c>
      <c r="CN114">
        <v>0.03</v>
      </c>
      <c r="CO114">
        <v>-173.34495121951221</v>
      </c>
      <c r="CP114">
        <v>-17.528466898954491</v>
      </c>
      <c r="CQ114">
        <v>1.7289414772532949</v>
      </c>
      <c r="CR114">
        <v>-1</v>
      </c>
      <c r="CS114">
        <v>10.09211829268293</v>
      </c>
      <c r="CT114">
        <v>0.96830299651569463</v>
      </c>
      <c r="CU114">
        <v>9.7498769245576267E-2</v>
      </c>
      <c r="CV114">
        <v>-1</v>
      </c>
      <c r="CW114">
        <v>0</v>
      </c>
      <c r="CX114">
        <v>0</v>
      </c>
      <c r="CY114" t="s">
        <v>333</v>
      </c>
      <c r="CZ114">
        <v>2.36449</v>
      </c>
      <c r="DA114">
        <v>2.7137799999999999</v>
      </c>
      <c r="DB114">
        <v>0.123775</v>
      </c>
      <c r="DC114">
        <v>0.146205</v>
      </c>
      <c r="DD114">
        <v>0.11101999999999999</v>
      </c>
      <c r="DE114">
        <v>7.1495799999999998E-2</v>
      </c>
      <c r="DF114">
        <v>31992</v>
      </c>
      <c r="DG114">
        <v>27514.3</v>
      </c>
      <c r="DH114">
        <v>31169.7</v>
      </c>
      <c r="DI114">
        <v>28080.3</v>
      </c>
      <c r="DJ114">
        <v>37619.1</v>
      </c>
      <c r="DK114">
        <v>37074.9</v>
      </c>
      <c r="DL114">
        <v>44358.3</v>
      </c>
      <c r="DM114">
        <v>42560.3</v>
      </c>
      <c r="DN114">
        <v>1.47787</v>
      </c>
      <c r="DO114">
        <v>2.0456500000000002</v>
      </c>
      <c r="DP114">
        <v>0.115354</v>
      </c>
      <c r="DQ114">
        <v>0.16672899999999999</v>
      </c>
      <c r="DR114">
        <v>25.099499999999999</v>
      </c>
      <c r="DS114">
        <v>24.922499999999999</v>
      </c>
      <c r="DT114">
        <v>56.6</v>
      </c>
      <c r="DU114">
        <v>29.5</v>
      </c>
      <c r="DV114">
        <v>23.646999999999998</v>
      </c>
      <c r="DW114">
        <v>61.804200000000002</v>
      </c>
      <c r="DX114">
        <v>35.6571</v>
      </c>
      <c r="DY114">
        <v>1</v>
      </c>
      <c r="DZ114">
        <v>-8.7355199999999994E-2</v>
      </c>
      <c r="EA114">
        <v>0.24943899999999999</v>
      </c>
      <c r="EB114">
        <v>20.189699999999998</v>
      </c>
      <c r="EC114">
        <v>5.2415500000000002</v>
      </c>
      <c r="ED114">
        <v>12.039899999999999</v>
      </c>
      <c r="EE114">
        <v>5.0178000000000003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1.86893</v>
      </c>
      <c r="EL114">
        <v>1.8646400000000001</v>
      </c>
      <c r="EM114">
        <v>1.8691800000000001</v>
      </c>
      <c r="EN114">
        <v>1.8672200000000001</v>
      </c>
      <c r="EO114">
        <v>1.8633999999999999</v>
      </c>
      <c r="EP114">
        <v>1.8645499999999999</v>
      </c>
      <c r="EQ114">
        <v>1.8701700000000001</v>
      </c>
      <c r="ER114">
        <v>1.8694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-0.36899999999999999</v>
      </c>
      <c r="FG114">
        <v>0.1628</v>
      </c>
      <c r="FH114">
        <v>5.8509882529719233E-2</v>
      </c>
      <c r="FI114">
        <v>-6.1462078757559423E-4</v>
      </c>
      <c r="FJ114">
        <v>-1.8861989874597051E-7</v>
      </c>
      <c r="FK114">
        <v>1.1980462299894961E-10</v>
      </c>
      <c r="FL114">
        <v>0.16277811159127681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25</v>
      </c>
      <c r="FU114">
        <v>25.2</v>
      </c>
      <c r="FV114">
        <v>1.78223</v>
      </c>
      <c r="FW114">
        <v>2.5830099999999998</v>
      </c>
      <c r="FX114">
        <v>1.5490699999999999</v>
      </c>
      <c r="FY114">
        <v>2.3278799999999999</v>
      </c>
      <c r="FZ114">
        <v>1.50146</v>
      </c>
      <c r="GA114">
        <v>2.34131</v>
      </c>
      <c r="GB114">
        <v>33.941299999999998</v>
      </c>
      <c r="GC114">
        <v>23.973700000000001</v>
      </c>
      <c r="GD114">
        <v>19</v>
      </c>
      <c r="GE114">
        <v>283.935</v>
      </c>
      <c r="GF114">
        <v>591.75199999999995</v>
      </c>
      <c r="GG114">
        <v>23.989799999999999</v>
      </c>
      <c r="GH114">
        <v>26.275300000000001</v>
      </c>
      <c r="GI114">
        <v>29.9999</v>
      </c>
      <c r="GJ114">
        <v>26.427900000000001</v>
      </c>
      <c r="GK114">
        <v>26.4163</v>
      </c>
      <c r="GL114">
        <v>35.618000000000002</v>
      </c>
      <c r="GM114">
        <v>52.707000000000001</v>
      </c>
      <c r="GN114">
        <v>84.342299999999994</v>
      </c>
      <c r="GO114">
        <v>24.005400000000002</v>
      </c>
      <c r="GP114">
        <v>800</v>
      </c>
      <c r="GQ114">
        <v>12.739599999999999</v>
      </c>
      <c r="GR114">
        <v>99.730900000000005</v>
      </c>
      <c r="GS114">
        <v>99.563000000000002</v>
      </c>
    </row>
    <row r="115" spans="1:201" x14ac:dyDescent="0.25">
      <c r="A115">
        <v>99</v>
      </c>
      <c r="B115">
        <v>1690222035</v>
      </c>
      <c r="C115">
        <v>1152.5</v>
      </c>
      <c r="D115" t="s">
        <v>529</v>
      </c>
      <c r="E115" t="s">
        <v>530</v>
      </c>
      <c r="F115" t="s">
        <v>330</v>
      </c>
      <c r="H115">
        <v>1690222035</v>
      </c>
      <c r="I115">
        <f t="shared" si="30"/>
        <v>1.0281707460336135E-3</v>
      </c>
      <c r="J115">
        <f t="shared" si="31"/>
        <v>1.0281707460336136</v>
      </c>
      <c r="K115">
        <f t="shared" si="32"/>
        <v>16.642777114512725</v>
      </c>
      <c r="L115">
        <f t="shared" si="33"/>
        <v>620.38599999999997</v>
      </c>
      <c r="M115">
        <f t="shared" si="34"/>
        <v>211.71786465553481</v>
      </c>
      <c r="N115">
        <f t="shared" si="35"/>
        <v>20.998679291470165</v>
      </c>
      <c r="O115">
        <f t="shared" si="36"/>
        <v>61.531352926279602</v>
      </c>
      <c r="P115">
        <f t="shared" si="37"/>
        <v>6.781685421269408E-2</v>
      </c>
      <c r="Q115">
        <f t="shared" si="38"/>
        <v>2.1908704365406924</v>
      </c>
      <c r="R115">
        <f t="shared" si="39"/>
        <v>6.6671865316589599E-2</v>
      </c>
      <c r="S115">
        <f t="shared" si="40"/>
        <v>4.1771178283264439E-2</v>
      </c>
      <c r="T115">
        <f t="shared" si="41"/>
        <v>276.11235379195688</v>
      </c>
      <c r="U115">
        <f t="shared" si="42"/>
        <v>27.921054414117972</v>
      </c>
      <c r="V115">
        <f t="shared" si="43"/>
        <v>27.921054414117972</v>
      </c>
      <c r="W115">
        <f t="shared" si="44"/>
        <v>3.7774098769572859</v>
      </c>
      <c r="X115">
        <f t="shared" si="45"/>
        <v>67.440999939634196</v>
      </c>
      <c r="Y115">
        <f t="shared" si="46"/>
        <v>2.29470311640332</v>
      </c>
      <c r="Z115">
        <f t="shared" si="47"/>
        <v>3.4025342424597609</v>
      </c>
      <c r="AA115">
        <f t="shared" si="48"/>
        <v>1.4827067605539659</v>
      </c>
      <c r="AB115">
        <f t="shared" si="49"/>
        <v>-45.342329900082355</v>
      </c>
      <c r="AC115">
        <f t="shared" si="50"/>
        <v>-210.23790407480644</v>
      </c>
      <c r="AD115">
        <f t="shared" si="51"/>
        <v>-20.716103687780269</v>
      </c>
      <c r="AE115">
        <f t="shared" si="52"/>
        <v>-0.18398387071218281</v>
      </c>
      <c r="AF115">
        <v>0</v>
      </c>
      <c r="AG115">
        <v>0</v>
      </c>
      <c r="AH115">
        <f t="shared" si="53"/>
        <v>1</v>
      </c>
      <c r="AI115">
        <f t="shared" si="54"/>
        <v>0</v>
      </c>
      <c r="AJ115">
        <f t="shared" si="55"/>
        <v>52403.75788952718</v>
      </c>
      <c r="AK115">
        <f t="shared" si="56"/>
        <v>1799.99</v>
      </c>
      <c r="AL115">
        <f t="shared" si="57"/>
        <v>1499.1067063831399</v>
      </c>
      <c r="AM115">
        <f t="shared" si="58"/>
        <v>0.83284168599999997</v>
      </c>
      <c r="AN115">
        <f t="shared" si="59"/>
        <v>0.15339660430999999</v>
      </c>
      <c r="AO115">
        <v>31.2</v>
      </c>
      <c r="AP115">
        <v>0.5</v>
      </c>
      <c r="AQ115" t="s">
        <v>331</v>
      </c>
      <c r="AR115">
        <v>2</v>
      </c>
      <c r="AS115">
        <v>1690222035</v>
      </c>
      <c r="AT115">
        <v>620.38599999999997</v>
      </c>
      <c r="AU115">
        <v>800.03099999999995</v>
      </c>
      <c r="AV115">
        <v>23.136199999999999</v>
      </c>
      <c r="AW115">
        <v>12.694900000000001</v>
      </c>
      <c r="AX115">
        <v>620.75300000000004</v>
      </c>
      <c r="AY115">
        <v>22.973400000000002</v>
      </c>
      <c r="AZ115">
        <v>300.12299999999999</v>
      </c>
      <c r="BA115">
        <v>99.082400000000007</v>
      </c>
      <c r="BB115">
        <v>9.9968600000000005E-2</v>
      </c>
      <c r="BC115">
        <v>26.141100000000002</v>
      </c>
      <c r="BD115">
        <v>26.981400000000001</v>
      </c>
      <c r="BE115">
        <v>27.6572</v>
      </c>
      <c r="BF115">
        <v>0</v>
      </c>
      <c r="BG115">
        <v>0</v>
      </c>
      <c r="BH115">
        <v>9972.5</v>
      </c>
      <c r="BI115">
        <v>1070.49</v>
      </c>
      <c r="BJ115">
        <v>1.68198</v>
      </c>
      <c r="BK115">
        <v>-179.64500000000001</v>
      </c>
      <c r="BL115">
        <v>635.07899999999995</v>
      </c>
      <c r="BM115">
        <v>810.31799999999998</v>
      </c>
      <c r="BN115">
        <v>10.4413</v>
      </c>
      <c r="BO115">
        <v>800.03099999999995</v>
      </c>
      <c r="BP115">
        <v>12.694900000000001</v>
      </c>
      <c r="BQ115">
        <v>2.2923900000000001</v>
      </c>
      <c r="BR115">
        <v>1.2578400000000001</v>
      </c>
      <c r="BS115">
        <v>19.623000000000001</v>
      </c>
      <c r="BT115">
        <v>10.3043</v>
      </c>
      <c r="BU115">
        <v>1799.99</v>
      </c>
      <c r="BV115">
        <v>0.91002799999999995</v>
      </c>
      <c r="BW115">
        <v>3.39922E-2</v>
      </c>
      <c r="BX115">
        <v>2.1992299999999999E-2</v>
      </c>
      <c r="BY115">
        <v>3.3987099999999999E-2</v>
      </c>
      <c r="BZ115">
        <v>26</v>
      </c>
      <c r="CA115">
        <v>33528.5</v>
      </c>
      <c r="CB115">
        <v>1690220522.5999999</v>
      </c>
      <c r="CC115" t="s">
        <v>332</v>
      </c>
      <c r="CD115">
        <v>1690220522.5999999</v>
      </c>
      <c r="CE115">
        <v>1690220510.5999999</v>
      </c>
      <c r="CF115">
        <v>10</v>
      </c>
      <c r="CG115">
        <v>-0.22</v>
      </c>
      <c r="CH115">
        <v>-2.7E-2</v>
      </c>
      <c r="CI115">
        <v>-0.49299999999999999</v>
      </c>
      <c r="CJ115">
        <v>0.152</v>
      </c>
      <c r="CK115">
        <v>800</v>
      </c>
      <c r="CL115">
        <v>19</v>
      </c>
      <c r="CM115">
        <v>0.1</v>
      </c>
      <c r="CN115">
        <v>0.03</v>
      </c>
      <c r="CO115">
        <v>-176.48587499999999</v>
      </c>
      <c r="CP115">
        <v>-17.67042776735406</v>
      </c>
      <c r="CQ115">
        <v>1.70033985114006</v>
      </c>
      <c r="CR115">
        <v>-1</v>
      </c>
      <c r="CS115">
        <v>10.262235</v>
      </c>
      <c r="CT115">
        <v>0.96623414634143345</v>
      </c>
      <c r="CU115">
        <v>9.4268206596922283E-2</v>
      </c>
      <c r="CV115">
        <v>-1</v>
      </c>
      <c r="CW115">
        <v>0</v>
      </c>
      <c r="CX115">
        <v>0</v>
      </c>
      <c r="CY115" t="s">
        <v>333</v>
      </c>
      <c r="CZ115">
        <v>2.36435</v>
      </c>
      <c r="DA115">
        <v>2.71373</v>
      </c>
      <c r="DB115">
        <v>0.123366</v>
      </c>
      <c r="DC115">
        <v>0.146207</v>
      </c>
      <c r="DD115">
        <v>0.111057</v>
      </c>
      <c r="DE115">
        <v>7.0873699999999998E-2</v>
      </c>
      <c r="DF115">
        <v>32007.1</v>
      </c>
      <c r="DG115">
        <v>27514.5</v>
      </c>
      <c r="DH115">
        <v>31169.8</v>
      </c>
      <c r="DI115">
        <v>28080.6</v>
      </c>
      <c r="DJ115">
        <v>37617.599999999999</v>
      </c>
      <c r="DK115">
        <v>37100.199999999997</v>
      </c>
      <c r="DL115">
        <v>44358.5</v>
      </c>
      <c r="DM115">
        <v>42560.7</v>
      </c>
      <c r="DN115">
        <v>1.47773</v>
      </c>
      <c r="DO115">
        <v>2.0449999999999999</v>
      </c>
      <c r="DP115">
        <v>0.114985</v>
      </c>
      <c r="DQ115">
        <v>0.16727300000000001</v>
      </c>
      <c r="DR115">
        <v>25.097999999999999</v>
      </c>
      <c r="DS115">
        <v>24.918399999999998</v>
      </c>
      <c r="DT115">
        <v>56.4</v>
      </c>
      <c r="DU115">
        <v>29.5</v>
      </c>
      <c r="DV115">
        <v>23.56</v>
      </c>
      <c r="DW115">
        <v>61.764200000000002</v>
      </c>
      <c r="DX115">
        <v>36.678699999999999</v>
      </c>
      <c r="DY115">
        <v>1</v>
      </c>
      <c r="DZ115">
        <v>-8.7606699999999996E-2</v>
      </c>
      <c r="EA115">
        <v>0.32825199999999999</v>
      </c>
      <c r="EB115">
        <v>20.189499999999999</v>
      </c>
      <c r="EC115">
        <v>5.2413999999999996</v>
      </c>
      <c r="ED115">
        <v>12.039899999999999</v>
      </c>
      <c r="EE115">
        <v>5.0175999999999998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1.8689199999999999</v>
      </c>
      <c r="EL115">
        <v>1.8646199999999999</v>
      </c>
      <c r="EM115">
        <v>1.8691800000000001</v>
      </c>
      <c r="EN115">
        <v>1.8672299999999999</v>
      </c>
      <c r="EO115">
        <v>1.8633999999999999</v>
      </c>
      <c r="EP115">
        <v>1.8645099999999999</v>
      </c>
      <c r="EQ115">
        <v>1.87016</v>
      </c>
      <c r="ER115">
        <v>1.8694299999999999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-0.36699999999999999</v>
      </c>
      <c r="FG115">
        <v>0.1628</v>
      </c>
      <c r="FH115">
        <v>5.8509882529719233E-2</v>
      </c>
      <c r="FI115">
        <v>-6.1462078757559423E-4</v>
      </c>
      <c r="FJ115">
        <v>-1.8861989874597051E-7</v>
      </c>
      <c r="FK115">
        <v>1.1980462299894961E-10</v>
      </c>
      <c r="FL115">
        <v>0.16277811159127681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25.2</v>
      </c>
      <c r="FU115">
        <v>25.4</v>
      </c>
      <c r="FV115">
        <v>1.78101</v>
      </c>
      <c r="FW115">
        <v>2.5769000000000002</v>
      </c>
      <c r="FX115">
        <v>1.5490699999999999</v>
      </c>
      <c r="FY115">
        <v>2.3278799999999999</v>
      </c>
      <c r="FZ115">
        <v>1.50146</v>
      </c>
      <c r="GA115">
        <v>2.3645</v>
      </c>
      <c r="GB115">
        <v>33.941299999999998</v>
      </c>
      <c r="GC115">
        <v>23.982399999999998</v>
      </c>
      <c r="GD115">
        <v>19</v>
      </c>
      <c r="GE115">
        <v>283.85599999999999</v>
      </c>
      <c r="GF115">
        <v>591.18299999999999</v>
      </c>
      <c r="GG115">
        <v>23.999700000000001</v>
      </c>
      <c r="GH115">
        <v>26.271899999999999</v>
      </c>
      <c r="GI115">
        <v>30.0001</v>
      </c>
      <c r="GJ115">
        <v>26.424600000000002</v>
      </c>
      <c r="GK115">
        <v>26.414000000000001</v>
      </c>
      <c r="GL115">
        <v>35.612400000000001</v>
      </c>
      <c r="GM115">
        <v>53.293399999999998</v>
      </c>
      <c r="GN115">
        <v>83.959800000000001</v>
      </c>
      <c r="GO115">
        <v>23.996099999999998</v>
      </c>
      <c r="GP115">
        <v>800</v>
      </c>
      <c r="GQ115">
        <v>12.5716</v>
      </c>
      <c r="GR115">
        <v>99.731300000000005</v>
      </c>
      <c r="GS115">
        <v>99.564099999999996</v>
      </c>
    </row>
    <row r="116" spans="1:201" x14ac:dyDescent="0.25">
      <c r="A116">
        <v>100</v>
      </c>
      <c r="B116">
        <v>1690222045</v>
      </c>
      <c r="C116">
        <v>1162.5</v>
      </c>
      <c r="D116" t="s">
        <v>531</v>
      </c>
      <c r="E116" t="s">
        <v>532</v>
      </c>
      <c r="F116" t="s">
        <v>330</v>
      </c>
      <c r="H116">
        <v>1690222045</v>
      </c>
      <c r="I116">
        <f t="shared" si="30"/>
        <v>1.042668052990126E-3</v>
      </c>
      <c r="J116">
        <f t="shared" si="31"/>
        <v>1.042668052990126</v>
      </c>
      <c r="K116">
        <f t="shared" si="32"/>
        <v>16.91062852056859</v>
      </c>
      <c r="L116">
        <f t="shared" si="33"/>
        <v>617.596</v>
      </c>
      <c r="M116">
        <f t="shared" si="34"/>
        <v>208.59126940027195</v>
      </c>
      <c r="N116">
        <f t="shared" si="35"/>
        <v>20.688777000073852</v>
      </c>
      <c r="O116">
        <f t="shared" si="36"/>
        <v>61.255228739314397</v>
      </c>
      <c r="P116">
        <f t="shared" si="37"/>
        <v>6.8850695360726022E-2</v>
      </c>
      <c r="Q116">
        <f t="shared" si="38"/>
        <v>2.1918827646614267</v>
      </c>
      <c r="R116">
        <f t="shared" si="39"/>
        <v>6.7671392783483275E-2</v>
      </c>
      <c r="S116">
        <f t="shared" si="40"/>
        <v>4.2398893604326263E-2</v>
      </c>
      <c r="T116">
        <f t="shared" si="41"/>
        <v>276.11380845000002</v>
      </c>
      <c r="U116">
        <f t="shared" si="42"/>
        <v>27.914688613941195</v>
      </c>
      <c r="V116">
        <f t="shared" si="43"/>
        <v>27.914688613941195</v>
      </c>
      <c r="W116">
        <f t="shared" si="44"/>
        <v>3.7760074678834838</v>
      </c>
      <c r="X116">
        <f t="shared" si="45"/>
        <v>67.440072593191829</v>
      </c>
      <c r="Y116">
        <f t="shared" si="46"/>
        <v>2.2945766169395796</v>
      </c>
      <c r="Z116">
        <f t="shared" si="47"/>
        <v>3.4023934564554734</v>
      </c>
      <c r="AA116">
        <f t="shared" si="48"/>
        <v>1.4814308509439043</v>
      </c>
      <c r="AB116">
        <f t="shared" si="49"/>
        <v>-45.98166113686456</v>
      </c>
      <c r="AC116">
        <f t="shared" si="50"/>
        <v>-209.66552727971268</v>
      </c>
      <c r="AD116">
        <f t="shared" si="51"/>
        <v>-20.649431324600435</v>
      </c>
      <c r="AE116">
        <f t="shared" si="52"/>
        <v>-0.18281129117767136</v>
      </c>
      <c r="AF116">
        <v>0</v>
      </c>
      <c r="AG116">
        <v>0</v>
      </c>
      <c r="AH116">
        <f t="shared" si="53"/>
        <v>1</v>
      </c>
      <c r="AI116">
        <f t="shared" si="54"/>
        <v>0</v>
      </c>
      <c r="AJ116">
        <f t="shared" si="55"/>
        <v>52445.358548598473</v>
      </c>
      <c r="AK116">
        <f t="shared" si="56"/>
        <v>1800</v>
      </c>
      <c r="AL116">
        <f t="shared" si="57"/>
        <v>1499.1150329999998</v>
      </c>
      <c r="AM116">
        <f t="shared" si="58"/>
        <v>0.83284168499999989</v>
      </c>
      <c r="AN116">
        <f t="shared" si="59"/>
        <v>0.15339656025000001</v>
      </c>
      <c r="AO116">
        <v>31.2</v>
      </c>
      <c r="AP116">
        <v>0.5</v>
      </c>
      <c r="AQ116" t="s">
        <v>331</v>
      </c>
      <c r="AR116">
        <v>2</v>
      </c>
      <c r="AS116">
        <v>1690222045</v>
      </c>
      <c r="AT116">
        <v>617.596</v>
      </c>
      <c r="AU116">
        <v>800.04499999999996</v>
      </c>
      <c r="AV116">
        <v>23.134699999999999</v>
      </c>
      <c r="AW116">
        <v>12.5487</v>
      </c>
      <c r="AX116">
        <v>617.96100000000001</v>
      </c>
      <c r="AY116">
        <v>22.971900000000002</v>
      </c>
      <c r="AZ116">
        <v>300.19499999999999</v>
      </c>
      <c r="BA116">
        <v>99.083399999999997</v>
      </c>
      <c r="BB116">
        <v>9.9931400000000004E-2</v>
      </c>
      <c r="BC116">
        <v>26.1404</v>
      </c>
      <c r="BD116">
        <v>26.982399999999998</v>
      </c>
      <c r="BE116">
        <v>27.671299999999999</v>
      </c>
      <c r="BF116">
        <v>0</v>
      </c>
      <c r="BG116">
        <v>0</v>
      </c>
      <c r="BH116">
        <v>9980.6200000000008</v>
      </c>
      <c r="BI116">
        <v>1070.49</v>
      </c>
      <c r="BJ116">
        <v>1.6133</v>
      </c>
      <c r="BK116">
        <v>-182.45</v>
      </c>
      <c r="BL116">
        <v>632.22199999999998</v>
      </c>
      <c r="BM116">
        <v>810.21199999999999</v>
      </c>
      <c r="BN116">
        <v>10.586</v>
      </c>
      <c r="BO116">
        <v>800.04499999999996</v>
      </c>
      <c r="BP116">
        <v>12.5487</v>
      </c>
      <c r="BQ116">
        <v>2.2922699999999998</v>
      </c>
      <c r="BR116">
        <v>1.2433700000000001</v>
      </c>
      <c r="BS116">
        <v>19.622199999999999</v>
      </c>
      <c r="BT116">
        <v>10.1312</v>
      </c>
      <c r="BU116">
        <v>1800</v>
      </c>
      <c r="BV116">
        <v>0.91002899999999998</v>
      </c>
      <c r="BW116">
        <v>3.3991800000000003E-2</v>
      </c>
      <c r="BX116">
        <v>2.1992000000000001E-2</v>
      </c>
      <c r="BY116">
        <v>3.3986700000000002E-2</v>
      </c>
      <c r="BZ116">
        <v>26</v>
      </c>
      <c r="CA116">
        <v>33528.6</v>
      </c>
      <c r="CB116">
        <v>1690220522.5999999</v>
      </c>
      <c r="CC116" t="s">
        <v>332</v>
      </c>
      <c r="CD116">
        <v>1690220522.5999999</v>
      </c>
      <c r="CE116">
        <v>1690220510.5999999</v>
      </c>
      <c r="CF116">
        <v>10</v>
      </c>
      <c r="CG116">
        <v>-0.22</v>
      </c>
      <c r="CH116">
        <v>-2.7E-2</v>
      </c>
      <c r="CI116">
        <v>-0.49299999999999999</v>
      </c>
      <c r="CJ116">
        <v>0.152</v>
      </c>
      <c r="CK116">
        <v>800</v>
      </c>
      <c r="CL116">
        <v>19</v>
      </c>
      <c r="CM116">
        <v>0.1</v>
      </c>
      <c r="CN116">
        <v>0.03</v>
      </c>
      <c r="CO116">
        <v>-179.1799024390244</v>
      </c>
      <c r="CP116">
        <v>-17.376627177700719</v>
      </c>
      <c r="CQ116">
        <v>1.714954650682196</v>
      </c>
      <c r="CR116">
        <v>-1</v>
      </c>
      <c r="CS116">
        <v>10.422885365853659</v>
      </c>
      <c r="CT116">
        <v>1.0973665505226471</v>
      </c>
      <c r="CU116">
        <v>0.1093321557166356</v>
      </c>
      <c r="CV116">
        <v>-1</v>
      </c>
      <c r="CW116">
        <v>0</v>
      </c>
      <c r="CX116">
        <v>0</v>
      </c>
      <c r="CY116" t="s">
        <v>333</v>
      </c>
      <c r="CZ116">
        <v>2.3645800000000001</v>
      </c>
      <c r="DA116">
        <v>2.7137099999999998</v>
      </c>
      <c r="DB116">
        <v>0.12298000000000001</v>
      </c>
      <c r="DC116">
        <v>0.146208</v>
      </c>
      <c r="DD116">
        <v>0.111054</v>
      </c>
      <c r="DE116">
        <v>7.0263400000000004E-2</v>
      </c>
      <c r="DF116">
        <v>32020.9</v>
      </c>
      <c r="DG116">
        <v>27514.6</v>
      </c>
      <c r="DH116">
        <v>31169.599999999999</v>
      </c>
      <c r="DI116">
        <v>28080.7</v>
      </c>
      <c r="DJ116">
        <v>37617.4</v>
      </c>
      <c r="DK116">
        <v>37124.800000000003</v>
      </c>
      <c r="DL116">
        <v>44358.1</v>
      </c>
      <c r="DM116">
        <v>42560.9</v>
      </c>
      <c r="DN116">
        <v>1.4780199999999999</v>
      </c>
      <c r="DO116">
        <v>2.0451800000000002</v>
      </c>
      <c r="DP116">
        <v>0.115082</v>
      </c>
      <c r="DQ116">
        <v>0.168268</v>
      </c>
      <c r="DR116">
        <v>25.0974</v>
      </c>
      <c r="DS116">
        <v>24.9163</v>
      </c>
      <c r="DT116">
        <v>56.3</v>
      </c>
      <c r="DU116">
        <v>29.5</v>
      </c>
      <c r="DV116">
        <v>23.520800000000001</v>
      </c>
      <c r="DW116">
        <v>61.6342</v>
      </c>
      <c r="DX116">
        <v>36.193899999999999</v>
      </c>
      <c r="DY116">
        <v>1</v>
      </c>
      <c r="DZ116">
        <v>-8.7850600000000001E-2</v>
      </c>
      <c r="EA116">
        <v>0.232465</v>
      </c>
      <c r="EB116">
        <v>20.189800000000002</v>
      </c>
      <c r="EC116">
        <v>5.24125</v>
      </c>
      <c r="ED116">
        <v>12.039899999999999</v>
      </c>
      <c r="EE116">
        <v>5.0174500000000002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1.86893</v>
      </c>
      <c r="EL116">
        <v>1.8646400000000001</v>
      </c>
      <c r="EM116">
        <v>1.8692</v>
      </c>
      <c r="EN116">
        <v>1.8672200000000001</v>
      </c>
      <c r="EO116">
        <v>1.8633999999999999</v>
      </c>
      <c r="EP116">
        <v>1.86453</v>
      </c>
      <c r="EQ116">
        <v>1.87016</v>
      </c>
      <c r="ER116">
        <v>1.86941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-0.36499999999999999</v>
      </c>
      <c r="FG116">
        <v>0.1628</v>
      </c>
      <c r="FH116">
        <v>5.8509882529719233E-2</v>
      </c>
      <c r="FI116">
        <v>-6.1462078757559423E-4</v>
      </c>
      <c r="FJ116">
        <v>-1.8861989874597051E-7</v>
      </c>
      <c r="FK116">
        <v>1.1980462299894961E-10</v>
      </c>
      <c r="FL116">
        <v>0.16277811159127681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25.4</v>
      </c>
      <c r="FU116">
        <v>25.6</v>
      </c>
      <c r="FV116">
        <v>1.78101</v>
      </c>
      <c r="FW116">
        <v>2.5769000000000002</v>
      </c>
      <c r="FX116">
        <v>1.5490699999999999</v>
      </c>
      <c r="FY116">
        <v>2.3278799999999999</v>
      </c>
      <c r="FZ116">
        <v>1.50146</v>
      </c>
      <c r="GA116">
        <v>2.4072300000000002</v>
      </c>
      <c r="GB116">
        <v>33.918700000000001</v>
      </c>
      <c r="GC116">
        <v>23.982399999999998</v>
      </c>
      <c r="GD116">
        <v>19</v>
      </c>
      <c r="GE116">
        <v>283.97000000000003</v>
      </c>
      <c r="GF116">
        <v>591.303</v>
      </c>
      <c r="GG116">
        <v>24.009</v>
      </c>
      <c r="GH116">
        <v>26.268599999999999</v>
      </c>
      <c r="GI116">
        <v>29.9999</v>
      </c>
      <c r="GJ116">
        <v>26.421299999999999</v>
      </c>
      <c r="GK116">
        <v>26.411799999999999</v>
      </c>
      <c r="GL116">
        <v>35.610799999999998</v>
      </c>
      <c r="GM116">
        <v>53.591200000000001</v>
      </c>
      <c r="GN116">
        <v>83.186800000000005</v>
      </c>
      <c r="GO116">
        <v>24.034800000000001</v>
      </c>
      <c r="GP116">
        <v>800</v>
      </c>
      <c r="GQ116">
        <v>12.4152</v>
      </c>
      <c r="GR116">
        <v>99.730400000000003</v>
      </c>
      <c r="GS116">
        <v>99.564499999999995</v>
      </c>
    </row>
    <row r="117" spans="1:201" x14ac:dyDescent="0.25">
      <c r="A117">
        <v>101</v>
      </c>
      <c r="B117">
        <v>1690222055</v>
      </c>
      <c r="C117">
        <v>1172.5</v>
      </c>
      <c r="D117" t="s">
        <v>533</v>
      </c>
      <c r="E117" t="s">
        <v>534</v>
      </c>
      <c r="F117" t="s">
        <v>330</v>
      </c>
      <c r="H117">
        <v>1690222055</v>
      </c>
      <c r="I117">
        <f t="shared" si="30"/>
        <v>1.065487247389973E-3</v>
      </c>
      <c r="J117">
        <f t="shared" si="31"/>
        <v>1.065487247389973</v>
      </c>
      <c r="K117">
        <f t="shared" si="32"/>
        <v>17.189765136031205</v>
      </c>
      <c r="L117">
        <f t="shared" si="33"/>
        <v>614.673</v>
      </c>
      <c r="M117">
        <f t="shared" si="34"/>
        <v>208.82811196130262</v>
      </c>
      <c r="N117">
        <f t="shared" si="35"/>
        <v>20.711125252162397</v>
      </c>
      <c r="O117">
        <f t="shared" si="36"/>
        <v>60.961952739779996</v>
      </c>
      <c r="P117">
        <f t="shared" si="37"/>
        <v>7.055862363331844E-2</v>
      </c>
      <c r="Q117">
        <f t="shared" si="38"/>
        <v>2.1974989106238763</v>
      </c>
      <c r="R117">
        <f t="shared" si="39"/>
        <v>6.9323758418198531E-2</v>
      </c>
      <c r="S117">
        <f t="shared" si="40"/>
        <v>4.3436496607673035E-2</v>
      </c>
      <c r="T117">
        <f t="shared" si="41"/>
        <v>276.11413453800003</v>
      </c>
      <c r="U117">
        <f t="shared" si="42"/>
        <v>27.904515670130756</v>
      </c>
      <c r="V117">
        <f t="shared" si="43"/>
        <v>27.904515670130756</v>
      </c>
      <c r="W117">
        <f t="shared" si="44"/>
        <v>3.7737672741657953</v>
      </c>
      <c r="X117">
        <f t="shared" si="45"/>
        <v>67.477376351095231</v>
      </c>
      <c r="Y117">
        <f t="shared" si="46"/>
        <v>2.2960765546459996</v>
      </c>
      <c r="Z117">
        <f t="shared" si="47"/>
        <v>3.4027353741484521</v>
      </c>
      <c r="AA117">
        <f t="shared" si="48"/>
        <v>1.4776907195197957</v>
      </c>
      <c r="AB117">
        <f t="shared" si="49"/>
        <v>-46.987987609897807</v>
      </c>
      <c r="AC117">
        <f t="shared" si="50"/>
        <v>-208.79613604631882</v>
      </c>
      <c r="AD117">
        <f t="shared" si="51"/>
        <v>-20.510381013478018</v>
      </c>
      <c r="AE117">
        <f t="shared" si="52"/>
        <v>-0.18037013169461602</v>
      </c>
      <c r="AF117">
        <v>0</v>
      </c>
      <c r="AG117">
        <v>0</v>
      </c>
      <c r="AH117">
        <f t="shared" si="53"/>
        <v>1</v>
      </c>
      <c r="AI117">
        <f t="shared" si="54"/>
        <v>0</v>
      </c>
      <c r="AJ117">
        <f t="shared" si="55"/>
        <v>52675.286597055652</v>
      </c>
      <c r="AK117">
        <f t="shared" si="56"/>
        <v>1800</v>
      </c>
      <c r="AL117">
        <f t="shared" si="57"/>
        <v>1499.1127667999999</v>
      </c>
      <c r="AM117">
        <f t="shared" si="58"/>
        <v>0.83284042599999997</v>
      </c>
      <c r="AN117">
        <f t="shared" si="59"/>
        <v>0.15339674141000001</v>
      </c>
      <c r="AO117">
        <v>31.2</v>
      </c>
      <c r="AP117">
        <v>0.5</v>
      </c>
      <c r="AQ117" t="s">
        <v>331</v>
      </c>
      <c r="AR117">
        <v>2</v>
      </c>
      <c r="AS117">
        <v>1690222055</v>
      </c>
      <c r="AT117">
        <v>614.673</v>
      </c>
      <c r="AU117">
        <v>800.11500000000001</v>
      </c>
      <c r="AV117">
        <v>23.1511</v>
      </c>
      <c r="AW117">
        <v>12.334899999999999</v>
      </c>
      <c r="AX117">
        <v>615.03599999999994</v>
      </c>
      <c r="AY117">
        <v>22.988299999999999</v>
      </c>
      <c r="AZ117">
        <v>300.23099999999999</v>
      </c>
      <c r="BA117">
        <v>99.077799999999996</v>
      </c>
      <c r="BB117">
        <v>0.10006</v>
      </c>
      <c r="BC117">
        <v>26.142099999999999</v>
      </c>
      <c r="BD117">
        <v>26.954899999999999</v>
      </c>
      <c r="BE117">
        <v>27.645099999999999</v>
      </c>
      <c r="BF117">
        <v>0</v>
      </c>
      <c r="BG117">
        <v>0</v>
      </c>
      <c r="BH117">
        <v>10026.9</v>
      </c>
      <c r="BI117">
        <v>1070.55</v>
      </c>
      <c r="BJ117">
        <v>1.58527</v>
      </c>
      <c r="BK117">
        <v>-185.44200000000001</v>
      </c>
      <c r="BL117">
        <v>629.24099999999999</v>
      </c>
      <c r="BM117">
        <v>810.10699999999997</v>
      </c>
      <c r="BN117">
        <v>10.8162</v>
      </c>
      <c r="BO117">
        <v>800.11500000000001</v>
      </c>
      <c r="BP117">
        <v>12.334899999999999</v>
      </c>
      <c r="BQ117">
        <v>2.2937599999999998</v>
      </c>
      <c r="BR117">
        <v>1.22211</v>
      </c>
      <c r="BS117">
        <v>19.6326</v>
      </c>
      <c r="BT117">
        <v>9.8736899999999999</v>
      </c>
      <c r="BU117">
        <v>1800</v>
      </c>
      <c r="BV117">
        <v>0.91001500000000002</v>
      </c>
      <c r="BW117">
        <v>3.4000599999999999E-2</v>
      </c>
      <c r="BX117">
        <v>2.1991299999999998E-2</v>
      </c>
      <c r="BY117">
        <v>3.3993299999999997E-2</v>
      </c>
      <c r="BZ117">
        <v>26</v>
      </c>
      <c r="CA117">
        <v>33528.5</v>
      </c>
      <c r="CB117">
        <v>1690220522.5999999</v>
      </c>
      <c r="CC117" t="s">
        <v>332</v>
      </c>
      <c r="CD117">
        <v>1690220522.5999999</v>
      </c>
      <c r="CE117">
        <v>1690220510.5999999</v>
      </c>
      <c r="CF117">
        <v>10</v>
      </c>
      <c r="CG117">
        <v>-0.22</v>
      </c>
      <c r="CH117">
        <v>-2.7E-2</v>
      </c>
      <c r="CI117">
        <v>-0.49299999999999999</v>
      </c>
      <c r="CJ117">
        <v>0.152</v>
      </c>
      <c r="CK117">
        <v>800</v>
      </c>
      <c r="CL117">
        <v>19</v>
      </c>
      <c r="CM117">
        <v>0.1</v>
      </c>
      <c r="CN117">
        <v>0.03</v>
      </c>
      <c r="CO117">
        <v>-182.03646341463411</v>
      </c>
      <c r="CP117">
        <v>-16.878982578397199</v>
      </c>
      <c r="CQ117">
        <v>1.6653771139259539</v>
      </c>
      <c r="CR117">
        <v>-1</v>
      </c>
      <c r="CS117">
        <v>10.58748048780488</v>
      </c>
      <c r="CT117">
        <v>0.91031289198606546</v>
      </c>
      <c r="CU117">
        <v>9.1424182154881128E-2</v>
      </c>
      <c r="CV117">
        <v>-1</v>
      </c>
      <c r="CW117">
        <v>0</v>
      </c>
      <c r="CX117">
        <v>0</v>
      </c>
      <c r="CY117" t="s">
        <v>333</v>
      </c>
      <c r="CZ117">
        <v>2.3647100000000001</v>
      </c>
      <c r="DA117">
        <v>2.7138800000000001</v>
      </c>
      <c r="DB117">
        <v>0.12256599999999999</v>
      </c>
      <c r="DC117">
        <v>0.146206</v>
      </c>
      <c r="DD117">
        <v>0.11110399999999999</v>
      </c>
      <c r="DE117">
        <v>6.9361099999999995E-2</v>
      </c>
      <c r="DF117">
        <v>32036.9</v>
      </c>
      <c r="DG117">
        <v>27514.9</v>
      </c>
      <c r="DH117">
        <v>31170.400000000001</v>
      </c>
      <c r="DI117">
        <v>28081</v>
      </c>
      <c r="DJ117">
        <v>37616.1</v>
      </c>
      <c r="DK117">
        <v>37161</v>
      </c>
      <c r="DL117">
        <v>44359.199999999997</v>
      </c>
      <c r="DM117">
        <v>42561.1</v>
      </c>
      <c r="DN117">
        <v>1.4785200000000001</v>
      </c>
      <c r="DO117">
        <v>2.0449999999999999</v>
      </c>
      <c r="DP117">
        <v>0.113402</v>
      </c>
      <c r="DQ117">
        <v>0.16678899999999999</v>
      </c>
      <c r="DR117">
        <v>25.0974</v>
      </c>
      <c r="DS117">
        <v>24.914200000000001</v>
      </c>
      <c r="DT117">
        <v>56.1</v>
      </c>
      <c r="DU117">
        <v>29.5</v>
      </c>
      <c r="DV117">
        <v>23.440200000000001</v>
      </c>
      <c r="DW117">
        <v>61.714100000000002</v>
      </c>
      <c r="DX117">
        <v>35.637</v>
      </c>
      <c r="DY117">
        <v>1</v>
      </c>
      <c r="DZ117">
        <v>-8.8523900000000003E-2</v>
      </c>
      <c r="EA117">
        <v>0.19633700000000001</v>
      </c>
      <c r="EB117">
        <v>20.189699999999998</v>
      </c>
      <c r="EC117">
        <v>5.24125</v>
      </c>
      <c r="ED117">
        <v>12.039899999999999</v>
      </c>
      <c r="EE117">
        <v>5.0175999999999998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1.8689199999999999</v>
      </c>
      <c r="EL117">
        <v>1.86463</v>
      </c>
      <c r="EM117">
        <v>1.8691899999999999</v>
      </c>
      <c r="EN117">
        <v>1.8672299999999999</v>
      </c>
      <c r="EO117">
        <v>1.8633900000000001</v>
      </c>
      <c r="EP117">
        <v>1.86452</v>
      </c>
      <c r="EQ117">
        <v>1.87016</v>
      </c>
      <c r="ER117">
        <v>1.8694200000000001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-0.36299999999999999</v>
      </c>
      <c r="FG117">
        <v>0.1628</v>
      </c>
      <c r="FH117">
        <v>5.8509882529719233E-2</v>
      </c>
      <c r="FI117">
        <v>-6.1462078757559423E-4</v>
      </c>
      <c r="FJ117">
        <v>-1.8861989874597051E-7</v>
      </c>
      <c r="FK117">
        <v>1.1980462299894961E-10</v>
      </c>
      <c r="FL117">
        <v>0.16277811159127681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25.5</v>
      </c>
      <c r="FU117">
        <v>25.7</v>
      </c>
      <c r="FV117">
        <v>1.78101</v>
      </c>
      <c r="FW117">
        <v>2.5866699999999998</v>
      </c>
      <c r="FX117">
        <v>1.5490699999999999</v>
      </c>
      <c r="FY117">
        <v>2.3278799999999999</v>
      </c>
      <c r="FZ117">
        <v>1.50146</v>
      </c>
      <c r="GA117">
        <v>2.3034699999999999</v>
      </c>
      <c r="GB117">
        <v>33.918700000000001</v>
      </c>
      <c r="GC117">
        <v>23.973700000000001</v>
      </c>
      <c r="GD117">
        <v>19</v>
      </c>
      <c r="GE117">
        <v>284.17399999999998</v>
      </c>
      <c r="GF117">
        <v>591.12099999999998</v>
      </c>
      <c r="GG117">
        <v>24.048999999999999</v>
      </c>
      <c r="GH117">
        <v>26.266400000000001</v>
      </c>
      <c r="GI117">
        <v>29.9998</v>
      </c>
      <c r="GJ117">
        <v>26.4191</v>
      </c>
      <c r="GK117">
        <v>26.4086</v>
      </c>
      <c r="GL117">
        <v>35.606900000000003</v>
      </c>
      <c r="GM117">
        <v>53.890700000000002</v>
      </c>
      <c r="GN117">
        <v>82.4238</v>
      </c>
      <c r="GO117">
        <v>24.0749</v>
      </c>
      <c r="GP117">
        <v>800</v>
      </c>
      <c r="GQ117">
        <v>12.2377</v>
      </c>
      <c r="GR117">
        <v>99.733000000000004</v>
      </c>
      <c r="GS117">
        <v>99.565100000000001</v>
      </c>
    </row>
    <row r="118" spans="1:201" x14ac:dyDescent="0.25">
      <c r="A118">
        <v>102</v>
      </c>
      <c r="B118">
        <v>1690222065</v>
      </c>
      <c r="C118">
        <v>1182.5</v>
      </c>
      <c r="D118" t="s">
        <v>535</v>
      </c>
      <c r="E118" t="s">
        <v>536</v>
      </c>
      <c r="F118" t="s">
        <v>330</v>
      </c>
      <c r="H118">
        <v>1690222065</v>
      </c>
      <c r="I118">
        <f t="shared" si="30"/>
        <v>1.0810872616443207E-3</v>
      </c>
      <c r="J118">
        <f t="shared" si="31"/>
        <v>1.0810872616443208</v>
      </c>
      <c r="K118">
        <f t="shared" si="32"/>
        <v>17.45285418460676</v>
      </c>
      <c r="L118">
        <f t="shared" si="33"/>
        <v>611.72199999999998</v>
      </c>
      <c r="M118">
        <f t="shared" si="34"/>
        <v>206.12426139862521</v>
      </c>
      <c r="N118">
        <f t="shared" si="35"/>
        <v>20.44378454477793</v>
      </c>
      <c r="O118">
        <f t="shared" si="36"/>
        <v>60.671716587089996</v>
      </c>
      <c r="P118">
        <f t="shared" si="37"/>
        <v>7.1686044212267139E-2</v>
      </c>
      <c r="Q118">
        <f t="shared" si="38"/>
        <v>2.1973155725812896</v>
      </c>
      <c r="R118">
        <f t="shared" si="39"/>
        <v>7.0411680985297459E-2</v>
      </c>
      <c r="S118">
        <f t="shared" si="40"/>
        <v>4.4119910120566062E-2</v>
      </c>
      <c r="T118">
        <f t="shared" si="41"/>
        <v>276.11546784029935</v>
      </c>
      <c r="U118">
        <f t="shared" si="42"/>
        <v>27.903760920871534</v>
      </c>
      <c r="V118">
        <f t="shared" si="43"/>
        <v>27.903760920871534</v>
      </c>
      <c r="W118">
        <f t="shared" si="44"/>
        <v>3.7736011163240617</v>
      </c>
      <c r="X118">
        <f t="shared" si="45"/>
        <v>67.49838191536125</v>
      </c>
      <c r="Y118">
        <f t="shared" si="46"/>
        <v>2.2973887484729998</v>
      </c>
      <c r="Z118">
        <f t="shared" si="47"/>
        <v>3.4036204769379239</v>
      </c>
      <c r="AA118">
        <f t="shared" si="48"/>
        <v>1.4762123678510619</v>
      </c>
      <c r="AB118">
        <f t="shared" si="49"/>
        <v>-47.675948238514543</v>
      </c>
      <c r="AC118">
        <f t="shared" si="50"/>
        <v>-208.16807587484251</v>
      </c>
      <c r="AD118">
        <f t="shared" si="51"/>
        <v>-20.450763507925423</v>
      </c>
      <c r="AE118">
        <f t="shared" si="52"/>
        <v>-0.17931978098312129</v>
      </c>
      <c r="AF118">
        <v>0</v>
      </c>
      <c r="AG118">
        <v>0</v>
      </c>
      <c r="AH118">
        <f t="shared" si="53"/>
        <v>1</v>
      </c>
      <c r="AI118">
        <f t="shared" si="54"/>
        <v>0</v>
      </c>
      <c r="AJ118">
        <f t="shared" si="55"/>
        <v>52667.07087232991</v>
      </c>
      <c r="AK118">
        <f t="shared" si="56"/>
        <v>1800.01</v>
      </c>
      <c r="AL118">
        <f t="shared" si="57"/>
        <v>1499.11884879178</v>
      </c>
      <c r="AM118">
        <f t="shared" si="58"/>
        <v>0.83283917800000007</v>
      </c>
      <c r="AN118">
        <f t="shared" si="59"/>
        <v>0.15339662993000003</v>
      </c>
      <c r="AO118">
        <v>31.2</v>
      </c>
      <c r="AP118">
        <v>0.5</v>
      </c>
      <c r="AQ118" t="s">
        <v>331</v>
      </c>
      <c r="AR118">
        <v>2</v>
      </c>
      <c r="AS118">
        <v>1690222065</v>
      </c>
      <c r="AT118">
        <v>611.72199999999998</v>
      </c>
      <c r="AU118">
        <v>800.03099999999995</v>
      </c>
      <c r="AV118">
        <v>23.163399999999999</v>
      </c>
      <c r="AW118">
        <v>12.1851</v>
      </c>
      <c r="AX118">
        <v>612.08299999999997</v>
      </c>
      <c r="AY118">
        <v>23.000599999999999</v>
      </c>
      <c r="AZ118">
        <v>300.125</v>
      </c>
      <c r="BA118">
        <v>99.081800000000001</v>
      </c>
      <c r="BB118">
        <v>0.100045</v>
      </c>
      <c r="BC118">
        <v>26.1465</v>
      </c>
      <c r="BD118">
        <v>26.943100000000001</v>
      </c>
      <c r="BE118">
        <v>27.642900000000001</v>
      </c>
      <c r="BF118">
        <v>0</v>
      </c>
      <c r="BG118">
        <v>0</v>
      </c>
      <c r="BH118">
        <v>10025</v>
      </c>
      <c r="BI118">
        <v>1070.6400000000001</v>
      </c>
      <c r="BJ118">
        <v>1.62592</v>
      </c>
      <c r="BK118">
        <v>-188.309</v>
      </c>
      <c r="BL118">
        <v>626.22799999999995</v>
      </c>
      <c r="BM118">
        <v>809.9</v>
      </c>
      <c r="BN118">
        <v>10.978300000000001</v>
      </c>
      <c r="BO118">
        <v>800.03099999999995</v>
      </c>
      <c r="BP118">
        <v>12.1851</v>
      </c>
      <c r="BQ118">
        <v>2.2950699999999999</v>
      </c>
      <c r="BR118">
        <v>1.2073199999999999</v>
      </c>
      <c r="BS118">
        <v>19.6418</v>
      </c>
      <c r="BT118">
        <v>9.6921800000000005</v>
      </c>
      <c r="BU118">
        <v>1800.01</v>
      </c>
      <c r="BV118">
        <v>0.91000800000000004</v>
      </c>
      <c r="BW118">
        <v>3.4000000000000002E-2</v>
      </c>
      <c r="BX118">
        <v>2.1990900000000001E-2</v>
      </c>
      <c r="BY118">
        <v>3.4000500000000003E-2</v>
      </c>
      <c r="BZ118">
        <v>26</v>
      </c>
      <c r="CA118">
        <v>33528.699999999997</v>
      </c>
      <c r="CB118">
        <v>1690220522.5999999</v>
      </c>
      <c r="CC118" t="s">
        <v>332</v>
      </c>
      <c r="CD118">
        <v>1690220522.5999999</v>
      </c>
      <c r="CE118">
        <v>1690220510.5999999</v>
      </c>
      <c r="CF118">
        <v>10</v>
      </c>
      <c r="CG118">
        <v>-0.22</v>
      </c>
      <c r="CH118">
        <v>-2.7E-2</v>
      </c>
      <c r="CI118">
        <v>-0.49299999999999999</v>
      </c>
      <c r="CJ118">
        <v>0.152</v>
      </c>
      <c r="CK118">
        <v>800</v>
      </c>
      <c r="CL118">
        <v>19</v>
      </c>
      <c r="CM118">
        <v>0.1</v>
      </c>
      <c r="CN118">
        <v>0.03</v>
      </c>
      <c r="CO118">
        <v>-185.13102499999999</v>
      </c>
      <c r="CP118">
        <v>-17.569677298311579</v>
      </c>
      <c r="CQ118">
        <v>1.6905837821223191</v>
      </c>
      <c r="CR118">
        <v>-1</v>
      </c>
      <c r="CS118">
        <v>10.774380000000001</v>
      </c>
      <c r="CT118">
        <v>1.1866649155722171</v>
      </c>
      <c r="CU118">
        <v>0.1149854582110276</v>
      </c>
      <c r="CV118">
        <v>-1</v>
      </c>
      <c r="CW118">
        <v>0</v>
      </c>
      <c r="CX118">
        <v>0</v>
      </c>
      <c r="CY118" t="s">
        <v>333</v>
      </c>
      <c r="CZ118">
        <v>2.3643399999999999</v>
      </c>
      <c r="DA118">
        <v>2.7138599999999999</v>
      </c>
      <c r="DB118">
        <v>0.122158</v>
      </c>
      <c r="DC118">
        <v>0.146199</v>
      </c>
      <c r="DD118">
        <v>0.111151</v>
      </c>
      <c r="DE118">
        <v>6.8731E-2</v>
      </c>
      <c r="DF118">
        <v>32051.4</v>
      </c>
      <c r="DG118">
        <v>27515.599999999999</v>
      </c>
      <c r="DH118">
        <v>31170</v>
      </c>
      <c r="DI118">
        <v>28081.4</v>
      </c>
      <c r="DJ118">
        <v>37613.699999999997</v>
      </c>
      <c r="DK118">
        <v>37186.9</v>
      </c>
      <c r="DL118">
        <v>44358.8</v>
      </c>
      <c r="DM118">
        <v>42561.8</v>
      </c>
      <c r="DN118">
        <v>1.4785200000000001</v>
      </c>
      <c r="DO118">
        <v>2.0448300000000001</v>
      </c>
      <c r="DP118">
        <v>0.11268300000000001</v>
      </c>
      <c r="DQ118">
        <v>0.16653200000000001</v>
      </c>
      <c r="DR118">
        <v>25.0974</v>
      </c>
      <c r="DS118">
        <v>24.9163</v>
      </c>
      <c r="DT118">
        <v>56</v>
      </c>
      <c r="DU118">
        <v>29.5</v>
      </c>
      <c r="DV118">
        <v>23.397400000000001</v>
      </c>
      <c r="DW118">
        <v>61.584200000000003</v>
      </c>
      <c r="DX118">
        <v>36.9191</v>
      </c>
      <c r="DY118">
        <v>1</v>
      </c>
      <c r="DZ118">
        <v>-8.8970999999999995E-2</v>
      </c>
      <c r="EA118">
        <v>9.1176499999999994E-2</v>
      </c>
      <c r="EB118">
        <v>20.189900000000002</v>
      </c>
      <c r="EC118">
        <v>5.24125</v>
      </c>
      <c r="ED118">
        <v>12.039899999999999</v>
      </c>
      <c r="EE118">
        <v>5.0175999999999998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1.86893</v>
      </c>
      <c r="EL118">
        <v>1.8646400000000001</v>
      </c>
      <c r="EM118">
        <v>1.8691899999999999</v>
      </c>
      <c r="EN118">
        <v>1.8672200000000001</v>
      </c>
      <c r="EO118">
        <v>1.8633999999999999</v>
      </c>
      <c r="EP118">
        <v>1.86453</v>
      </c>
      <c r="EQ118">
        <v>1.8701700000000001</v>
      </c>
      <c r="ER118">
        <v>1.8694299999999999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-0.36099999999999999</v>
      </c>
      <c r="FG118">
        <v>0.1628</v>
      </c>
      <c r="FH118">
        <v>5.8509882529719233E-2</v>
      </c>
      <c r="FI118">
        <v>-6.1462078757559423E-4</v>
      </c>
      <c r="FJ118">
        <v>-1.8861989874597051E-7</v>
      </c>
      <c r="FK118">
        <v>1.1980462299894961E-10</v>
      </c>
      <c r="FL118">
        <v>0.16277811159127681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25.7</v>
      </c>
      <c r="FU118">
        <v>25.9</v>
      </c>
      <c r="FV118">
        <v>1.78101</v>
      </c>
      <c r="FW118">
        <v>2.5769000000000002</v>
      </c>
      <c r="FX118">
        <v>1.5490699999999999</v>
      </c>
      <c r="FY118">
        <v>2.3290999999999999</v>
      </c>
      <c r="FZ118">
        <v>1.50146</v>
      </c>
      <c r="GA118">
        <v>2.3767100000000001</v>
      </c>
      <c r="GB118">
        <v>33.941299999999998</v>
      </c>
      <c r="GC118">
        <v>23.982399999999998</v>
      </c>
      <c r="GD118">
        <v>19</v>
      </c>
      <c r="GE118">
        <v>284.16399999999999</v>
      </c>
      <c r="GF118">
        <v>590.95000000000005</v>
      </c>
      <c r="GG118">
        <v>24.1035</v>
      </c>
      <c r="GH118">
        <v>26.264199999999999</v>
      </c>
      <c r="GI118">
        <v>29.9999</v>
      </c>
      <c r="GJ118">
        <v>26.416899999999998</v>
      </c>
      <c r="GK118">
        <v>26.406300000000002</v>
      </c>
      <c r="GL118">
        <v>35.602699999999999</v>
      </c>
      <c r="GM118">
        <v>54.441800000000001</v>
      </c>
      <c r="GN118">
        <v>82.0261</v>
      </c>
      <c r="GO118">
        <v>24.155999999999999</v>
      </c>
      <c r="GP118">
        <v>800</v>
      </c>
      <c r="GQ118">
        <v>12.0633</v>
      </c>
      <c r="GR118">
        <v>99.731999999999999</v>
      </c>
      <c r="GS118">
        <v>99.566699999999997</v>
      </c>
    </row>
    <row r="119" spans="1:201" x14ac:dyDescent="0.25">
      <c r="A119">
        <v>103</v>
      </c>
      <c r="B119">
        <v>1690222075</v>
      </c>
      <c r="C119">
        <v>1192.5</v>
      </c>
      <c r="D119" t="s">
        <v>537</v>
      </c>
      <c r="E119" t="s">
        <v>538</v>
      </c>
      <c r="F119" t="s">
        <v>330</v>
      </c>
      <c r="H119">
        <v>1690222075</v>
      </c>
      <c r="I119">
        <f t="shared" si="30"/>
        <v>1.1014310809646364E-3</v>
      </c>
      <c r="J119">
        <f t="shared" si="31"/>
        <v>1.1014310809646364</v>
      </c>
      <c r="K119">
        <f t="shared" si="32"/>
        <v>17.711095835821737</v>
      </c>
      <c r="L119">
        <f t="shared" si="33"/>
        <v>608.93100000000004</v>
      </c>
      <c r="M119">
        <f t="shared" si="34"/>
        <v>205.02253844065382</v>
      </c>
      <c r="N119">
        <f t="shared" si="35"/>
        <v>20.334210482802128</v>
      </c>
      <c r="O119">
        <f t="shared" si="36"/>
        <v>60.393999692318403</v>
      </c>
      <c r="P119">
        <f t="shared" si="37"/>
        <v>7.3072907144864419E-2</v>
      </c>
      <c r="Q119">
        <f t="shared" si="38"/>
        <v>2.1937683109973336</v>
      </c>
      <c r="R119">
        <f t="shared" si="39"/>
        <v>7.174715065639764E-2</v>
      </c>
      <c r="S119">
        <f t="shared" si="40"/>
        <v>4.4959079660190346E-2</v>
      </c>
      <c r="T119">
        <f t="shared" si="41"/>
        <v>276.11247683927331</v>
      </c>
      <c r="U119">
        <f t="shared" si="42"/>
        <v>27.908700723442472</v>
      </c>
      <c r="V119">
        <f t="shared" si="43"/>
        <v>27.908700723442472</v>
      </c>
      <c r="W119">
        <f t="shared" si="44"/>
        <v>3.7746887283364732</v>
      </c>
      <c r="X119">
        <f t="shared" si="45"/>
        <v>67.500765159646221</v>
      </c>
      <c r="Y119">
        <f t="shared" si="46"/>
        <v>2.2987331061627199</v>
      </c>
      <c r="Z119">
        <f t="shared" si="47"/>
        <v>3.4054919240189063</v>
      </c>
      <c r="AA119">
        <f t="shared" si="48"/>
        <v>1.4759556221737533</v>
      </c>
      <c r="AB119">
        <f t="shared" si="49"/>
        <v>-48.573110670540466</v>
      </c>
      <c r="AC119">
        <f t="shared" si="50"/>
        <v>-207.31633489904115</v>
      </c>
      <c r="AD119">
        <f t="shared" si="51"/>
        <v>-20.40147162212952</v>
      </c>
      <c r="AE119">
        <f t="shared" si="52"/>
        <v>-0.17844035243783196</v>
      </c>
      <c r="AF119">
        <v>0</v>
      </c>
      <c r="AG119">
        <v>0</v>
      </c>
      <c r="AH119">
        <f t="shared" si="53"/>
        <v>1</v>
      </c>
      <c r="AI119">
        <f t="shared" si="54"/>
        <v>0</v>
      </c>
      <c r="AJ119">
        <f t="shared" si="55"/>
        <v>52519.859208022426</v>
      </c>
      <c r="AK119">
        <f t="shared" si="56"/>
        <v>1799.99</v>
      </c>
      <c r="AL119">
        <f t="shared" si="57"/>
        <v>1499.1010382146301</v>
      </c>
      <c r="AM119">
        <f t="shared" si="58"/>
        <v>0.83283853699999999</v>
      </c>
      <c r="AN119">
        <f t="shared" si="59"/>
        <v>0.15339667267000001</v>
      </c>
      <c r="AO119">
        <v>31.2</v>
      </c>
      <c r="AP119">
        <v>0.5</v>
      </c>
      <c r="AQ119" t="s">
        <v>331</v>
      </c>
      <c r="AR119">
        <v>2</v>
      </c>
      <c r="AS119">
        <v>1690222075</v>
      </c>
      <c r="AT119">
        <v>608.93100000000004</v>
      </c>
      <c r="AU119">
        <v>800.00099999999998</v>
      </c>
      <c r="AV119">
        <v>23.177299999999999</v>
      </c>
      <c r="AW119">
        <v>11.9938</v>
      </c>
      <c r="AX119">
        <v>609.29</v>
      </c>
      <c r="AY119">
        <v>23.014600000000002</v>
      </c>
      <c r="AZ119">
        <v>300.15800000000002</v>
      </c>
      <c r="BA119">
        <v>99.080399999999997</v>
      </c>
      <c r="BB119">
        <v>9.9966399999999997E-2</v>
      </c>
      <c r="BC119">
        <v>26.155799999999999</v>
      </c>
      <c r="BD119">
        <v>26.992599999999999</v>
      </c>
      <c r="BE119">
        <v>27.637899999999998</v>
      </c>
      <c r="BF119">
        <v>0</v>
      </c>
      <c r="BG119">
        <v>0</v>
      </c>
      <c r="BH119">
        <v>9996.25</v>
      </c>
      <c r="BI119">
        <v>1070.9100000000001</v>
      </c>
      <c r="BJ119">
        <v>1.62592</v>
      </c>
      <c r="BK119">
        <v>-191.07</v>
      </c>
      <c r="BL119">
        <v>623.38</v>
      </c>
      <c r="BM119">
        <v>809.71299999999997</v>
      </c>
      <c r="BN119">
        <v>11.1835</v>
      </c>
      <c r="BO119">
        <v>800.00099999999998</v>
      </c>
      <c r="BP119">
        <v>11.9938</v>
      </c>
      <c r="BQ119">
        <v>2.2964199999999999</v>
      </c>
      <c r="BR119">
        <v>1.18835</v>
      </c>
      <c r="BS119">
        <v>19.651299999999999</v>
      </c>
      <c r="BT119">
        <v>9.4564400000000006</v>
      </c>
      <c r="BU119">
        <v>1799.99</v>
      </c>
      <c r="BV119">
        <v>0.91000300000000001</v>
      </c>
      <c r="BW119">
        <v>3.4004600000000003E-2</v>
      </c>
      <c r="BX119">
        <v>2.1990599999999999E-2</v>
      </c>
      <c r="BY119">
        <v>3.4001299999999998E-2</v>
      </c>
      <c r="BZ119">
        <v>26</v>
      </c>
      <c r="CA119">
        <v>33528.300000000003</v>
      </c>
      <c r="CB119">
        <v>1690220522.5999999</v>
      </c>
      <c r="CC119" t="s">
        <v>332</v>
      </c>
      <c r="CD119">
        <v>1690220522.5999999</v>
      </c>
      <c r="CE119">
        <v>1690220510.5999999</v>
      </c>
      <c r="CF119">
        <v>10</v>
      </c>
      <c r="CG119">
        <v>-0.22</v>
      </c>
      <c r="CH119">
        <v>-2.7E-2</v>
      </c>
      <c r="CI119">
        <v>-0.49299999999999999</v>
      </c>
      <c r="CJ119">
        <v>0.152</v>
      </c>
      <c r="CK119">
        <v>800</v>
      </c>
      <c r="CL119">
        <v>19</v>
      </c>
      <c r="CM119">
        <v>0.1</v>
      </c>
      <c r="CN119">
        <v>0.03</v>
      </c>
      <c r="CO119">
        <v>-187.85146341463411</v>
      </c>
      <c r="CP119">
        <v>-17.437254355400469</v>
      </c>
      <c r="CQ119">
        <v>1.720143344814695</v>
      </c>
      <c r="CR119">
        <v>-1</v>
      </c>
      <c r="CS119">
        <v>10.962373170731709</v>
      </c>
      <c r="CT119">
        <v>1.181807665505245</v>
      </c>
      <c r="CU119">
        <v>0.1178655249134249</v>
      </c>
      <c r="CV119">
        <v>-1</v>
      </c>
      <c r="CW119">
        <v>0</v>
      </c>
      <c r="CX119">
        <v>0</v>
      </c>
      <c r="CY119" t="s">
        <v>333</v>
      </c>
      <c r="CZ119">
        <v>2.3644799999999999</v>
      </c>
      <c r="DA119">
        <v>2.7137500000000001</v>
      </c>
      <c r="DB119">
        <v>0.121766</v>
      </c>
      <c r="DC119">
        <v>0.14619099999999999</v>
      </c>
      <c r="DD119">
        <v>0.111197</v>
      </c>
      <c r="DE119">
        <v>6.7917599999999995E-2</v>
      </c>
      <c r="DF119">
        <v>32066.2</v>
      </c>
      <c r="DG119">
        <v>27515.9</v>
      </c>
      <c r="DH119">
        <v>31170.5</v>
      </c>
      <c r="DI119">
        <v>28081.5</v>
      </c>
      <c r="DJ119">
        <v>37612.199999999997</v>
      </c>
      <c r="DK119">
        <v>37219.5</v>
      </c>
      <c r="DL119">
        <v>44359.4</v>
      </c>
      <c r="DM119">
        <v>42561.9</v>
      </c>
      <c r="DN119">
        <v>1.47845</v>
      </c>
      <c r="DO119">
        <v>2.0447199999999999</v>
      </c>
      <c r="DP119">
        <v>0.115577</v>
      </c>
      <c r="DQ119">
        <v>0.16622200000000001</v>
      </c>
      <c r="DR119">
        <v>25.099499999999999</v>
      </c>
      <c r="DS119">
        <v>24.9163</v>
      </c>
      <c r="DT119">
        <v>55.8</v>
      </c>
      <c r="DU119">
        <v>29.5</v>
      </c>
      <c r="DV119">
        <v>23.312799999999999</v>
      </c>
      <c r="DW119">
        <v>61.6342</v>
      </c>
      <c r="DX119">
        <v>35.957500000000003</v>
      </c>
      <c r="DY119">
        <v>1</v>
      </c>
      <c r="DZ119">
        <v>-8.9685000000000001E-2</v>
      </c>
      <c r="EA119">
        <v>5.2083299999999999E-2</v>
      </c>
      <c r="EB119">
        <v>20.190000000000001</v>
      </c>
      <c r="EC119">
        <v>5.2411000000000003</v>
      </c>
      <c r="ED119">
        <v>12.039899999999999</v>
      </c>
      <c r="EE119">
        <v>5.0175999999999998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1.8689199999999999</v>
      </c>
      <c r="EL119">
        <v>1.8646199999999999</v>
      </c>
      <c r="EM119">
        <v>1.8691800000000001</v>
      </c>
      <c r="EN119">
        <v>1.8672299999999999</v>
      </c>
      <c r="EO119">
        <v>1.8633999999999999</v>
      </c>
      <c r="EP119">
        <v>1.86452</v>
      </c>
      <c r="EQ119">
        <v>1.87016</v>
      </c>
      <c r="ER119">
        <v>1.86948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-0.35899999999999999</v>
      </c>
      <c r="FG119">
        <v>0.16270000000000001</v>
      </c>
      <c r="FH119">
        <v>5.8509882529719233E-2</v>
      </c>
      <c r="FI119">
        <v>-6.1462078757559423E-4</v>
      </c>
      <c r="FJ119">
        <v>-1.8861989874597051E-7</v>
      </c>
      <c r="FK119">
        <v>1.1980462299894961E-10</v>
      </c>
      <c r="FL119">
        <v>0.16277811159127681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25.9</v>
      </c>
      <c r="FU119">
        <v>26.1</v>
      </c>
      <c r="FV119">
        <v>1.78101</v>
      </c>
      <c r="FW119">
        <v>2.5793499999999998</v>
      </c>
      <c r="FX119">
        <v>1.5490699999999999</v>
      </c>
      <c r="FY119">
        <v>2.3278799999999999</v>
      </c>
      <c r="FZ119">
        <v>1.50146</v>
      </c>
      <c r="GA119">
        <v>2.3767100000000001</v>
      </c>
      <c r="GB119">
        <v>33.941299999999998</v>
      </c>
      <c r="GC119">
        <v>23.982399999999998</v>
      </c>
      <c r="GD119">
        <v>19</v>
      </c>
      <c r="GE119">
        <v>284.12200000000001</v>
      </c>
      <c r="GF119">
        <v>590.82899999999995</v>
      </c>
      <c r="GG119">
        <v>24.183900000000001</v>
      </c>
      <c r="GH119">
        <v>26.262</v>
      </c>
      <c r="GI119">
        <v>29.9998</v>
      </c>
      <c r="GJ119">
        <v>26.4147</v>
      </c>
      <c r="GK119">
        <v>26.402999999999999</v>
      </c>
      <c r="GL119">
        <v>35.599800000000002</v>
      </c>
      <c r="GM119">
        <v>54.441800000000001</v>
      </c>
      <c r="GN119">
        <v>81.218400000000003</v>
      </c>
      <c r="GO119">
        <v>24.187100000000001</v>
      </c>
      <c r="GP119">
        <v>800</v>
      </c>
      <c r="GQ119">
        <v>11.8911</v>
      </c>
      <c r="GR119">
        <v>99.733400000000003</v>
      </c>
      <c r="GS119">
        <v>99.566999999999993</v>
      </c>
    </row>
    <row r="120" spans="1:201" x14ac:dyDescent="0.25">
      <c r="A120">
        <v>104</v>
      </c>
      <c r="B120">
        <v>1690222085</v>
      </c>
      <c r="C120">
        <v>1202.5</v>
      </c>
      <c r="D120" t="s">
        <v>539</v>
      </c>
      <c r="E120" t="s">
        <v>540</v>
      </c>
      <c r="F120" t="s">
        <v>330</v>
      </c>
      <c r="H120">
        <v>1690222085</v>
      </c>
      <c r="I120">
        <f t="shared" si="30"/>
        <v>1.1171295145832115E-3</v>
      </c>
      <c r="J120">
        <f t="shared" si="31"/>
        <v>1.1171295145832114</v>
      </c>
      <c r="K120">
        <f t="shared" si="32"/>
        <v>17.997464825267834</v>
      </c>
      <c r="L120">
        <f t="shared" si="33"/>
        <v>605.94899999999996</v>
      </c>
      <c r="M120">
        <f t="shared" si="34"/>
        <v>200.99524330387538</v>
      </c>
      <c r="N120">
        <f t="shared" si="35"/>
        <v>19.935300362865135</v>
      </c>
      <c r="O120">
        <f t="shared" si="36"/>
        <v>60.099806945753997</v>
      </c>
      <c r="P120">
        <f t="shared" si="37"/>
        <v>7.4060991775036944E-2</v>
      </c>
      <c r="Q120">
        <f t="shared" si="38"/>
        <v>2.1903357324585198</v>
      </c>
      <c r="R120">
        <f t="shared" si="39"/>
        <v>7.2697408099871658E-2</v>
      </c>
      <c r="S120">
        <f t="shared" si="40"/>
        <v>4.5556301517459839E-2</v>
      </c>
      <c r="T120">
        <f t="shared" si="41"/>
        <v>276.11424988200002</v>
      </c>
      <c r="U120">
        <f t="shared" si="42"/>
        <v>27.919754333707314</v>
      </c>
      <c r="V120">
        <f t="shared" si="43"/>
        <v>27.919754333707314</v>
      </c>
      <c r="W120">
        <f t="shared" si="44"/>
        <v>3.7771234275635615</v>
      </c>
      <c r="X120">
        <f t="shared" si="45"/>
        <v>67.473280233051668</v>
      </c>
      <c r="Y120">
        <f t="shared" si="46"/>
        <v>2.2996855408398003</v>
      </c>
      <c r="Z120">
        <f t="shared" si="47"/>
        <v>3.408290708405938</v>
      </c>
      <c r="AA120">
        <f t="shared" si="48"/>
        <v>1.4774378867237612</v>
      </c>
      <c r="AB120">
        <f t="shared" si="49"/>
        <v>-49.265411593119623</v>
      </c>
      <c r="AC120">
        <f t="shared" si="50"/>
        <v>-206.65583103100701</v>
      </c>
      <c r="AD120">
        <f t="shared" si="51"/>
        <v>-20.37088394122641</v>
      </c>
      <c r="AE120">
        <f t="shared" si="52"/>
        <v>-0.17787668335299145</v>
      </c>
      <c r="AF120">
        <v>0</v>
      </c>
      <c r="AG120">
        <v>0</v>
      </c>
      <c r="AH120">
        <f t="shared" si="53"/>
        <v>1</v>
      </c>
      <c r="AI120">
        <f t="shared" si="54"/>
        <v>0</v>
      </c>
      <c r="AJ120">
        <f t="shared" si="55"/>
        <v>52376.869671760738</v>
      </c>
      <c r="AK120">
        <f t="shared" si="56"/>
        <v>1800</v>
      </c>
      <c r="AL120">
        <f t="shared" si="57"/>
        <v>1499.1083981999998</v>
      </c>
      <c r="AM120">
        <f t="shared" si="58"/>
        <v>0.83283799899999988</v>
      </c>
      <c r="AN120">
        <f t="shared" si="59"/>
        <v>0.15339680549000001</v>
      </c>
      <c r="AO120">
        <v>31.2</v>
      </c>
      <c r="AP120">
        <v>0.5</v>
      </c>
      <c r="AQ120" t="s">
        <v>331</v>
      </c>
      <c r="AR120">
        <v>2</v>
      </c>
      <c r="AS120">
        <v>1690222085</v>
      </c>
      <c r="AT120">
        <v>605.94899999999996</v>
      </c>
      <c r="AU120">
        <v>800.05200000000002</v>
      </c>
      <c r="AV120">
        <v>23.186299999999999</v>
      </c>
      <c r="AW120">
        <v>11.843999999999999</v>
      </c>
      <c r="AX120">
        <v>606.30600000000004</v>
      </c>
      <c r="AY120">
        <v>23.023499999999999</v>
      </c>
      <c r="AZ120">
        <v>300.17099999999999</v>
      </c>
      <c r="BA120">
        <v>99.082800000000006</v>
      </c>
      <c r="BB120">
        <v>0.100146</v>
      </c>
      <c r="BC120">
        <v>26.169699999999999</v>
      </c>
      <c r="BD120">
        <v>26.943999999999999</v>
      </c>
      <c r="BE120">
        <v>27.667300000000001</v>
      </c>
      <c r="BF120">
        <v>0</v>
      </c>
      <c r="BG120">
        <v>0</v>
      </c>
      <c r="BH120">
        <v>9968.1200000000008</v>
      </c>
      <c r="BI120">
        <v>1070.98</v>
      </c>
      <c r="BJ120">
        <v>1.6273200000000001</v>
      </c>
      <c r="BK120">
        <v>-194.10300000000001</v>
      </c>
      <c r="BL120">
        <v>620.33199999999999</v>
      </c>
      <c r="BM120">
        <v>809.64099999999996</v>
      </c>
      <c r="BN120">
        <v>11.3422</v>
      </c>
      <c r="BO120">
        <v>800.05200000000002</v>
      </c>
      <c r="BP120">
        <v>11.843999999999999</v>
      </c>
      <c r="BQ120">
        <v>2.2973599999999998</v>
      </c>
      <c r="BR120">
        <v>1.17354</v>
      </c>
      <c r="BS120">
        <v>19.657900000000001</v>
      </c>
      <c r="BT120">
        <v>9.2700700000000005</v>
      </c>
      <c r="BU120">
        <v>1800</v>
      </c>
      <c r="BV120">
        <v>0.909995</v>
      </c>
      <c r="BW120">
        <v>3.4008999999999998E-2</v>
      </c>
      <c r="BX120">
        <v>2.1990200000000001E-2</v>
      </c>
      <c r="BY120">
        <v>3.4005899999999999E-2</v>
      </c>
      <c r="BZ120">
        <v>26</v>
      </c>
      <c r="CA120">
        <v>33528.5</v>
      </c>
      <c r="CB120">
        <v>1690220522.5999999</v>
      </c>
      <c r="CC120" t="s">
        <v>332</v>
      </c>
      <c r="CD120">
        <v>1690220522.5999999</v>
      </c>
      <c r="CE120">
        <v>1690220510.5999999</v>
      </c>
      <c r="CF120">
        <v>10</v>
      </c>
      <c r="CG120">
        <v>-0.22</v>
      </c>
      <c r="CH120">
        <v>-2.7E-2</v>
      </c>
      <c r="CI120">
        <v>-0.49299999999999999</v>
      </c>
      <c r="CJ120">
        <v>0.152</v>
      </c>
      <c r="CK120">
        <v>800</v>
      </c>
      <c r="CL120">
        <v>19</v>
      </c>
      <c r="CM120">
        <v>0.1</v>
      </c>
      <c r="CN120">
        <v>0.03</v>
      </c>
      <c r="CO120">
        <v>-190.7497317073171</v>
      </c>
      <c r="CP120">
        <v>-17.246843205574741</v>
      </c>
      <c r="CQ120">
        <v>1.7014829690222291</v>
      </c>
      <c r="CR120">
        <v>-1</v>
      </c>
      <c r="CS120">
        <v>11.14651951219512</v>
      </c>
      <c r="CT120">
        <v>1.0990724738676081</v>
      </c>
      <c r="CU120">
        <v>0.10997827328560859</v>
      </c>
      <c r="CV120">
        <v>-1</v>
      </c>
      <c r="CW120">
        <v>0</v>
      </c>
      <c r="CX120">
        <v>0</v>
      </c>
      <c r="CY120" t="s">
        <v>333</v>
      </c>
      <c r="CZ120">
        <v>2.3645299999999998</v>
      </c>
      <c r="DA120">
        <v>2.7139099999999998</v>
      </c>
      <c r="DB120">
        <v>0.12135</v>
      </c>
      <c r="DC120">
        <v>0.14619799999999999</v>
      </c>
      <c r="DD120">
        <v>0.111231</v>
      </c>
      <c r="DE120">
        <v>6.7279699999999998E-2</v>
      </c>
      <c r="DF120">
        <v>32081.5</v>
      </c>
      <c r="DG120">
        <v>27515.599999999999</v>
      </c>
      <c r="DH120">
        <v>31170.6</v>
      </c>
      <c r="DI120">
        <v>28081.4</v>
      </c>
      <c r="DJ120">
        <v>37610.9</v>
      </c>
      <c r="DK120">
        <v>37244.9</v>
      </c>
      <c r="DL120">
        <v>44359.7</v>
      </c>
      <c r="DM120">
        <v>42561.7</v>
      </c>
      <c r="DN120">
        <v>1.47868</v>
      </c>
      <c r="DO120">
        <v>2.04427</v>
      </c>
      <c r="DP120">
        <v>0.112731</v>
      </c>
      <c r="DQ120">
        <v>0.16802500000000001</v>
      </c>
      <c r="DR120">
        <v>25.0974</v>
      </c>
      <c r="DS120">
        <v>24.9163</v>
      </c>
      <c r="DT120">
        <v>55.6</v>
      </c>
      <c r="DU120">
        <v>29.5</v>
      </c>
      <c r="DV120">
        <v>23.229399999999998</v>
      </c>
      <c r="DW120">
        <v>62.254199999999997</v>
      </c>
      <c r="DX120">
        <v>36.1098</v>
      </c>
      <c r="DY120">
        <v>1</v>
      </c>
      <c r="DZ120">
        <v>-8.9448700000000006E-2</v>
      </c>
      <c r="EA120">
        <v>0.13674600000000001</v>
      </c>
      <c r="EB120">
        <v>20.189900000000002</v>
      </c>
      <c r="EC120">
        <v>5.24125</v>
      </c>
      <c r="ED120">
        <v>12.039899999999999</v>
      </c>
      <c r="EE120">
        <v>5.0174000000000003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1.86893</v>
      </c>
      <c r="EL120">
        <v>1.86463</v>
      </c>
      <c r="EM120">
        <v>1.8691899999999999</v>
      </c>
      <c r="EN120">
        <v>1.8672200000000001</v>
      </c>
      <c r="EO120">
        <v>1.8633999999999999</v>
      </c>
      <c r="EP120">
        <v>1.86452</v>
      </c>
      <c r="EQ120">
        <v>1.87015</v>
      </c>
      <c r="ER120">
        <v>1.8694599999999999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-0.35699999999999998</v>
      </c>
      <c r="FG120">
        <v>0.1628</v>
      </c>
      <c r="FH120">
        <v>5.8509882529719233E-2</v>
      </c>
      <c r="FI120">
        <v>-6.1462078757559423E-4</v>
      </c>
      <c r="FJ120">
        <v>-1.8861989874597051E-7</v>
      </c>
      <c r="FK120">
        <v>1.1980462299894961E-10</v>
      </c>
      <c r="FL120">
        <v>0.16277811159127681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26</v>
      </c>
      <c r="FU120">
        <v>26.2</v>
      </c>
      <c r="FV120">
        <v>1.77979</v>
      </c>
      <c r="FW120">
        <v>2.5830099999999998</v>
      </c>
      <c r="FX120">
        <v>1.5490699999999999</v>
      </c>
      <c r="FY120">
        <v>2.3278799999999999</v>
      </c>
      <c r="FZ120">
        <v>1.50146</v>
      </c>
      <c r="GA120">
        <v>2.2888199999999999</v>
      </c>
      <c r="GB120">
        <v>33.941299999999998</v>
      </c>
      <c r="GC120">
        <v>23.973700000000001</v>
      </c>
      <c r="GD120">
        <v>19</v>
      </c>
      <c r="GE120">
        <v>284.209</v>
      </c>
      <c r="GF120">
        <v>590.42600000000004</v>
      </c>
      <c r="GG120">
        <v>24.204999999999998</v>
      </c>
      <c r="GH120">
        <v>26.259799999999998</v>
      </c>
      <c r="GI120">
        <v>30.0001</v>
      </c>
      <c r="GJ120">
        <v>26.412400000000002</v>
      </c>
      <c r="GK120">
        <v>26.4008</v>
      </c>
      <c r="GL120">
        <v>35.597200000000001</v>
      </c>
      <c r="GM120">
        <v>54.721600000000002</v>
      </c>
      <c r="GN120">
        <v>80.454800000000006</v>
      </c>
      <c r="GO120">
        <v>24.224900000000002</v>
      </c>
      <c r="GP120">
        <v>800</v>
      </c>
      <c r="GQ120">
        <v>11.803699999999999</v>
      </c>
      <c r="GR120">
        <v>99.733900000000006</v>
      </c>
      <c r="GS120">
        <v>99.566699999999997</v>
      </c>
    </row>
    <row r="121" spans="1:201" x14ac:dyDescent="0.25">
      <c r="A121">
        <v>105</v>
      </c>
      <c r="B121">
        <v>1690222095</v>
      </c>
      <c r="C121">
        <v>1212.5</v>
      </c>
      <c r="D121" t="s">
        <v>541</v>
      </c>
      <c r="E121" t="s">
        <v>542</v>
      </c>
      <c r="F121" t="s">
        <v>330</v>
      </c>
      <c r="H121">
        <v>1690222095</v>
      </c>
      <c r="I121">
        <f t="shared" si="30"/>
        <v>1.1281626912714574E-3</v>
      </c>
      <c r="J121">
        <f t="shared" si="31"/>
        <v>1.1281626912714575</v>
      </c>
      <c r="K121">
        <f t="shared" si="32"/>
        <v>18.279362534983814</v>
      </c>
      <c r="L121">
        <f t="shared" si="33"/>
        <v>603</v>
      </c>
      <c r="M121">
        <f t="shared" si="34"/>
        <v>196.21481356173763</v>
      </c>
      <c r="N121">
        <f t="shared" si="35"/>
        <v>19.460894698678569</v>
      </c>
      <c r="O121">
        <f t="shared" si="36"/>
        <v>59.806491111900002</v>
      </c>
      <c r="P121">
        <f t="shared" si="37"/>
        <v>7.4864840925725873E-2</v>
      </c>
      <c r="Q121">
        <f t="shared" si="38"/>
        <v>2.1949321490789613</v>
      </c>
      <c r="R121">
        <f t="shared" si="39"/>
        <v>7.3474655115685239E-2</v>
      </c>
      <c r="S121">
        <f t="shared" si="40"/>
        <v>4.6044411957249093E-2</v>
      </c>
      <c r="T121">
        <f t="shared" si="41"/>
        <v>276.114145608</v>
      </c>
      <c r="U121">
        <f t="shared" si="42"/>
        <v>27.9211546445996</v>
      </c>
      <c r="V121">
        <f t="shared" si="43"/>
        <v>27.9211546445996</v>
      </c>
      <c r="W121">
        <f t="shared" si="44"/>
        <v>3.7774319617326038</v>
      </c>
      <c r="X121">
        <f t="shared" si="45"/>
        <v>67.484420099356413</v>
      </c>
      <c r="Y121">
        <f t="shared" si="46"/>
        <v>2.3012208746723299</v>
      </c>
      <c r="Z121">
        <f t="shared" si="47"/>
        <v>3.4100031848599617</v>
      </c>
      <c r="AA121">
        <f t="shared" si="48"/>
        <v>1.4762110870602738</v>
      </c>
      <c r="AB121">
        <f t="shared" si="49"/>
        <v>-49.751974685071275</v>
      </c>
      <c r="AC121">
        <f t="shared" si="50"/>
        <v>-206.24936921400445</v>
      </c>
      <c r="AD121">
        <f t="shared" si="51"/>
        <v>-20.289245303248258</v>
      </c>
      <c r="AE121">
        <f t="shared" si="52"/>
        <v>-0.1764435943239846</v>
      </c>
      <c r="AF121">
        <v>0</v>
      </c>
      <c r="AG121">
        <v>0</v>
      </c>
      <c r="AH121">
        <f t="shared" si="53"/>
        <v>1</v>
      </c>
      <c r="AI121">
        <f t="shared" si="54"/>
        <v>0</v>
      </c>
      <c r="AJ121">
        <f t="shared" si="55"/>
        <v>52563.674681729855</v>
      </c>
      <c r="AK121">
        <f t="shared" si="56"/>
        <v>1800</v>
      </c>
      <c r="AL121">
        <f t="shared" si="57"/>
        <v>1499.1063947999999</v>
      </c>
      <c r="AM121">
        <f t="shared" si="58"/>
        <v>0.83283688599999994</v>
      </c>
      <c r="AN121">
        <f t="shared" si="59"/>
        <v>0.15339674755999999</v>
      </c>
      <c r="AO121">
        <v>31.2</v>
      </c>
      <c r="AP121">
        <v>0.5</v>
      </c>
      <c r="AQ121" t="s">
        <v>331</v>
      </c>
      <c r="AR121">
        <v>2</v>
      </c>
      <c r="AS121">
        <v>1690222095</v>
      </c>
      <c r="AT121">
        <v>603</v>
      </c>
      <c r="AU121">
        <v>800.04499999999996</v>
      </c>
      <c r="AV121">
        <v>23.202100000000002</v>
      </c>
      <c r="AW121">
        <v>11.7493</v>
      </c>
      <c r="AX121">
        <v>603.35500000000002</v>
      </c>
      <c r="AY121">
        <v>23.039400000000001</v>
      </c>
      <c r="AZ121">
        <v>300.20600000000002</v>
      </c>
      <c r="BA121">
        <v>99.081599999999995</v>
      </c>
      <c r="BB121">
        <v>9.9977300000000005E-2</v>
      </c>
      <c r="BC121">
        <v>26.1782</v>
      </c>
      <c r="BD121">
        <v>26.972100000000001</v>
      </c>
      <c r="BE121">
        <v>27.657599999999999</v>
      </c>
      <c r="BF121">
        <v>0</v>
      </c>
      <c r="BG121">
        <v>0</v>
      </c>
      <c r="BH121">
        <v>10005.6</v>
      </c>
      <c r="BI121">
        <v>1071.1199999999999</v>
      </c>
      <c r="BJ121">
        <v>1.62592</v>
      </c>
      <c r="BK121">
        <v>-197.04499999999999</v>
      </c>
      <c r="BL121">
        <v>617.32399999999996</v>
      </c>
      <c r="BM121">
        <v>809.55700000000002</v>
      </c>
      <c r="BN121">
        <v>11.4529</v>
      </c>
      <c r="BO121">
        <v>800.04499999999996</v>
      </c>
      <c r="BP121">
        <v>11.7493</v>
      </c>
      <c r="BQ121">
        <v>2.2989000000000002</v>
      </c>
      <c r="BR121">
        <v>1.16414</v>
      </c>
      <c r="BS121">
        <v>19.668700000000001</v>
      </c>
      <c r="BT121">
        <v>9.1506399999999992</v>
      </c>
      <c r="BU121">
        <v>1800</v>
      </c>
      <c r="BV121">
        <v>0.90998699999999999</v>
      </c>
      <c r="BW121">
        <v>3.4008400000000001E-2</v>
      </c>
      <c r="BX121">
        <v>2.19898E-2</v>
      </c>
      <c r="BY121">
        <v>3.40144E-2</v>
      </c>
      <c r="BZ121">
        <v>26</v>
      </c>
      <c r="CA121">
        <v>33528.5</v>
      </c>
      <c r="CB121">
        <v>1690220522.5999999</v>
      </c>
      <c r="CC121" t="s">
        <v>332</v>
      </c>
      <c r="CD121">
        <v>1690220522.5999999</v>
      </c>
      <c r="CE121">
        <v>1690220510.5999999</v>
      </c>
      <c r="CF121">
        <v>10</v>
      </c>
      <c r="CG121">
        <v>-0.22</v>
      </c>
      <c r="CH121">
        <v>-2.7E-2</v>
      </c>
      <c r="CI121">
        <v>-0.49299999999999999</v>
      </c>
      <c r="CJ121">
        <v>0.152</v>
      </c>
      <c r="CK121">
        <v>800</v>
      </c>
      <c r="CL121">
        <v>19</v>
      </c>
      <c r="CM121">
        <v>0.1</v>
      </c>
      <c r="CN121">
        <v>0.03</v>
      </c>
      <c r="CO121">
        <v>-193.84932499999999</v>
      </c>
      <c r="CP121">
        <v>-17.350480300187009</v>
      </c>
      <c r="CQ121">
        <v>1.669534731407226</v>
      </c>
      <c r="CR121">
        <v>-1</v>
      </c>
      <c r="CS121">
        <v>11.3126675</v>
      </c>
      <c r="CT121">
        <v>0.80634258911816481</v>
      </c>
      <c r="CU121">
        <v>7.8806203396369873E-2</v>
      </c>
      <c r="CV121">
        <v>-1</v>
      </c>
      <c r="CW121">
        <v>0</v>
      </c>
      <c r="CX121">
        <v>0</v>
      </c>
      <c r="CY121" t="s">
        <v>333</v>
      </c>
      <c r="CZ121">
        <v>2.36463</v>
      </c>
      <c r="DA121">
        <v>2.7137699999999998</v>
      </c>
      <c r="DB121">
        <v>0.120934</v>
      </c>
      <c r="DC121">
        <v>0.14619399999999999</v>
      </c>
      <c r="DD121">
        <v>0.11128399999999999</v>
      </c>
      <c r="DE121">
        <v>6.6872799999999996E-2</v>
      </c>
      <c r="DF121">
        <v>32096.5</v>
      </c>
      <c r="DG121">
        <v>27516</v>
      </c>
      <c r="DH121">
        <v>31170.400000000001</v>
      </c>
      <c r="DI121">
        <v>28081.599999999999</v>
      </c>
      <c r="DJ121">
        <v>37608.400000000001</v>
      </c>
      <c r="DK121">
        <v>37261.5</v>
      </c>
      <c r="DL121">
        <v>44359.5</v>
      </c>
      <c r="DM121">
        <v>42562</v>
      </c>
      <c r="DN121">
        <v>1.4790700000000001</v>
      </c>
      <c r="DO121">
        <v>2.04392</v>
      </c>
      <c r="DP121">
        <v>0.114325</v>
      </c>
      <c r="DQ121">
        <v>0.167299</v>
      </c>
      <c r="DR121">
        <v>25.099499999999999</v>
      </c>
      <c r="DS121">
        <v>24.918399999999998</v>
      </c>
      <c r="DT121">
        <v>55.4</v>
      </c>
      <c r="DU121">
        <v>29.5</v>
      </c>
      <c r="DV121">
        <v>23.1463</v>
      </c>
      <c r="DW121">
        <v>61.554200000000002</v>
      </c>
      <c r="DX121">
        <v>36.935099999999998</v>
      </c>
      <c r="DY121">
        <v>1</v>
      </c>
      <c r="DZ121">
        <v>-8.95986E-2</v>
      </c>
      <c r="EA121">
        <v>9.1609499999999996E-2</v>
      </c>
      <c r="EB121">
        <v>20.189900000000002</v>
      </c>
      <c r="EC121">
        <v>5.2413999999999996</v>
      </c>
      <c r="ED121">
        <v>12.039899999999999</v>
      </c>
      <c r="EE121">
        <v>5.0175000000000001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1.8689199999999999</v>
      </c>
      <c r="EL121">
        <v>1.86463</v>
      </c>
      <c r="EM121">
        <v>1.8691899999999999</v>
      </c>
      <c r="EN121">
        <v>1.8672200000000001</v>
      </c>
      <c r="EO121">
        <v>1.8633999999999999</v>
      </c>
      <c r="EP121">
        <v>1.8645099999999999</v>
      </c>
      <c r="EQ121">
        <v>1.87016</v>
      </c>
      <c r="ER121">
        <v>1.8694500000000001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-0.35499999999999998</v>
      </c>
      <c r="FG121">
        <v>0.16270000000000001</v>
      </c>
      <c r="FH121">
        <v>5.8509882529719233E-2</v>
      </c>
      <c r="FI121">
        <v>-6.1462078757559423E-4</v>
      </c>
      <c r="FJ121">
        <v>-1.8861989874597051E-7</v>
      </c>
      <c r="FK121">
        <v>1.1980462299894961E-10</v>
      </c>
      <c r="FL121">
        <v>0.16277811159127681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26.2</v>
      </c>
      <c r="FU121">
        <v>26.4</v>
      </c>
      <c r="FV121">
        <v>1.77979</v>
      </c>
      <c r="FW121">
        <v>2.5769000000000002</v>
      </c>
      <c r="FX121">
        <v>1.5490699999999999</v>
      </c>
      <c r="FY121">
        <v>2.3278799999999999</v>
      </c>
      <c r="FZ121">
        <v>1.50146</v>
      </c>
      <c r="GA121">
        <v>2.3828100000000001</v>
      </c>
      <c r="GB121">
        <v>33.941299999999998</v>
      </c>
      <c r="GC121">
        <v>23.982399999999998</v>
      </c>
      <c r="GD121">
        <v>19</v>
      </c>
      <c r="GE121">
        <v>284.36799999999999</v>
      </c>
      <c r="GF121">
        <v>590.10900000000004</v>
      </c>
      <c r="GG121">
        <v>24.2394</v>
      </c>
      <c r="GH121">
        <v>26.257000000000001</v>
      </c>
      <c r="GI121">
        <v>30</v>
      </c>
      <c r="GJ121">
        <v>26.409600000000001</v>
      </c>
      <c r="GK121">
        <v>26.398599999999998</v>
      </c>
      <c r="GL121">
        <v>35.593600000000002</v>
      </c>
      <c r="GM121">
        <v>55.005000000000003</v>
      </c>
      <c r="GN121">
        <v>79.681600000000003</v>
      </c>
      <c r="GO121">
        <v>24.247599999999998</v>
      </c>
      <c r="GP121">
        <v>800</v>
      </c>
      <c r="GQ121">
        <v>11.6412</v>
      </c>
      <c r="GR121">
        <v>99.7333</v>
      </c>
      <c r="GS121">
        <v>99.567400000000006</v>
      </c>
    </row>
    <row r="122" spans="1:201" x14ac:dyDescent="0.25">
      <c r="A122">
        <v>106</v>
      </c>
      <c r="B122">
        <v>1690222105</v>
      </c>
      <c r="C122">
        <v>1222.5</v>
      </c>
      <c r="D122" t="s">
        <v>543</v>
      </c>
      <c r="E122" t="s">
        <v>544</v>
      </c>
      <c r="F122" t="s">
        <v>330</v>
      </c>
      <c r="H122">
        <v>1690222105</v>
      </c>
      <c r="I122">
        <f t="shared" si="30"/>
        <v>1.1463101326048457E-3</v>
      </c>
      <c r="J122">
        <f t="shared" si="31"/>
        <v>1.1463101326048457</v>
      </c>
      <c r="K122">
        <f t="shared" si="32"/>
        <v>18.563944601876205</v>
      </c>
      <c r="L122">
        <f t="shared" si="33"/>
        <v>600.08799999999997</v>
      </c>
      <c r="M122">
        <f t="shared" si="34"/>
        <v>194.04889361774408</v>
      </c>
      <c r="N122">
        <f t="shared" si="35"/>
        <v>19.245732593766963</v>
      </c>
      <c r="O122">
        <f t="shared" si="36"/>
        <v>59.516614423367997</v>
      </c>
      <c r="P122">
        <f t="shared" si="37"/>
        <v>7.618253130675777E-2</v>
      </c>
      <c r="Q122">
        <f t="shared" si="38"/>
        <v>2.1916854722759291</v>
      </c>
      <c r="R122">
        <f t="shared" si="39"/>
        <v>7.4741396379521305E-2</v>
      </c>
      <c r="S122">
        <f t="shared" si="40"/>
        <v>4.6840582315452628E-2</v>
      </c>
      <c r="T122">
        <f t="shared" si="41"/>
        <v>276.11350358956912</v>
      </c>
      <c r="U122">
        <f t="shared" si="42"/>
        <v>27.921724568159334</v>
      </c>
      <c r="V122">
        <f t="shared" si="43"/>
        <v>27.921724568159334</v>
      </c>
      <c r="W122">
        <f t="shared" si="44"/>
        <v>3.7775575407800486</v>
      </c>
      <c r="X122">
        <f t="shared" si="45"/>
        <v>67.520921249774133</v>
      </c>
      <c r="Y122">
        <f t="shared" si="46"/>
        <v>2.3030643092120999</v>
      </c>
      <c r="Z122">
        <f t="shared" si="47"/>
        <v>3.4108899383830664</v>
      </c>
      <c r="AA122">
        <f t="shared" si="48"/>
        <v>1.4744932315679486</v>
      </c>
      <c r="AB122">
        <f t="shared" si="49"/>
        <v>-50.552276847873699</v>
      </c>
      <c r="AC122">
        <f t="shared" si="50"/>
        <v>-205.49173669125472</v>
      </c>
      <c r="AD122">
        <f t="shared" si="51"/>
        <v>-20.245162699918975</v>
      </c>
      <c r="AE122">
        <f t="shared" si="52"/>
        <v>-0.17567264947828676</v>
      </c>
      <c r="AF122">
        <v>0</v>
      </c>
      <c r="AG122">
        <v>0</v>
      </c>
      <c r="AH122">
        <f t="shared" si="53"/>
        <v>1</v>
      </c>
      <c r="AI122">
        <f t="shared" si="54"/>
        <v>0</v>
      </c>
      <c r="AJ122">
        <f t="shared" si="55"/>
        <v>52429.804269483306</v>
      </c>
      <c r="AK122">
        <f t="shared" si="56"/>
        <v>1799.99</v>
      </c>
      <c r="AL122">
        <f t="shared" si="57"/>
        <v>1499.0998988209599</v>
      </c>
      <c r="AM122">
        <f t="shared" si="58"/>
        <v>0.83283790399999991</v>
      </c>
      <c r="AN122">
        <f t="shared" si="59"/>
        <v>0.15339724309</v>
      </c>
      <c r="AO122">
        <v>31.2</v>
      </c>
      <c r="AP122">
        <v>0.5</v>
      </c>
      <c r="AQ122" t="s">
        <v>331</v>
      </c>
      <c r="AR122">
        <v>2</v>
      </c>
      <c r="AS122">
        <v>1690222105</v>
      </c>
      <c r="AT122">
        <v>600.08799999999997</v>
      </c>
      <c r="AU122">
        <v>800.149</v>
      </c>
      <c r="AV122">
        <v>23.2211</v>
      </c>
      <c r="AW122">
        <v>11.5855</v>
      </c>
      <c r="AX122">
        <v>600.44000000000005</v>
      </c>
      <c r="AY122">
        <v>23.058399999999999</v>
      </c>
      <c r="AZ122">
        <v>300.23700000000002</v>
      </c>
      <c r="BA122">
        <v>99.079800000000006</v>
      </c>
      <c r="BB122">
        <v>0.100011</v>
      </c>
      <c r="BC122">
        <v>26.182600000000001</v>
      </c>
      <c r="BD122">
        <v>26.982099999999999</v>
      </c>
      <c r="BE122">
        <v>27.640999999999998</v>
      </c>
      <c r="BF122">
        <v>0</v>
      </c>
      <c r="BG122">
        <v>0</v>
      </c>
      <c r="BH122">
        <v>9979.3799999999992</v>
      </c>
      <c r="BI122">
        <v>1071.31</v>
      </c>
      <c r="BJ122">
        <v>1.68198</v>
      </c>
      <c r="BK122">
        <v>-200.06100000000001</v>
      </c>
      <c r="BL122">
        <v>614.35400000000004</v>
      </c>
      <c r="BM122">
        <v>809.52700000000004</v>
      </c>
      <c r="BN122">
        <v>11.6356</v>
      </c>
      <c r="BO122">
        <v>800.149</v>
      </c>
      <c r="BP122">
        <v>11.5855</v>
      </c>
      <c r="BQ122">
        <v>2.3007499999999999</v>
      </c>
      <c r="BR122">
        <v>1.1478900000000001</v>
      </c>
      <c r="BS122">
        <v>19.6816</v>
      </c>
      <c r="BT122">
        <v>8.9423499999999994</v>
      </c>
      <c r="BU122">
        <v>1799.99</v>
      </c>
      <c r="BV122">
        <v>0.90998400000000002</v>
      </c>
      <c r="BW122">
        <v>3.4007900000000001E-2</v>
      </c>
      <c r="BX122">
        <v>2.1994699999999999E-2</v>
      </c>
      <c r="BY122">
        <v>3.40139E-2</v>
      </c>
      <c r="BZ122">
        <v>26</v>
      </c>
      <c r="CA122">
        <v>33528.199999999997</v>
      </c>
      <c r="CB122">
        <v>1690220522.5999999</v>
      </c>
      <c r="CC122" t="s">
        <v>332</v>
      </c>
      <c r="CD122">
        <v>1690220522.5999999</v>
      </c>
      <c r="CE122">
        <v>1690220510.5999999</v>
      </c>
      <c r="CF122">
        <v>10</v>
      </c>
      <c r="CG122">
        <v>-0.22</v>
      </c>
      <c r="CH122">
        <v>-2.7E-2</v>
      </c>
      <c r="CI122">
        <v>-0.49299999999999999</v>
      </c>
      <c r="CJ122">
        <v>0.152</v>
      </c>
      <c r="CK122">
        <v>800</v>
      </c>
      <c r="CL122">
        <v>19</v>
      </c>
      <c r="CM122">
        <v>0.1</v>
      </c>
      <c r="CN122">
        <v>0.03</v>
      </c>
      <c r="CO122">
        <v>-196.5502195121951</v>
      </c>
      <c r="CP122">
        <v>-17.443839721254591</v>
      </c>
      <c r="CQ122">
        <v>1.7211867504321481</v>
      </c>
      <c r="CR122">
        <v>-1</v>
      </c>
      <c r="CS122">
        <v>11.45392195121951</v>
      </c>
      <c r="CT122">
        <v>0.94203554006967483</v>
      </c>
      <c r="CU122">
        <v>9.490351329227556E-2</v>
      </c>
      <c r="CV122">
        <v>-1</v>
      </c>
      <c r="CW122">
        <v>0</v>
      </c>
      <c r="CX122">
        <v>0</v>
      </c>
      <c r="CY122" t="s">
        <v>333</v>
      </c>
      <c r="CZ122">
        <v>2.3647399999999998</v>
      </c>
      <c r="DA122">
        <v>2.7137799999999999</v>
      </c>
      <c r="DB122">
        <v>0.120521</v>
      </c>
      <c r="DC122">
        <v>0.146202</v>
      </c>
      <c r="DD122">
        <v>0.111347</v>
      </c>
      <c r="DE122">
        <v>6.6166900000000001E-2</v>
      </c>
      <c r="DF122">
        <v>32111.599999999999</v>
      </c>
      <c r="DG122">
        <v>27515.5</v>
      </c>
      <c r="DH122">
        <v>31170.400000000001</v>
      </c>
      <c r="DI122">
        <v>28081.4</v>
      </c>
      <c r="DJ122">
        <v>37605.599999999999</v>
      </c>
      <c r="DK122">
        <v>37289.800000000003</v>
      </c>
      <c r="DL122">
        <v>44359.4</v>
      </c>
      <c r="DM122">
        <v>42562.1</v>
      </c>
      <c r="DN122">
        <v>1.47882</v>
      </c>
      <c r="DO122">
        <v>2.0439799999999999</v>
      </c>
      <c r="DP122">
        <v>0.114936</v>
      </c>
      <c r="DQ122">
        <v>0.166159</v>
      </c>
      <c r="DR122">
        <v>25.099499999999999</v>
      </c>
      <c r="DS122">
        <v>24.920500000000001</v>
      </c>
      <c r="DT122">
        <v>55.2</v>
      </c>
      <c r="DU122">
        <v>29.5</v>
      </c>
      <c r="DV122">
        <v>23.063800000000001</v>
      </c>
      <c r="DW122">
        <v>61.694200000000002</v>
      </c>
      <c r="DX122">
        <v>35.853400000000001</v>
      </c>
      <c r="DY122">
        <v>1</v>
      </c>
      <c r="DZ122">
        <v>-8.9989799999999995E-2</v>
      </c>
      <c r="EA122">
        <v>6.0618199999999997E-2</v>
      </c>
      <c r="EB122">
        <v>20.189900000000002</v>
      </c>
      <c r="EC122">
        <v>5.24125</v>
      </c>
      <c r="ED122">
        <v>12.039899999999999</v>
      </c>
      <c r="EE122">
        <v>5.0171999999999999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1.8689199999999999</v>
      </c>
      <c r="EL122">
        <v>1.86463</v>
      </c>
      <c r="EM122">
        <v>1.8691899999999999</v>
      </c>
      <c r="EN122">
        <v>1.8672299999999999</v>
      </c>
      <c r="EO122">
        <v>1.8633999999999999</v>
      </c>
      <c r="EP122">
        <v>1.8645700000000001</v>
      </c>
      <c r="EQ122">
        <v>1.8702000000000001</v>
      </c>
      <c r="ER122">
        <v>1.8694500000000001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-0.35199999999999998</v>
      </c>
      <c r="FG122">
        <v>0.16270000000000001</v>
      </c>
      <c r="FH122">
        <v>5.8509882529719233E-2</v>
      </c>
      <c r="FI122">
        <v>-6.1462078757559423E-4</v>
      </c>
      <c r="FJ122">
        <v>-1.8861989874597051E-7</v>
      </c>
      <c r="FK122">
        <v>1.1980462299894961E-10</v>
      </c>
      <c r="FL122">
        <v>0.16277811159127681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26.4</v>
      </c>
      <c r="FU122">
        <v>26.6</v>
      </c>
      <c r="FV122">
        <v>1.78101</v>
      </c>
      <c r="FW122">
        <v>2.5854499999999998</v>
      </c>
      <c r="FX122">
        <v>1.5490699999999999</v>
      </c>
      <c r="FY122">
        <v>2.3278799999999999</v>
      </c>
      <c r="FZ122">
        <v>1.50146</v>
      </c>
      <c r="GA122">
        <v>2.3754900000000001</v>
      </c>
      <c r="GB122">
        <v>33.941299999999998</v>
      </c>
      <c r="GC122">
        <v>23.982399999999998</v>
      </c>
      <c r="GD122">
        <v>19</v>
      </c>
      <c r="GE122">
        <v>284.25</v>
      </c>
      <c r="GF122">
        <v>590.12599999999998</v>
      </c>
      <c r="GG122">
        <v>24.268000000000001</v>
      </c>
      <c r="GH122">
        <v>26.254799999999999</v>
      </c>
      <c r="GI122">
        <v>29.9999</v>
      </c>
      <c r="GJ122">
        <v>26.407399999999999</v>
      </c>
      <c r="GK122">
        <v>26.3964</v>
      </c>
      <c r="GL122">
        <v>35.586399999999998</v>
      </c>
      <c r="GM122">
        <v>55.005000000000003</v>
      </c>
      <c r="GN122">
        <v>79.305099999999996</v>
      </c>
      <c r="GO122">
        <v>24.2925</v>
      </c>
      <c r="GP122">
        <v>800</v>
      </c>
      <c r="GQ122">
        <v>11.473699999999999</v>
      </c>
      <c r="GR122">
        <v>99.733199999999997</v>
      </c>
      <c r="GS122">
        <v>99.567300000000003</v>
      </c>
    </row>
    <row r="123" spans="1:201" x14ac:dyDescent="0.25">
      <c r="A123">
        <v>107</v>
      </c>
      <c r="B123">
        <v>1690222115</v>
      </c>
      <c r="C123">
        <v>1232.5</v>
      </c>
      <c r="D123" t="s">
        <v>545</v>
      </c>
      <c r="E123" t="s">
        <v>546</v>
      </c>
      <c r="F123" t="s">
        <v>330</v>
      </c>
      <c r="H123">
        <v>1690222115</v>
      </c>
      <c r="I123">
        <f t="shared" si="30"/>
        <v>1.1635203827365132E-3</v>
      </c>
      <c r="J123">
        <f t="shared" si="31"/>
        <v>1.1635203827365133</v>
      </c>
      <c r="K123">
        <f t="shared" si="32"/>
        <v>18.814333978920882</v>
      </c>
      <c r="L123">
        <f t="shared" si="33"/>
        <v>597.19100000000003</v>
      </c>
      <c r="M123">
        <f t="shared" si="34"/>
        <v>192.46123168028066</v>
      </c>
      <c r="N123">
        <f t="shared" si="35"/>
        <v>19.089780943235994</v>
      </c>
      <c r="O123">
        <f t="shared" si="36"/>
        <v>59.233983237779</v>
      </c>
      <c r="P123">
        <f t="shared" si="37"/>
        <v>7.7471259545866464E-2</v>
      </c>
      <c r="Q123">
        <f t="shared" si="38"/>
        <v>2.1953995848535248</v>
      </c>
      <c r="R123">
        <f t="shared" si="39"/>
        <v>7.5983936879154085E-2</v>
      </c>
      <c r="S123">
        <f t="shared" si="40"/>
        <v>4.7621212277897354E-2</v>
      </c>
      <c r="T123">
        <f t="shared" si="41"/>
        <v>276.11543604600001</v>
      </c>
      <c r="U123">
        <f t="shared" si="42"/>
        <v>27.921203478740303</v>
      </c>
      <c r="V123">
        <f t="shared" si="43"/>
        <v>27.921203478740303</v>
      </c>
      <c r="W123">
        <f t="shared" si="44"/>
        <v>3.7774427218835958</v>
      </c>
      <c r="X123">
        <f t="shared" si="45"/>
        <v>67.55103571220873</v>
      </c>
      <c r="Y123">
        <f t="shared" si="46"/>
        <v>2.3051809401613998</v>
      </c>
      <c r="Z123">
        <f t="shared" si="47"/>
        <v>3.4125027334625702</v>
      </c>
      <c r="AA123">
        <f t="shared" si="48"/>
        <v>1.4722617817221959</v>
      </c>
      <c r="AB123">
        <f t="shared" si="49"/>
        <v>-51.311248878680232</v>
      </c>
      <c r="AC123">
        <f t="shared" si="50"/>
        <v>-204.83142835174448</v>
      </c>
      <c r="AD123">
        <f t="shared" si="51"/>
        <v>-20.14672020107367</v>
      </c>
      <c r="AE123">
        <f t="shared" si="52"/>
        <v>-0.17396138549835882</v>
      </c>
      <c r="AF123">
        <v>0</v>
      </c>
      <c r="AG123">
        <v>0</v>
      </c>
      <c r="AH123">
        <f t="shared" si="53"/>
        <v>1</v>
      </c>
      <c r="AI123">
        <f t="shared" si="54"/>
        <v>0</v>
      </c>
      <c r="AJ123">
        <f t="shared" si="55"/>
        <v>52580.800235212548</v>
      </c>
      <c r="AK123">
        <f t="shared" si="56"/>
        <v>1800</v>
      </c>
      <c r="AL123">
        <f t="shared" si="57"/>
        <v>1499.1081065999999</v>
      </c>
      <c r="AM123">
        <f t="shared" si="58"/>
        <v>0.83283783699999991</v>
      </c>
      <c r="AN123">
        <f t="shared" si="59"/>
        <v>0.15339746446999999</v>
      </c>
      <c r="AO123">
        <v>31.2</v>
      </c>
      <c r="AP123">
        <v>0.5</v>
      </c>
      <c r="AQ123" t="s">
        <v>331</v>
      </c>
      <c r="AR123">
        <v>2</v>
      </c>
      <c r="AS123">
        <v>1690222115</v>
      </c>
      <c r="AT123">
        <v>597.19100000000003</v>
      </c>
      <c r="AU123">
        <v>800.00599999999997</v>
      </c>
      <c r="AV123">
        <v>23.240600000000001</v>
      </c>
      <c r="AW123">
        <v>11.4259</v>
      </c>
      <c r="AX123">
        <v>597.54100000000005</v>
      </c>
      <c r="AY123">
        <v>23.0778</v>
      </c>
      <c r="AZ123">
        <v>300.11900000000003</v>
      </c>
      <c r="BA123">
        <v>99.087599999999995</v>
      </c>
      <c r="BB123">
        <v>0.10006900000000001</v>
      </c>
      <c r="BC123">
        <v>26.1906</v>
      </c>
      <c r="BD123">
        <v>26.994399999999999</v>
      </c>
      <c r="BE123">
        <v>27.641300000000001</v>
      </c>
      <c r="BF123">
        <v>0</v>
      </c>
      <c r="BG123">
        <v>0</v>
      </c>
      <c r="BH123">
        <v>10008.799999999999</v>
      </c>
      <c r="BI123">
        <v>1071.32</v>
      </c>
      <c r="BJ123">
        <v>1.62592</v>
      </c>
      <c r="BK123">
        <v>-202.815</v>
      </c>
      <c r="BL123">
        <v>611.4</v>
      </c>
      <c r="BM123">
        <v>809.25199999999995</v>
      </c>
      <c r="BN123">
        <v>11.8146</v>
      </c>
      <c r="BO123">
        <v>800.00599999999997</v>
      </c>
      <c r="BP123">
        <v>11.4259</v>
      </c>
      <c r="BQ123">
        <v>2.3028499999999998</v>
      </c>
      <c r="BR123">
        <v>1.1321699999999999</v>
      </c>
      <c r="BS123">
        <v>19.696400000000001</v>
      </c>
      <c r="BT123">
        <v>8.7382799999999996</v>
      </c>
      <c r="BU123">
        <v>1800</v>
      </c>
      <c r="BV123">
        <v>0.90998100000000004</v>
      </c>
      <c r="BW123">
        <v>3.4007200000000001E-2</v>
      </c>
      <c r="BX123">
        <v>2.19986E-2</v>
      </c>
      <c r="BY123">
        <v>3.4013300000000003E-2</v>
      </c>
      <c r="BZ123">
        <v>26</v>
      </c>
      <c r="CA123">
        <v>33528.300000000003</v>
      </c>
      <c r="CB123">
        <v>1690220522.5999999</v>
      </c>
      <c r="CC123" t="s">
        <v>332</v>
      </c>
      <c r="CD123">
        <v>1690220522.5999999</v>
      </c>
      <c r="CE123">
        <v>1690220510.5999999</v>
      </c>
      <c r="CF123">
        <v>10</v>
      </c>
      <c r="CG123">
        <v>-0.22</v>
      </c>
      <c r="CH123">
        <v>-2.7E-2</v>
      </c>
      <c r="CI123">
        <v>-0.49299999999999999</v>
      </c>
      <c r="CJ123">
        <v>0.152</v>
      </c>
      <c r="CK123">
        <v>800</v>
      </c>
      <c r="CL123">
        <v>19</v>
      </c>
      <c r="CM123">
        <v>0.1</v>
      </c>
      <c r="CN123">
        <v>0.03</v>
      </c>
      <c r="CO123">
        <v>-199.52082926829269</v>
      </c>
      <c r="CP123">
        <v>-17.734222996515769</v>
      </c>
      <c r="CQ123">
        <v>1.7502992204462029</v>
      </c>
      <c r="CR123">
        <v>-1</v>
      </c>
      <c r="CS123">
        <v>11.614100000000001</v>
      </c>
      <c r="CT123">
        <v>1.014694076655053</v>
      </c>
      <c r="CU123">
        <v>0.1009425095978024</v>
      </c>
      <c r="CV123">
        <v>-1</v>
      </c>
      <c r="CW123">
        <v>0</v>
      </c>
      <c r="CX123">
        <v>0</v>
      </c>
      <c r="CY123" t="s">
        <v>333</v>
      </c>
      <c r="CZ123">
        <v>2.36436</v>
      </c>
      <c r="DA123">
        <v>2.71387</v>
      </c>
      <c r="DB123">
        <v>0.12012100000000001</v>
      </c>
      <c r="DC123">
        <v>0.14619299999999999</v>
      </c>
      <c r="DD123">
        <v>0.11142299999999999</v>
      </c>
      <c r="DE123">
        <v>6.5481700000000004E-2</v>
      </c>
      <c r="DF123">
        <v>32126.5</v>
      </c>
      <c r="DG123">
        <v>27515.9</v>
      </c>
      <c r="DH123">
        <v>31170.7</v>
      </c>
      <c r="DI123">
        <v>28081.5</v>
      </c>
      <c r="DJ123">
        <v>37602.699999999997</v>
      </c>
      <c r="DK123">
        <v>37317.300000000003</v>
      </c>
      <c r="DL123">
        <v>44359.8</v>
      </c>
      <c r="DM123">
        <v>42562.1</v>
      </c>
      <c r="DN123">
        <v>1.4784299999999999</v>
      </c>
      <c r="DO123">
        <v>2.04345</v>
      </c>
      <c r="DP123">
        <v>0.115499</v>
      </c>
      <c r="DQ123">
        <v>0.166047</v>
      </c>
      <c r="DR123">
        <v>25.102599999999999</v>
      </c>
      <c r="DS123">
        <v>24.922499999999999</v>
      </c>
      <c r="DT123">
        <v>54.9</v>
      </c>
      <c r="DU123">
        <v>29.5</v>
      </c>
      <c r="DV123">
        <v>22.938199999999998</v>
      </c>
      <c r="DW123">
        <v>61.714199999999998</v>
      </c>
      <c r="DX123">
        <v>36.093800000000002</v>
      </c>
      <c r="DY123">
        <v>1</v>
      </c>
      <c r="DZ123">
        <v>-8.9065000000000005E-2</v>
      </c>
      <c r="EA123">
        <v>0.65311300000000005</v>
      </c>
      <c r="EB123">
        <v>20.187899999999999</v>
      </c>
      <c r="EC123">
        <v>5.2411000000000003</v>
      </c>
      <c r="ED123">
        <v>12.039899999999999</v>
      </c>
      <c r="EE123">
        <v>5.0162500000000003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1.8689</v>
      </c>
      <c r="EL123">
        <v>1.8646199999999999</v>
      </c>
      <c r="EM123">
        <v>1.8691899999999999</v>
      </c>
      <c r="EN123">
        <v>1.8672299999999999</v>
      </c>
      <c r="EO123">
        <v>1.8633999999999999</v>
      </c>
      <c r="EP123">
        <v>1.8645400000000001</v>
      </c>
      <c r="EQ123">
        <v>1.8702000000000001</v>
      </c>
      <c r="ER123">
        <v>1.86947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-0.35</v>
      </c>
      <c r="FG123">
        <v>0.1628</v>
      </c>
      <c r="FH123">
        <v>5.8509882529719233E-2</v>
      </c>
      <c r="FI123">
        <v>-6.1462078757559423E-4</v>
      </c>
      <c r="FJ123">
        <v>-1.8861989874597051E-7</v>
      </c>
      <c r="FK123">
        <v>1.1980462299894961E-10</v>
      </c>
      <c r="FL123">
        <v>0.16277811159127681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26.5</v>
      </c>
      <c r="FU123">
        <v>26.7</v>
      </c>
      <c r="FV123">
        <v>1.77979</v>
      </c>
      <c r="FW123">
        <v>2.5830099999999998</v>
      </c>
      <c r="FX123">
        <v>1.5490699999999999</v>
      </c>
      <c r="FY123">
        <v>2.3278799999999999</v>
      </c>
      <c r="FZ123">
        <v>1.50146</v>
      </c>
      <c r="GA123">
        <v>2.2705099999999998</v>
      </c>
      <c r="GB123">
        <v>33.941299999999998</v>
      </c>
      <c r="GC123">
        <v>23.973700000000001</v>
      </c>
      <c r="GD123">
        <v>19</v>
      </c>
      <c r="GE123">
        <v>284.065</v>
      </c>
      <c r="GF123">
        <v>589.66300000000001</v>
      </c>
      <c r="GG123">
        <v>24.206399999999999</v>
      </c>
      <c r="GH123">
        <v>26.252600000000001</v>
      </c>
      <c r="GI123">
        <v>30.000800000000002</v>
      </c>
      <c r="GJ123">
        <v>26.4041</v>
      </c>
      <c r="GK123">
        <v>26.394100000000002</v>
      </c>
      <c r="GL123">
        <v>35.588500000000003</v>
      </c>
      <c r="GM123">
        <v>55.597999999999999</v>
      </c>
      <c r="GN123">
        <v>78.544700000000006</v>
      </c>
      <c r="GO123">
        <v>24.127099999999999</v>
      </c>
      <c r="GP123">
        <v>800</v>
      </c>
      <c r="GQ123">
        <v>11.305999999999999</v>
      </c>
      <c r="GR123">
        <v>99.734200000000001</v>
      </c>
      <c r="GS123">
        <v>99.567400000000006</v>
      </c>
    </row>
    <row r="124" spans="1:201" x14ac:dyDescent="0.25">
      <c r="A124">
        <v>108</v>
      </c>
      <c r="B124">
        <v>1690222125</v>
      </c>
      <c r="C124">
        <v>1242.5</v>
      </c>
      <c r="D124" t="s">
        <v>547</v>
      </c>
      <c r="E124" t="s">
        <v>548</v>
      </c>
      <c r="F124" t="s">
        <v>330</v>
      </c>
      <c r="H124">
        <v>1690222125</v>
      </c>
      <c r="I124">
        <f t="shared" si="30"/>
        <v>1.1816439495194919E-3</v>
      </c>
      <c r="J124">
        <f t="shared" si="31"/>
        <v>1.1816439495194919</v>
      </c>
      <c r="K124">
        <f t="shared" si="32"/>
        <v>19.094072371305504</v>
      </c>
      <c r="L124">
        <f t="shared" si="33"/>
        <v>594.21500000000003</v>
      </c>
      <c r="M124">
        <f t="shared" si="34"/>
        <v>190.84560813951543</v>
      </c>
      <c r="N124">
        <f t="shared" si="35"/>
        <v>18.927936304344353</v>
      </c>
      <c r="O124">
        <f t="shared" si="36"/>
        <v>58.933835474295009</v>
      </c>
      <c r="P124">
        <f t="shared" si="37"/>
        <v>7.8906126414190828E-2</v>
      </c>
      <c r="Q124">
        <f t="shared" si="38"/>
        <v>2.1897537057435028</v>
      </c>
      <c r="R124">
        <f t="shared" si="39"/>
        <v>7.7359897725272103E-2</v>
      </c>
      <c r="S124">
        <f t="shared" si="40"/>
        <v>4.8486334919723331E-2</v>
      </c>
      <c r="T124">
        <f t="shared" si="41"/>
        <v>276.11570068199995</v>
      </c>
      <c r="U124">
        <f t="shared" si="42"/>
        <v>27.901530078161805</v>
      </c>
      <c r="V124">
        <f t="shared" si="43"/>
        <v>27.901530078161805</v>
      </c>
      <c r="W124">
        <f t="shared" si="44"/>
        <v>3.7731100342306583</v>
      </c>
      <c r="X124">
        <f t="shared" si="45"/>
        <v>67.604284286027777</v>
      </c>
      <c r="Y124">
        <f t="shared" si="46"/>
        <v>2.3045999423871</v>
      </c>
      <c r="Z124">
        <f t="shared" si="47"/>
        <v>3.4089554629948307</v>
      </c>
      <c r="AA124">
        <f t="shared" si="48"/>
        <v>1.4685100918435583</v>
      </c>
      <c r="AB124">
        <f t="shared" si="49"/>
        <v>-52.110498173809596</v>
      </c>
      <c r="AC124">
        <f t="shared" si="50"/>
        <v>-204.05989293108721</v>
      </c>
      <c r="AD124">
        <f t="shared" si="51"/>
        <v>-20.118833194452439</v>
      </c>
      <c r="AE124">
        <f t="shared" si="52"/>
        <v>-0.17352361734927513</v>
      </c>
      <c r="AF124">
        <v>0</v>
      </c>
      <c r="AG124">
        <v>0</v>
      </c>
      <c r="AH124">
        <f t="shared" si="53"/>
        <v>1</v>
      </c>
      <c r="AI124">
        <f t="shared" si="54"/>
        <v>0</v>
      </c>
      <c r="AJ124">
        <f t="shared" si="55"/>
        <v>52352.400369605784</v>
      </c>
      <c r="AK124">
        <f t="shared" si="56"/>
        <v>1800</v>
      </c>
      <c r="AL124">
        <f t="shared" si="57"/>
        <v>1499.1085782</v>
      </c>
      <c r="AM124">
        <f t="shared" si="58"/>
        <v>0.83283809899999994</v>
      </c>
      <c r="AN124">
        <f t="shared" si="59"/>
        <v>0.15339761148999997</v>
      </c>
      <c r="AO124">
        <v>31.2</v>
      </c>
      <c r="AP124">
        <v>0.5</v>
      </c>
      <c r="AQ124" t="s">
        <v>331</v>
      </c>
      <c r="AR124">
        <v>2</v>
      </c>
      <c r="AS124">
        <v>1690222125</v>
      </c>
      <c r="AT124">
        <v>594.21500000000003</v>
      </c>
      <c r="AU124">
        <v>799.99900000000002</v>
      </c>
      <c r="AV124">
        <v>23.236699999999999</v>
      </c>
      <c r="AW124">
        <v>11.238799999999999</v>
      </c>
      <c r="AX124">
        <v>594.56299999999999</v>
      </c>
      <c r="AY124">
        <v>23.073899999999998</v>
      </c>
      <c r="AZ124">
        <v>300.14100000000002</v>
      </c>
      <c r="BA124">
        <v>99.079300000000003</v>
      </c>
      <c r="BB124">
        <v>0.100013</v>
      </c>
      <c r="BC124">
        <v>26.172999999999998</v>
      </c>
      <c r="BD124">
        <v>27.013400000000001</v>
      </c>
      <c r="BE124">
        <v>27.640999999999998</v>
      </c>
      <c r="BF124">
        <v>0</v>
      </c>
      <c r="BG124">
        <v>0</v>
      </c>
      <c r="BH124">
        <v>9963.75</v>
      </c>
      <c r="BI124">
        <v>1071.49</v>
      </c>
      <c r="BJ124">
        <v>1.56985</v>
      </c>
      <c r="BK124">
        <v>-205.78399999999999</v>
      </c>
      <c r="BL124">
        <v>608.351</v>
      </c>
      <c r="BM124">
        <v>809.09299999999996</v>
      </c>
      <c r="BN124">
        <v>11.9979</v>
      </c>
      <c r="BO124">
        <v>799.99900000000002</v>
      </c>
      <c r="BP124">
        <v>11.238799999999999</v>
      </c>
      <c r="BQ124">
        <v>2.30227</v>
      </c>
      <c r="BR124">
        <v>1.1135299999999999</v>
      </c>
      <c r="BS124">
        <v>19.692299999999999</v>
      </c>
      <c r="BT124">
        <v>8.4931099999999997</v>
      </c>
      <c r="BU124">
        <v>1800</v>
      </c>
      <c r="BV124">
        <v>0.90998000000000001</v>
      </c>
      <c r="BW124">
        <v>3.4007000000000003E-2</v>
      </c>
      <c r="BX124">
        <v>2.2000200000000001E-2</v>
      </c>
      <c r="BY124">
        <v>3.4013099999999998E-2</v>
      </c>
      <c r="BZ124">
        <v>26</v>
      </c>
      <c r="CA124">
        <v>33528.300000000003</v>
      </c>
      <c r="CB124">
        <v>1690220522.5999999</v>
      </c>
      <c r="CC124" t="s">
        <v>332</v>
      </c>
      <c r="CD124">
        <v>1690220522.5999999</v>
      </c>
      <c r="CE124">
        <v>1690220510.5999999</v>
      </c>
      <c r="CF124">
        <v>10</v>
      </c>
      <c r="CG124">
        <v>-0.22</v>
      </c>
      <c r="CH124">
        <v>-2.7E-2</v>
      </c>
      <c r="CI124">
        <v>-0.49299999999999999</v>
      </c>
      <c r="CJ124">
        <v>0.152</v>
      </c>
      <c r="CK124">
        <v>800</v>
      </c>
      <c r="CL124">
        <v>19</v>
      </c>
      <c r="CM124">
        <v>0.1</v>
      </c>
      <c r="CN124">
        <v>0.03</v>
      </c>
      <c r="CO124">
        <v>-202.7731707317073</v>
      </c>
      <c r="CP124">
        <v>-17.561080139372908</v>
      </c>
      <c r="CQ124">
        <v>1.732666264889124</v>
      </c>
      <c r="CR124">
        <v>-1</v>
      </c>
      <c r="CS124">
        <v>11.81810487804878</v>
      </c>
      <c r="CT124">
        <v>1.233947038327545</v>
      </c>
      <c r="CU124">
        <v>0.1224055533397066</v>
      </c>
      <c r="CV124">
        <v>-1</v>
      </c>
      <c r="CW124">
        <v>0</v>
      </c>
      <c r="CX124">
        <v>0</v>
      </c>
      <c r="CY124" t="s">
        <v>333</v>
      </c>
      <c r="CZ124">
        <v>2.36443</v>
      </c>
      <c r="DA124">
        <v>2.7137699999999998</v>
      </c>
      <c r="DB124">
        <v>0.119689</v>
      </c>
      <c r="DC124">
        <v>0.146178</v>
      </c>
      <c r="DD124">
        <v>0.111401</v>
      </c>
      <c r="DE124">
        <v>6.4662700000000004E-2</v>
      </c>
      <c r="DF124">
        <v>32141.9</v>
      </c>
      <c r="DG124">
        <v>27516.9</v>
      </c>
      <c r="DH124">
        <v>31170.3</v>
      </c>
      <c r="DI124">
        <v>28082.1</v>
      </c>
      <c r="DJ124">
        <v>37603.199999999997</v>
      </c>
      <c r="DK124">
        <v>37350.6</v>
      </c>
      <c r="DL124">
        <v>44359.4</v>
      </c>
      <c r="DM124">
        <v>42562.8</v>
      </c>
      <c r="DN124">
        <v>1.4788699999999999</v>
      </c>
      <c r="DO124">
        <v>2.0435500000000002</v>
      </c>
      <c r="DP124">
        <v>0.116464</v>
      </c>
      <c r="DQ124">
        <v>0.16577500000000001</v>
      </c>
      <c r="DR124">
        <v>25.105799999999999</v>
      </c>
      <c r="DS124">
        <v>24.9268</v>
      </c>
      <c r="DT124">
        <v>54.7</v>
      </c>
      <c r="DU124">
        <v>29.5</v>
      </c>
      <c r="DV124">
        <v>22.851099999999999</v>
      </c>
      <c r="DW124">
        <v>61.974200000000003</v>
      </c>
      <c r="DX124">
        <v>36.939100000000003</v>
      </c>
      <c r="DY124">
        <v>1</v>
      </c>
      <c r="DZ124">
        <v>-8.9331800000000003E-2</v>
      </c>
      <c r="EA124">
        <v>0.28798800000000002</v>
      </c>
      <c r="EB124">
        <v>20.189299999999999</v>
      </c>
      <c r="EC124">
        <v>5.2411000000000003</v>
      </c>
      <c r="ED124">
        <v>12.039899999999999</v>
      </c>
      <c r="EE124">
        <v>5.0170000000000003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1.8689199999999999</v>
      </c>
      <c r="EL124">
        <v>1.86463</v>
      </c>
      <c r="EM124">
        <v>1.8691800000000001</v>
      </c>
      <c r="EN124">
        <v>1.8672200000000001</v>
      </c>
      <c r="EO124">
        <v>1.8633999999999999</v>
      </c>
      <c r="EP124">
        <v>1.8645099999999999</v>
      </c>
      <c r="EQ124">
        <v>1.87015</v>
      </c>
      <c r="ER124">
        <v>1.8694500000000001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-0.34799999999999998</v>
      </c>
      <c r="FG124">
        <v>0.1628</v>
      </c>
      <c r="FH124">
        <v>5.8509882529719233E-2</v>
      </c>
      <c r="FI124">
        <v>-6.1462078757559423E-4</v>
      </c>
      <c r="FJ124">
        <v>-1.8861989874597051E-7</v>
      </c>
      <c r="FK124">
        <v>1.1980462299894961E-10</v>
      </c>
      <c r="FL124">
        <v>0.16277811159127681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26.7</v>
      </c>
      <c r="FU124">
        <v>26.9</v>
      </c>
      <c r="FV124">
        <v>1.77979</v>
      </c>
      <c r="FW124">
        <v>2.5793499999999998</v>
      </c>
      <c r="FX124">
        <v>1.5490699999999999</v>
      </c>
      <c r="FY124">
        <v>2.3278799999999999</v>
      </c>
      <c r="FZ124">
        <v>1.50146</v>
      </c>
      <c r="GA124">
        <v>2.4023400000000001</v>
      </c>
      <c r="GB124">
        <v>33.941299999999998</v>
      </c>
      <c r="GC124">
        <v>23.982399999999998</v>
      </c>
      <c r="GD124">
        <v>19</v>
      </c>
      <c r="GE124">
        <v>284.245</v>
      </c>
      <c r="GF124">
        <v>589.70399999999995</v>
      </c>
      <c r="GG124">
        <v>24.113499999999998</v>
      </c>
      <c r="GH124">
        <v>26.249199999999998</v>
      </c>
      <c r="GI124">
        <v>30.0001</v>
      </c>
      <c r="GJ124">
        <v>26.401399999999999</v>
      </c>
      <c r="GK124">
        <v>26.3904</v>
      </c>
      <c r="GL124">
        <v>35.583599999999997</v>
      </c>
      <c r="GM124">
        <v>55.597999999999999</v>
      </c>
      <c r="GN124">
        <v>77.789599999999993</v>
      </c>
      <c r="GO124">
        <v>24.124099999999999</v>
      </c>
      <c r="GP124">
        <v>800</v>
      </c>
      <c r="GQ124">
        <v>11.1501</v>
      </c>
      <c r="GR124">
        <v>99.733099999999993</v>
      </c>
      <c r="GS124">
        <v>99.569100000000006</v>
      </c>
    </row>
    <row r="125" spans="1:201" x14ac:dyDescent="0.25">
      <c r="A125">
        <v>109</v>
      </c>
      <c r="B125">
        <v>1690222135</v>
      </c>
      <c r="C125">
        <v>1252.5</v>
      </c>
      <c r="D125" t="s">
        <v>549</v>
      </c>
      <c r="E125" t="s">
        <v>550</v>
      </c>
      <c r="F125" t="s">
        <v>330</v>
      </c>
      <c r="H125">
        <v>1690222135</v>
      </c>
      <c r="I125">
        <f t="shared" si="30"/>
        <v>1.1968440650858552E-3</v>
      </c>
      <c r="J125">
        <f t="shared" si="31"/>
        <v>1.1968440650858552</v>
      </c>
      <c r="K125">
        <f t="shared" si="32"/>
        <v>19.388734842771747</v>
      </c>
      <c r="L125">
        <f t="shared" si="33"/>
        <v>591.26099999999997</v>
      </c>
      <c r="M125">
        <f t="shared" si="34"/>
        <v>187.26113487884029</v>
      </c>
      <c r="N125">
        <f t="shared" si="35"/>
        <v>18.573079568716075</v>
      </c>
      <c r="O125">
        <f t="shared" si="36"/>
        <v>58.642908503057996</v>
      </c>
      <c r="P125">
        <f t="shared" si="37"/>
        <v>7.9993905117578715E-2</v>
      </c>
      <c r="Q125">
        <f t="shared" si="38"/>
        <v>2.1943314946739001</v>
      </c>
      <c r="R125">
        <f t="shared" si="39"/>
        <v>7.840845683392865E-2</v>
      </c>
      <c r="S125">
        <f t="shared" si="40"/>
        <v>4.9145114529063512E-2</v>
      </c>
      <c r="T125">
        <f t="shared" si="41"/>
        <v>276.11533185741195</v>
      </c>
      <c r="U125">
        <f t="shared" si="42"/>
        <v>27.901166537764382</v>
      </c>
      <c r="V125">
        <f t="shared" si="43"/>
        <v>27.901166537764382</v>
      </c>
      <c r="W125">
        <f t="shared" si="44"/>
        <v>3.7730300122770215</v>
      </c>
      <c r="X125">
        <f t="shared" si="45"/>
        <v>67.597557403370658</v>
      </c>
      <c r="Y125">
        <f t="shared" si="46"/>
        <v>2.3054739197766003</v>
      </c>
      <c r="Z125">
        <f t="shared" si="47"/>
        <v>3.4105876134240929</v>
      </c>
      <c r="AA125">
        <f t="shared" si="48"/>
        <v>1.4675560925004212</v>
      </c>
      <c r="AB125">
        <f t="shared" si="49"/>
        <v>-52.780823270286213</v>
      </c>
      <c r="AC125">
        <f t="shared" si="50"/>
        <v>-203.48524668100399</v>
      </c>
      <c r="AD125">
        <f t="shared" si="51"/>
        <v>-20.021096457434343</v>
      </c>
      <c r="AE125">
        <f t="shared" si="52"/>
        <v>-0.17183455131259961</v>
      </c>
      <c r="AF125">
        <v>0</v>
      </c>
      <c r="AG125">
        <v>0</v>
      </c>
      <c r="AH125">
        <f t="shared" si="53"/>
        <v>1</v>
      </c>
      <c r="AI125">
        <f t="shared" si="54"/>
        <v>0</v>
      </c>
      <c r="AJ125">
        <f t="shared" si="55"/>
        <v>52538.556877539086</v>
      </c>
      <c r="AK125">
        <f t="shared" si="56"/>
        <v>1799.99</v>
      </c>
      <c r="AL125">
        <f t="shared" si="57"/>
        <v>1499.1004226180498</v>
      </c>
      <c r="AM125">
        <f t="shared" si="58"/>
        <v>0.83283819499999989</v>
      </c>
      <c r="AN125">
        <f t="shared" si="59"/>
        <v>0.15339825879999996</v>
      </c>
      <c r="AO125">
        <v>31.2</v>
      </c>
      <c r="AP125">
        <v>0.5</v>
      </c>
      <c r="AQ125" t="s">
        <v>331</v>
      </c>
      <c r="AR125">
        <v>2</v>
      </c>
      <c r="AS125">
        <v>1690222135</v>
      </c>
      <c r="AT125">
        <v>591.26099999999997</v>
      </c>
      <c r="AU125">
        <v>800.11300000000006</v>
      </c>
      <c r="AV125">
        <v>23.244700000000002</v>
      </c>
      <c r="AW125">
        <v>11.095599999999999</v>
      </c>
      <c r="AX125">
        <v>591.60799999999995</v>
      </c>
      <c r="AY125">
        <v>23.081900000000001</v>
      </c>
      <c r="AZ125">
        <v>300.21600000000001</v>
      </c>
      <c r="BA125">
        <v>99.082700000000003</v>
      </c>
      <c r="BB125">
        <v>0.100078</v>
      </c>
      <c r="BC125">
        <v>26.181100000000001</v>
      </c>
      <c r="BD125">
        <v>26.979199999999999</v>
      </c>
      <c r="BE125">
        <v>27.628799999999998</v>
      </c>
      <c r="BF125">
        <v>0</v>
      </c>
      <c r="BG125">
        <v>0</v>
      </c>
      <c r="BH125">
        <v>10000.6</v>
      </c>
      <c r="BI125">
        <v>1071.5899999999999</v>
      </c>
      <c r="BJ125">
        <v>1.5291999999999999</v>
      </c>
      <c r="BK125">
        <v>-208.851</v>
      </c>
      <c r="BL125">
        <v>605.33199999999999</v>
      </c>
      <c r="BM125">
        <v>809.09</v>
      </c>
      <c r="BN125">
        <v>12.148999999999999</v>
      </c>
      <c r="BO125">
        <v>800.11300000000006</v>
      </c>
      <c r="BP125">
        <v>11.095599999999999</v>
      </c>
      <c r="BQ125">
        <v>2.30314</v>
      </c>
      <c r="BR125">
        <v>1.09938</v>
      </c>
      <c r="BS125">
        <v>19.698399999999999</v>
      </c>
      <c r="BT125">
        <v>8.3046100000000003</v>
      </c>
      <c r="BU125">
        <v>1799.99</v>
      </c>
      <c r="BV125">
        <v>0.90997099999999997</v>
      </c>
      <c r="BW125">
        <v>3.4006700000000001E-2</v>
      </c>
      <c r="BX125">
        <v>2.2009500000000001E-2</v>
      </c>
      <c r="BY125">
        <v>3.4012800000000003E-2</v>
      </c>
      <c r="BZ125">
        <v>26</v>
      </c>
      <c r="CA125">
        <v>33528</v>
      </c>
      <c r="CB125">
        <v>1690220522.5999999</v>
      </c>
      <c r="CC125" t="s">
        <v>332</v>
      </c>
      <c r="CD125">
        <v>1690220522.5999999</v>
      </c>
      <c r="CE125">
        <v>1690220510.5999999</v>
      </c>
      <c r="CF125">
        <v>10</v>
      </c>
      <c r="CG125">
        <v>-0.22</v>
      </c>
      <c r="CH125">
        <v>-2.7E-2</v>
      </c>
      <c r="CI125">
        <v>-0.49299999999999999</v>
      </c>
      <c r="CJ125">
        <v>0.152</v>
      </c>
      <c r="CK125">
        <v>800</v>
      </c>
      <c r="CL125">
        <v>19</v>
      </c>
      <c r="CM125">
        <v>0.1</v>
      </c>
      <c r="CN125">
        <v>0.03</v>
      </c>
      <c r="CO125">
        <v>-205.69812195121949</v>
      </c>
      <c r="CP125">
        <v>-17.825331010452391</v>
      </c>
      <c r="CQ125">
        <v>1.7588580163598391</v>
      </c>
      <c r="CR125">
        <v>-1</v>
      </c>
      <c r="CS125">
        <v>11.98974146341464</v>
      </c>
      <c r="CT125">
        <v>0.84635331010452652</v>
      </c>
      <c r="CU125">
        <v>8.5136346815434305E-2</v>
      </c>
      <c r="CV125">
        <v>-1</v>
      </c>
      <c r="CW125">
        <v>0</v>
      </c>
      <c r="CX125">
        <v>0</v>
      </c>
      <c r="CY125" t="s">
        <v>333</v>
      </c>
      <c r="CZ125">
        <v>2.36469</v>
      </c>
      <c r="DA125">
        <v>2.71387</v>
      </c>
      <c r="DB125">
        <v>0.11927400000000001</v>
      </c>
      <c r="DC125">
        <v>0.14619399999999999</v>
      </c>
      <c r="DD125">
        <v>0.111433</v>
      </c>
      <c r="DE125">
        <v>6.4038999999999999E-2</v>
      </c>
      <c r="DF125">
        <v>32157.599999999999</v>
      </c>
      <c r="DG125">
        <v>27516.400000000001</v>
      </c>
      <c r="DH125">
        <v>31170.9</v>
      </c>
      <c r="DI125">
        <v>28082.1</v>
      </c>
      <c r="DJ125">
        <v>37602.6</v>
      </c>
      <c r="DK125">
        <v>37375.599999999999</v>
      </c>
      <c r="DL125">
        <v>44360.3</v>
      </c>
      <c r="DM125">
        <v>42562.8</v>
      </c>
      <c r="DN125">
        <v>1.4793499999999999</v>
      </c>
      <c r="DO125">
        <v>2.0430799999999998</v>
      </c>
      <c r="DP125">
        <v>0.114374</v>
      </c>
      <c r="DQ125">
        <v>0.16489599999999999</v>
      </c>
      <c r="DR125">
        <v>25.105799999999999</v>
      </c>
      <c r="DS125">
        <v>24.928899999999999</v>
      </c>
      <c r="DT125">
        <v>54.4</v>
      </c>
      <c r="DU125">
        <v>29.5</v>
      </c>
      <c r="DV125">
        <v>22.727699999999999</v>
      </c>
      <c r="DW125">
        <v>61.544199999999996</v>
      </c>
      <c r="DX125">
        <v>35.997599999999998</v>
      </c>
      <c r="DY125">
        <v>1</v>
      </c>
      <c r="DZ125">
        <v>-8.9491899999999999E-2</v>
      </c>
      <c r="EA125">
        <v>0.260079</v>
      </c>
      <c r="EB125">
        <v>20.189499999999999</v>
      </c>
      <c r="EC125">
        <v>5.24125</v>
      </c>
      <c r="ED125">
        <v>12.039899999999999</v>
      </c>
      <c r="EE125">
        <v>5.0174000000000003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1.8689100000000001</v>
      </c>
      <c r="EL125">
        <v>1.8646400000000001</v>
      </c>
      <c r="EM125">
        <v>1.8691800000000001</v>
      </c>
      <c r="EN125">
        <v>1.8672299999999999</v>
      </c>
      <c r="EO125">
        <v>1.8633999999999999</v>
      </c>
      <c r="EP125">
        <v>1.86452</v>
      </c>
      <c r="EQ125">
        <v>1.8702000000000001</v>
      </c>
      <c r="ER125">
        <v>1.86941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-0.34699999999999998</v>
      </c>
      <c r="FG125">
        <v>0.1628</v>
      </c>
      <c r="FH125">
        <v>5.8509882529719233E-2</v>
      </c>
      <c r="FI125">
        <v>-6.1462078757559423E-4</v>
      </c>
      <c r="FJ125">
        <v>-1.8861989874597051E-7</v>
      </c>
      <c r="FK125">
        <v>1.1980462299894961E-10</v>
      </c>
      <c r="FL125">
        <v>0.16277811159127681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26.9</v>
      </c>
      <c r="FU125">
        <v>27.1</v>
      </c>
      <c r="FV125">
        <v>1.77979</v>
      </c>
      <c r="FW125">
        <v>2.5805699999999998</v>
      </c>
      <c r="FX125">
        <v>1.5490699999999999</v>
      </c>
      <c r="FY125">
        <v>2.3278799999999999</v>
      </c>
      <c r="FZ125">
        <v>1.50146</v>
      </c>
      <c r="GA125">
        <v>2.3840300000000001</v>
      </c>
      <c r="GB125">
        <v>33.941299999999998</v>
      </c>
      <c r="GC125">
        <v>23.982399999999998</v>
      </c>
      <c r="GD125">
        <v>19</v>
      </c>
      <c r="GE125">
        <v>284.43900000000002</v>
      </c>
      <c r="GF125">
        <v>589.27599999999995</v>
      </c>
      <c r="GG125">
        <v>24.113</v>
      </c>
      <c r="GH125">
        <v>26.246500000000001</v>
      </c>
      <c r="GI125">
        <v>29.9999</v>
      </c>
      <c r="GJ125">
        <v>26.399100000000001</v>
      </c>
      <c r="GK125">
        <v>26.387599999999999</v>
      </c>
      <c r="GL125">
        <v>35.577599999999997</v>
      </c>
      <c r="GM125">
        <v>55.894100000000002</v>
      </c>
      <c r="GN125">
        <v>77.037400000000005</v>
      </c>
      <c r="GO125">
        <v>24.129899999999999</v>
      </c>
      <c r="GP125">
        <v>800</v>
      </c>
      <c r="GQ125">
        <v>10.9833</v>
      </c>
      <c r="GR125">
        <v>99.734999999999999</v>
      </c>
      <c r="GS125">
        <v>99.569199999999995</v>
      </c>
    </row>
    <row r="126" spans="1:201" x14ac:dyDescent="0.25">
      <c r="A126">
        <v>110</v>
      </c>
      <c r="B126">
        <v>1690222145</v>
      </c>
      <c r="C126">
        <v>1262.5</v>
      </c>
      <c r="D126" t="s">
        <v>551</v>
      </c>
      <c r="E126" t="s">
        <v>552</v>
      </c>
      <c r="F126" t="s">
        <v>330</v>
      </c>
      <c r="H126">
        <v>1690222145</v>
      </c>
      <c r="I126">
        <f t="shared" si="30"/>
        <v>1.2175943738065753E-3</v>
      </c>
      <c r="J126">
        <f t="shared" si="31"/>
        <v>1.2175943738065753</v>
      </c>
      <c r="K126">
        <f t="shared" si="32"/>
        <v>19.656512774777404</v>
      </c>
      <c r="L126">
        <f t="shared" si="33"/>
        <v>588.29100000000005</v>
      </c>
      <c r="M126">
        <f t="shared" si="34"/>
        <v>186.96047636833796</v>
      </c>
      <c r="N126">
        <f t="shared" si="35"/>
        <v>18.543448813377672</v>
      </c>
      <c r="O126">
        <f t="shared" si="36"/>
        <v>58.348931591181007</v>
      </c>
      <c r="P126">
        <f t="shared" si="37"/>
        <v>8.1668167500369968E-2</v>
      </c>
      <c r="Q126">
        <f t="shared" si="38"/>
        <v>2.1905797921320262</v>
      </c>
      <c r="R126">
        <f t="shared" si="39"/>
        <v>8.001362950800045E-2</v>
      </c>
      <c r="S126">
        <f t="shared" si="40"/>
        <v>5.0154380261409739E-2</v>
      </c>
      <c r="T126">
        <f t="shared" si="41"/>
        <v>276.11672920200004</v>
      </c>
      <c r="U126">
        <f t="shared" si="42"/>
        <v>27.890511832778504</v>
      </c>
      <c r="V126">
        <f t="shared" si="43"/>
        <v>27.890511832778504</v>
      </c>
      <c r="W126">
        <f t="shared" si="44"/>
        <v>3.7706853725524216</v>
      </c>
      <c r="X126">
        <f t="shared" si="45"/>
        <v>67.685675824445553</v>
      </c>
      <c r="Y126">
        <f t="shared" si="46"/>
        <v>2.3076199997850999</v>
      </c>
      <c r="Z126">
        <f t="shared" si="47"/>
        <v>3.4093181041293126</v>
      </c>
      <c r="AA126">
        <f t="shared" si="48"/>
        <v>1.4630653727673217</v>
      </c>
      <c r="AB126">
        <f t="shared" si="49"/>
        <v>-53.695911884869972</v>
      </c>
      <c r="AC126">
        <f t="shared" si="50"/>
        <v>-202.62305865738455</v>
      </c>
      <c r="AD126">
        <f t="shared" si="51"/>
        <v>-19.968715399170108</v>
      </c>
      <c r="AE126">
        <f t="shared" si="52"/>
        <v>-0.17095673942458234</v>
      </c>
      <c r="AF126">
        <v>0</v>
      </c>
      <c r="AG126">
        <v>0</v>
      </c>
      <c r="AH126">
        <f t="shared" si="53"/>
        <v>1</v>
      </c>
      <c r="AI126">
        <f t="shared" si="54"/>
        <v>0</v>
      </c>
      <c r="AJ126">
        <f t="shared" si="55"/>
        <v>52385.987277225249</v>
      </c>
      <c r="AK126">
        <f t="shared" si="56"/>
        <v>1800</v>
      </c>
      <c r="AL126">
        <f t="shared" si="57"/>
        <v>1499.1084882</v>
      </c>
      <c r="AM126">
        <f t="shared" si="58"/>
        <v>0.83283804900000002</v>
      </c>
      <c r="AN126">
        <f t="shared" si="59"/>
        <v>0.15339818289000001</v>
      </c>
      <c r="AO126">
        <v>31.2</v>
      </c>
      <c r="AP126">
        <v>0.5</v>
      </c>
      <c r="AQ126" t="s">
        <v>331</v>
      </c>
      <c r="AR126">
        <v>2</v>
      </c>
      <c r="AS126">
        <v>1690222145</v>
      </c>
      <c r="AT126">
        <v>588.29100000000005</v>
      </c>
      <c r="AU126">
        <v>800.00099999999998</v>
      </c>
      <c r="AV126">
        <v>23.266100000000002</v>
      </c>
      <c r="AW126">
        <v>10.907500000000001</v>
      </c>
      <c r="AX126">
        <v>588.63499999999999</v>
      </c>
      <c r="AY126">
        <v>23.103300000000001</v>
      </c>
      <c r="AZ126">
        <v>300.23700000000002</v>
      </c>
      <c r="BA126">
        <v>99.083799999999997</v>
      </c>
      <c r="BB126">
        <v>9.9990999999999997E-2</v>
      </c>
      <c r="BC126">
        <v>26.174800000000001</v>
      </c>
      <c r="BD126">
        <v>26.992899999999999</v>
      </c>
      <c r="BE126">
        <v>27.6312</v>
      </c>
      <c r="BF126">
        <v>0</v>
      </c>
      <c r="BG126">
        <v>0</v>
      </c>
      <c r="BH126">
        <v>9970</v>
      </c>
      <c r="BI126">
        <v>1071.71</v>
      </c>
      <c r="BJ126">
        <v>1.5137799999999999</v>
      </c>
      <c r="BK126">
        <v>-211.71100000000001</v>
      </c>
      <c r="BL126">
        <v>602.30399999999997</v>
      </c>
      <c r="BM126">
        <v>808.82399999999996</v>
      </c>
      <c r="BN126">
        <v>12.358599999999999</v>
      </c>
      <c r="BO126">
        <v>800.00099999999998</v>
      </c>
      <c r="BP126">
        <v>10.907500000000001</v>
      </c>
      <c r="BQ126">
        <v>2.3052999999999999</v>
      </c>
      <c r="BR126">
        <v>1.0807599999999999</v>
      </c>
      <c r="BS126">
        <v>19.7135</v>
      </c>
      <c r="BT126">
        <v>8.0531000000000006</v>
      </c>
      <c r="BU126">
        <v>1800</v>
      </c>
      <c r="BV126">
        <v>0.909972</v>
      </c>
      <c r="BW126">
        <v>3.40062E-2</v>
      </c>
      <c r="BX126">
        <v>2.20092E-2</v>
      </c>
      <c r="BY126">
        <v>3.4012300000000002E-2</v>
      </c>
      <c r="BZ126">
        <v>26</v>
      </c>
      <c r="CA126">
        <v>33528.1</v>
      </c>
      <c r="CB126">
        <v>1690220522.5999999</v>
      </c>
      <c r="CC126" t="s">
        <v>332</v>
      </c>
      <c r="CD126">
        <v>1690220522.5999999</v>
      </c>
      <c r="CE126">
        <v>1690220510.5999999</v>
      </c>
      <c r="CF126">
        <v>10</v>
      </c>
      <c r="CG126">
        <v>-0.22</v>
      </c>
      <c r="CH126">
        <v>-2.7E-2</v>
      </c>
      <c r="CI126">
        <v>-0.49299999999999999</v>
      </c>
      <c r="CJ126">
        <v>0.152</v>
      </c>
      <c r="CK126">
        <v>800</v>
      </c>
      <c r="CL126">
        <v>19</v>
      </c>
      <c r="CM126">
        <v>0.1</v>
      </c>
      <c r="CN126">
        <v>0.03</v>
      </c>
      <c r="CO126">
        <v>-208.3687317073171</v>
      </c>
      <c r="CP126">
        <v>-18.061986062717629</v>
      </c>
      <c r="CQ126">
        <v>1.7817777368765131</v>
      </c>
      <c r="CR126">
        <v>-1</v>
      </c>
      <c r="CS126">
        <v>12.128685365853659</v>
      </c>
      <c r="CT126">
        <v>1.03060348432058</v>
      </c>
      <c r="CU126">
        <v>0.1027753352801115</v>
      </c>
      <c r="CV126">
        <v>-1</v>
      </c>
      <c r="CW126">
        <v>0</v>
      </c>
      <c r="CX126">
        <v>0</v>
      </c>
      <c r="CY126" t="s">
        <v>333</v>
      </c>
      <c r="CZ126">
        <v>2.3647499999999999</v>
      </c>
      <c r="DA126">
        <v>2.7137600000000002</v>
      </c>
      <c r="DB126">
        <v>0.118852</v>
      </c>
      <c r="DC126">
        <v>0.146179</v>
      </c>
      <c r="DD126">
        <v>0.111507</v>
      </c>
      <c r="DE126">
        <v>6.32128E-2</v>
      </c>
      <c r="DF126">
        <v>32173.9</v>
      </c>
      <c r="DG126">
        <v>27517.200000000001</v>
      </c>
      <c r="DH126">
        <v>31171.7</v>
      </c>
      <c r="DI126">
        <v>28082.400000000001</v>
      </c>
      <c r="DJ126">
        <v>37600.1</v>
      </c>
      <c r="DK126">
        <v>37408.9</v>
      </c>
      <c r="DL126">
        <v>44361.2</v>
      </c>
      <c r="DM126">
        <v>42563.1</v>
      </c>
      <c r="DN126">
        <v>1.47973</v>
      </c>
      <c r="DO126">
        <v>2.0428999999999999</v>
      </c>
      <c r="DP126">
        <v>0.115339</v>
      </c>
      <c r="DQ126">
        <v>0.16498599999999999</v>
      </c>
      <c r="DR126">
        <v>25.1038</v>
      </c>
      <c r="DS126">
        <v>24.9299</v>
      </c>
      <c r="DT126">
        <v>54.1</v>
      </c>
      <c r="DU126">
        <v>29.5</v>
      </c>
      <c r="DV126">
        <v>22.602</v>
      </c>
      <c r="DW126">
        <v>61.834200000000003</v>
      </c>
      <c r="DX126">
        <v>35.889400000000002</v>
      </c>
      <c r="DY126">
        <v>1</v>
      </c>
      <c r="DZ126">
        <v>-8.9911099999999994E-2</v>
      </c>
      <c r="EA126">
        <v>0.18167800000000001</v>
      </c>
      <c r="EB126">
        <v>20.189499999999999</v>
      </c>
      <c r="EC126">
        <v>5.2413999999999996</v>
      </c>
      <c r="ED126">
        <v>12.039899999999999</v>
      </c>
      <c r="EE126">
        <v>5.0175000000000001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1.8689100000000001</v>
      </c>
      <c r="EL126">
        <v>1.8646199999999999</v>
      </c>
      <c r="EM126">
        <v>1.8691800000000001</v>
      </c>
      <c r="EN126">
        <v>1.8672299999999999</v>
      </c>
      <c r="EO126">
        <v>1.8633999999999999</v>
      </c>
      <c r="EP126">
        <v>1.86449</v>
      </c>
      <c r="EQ126">
        <v>1.87016</v>
      </c>
      <c r="ER126">
        <v>1.8694299999999999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-0.34399999999999997</v>
      </c>
      <c r="FG126">
        <v>0.1628</v>
      </c>
      <c r="FH126">
        <v>5.8509882529719233E-2</v>
      </c>
      <c r="FI126">
        <v>-6.1462078757559423E-4</v>
      </c>
      <c r="FJ126">
        <v>-1.8861989874597051E-7</v>
      </c>
      <c r="FK126">
        <v>1.1980462299894961E-10</v>
      </c>
      <c r="FL126">
        <v>0.16277811159127681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27</v>
      </c>
      <c r="FU126">
        <v>27.2</v>
      </c>
      <c r="FV126">
        <v>1.77979</v>
      </c>
      <c r="FW126">
        <v>2.5854499999999998</v>
      </c>
      <c r="FX126">
        <v>1.5490699999999999</v>
      </c>
      <c r="FY126">
        <v>2.3278799999999999</v>
      </c>
      <c r="FZ126">
        <v>1.50146</v>
      </c>
      <c r="GA126">
        <v>2.2814899999999998</v>
      </c>
      <c r="GB126">
        <v>33.941299999999998</v>
      </c>
      <c r="GC126">
        <v>23.973700000000001</v>
      </c>
      <c r="GD126">
        <v>19</v>
      </c>
      <c r="GE126">
        <v>284.58999999999997</v>
      </c>
      <c r="GF126">
        <v>589.10400000000004</v>
      </c>
      <c r="GG126">
        <v>24.136600000000001</v>
      </c>
      <c r="GH126">
        <v>26.244299999999999</v>
      </c>
      <c r="GI126">
        <v>29.999700000000001</v>
      </c>
      <c r="GJ126">
        <v>26.396999999999998</v>
      </c>
      <c r="GK126">
        <v>26.385300000000001</v>
      </c>
      <c r="GL126">
        <v>35.575499999999998</v>
      </c>
      <c r="GM126">
        <v>56.182400000000001</v>
      </c>
      <c r="GN126">
        <v>76.260900000000007</v>
      </c>
      <c r="GO126">
        <v>24.143000000000001</v>
      </c>
      <c r="GP126">
        <v>800</v>
      </c>
      <c r="GQ126">
        <v>10.805999999999999</v>
      </c>
      <c r="GR126">
        <v>99.737399999999994</v>
      </c>
      <c r="GS126">
        <v>99.57</v>
      </c>
    </row>
    <row r="127" spans="1:201" x14ac:dyDescent="0.25">
      <c r="A127">
        <v>111</v>
      </c>
      <c r="B127">
        <v>1690222155</v>
      </c>
      <c r="C127">
        <v>1272.5</v>
      </c>
      <c r="D127" t="s">
        <v>553</v>
      </c>
      <c r="E127" t="s">
        <v>554</v>
      </c>
      <c r="F127" t="s">
        <v>330</v>
      </c>
      <c r="H127">
        <v>1690222155</v>
      </c>
      <c r="I127">
        <f t="shared" si="30"/>
        <v>1.2331994044857875E-3</v>
      </c>
      <c r="J127">
        <f t="shared" si="31"/>
        <v>1.2331994044857875</v>
      </c>
      <c r="K127">
        <f t="shared" si="32"/>
        <v>19.928322933396537</v>
      </c>
      <c r="L127">
        <f t="shared" si="33"/>
        <v>585.36199999999997</v>
      </c>
      <c r="M127">
        <f t="shared" si="34"/>
        <v>184.89790091229858</v>
      </c>
      <c r="N127">
        <f t="shared" si="35"/>
        <v>18.339003819158972</v>
      </c>
      <c r="O127">
        <f t="shared" si="36"/>
        <v>58.058830850017998</v>
      </c>
      <c r="P127">
        <f t="shared" si="37"/>
        <v>8.2981594278102463E-2</v>
      </c>
      <c r="Q127">
        <f t="shared" si="38"/>
        <v>2.1961959179481636</v>
      </c>
      <c r="R127">
        <f t="shared" si="39"/>
        <v>8.1278279813664159E-2</v>
      </c>
      <c r="S127">
        <f t="shared" si="40"/>
        <v>5.0949048879611047E-2</v>
      </c>
      <c r="T127">
        <f t="shared" si="41"/>
        <v>276.11675818200001</v>
      </c>
      <c r="U127">
        <f t="shared" si="42"/>
        <v>27.878622059978049</v>
      </c>
      <c r="V127">
        <f t="shared" si="43"/>
        <v>27.878622059978049</v>
      </c>
      <c r="W127">
        <f t="shared" si="44"/>
        <v>3.7680704487348793</v>
      </c>
      <c r="X127">
        <f t="shared" si="45"/>
        <v>67.745144390470472</v>
      </c>
      <c r="Y127">
        <f t="shared" si="46"/>
        <v>2.3092926204892001</v>
      </c>
      <c r="Z127">
        <f t="shared" si="47"/>
        <v>3.4087942999705856</v>
      </c>
      <c r="AA127">
        <f t="shared" si="48"/>
        <v>1.4587778282456791</v>
      </c>
      <c r="AB127">
        <f t="shared" si="49"/>
        <v>-54.384093737823228</v>
      </c>
      <c r="AC127">
        <f t="shared" si="50"/>
        <v>-202.04261470041337</v>
      </c>
      <c r="AD127">
        <f t="shared" si="51"/>
        <v>-19.859153763406997</v>
      </c>
      <c r="AE127">
        <f t="shared" si="52"/>
        <v>-0.16910401964358357</v>
      </c>
      <c r="AF127">
        <v>0</v>
      </c>
      <c r="AG127">
        <v>0</v>
      </c>
      <c r="AH127">
        <f t="shared" si="53"/>
        <v>1</v>
      </c>
      <c r="AI127">
        <f t="shared" si="54"/>
        <v>0</v>
      </c>
      <c r="AJ127">
        <f t="shared" si="55"/>
        <v>52616.642460428622</v>
      </c>
      <c r="AK127">
        <f t="shared" si="56"/>
        <v>1800</v>
      </c>
      <c r="AL127">
        <f t="shared" si="57"/>
        <v>1499.1086142000001</v>
      </c>
      <c r="AM127">
        <f t="shared" si="58"/>
        <v>0.83283811900000004</v>
      </c>
      <c r="AN127">
        <f t="shared" si="59"/>
        <v>0.15339819899000001</v>
      </c>
      <c r="AO127">
        <v>31.2</v>
      </c>
      <c r="AP127">
        <v>0.5</v>
      </c>
      <c r="AQ127" t="s">
        <v>331</v>
      </c>
      <c r="AR127">
        <v>2</v>
      </c>
      <c r="AS127">
        <v>1690222155</v>
      </c>
      <c r="AT127">
        <v>585.36199999999997</v>
      </c>
      <c r="AU127">
        <v>800.05600000000004</v>
      </c>
      <c r="AV127">
        <v>23.282800000000002</v>
      </c>
      <c r="AW127">
        <v>10.7601</v>
      </c>
      <c r="AX127">
        <v>585.70399999999995</v>
      </c>
      <c r="AY127">
        <v>23.12</v>
      </c>
      <c r="AZ127">
        <v>300.09500000000003</v>
      </c>
      <c r="BA127">
        <v>99.084500000000006</v>
      </c>
      <c r="BB127">
        <v>9.9988999999999995E-2</v>
      </c>
      <c r="BC127">
        <v>26.1722</v>
      </c>
      <c r="BD127">
        <v>26.933800000000002</v>
      </c>
      <c r="BE127">
        <v>27.6206</v>
      </c>
      <c r="BF127">
        <v>0</v>
      </c>
      <c r="BG127">
        <v>0</v>
      </c>
      <c r="BH127">
        <v>10015.6</v>
      </c>
      <c r="BI127">
        <v>1071.73</v>
      </c>
      <c r="BJ127">
        <v>1.47174</v>
      </c>
      <c r="BK127">
        <v>-214.69399999999999</v>
      </c>
      <c r="BL127">
        <v>599.31600000000003</v>
      </c>
      <c r="BM127">
        <v>808.75800000000004</v>
      </c>
      <c r="BN127">
        <v>12.5227</v>
      </c>
      <c r="BO127">
        <v>800.05600000000004</v>
      </c>
      <c r="BP127">
        <v>10.7601</v>
      </c>
      <c r="BQ127">
        <v>2.3069600000000001</v>
      </c>
      <c r="BR127">
        <v>1.06616</v>
      </c>
      <c r="BS127">
        <v>19.725100000000001</v>
      </c>
      <c r="BT127">
        <v>7.8532900000000003</v>
      </c>
      <c r="BU127">
        <v>1800</v>
      </c>
      <c r="BV127">
        <v>0.909972</v>
      </c>
      <c r="BW127">
        <v>3.4006300000000003E-2</v>
      </c>
      <c r="BX127">
        <v>2.20092E-2</v>
      </c>
      <c r="BY127">
        <v>3.4012300000000002E-2</v>
      </c>
      <c r="BZ127">
        <v>26</v>
      </c>
      <c r="CA127">
        <v>33528.1</v>
      </c>
      <c r="CB127">
        <v>1690220522.5999999</v>
      </c>
      <c r="CC127" t="s">
        <v>332</v>
      </c>
      <c r="CD127">
        <v>1690220522.5999999</v>
      </c>
      <c r="CE127">
        <v>1690220510.5999999</v>
      </c>
      <c r="CF127">
        <v>10</v>
      </c>
      <c r="CG127">
        <v>-0.22</v>
      </c>
      <c r="CH127">
        <v>-2.7E-2</v>
      </c>
      <c r="CI127">
        <v>-0.49299999999999999</v>
      </c>
      <c r="CJ127">
        <v>0.152</v>
      </c>
      <c r="CK127">
        <v>800</v>
      </c>
      <c r="CL127">
        <v>19</v>
      </c>
      <c r="CM127">
        <v>0.1</v>
      </c>
      <c r="CN127">
        <v>0.03</v>
      </c>
      <c r="CO127">
        <v>-211.30726829268289</v>
      </c>
      <c r="CP127">
        <v>-17.257170731707401</v>
      </c>
      <c r="CQ127">
        <v>1.702388967396032</v>
      </c>
      <c r="CR127">
        <v>-1</v>
      </c>
      <c r="CS127">
        <v>12.31330243902439</v>
      </c>
      <c r="CT127">
        <v>1.1744174216027721</v>
      </c>
      <c r="CU127">
        <v>0.1162447344473465</v>
      </c>
      <c r="CV127">
        <v>-1</v>
      </c>
      <c r="CW127">
        <v>0</v>
      </c>
      <c r="CX127">
        <v>0</v>
      </c>
      <c r="CY127" t="s">
        <v>333</v>
      </c>
      <c r="CZ127">
        <v>2.36429</v>
      </c>
      <c r="DA127">
        <v>2.7137899999999999</v>
      </c>
      <c r="DB127">
        <v>0.118434</v>
      </c>
      <c r="DC127">
        <v>0.14618500000000001</v>
      </c>
      <c r="DD127">
        <v>0.111565</v>
      </c>
      <c r="DE127">
        <v>6.2561599999999995E-2</v>
      </c>
      <c r="DF127">
        <v>32189.200000000001</v>
      </c>
      <c r="DG127">
        <v>27517.8</v>
      </c>
      <c r="DH127">
        <v>31171.8</v>
      </c>
      <c r="DI127">
        <v>28083.3</v>
      </c>
      <c r="DJ127">
        <v>37597.800000000003</v>
      </c>
      <c r="DK127">
        <v>37436.1</v>
      </c>
      <c r="DL127">
        <v>44361.4</v>
      </c>
      <c r="DM127">
        <v>42564.4</v>
      </c>
      <c r="DN127">
        <v>1.4793000000000001</v>
      </c>
      <c r="DO127">
        <v>2.0428199999999999</v>
      </c>
      <c r="DP127">
        <v>0.111856</v>
      </c>
      <c r="DQ127">
        <v>0.164267</v>
      </c>
      <c r="DR127">
        <v>25.101600000000001</v>
      </c>
      <c r="DS127">
        <v>24.931000000000001</v>
      </c>
      <c r="DT127">
        <v>53.9</v>
      </c>
      <c r="DU127">
        <v>29.5</v>
      </c>
      <c r="DV127">
        <v>22.5181</v>
      </c>
      <c r="DW127">
        <v>61.824199999999998</v>
      </c>
      <c r="DX127">
        <v>37.027200000000001</v>
      </c>
      <c r="DY127">
        <v>1</v>
      </c>
      <c r="DZ127">
        <v>-9.0754600000000005E-2</v>
      </c>
      <c r="EA127">
        <v>0.131299</v>
      </c>
      <c r="EB127">
        <v>20.189800000000002</v>
      </c>
      <c r="EC127">
        <v>5.2413999999999996</v>
      </c>
      <c r="ED127">
        <v>12.039899999999999</v>
      </c>
      <c r="EE127">
        <v>5.0175000000000001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1.8689100000000001</v>
      </c>
      <c r="EL127">
        <v>1.8646199999999999</v>
      </c>
      <c r="EM127">
        <v>1.8691800000000001</v>
      </c>
      <c r="EN127">
        <v>1.8672299999999999</v>
      </c>
      <c r="EO127">
        <v>1.8633999999999999</v>
      </c>
      <c r="EP127">
        <v>1.8645499999999999</v>
      </c>
      <c r="EQ127">
        <v>1.87019</v>
      </c>
      <c r="ER127">
        <v>1.8694299999999999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-0.34200000000000003</v>
      </c>
      <c r="FG127">
        <v>0.1628</v>
      </c>
      <c r="FH127">
        <v>5.8509882529719233E-2</v>
      </c>
      <c r="FI127">
        <v>-6.1462078757559423E-4</v>
      </c>
      <c r="FJ127">
        <v>-1.8861989874597051E-7</v>
      </c>
      <c r="FK127">
        <v>1.1980462299894961E-10</v>
      </c>
      <c r="FL127">
        <v>0.16277811159127681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27.2</v>
      </c>
      <c r="FU127">
        <v>27.4</v>
      </c>
      <c r="FV127">
        <v>1.7785599999999999</v>
      </c>
      <c r="FW127">
        <v>2.5793499999999998</v>
      </c>
      <c r="FX127">
        <v>1.5490699999999999</v>
      </c>
      <c r="FY127">
        <v>2.3278799999999999</v>
      </c>
      <c r="FZ127">
        <v>1.50146</v>
      </c>
      <c r="GA127">
        <v>2.3779300000000001</v>
      </c>
      <c r="GB127">
        <v>33.941299999999998</v>
      </c>
      <c r="GC127">
        <v>23.982399999999998</v>
      </c>
      <c r="GD127">
        <v>19</v>
      </c>
      <c r="GE127">
        <v>284.39800000000002</v>
      </c>
      <c r="GF127">
        <v>589.01599999999996</v>
      </c>
      <c r="GG127">
        <v>24.16</v>
      </c>
      <c r="GH127">
        <v>26.242100000000001</v>
      </c>
      <c r="GI127">
        <v>29.999700000000001</v>
      </c>
      <c r="GJ127">
        <v>26.3947</v>
      </c>
      <c r="GK127">
        <v>26.383099999999999</v>
      </c>
      <c r="GL127">
        <v>35.572800000000001</v>
      </c>
      <c r="GM127">
        <v>56.783499999999997</v>
      </c>
      <c r="GN127">
        <v>75.877099999999999</v>
      </c>
      <c r="GO127">
        <v>24.225200000000001</v>
      </c>
      <c r="GP127">
        <v>800</v>
      </c>
      <c r="GQ127">
        <v>10.6309</v>
      </c>
      <c r="GR127">
        <v>99.737799999999993</v>
      </c>
      <c r="GS127">
        <v>99.572999999999993</v>
      </c>
    </row>
    <row r="128" spans="1:201" x14ac:dyDescent="0.25">
      <c r="A128">
        <v>112</v>
      </c>
      <c r="B128">
        <v>1690222165</v>
      </c>
      <c r="C128">
        <v>1282.5</v>
      </c>
      <c r="D128" t="s">
        <v>555</v>
      </c>
      <c r="E128" t="s">
        <v>556</v>
      </c>
      <c r="F128" t="s">
        <v>330</v>
      </c>
      <c r="H128">
        <v>1690222165</v>
      </c>
      <c r="I128">
        <f t="shared" si="30"/>
        <v>1.2539646040351663E-3</v>
      </c>
      <c r="J128">
        <f t="shared" si="31"/>
        <v>1.2539646040351662</v>
      </c>
      <c r="K128">
        <f t="shared" si="32"/>
        <v>20.205291479799445</v>
      </c>
      <c r="L128">
        <f t="shared" si="33"/>
        <v>582.42600000000004</v>
      </c>
      <c r="M128">
        <f t="shared" si="34"/>
        <v>183.95834446429126</v>
      </c>
      <c r="N128">
        <f t="shared" si="35"/>
        <v>18.246031592594015</v>
      </c>
      <c r="O128">
        <f t="shared" si="36"/>
        <v>57.768312860692212</v>
      </c>
      <c r="P128">
        <f t="shared" si="37"/>
        <v>8.4581157837672422E-2</v>
      </c>
      <c r="Q128">
        <f t="shared" si="38"/>
        <v>2.195830300978991</v>
      </c>
      <c r="R128">
        <f t="shared" si="39"/>
        <v>8.2812010189091734E-2</v>
      </c>
      <c r="S128">
        <f t="shared" si="40"/>
        <v>5.1913375183517602E-2</v>
      </c>
      <c r="T128">
        <f t="shared" si="41"/>
        <v>276.11686472399998</v>
      </c>
      <c r="U128">
        <f t="shared" si="42"/>
        <v>27.876625996855665</v>
      </c>
      <c r="V128">
        <f t="shared" si="43"/>
        <v>27.876625996855665</v>
      </c>
      <c r="W128">
        <f t="shared" si="44"/>
        <v>3.7676316086949702</v>
      </c>
      <c r="X128">
        <f t="shared" si="45"/>
        <v>67.798295004627647</v>
      </c>
      <c r="Y128">
        <f t="shared" si="46"/>
        <v>2.3117600779657801</v>
      </c>
      <c r="Z128">
        <f t="shared" si="47"/>
        <v>3.4097613779343394</v>
      </c>
      <c r="AA128">
        <f t="shared" si="48"/>
        <v>1.4558715307291901</v>
      </c>
      <c r="AB128">
        <f t="shared" si="49"/>
        <v>-55.299839037950832</v>
      </c>
      <c r="AC128">
        <f t="shared" si="50"/>
        <v>-201.2044503250219</v>
      </c>
      <c r="AD128">
        <f t="shared" si="51"/>
        <v>-19.780337937154332</v>
      </c>
      <c r="AE128">
        <f t="shared" si="52"/>
        <v>-0.1677625761271031</v>
      </c>
      <c r="AF128">
        <v>0</v>
      </c>
      <c r="AG128">
        <v>0</v>
      </c>
      <c r="AH128">
        <f t="shared" si="53"/>
        <v>1</v>
      </c>
      <c r="AI128">
        <f t="shared" si="54"/>
        <v>0</v>
      </c>
      <c r="AJ128">
        <f t="shared" si="55"/>
        <v>52600.82085770696</v>
      </c>
      <c r="AK128">
        <f t="shared" si="56"/>
        <v>1800</v>
      </c>
      <c r="AL128">
        <f t="shared" si="57"/>
        <v>1499.1097373999999</v>
      </c>
      <c r="AM128">
        <f t="shared" si="58"/>
        <v>0.83283874299999994</v>
      </c>
      <c r="AN128">
        <f t="shared" si="59"/>
        <v>0.15339825818</v>
      </c>
      <c r="AO128">
        <v>31.2</v>
      </c>
      <c r="AP128">
        <v>0.5</v>
      </c>
      <c r="AQ128" t="s">
        <v>331</v>
      </c>
      <c r="AR128">
        <v>2</v>
      </c>
      <c r="AS128">
        <v>1690222165</v>
      </c>
      <c r="AT128">
        <v>582.42600000000004</v>
      </c>
      <c r="AU128">
        <v>800.06299999999999</v>
      </c>
      <c r="AV128">
        <v>23.307400000000001</v>
      </c>
      <c r="AW128">
        <v>10.5756</v>
      </c>
      <c r="AX128">
        <v>582.76599999999996</v>
      </c>
      <c r="AY128">
        <v>23.144600000000001</v>
      </c>
      <c r="AZ128">
        <v>300.12900000000002</v>
      </c>
      <c r="BA128">
        <v>99.085700000000003</v>
      </c>
      <c r="BB128">
        <v>9.9969699999999995E-2</v>
      </c>
      <c r="BC128">
        <v>26.177</v>
      </c>
      <c r="BD128">
        <v>26.978400000000001</v>
      </c>
      <c r="BE128">
        <v>27.617599999999999</v>
      </c>
      <c r="BF128">
        <v>0</v>
      </c>
      <c r="BG128">
        <v>0</v>
      </c>
      <c r="BH128">
        <v>10012.5</v>
      </c>
      <c r="BI128">
        <v>1071.74</v>
      </c>
      <c r="BJ128">
        <v>1.4857499999999999</v>
      </c>
      <c r="BK128">
        <v>-217.637</v>
      </c>
      <c r="BL128">
        <v>596.32399999999996</v>
      </c>
      <c r="BM128">
        <v>808.61400000000003</v>
      </c>
      <c r="BN128">
        <v>12.7317</v>
      </c>
      <c r="BO128">
        <v>800.06299999999999</v>
      </c>
      <c r="BP128">
        <v>10.5756</v>
      </c>
      <c r="BQ128">
        <v>2.3094199999999998</v>
      </c>
      <c r="BR128">
        <v>1.04789</v>
      </c>
      <c r="BS128">
        <v>19.7423</v>
      </c>
      <c r="BT128">
        <v>7.5998599999999996</v>
      </c>
      <c r="BU128">
        <v>1800</v>
      </c>
      <c r="BV128">
        <v>0.90997399999999995</v>
      </c>
      <c r="BW128">
        <v>3.40057E-2</v>
      </c>
      <c r="BX128">
        <v>2.2008900000000001E-2</v>
      </c>
      <c r="BY128">
        <v>3.4011800000000002E-2</v>
      </c>
      <c r="BZ128">
        <v>26</v>
      </c>
      <c r="CA128">
        <v>33528.199999999997</v>
      </c>
      <c r="CB128">
        <v>1690220522.5999999</v>
      </c>
      <c r="CC128" t="s">
        <v>332</v>
      </c>
      <c r="CD128">
        <v>1690220522.5999999</v>
      </c>
      <c r="CE128">
        <v>1690220510.5999999</v>
      </c>
      <c r="CF128">
        <v>10</v>
      </c>
      <c r="CG128">
        <v>-0.22</v>
      </c>
      <c r="CH128">
        <v>-2.7E-2</v>
      </c>
      <c r="CI128">
        <v>-0.49299999999999999</v>
      </c>
      <c r="CJ128">
        <v>0.152</v>
      </c>
      <c r="CK128">
        <v>800</v>
      </c>
      <c r="CL128">
        <v>19</v>
      </c>
      <c r="CM128">
        <v>0.1</v>
      </c>
      <c r="CN128">
        <v>0.03</v>
      </c>
      <c r="CO128">
        <v>-214.24243902439019</v>
      </c>
      <c r="CP128">
        <v>-17.89047386759588</v>
      </c>
      <c r="CQ128">
        <v>1.76518005782013</v>
      </c>
      <c r="CR128">
        <v>-1</v>
      </c>
      <c r="CS128">
        <v>12.513500000000001</v>
      </c>
      <c r="CT128">
        <v>1.202901742160319</v>
      </c>
      <c r="CU128">
        <v>0.11928051176870801</v>
      </c>
      <c r="CV128">
        <v>-1</v>
      </c>
      <c r="CW128">
        <v>0</v>
      </c>
      <c r="CX128">
        <v>0</v>
      </c>
      <c r="CY128" t="s">
        <v>333</v>
      </c>
      <c r="CZ128">
        <v>2.36442</v>
      </c>
      <c r="DA128">
        <v>2.7137699999999998</v>
      </c>
      <c r="DB128">
        <v>0.118016</v>
      </c>
      <c r="DC128">
        <v>0.14618400000000001</v>
      </c>
      <c r="DD128">
        <v>0.11165</v>
      </c>
      <c r="DE128">
        <v>6.17423E-2</v>
      </c>
      <c r="DF128">
        <v>32204.7</v>
      </c>
      <c r="DG128">
        <v>27517.9</v>
      </c>
      <c r="DH128">
        <v>31171.9</v>
      </c>
      <c r="DI128">
        <v>28083.3</v>
      </c>
      <c r="DJ128">
        <v>37594.199999999997</v>
      </c>
      <c r="DK128">
        <v>37468.9</v>
      </c>
      <c r="DL128">
        <v>44361.599999999999</v>
      </c>
      <c r="DM128">
        <v>42564.4</v>
      </c>
      <c r="DN128">
        <v>1.4799</v>
      </c>
      <c r="DO128">
        <v>2.0426199999999999</v>
      </c>
      <c r="DP128">
        <v>0.11444799999999999</v>
      </c>
      <c r="DQ128">
        <v>0.164021</v>
      </c>
      <c r="DR128">
        <v>25.1038</v>
      </c>
      <c r="DS128">
        <v>24.931999999999999</v>
      </c>
      <c r="DT128">
        <v>53.6</v>
      </c>
      <c r="DU128">
        <v>29.5</v>
      </c>
      <c r="DV128">
        <v>22.391500000000001</v>
      </c>
      <c r="DW128">
        <v>61.394199999999998</v>
      </c>
      <c r="DX128">
        <v>36.486400000000003</v>
      </c>
      <c r="DY128">
        <v>1</v>
      </c>
      <c r="DZ128">
        <v>-9.1153499999999998E-2</v>
      </c>
      <c r="EA128">
        <v>1.92838E-2</v>
      </c>
      <c r="EB128">
        <v>20.189800000000002</v>
      </c>
      <c r="EC128">
        <v>5.24125</v>
      </c>
      <c r="ED128">
        <v>12.039899999999999</v>
      </c>
      <c r="EE128">
        <v>5.0173500000000004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1.8689199999999999</v>
      </c>
      <c r="EL128">
        <v>1.86463</v>
      </c>
      <c r="EM128">
        <v>1.8691899999999999</v>
      </c>
      <c r="EN128">
        <v>1.86724</v>
      </c>
      <c r="EO128">
        <v>1.8633999999999999</v>
      </c>
      <c r="EP128">
        <v>1.8645499999999999</v>
      </c>
      <c r="EQ128">
        <v>1.8702000000000001</v>
      </c>
      <c r="ER128">
        <v>1.86947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-0.34</v>
      </c>
      <c r="FG128">
        <v>0.1628</v>
      </c>
      <c r="FH128">
        <v>5.8509882529719233E-2</v>
      </c>
      <c r="FI128">
        <v>-6.1462078757559423E-4</v>
      </c>
      <c r="FJ128">
        <v>-1.8861989874597051E-7</v>
      </c>
      <c r="FK128">
        <v>1.1980462299894961E-10</v>
      </c>
      <c r="FL128">
        <v>0.16277811159127681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27.4</v>
      </c>
      <c r="FU128">
        <v>27.6</v>
      </c>
      <c r="FV128">
        <v>1.7785599999999999</v>
      </c>
      <c r="FW128">
        <v>2.5781200000000002</v>
      </c>
      <c r="FX128">
        <v>1.5490699999999999</v>
      </c>
      <c r="FY128">
        <v>2.3278799999999999</v>
      </c>
      <c r="FZ128">
        <v>1.50146</v>
      </c>
      <c r="GA128">
        <v>2.3962400000000001</v>
      </c>
      <c r="GB128">
        <v>33.941299999999998</v>
      </c>
      <c r="GC128">
        <v>23.982399999999998</v>
      </c>
      <c r="GD128">
        <v>19</v>
      </c>
      <c r="GE128">
        <v>284.64499999999998</v>
      </c>
      <c r="GF128">
        <v>588.82500000000005</v>
      </c>
      <c r="GG128">
        <v>24.247499999999999</v>
      </c>
      <c r="GH128">
        <v>26.239899999999999</v>
      </c>
      <c r="GI128">
        <v>29.9998</v>
      </c>
      <c r="GJ128">
        <v>26.392499999999998</v>
      </c>
      <c r="GK128">
        <v>26.3809</v>
      </c>
      <c r="GL128">
        <v>35.565399999999997</v>
      </c>
      <c r="GM128">
        <v>57.077500000000001</v>
      </c>
      <c r="GN128">
        <v>75.097700000000003</v>
      </c>
      <c r="GO128">
        <v>24.260100000000001</v>
      </c>
      <c r="GP128">
        <v>800</v>
      </c>
      <c r="GQ128">
        <v>10.4437</v>
      </c>
      <c r="GR128">
        <v>99.738200000000006</v>
      </c>
      <c r="GS128">
        <v>99.572999999999993</v>
      </c>
    </row>
    <row r="129" spans="1:201" x14ac:dyDescent="0.25">
      <c r="A129">
        <v>113</v>
      </c>
      <c r="B129">
        <v>1690222175</v>
      </c>
      <c r="C129">
        <v>1292.5</v>
      </c>
      <c r="D129" t="s">
        <v>557</v>
      </c>
      <c r="E129" t="s">
        <v>558</v>
      </c>
      <c r="F129" t="s">
        <v>330</v>
      </c>
      <c r="H129">
        <v>1690222175</v>
      </c>
      <c r="I129">
        <f t="shared" si="30"/>
        <v>1.2755369769764642E-3</v>
      </c>
      <c r="J129">
        <f t="shared" si="31"/>
        <v>1.2755369769764642</v>
      </c>
      <c r="K129">
        <f t="shared" si="32"/>
        <v>20.473665059608802</v>
      </c>
      <c r="L129">
        <f t="shared" si="33"/>
        <v>579.48099999999999</v>
      </c>
      <c r="M129">
        <f t="shared" si="34"/>
        <v>182.87131630290989</v>
      </c>
      <c r="N129">
        <f t="shared" si="35"/>
        <v>18.138207265047335</v>
      </c>
      <c r="O129">
        <f t="shared" si="36"/>
        <v>57.476189796472994</v>
      </c>
      <c r="P129">
        <f t="shared" si="37"/>
        <v>8.6132650977383332E-2</v>
      </c>
      <c r="Q129">
        <f t="shared" si="38"/>
        <v>2.194367463392989</v>
      </c>
      <c r="R129">
        <f t="shared" si="39"/>
        <v>8.4297567965160289E-2</v>
      </c>
      <c r="S129">
        <f t="shared" si="40"/>
        <v>5.2847598547495059E-2</v>
      </c>
      <c r="T129">
        <f t="shared" si="41"/>
        <v>276.11522308401635</v>
      </c>
      <c r="U129">
        <f t="shared" si="42"/>
        <v>27.881601720289126</v>
      </c>
      <c r="V129">
        <f t="shared" si="43"/>
        <v>27.881601720289126</v>
      </c>
      <c r="W129">
        <f t="shared" si="44"/>
        <v>3.7687256183345799</v>
      </c>
      <c r="X129">
        <f t="shared" si="45"/>
        <v>67.816674926028668</v>
      </c>
      <c r="Y129">
        <f t="shared" si="46"/>
        <v>2.3139313879469001</v>
      </c>
      <c r="Z129">
        <f t="shared" si="47"/>
        <v>3.4120389866811238</v>
      </c>
      <c r="AA129">
        <f t="shared" si="48"/>
        <v>1.4547942303876797</v>
      </c>
      <c r="AB129">
        <f t="shared" si="49"/>
        <v>-56.251180684662074</v>
      </c>
      <c r="AC129">
        <f t="shared" si="50"/>
        <v>-200.32223093266836</v>
      </c>
      <c r="AD129">
        <f t="shared" si="51"/>
        <v>-19.708338093467198</v>
      </c>
      <c r="AE129">
        <f t="shared" si="52"/>
        <v>-0.16652662678129104</v>
      </c>
      <c r="AF129">
        <v>0</v>
      </c>
      <c r="AG129">
        <v>0</v>
      </c>
      <c r="AH129">
        <f t="shared" si="53"/>
        <v>1</v>
      </c>
      <c r="AI129">
        <f t="shared" si="54"/>
        <v>0</v>
      </c>
      <c r="AJ129">
        <f t="shared" si="55"/>
        <v>52538.830217957831</v>
      </c>
      <c r="AK129">
        <f t="shared" si="56"/>
        <v>1799.99</v>
      </c>
      <c r="AL129">
        <f t="shared" si="57"/>
        <v>1499.10127221333</v>
      </c>
      <c r="AM129">
        <f t="shared" si="58"/>
        <v>0.83283866699999998</v>
      </c>
      <c r="AN129">
        <f t="shared" si="59"/>
        <v>0.15339819837000002</v>
      </c>
      <c r="AO129">
        <v>31.2</v>
      </c>
      <c r="AP129">
        <v>0.5</v>
      </c>
      <c r="AQ129" t="s">
        <v>331</v>
      </c>
      <c r="AR129">
        <v>2</v>
      </c>
      <c r="AS129">
        <v>1690222175</v>
      </c>
      <c r="AT129">
        <v>579.48099999999999</v>
      </c>
      <c r="AU129">
        <v>800.00900000000001</v>
      </c>
      <c r="AV129">
        <v>23.3293</v>
      </c>
      <c r="AW129">
        <v>10.3782</v>
      </c>
      <c r="AX129">
        <v>579.81899999999996</v>
      </c>
      <c r="AY129">
        <v>23.166599999999999</v>
      </c>
      <c r="AZ129">
        <v>300.11599999999999</v>
      </c>
      <c r="BA129">
        <v>99.085599999999999</v>
      </c>
      <c r="BB129">
        <v>0.100033</v>
      </c>
      <c r="BC129">
        <v>26.188300000000002</v>
      </c>
      <c r="BD129">
        <v>26.965199999999999</v>
      </c>
      <c r="BE129">
        <v>27.616299999999999</v>
      </c>
      <c r="BF129">
        <v>0</v>
      </c>
      <c r="BG129">
        <v>0</v>
      </c>
      <c r="BH129">
        <v>10000.6</v>
      </c>
      <c r="BI129">
        <v>1071.93</v>
      </c>
      <c r="BJ129">
        <v>1.4843500000000001</v>
      </c>
      <c r="BK129">
        <v>-220.52799999999999</v>
      </c>
      <c r="BL129">
        <v>593.32299999999998</v>
      </c>
      <c r="BM129">
        <v>808.39800000000002</v>
      </c>
      <c r="BN129">
        <v>12.9511</v>
      </c>
      <c r="BO129">
        <v>800.00900000000001</v>
      </c>
      <c r="BP129">
        <v>10.3782</v>
      </c>
      <c r="BQ129">
        <v>2.3115999999999999</v>
      </c>
      <c r="BR129">
        <v>1.02833</v>
      </c>
      <c r="BS129">
        <v>19.7575</v>
      </c>
      <c r="BT129">
        <v>7.3240600000000002</v>
      </c>
      <c r="BU129">
        <v>1799.99</v>
      </c>
      <c r="BV129">
        <v>0.90997499999999998</v>
      </c>
      <c r="BW129">
        <v>3.4005300000000002E-2</v>
      </c>
      <c r="BX129">
        <v>2.20086E-2</v>
      </c>
      <c r="BY129">
        <v>3.4011300000000001E-2</v>
      </c>
      <c r="BZ129">
        <v>26</v>
      </c>
      <c r="CA129">
        <v>33528</v>
      </c>
      <c r="CB129">
        <v>1690220522.5999999</v>
      </c>
      <c r="CC129" t="s">
        <v>332</v>
      </c>
      <c r="CD129">
        <v>1690220522.5999999</v>
      </c>
      <c r="CE129">
        <v>1690220510.5999999</v>
      </c>
      <c r="CF129">
        <v>10</v>
      </c>
      <c r="CG129">
        <v>-0.22</v>
      </c>
      <c r="CH129">
        <v>-2.7E-2</v>
      </c>
      <c r="CI129">
        <v>-0.49299999999999999</v>
      </c>
      <c r="CJ129">
        <v>0.152</v>
      </c>
      <c r="CK129">
        <v>800</v>
      </c>
      <c r="CL129">
        <v>19</v>
      </c>
      <c r="CM129">
        <v>0.1</v>
      </c>
      <c r="CN129">
        <v>0.03</v>
      </c>
      <c r="CO129">
        <v>-217.43690000000001</v>
      </c>
      <c r="CP129">
        <v>-17.696870544089681</v>
      </c>
      <c r="CQ129">
        <v>1.7038085837323409</v>
      </c>
      <c r="CR129">
        <v>-1</v>
      </c>
      <c r="CS129">
        <v>12.727155</v>
      </c>
      <c r="CT129">
        <v>1.21032720450281</v>
      </c>
      <c r="CU129">
        <v>0.117126687714628</v>
      </c>
      <c r="CV129">
        <v>-1</v>
      </c>
      <c r="CW129">
        <v>0</v>
      </c>
      <c r="CX129">
        <v>0</v>
      </c>
      <c r="CY129" t="s">
        <v>333</v>
      </c>
      <c r="CZ129">
        <v>2.3643700000000001</v>
      </c>
      <c r="DA129">
        <v>2.7138200000000001</v>
      </c>
      <c r="DB129">
        <v>0.117593</v>
      </c>
      <c r="DC129">
        <v>0.146175</v>
      </c>
      <c r="DD129">
        <v>0.111725</v>
      </c>
      <c r="DE129">
        <v>6.0859000000000003E-2</v>
      </c>
      <c r="DF129">
        <v>32220.1</v>
      </c>
      <c r="DG129">
        <v>27517.9</v>
      </c>
      <c r="DH129">
        <v>31171.9</v>
      </c>
      <c r="DI129">
        <v>28083</v>
      </c>
      <c r="DJ129">
        <v>37591.199999999997</v>
      </c>
      <c r="DK129">
        <v>37504.1</v>
      </c>
      <c r="DL129">
        <v>44361.8</v>
      </c>
      <c r="DM129">
        <v>42564.2</v>
      </c>
      <c r="DN129">
        <v>1.4797800000000001</v>
      </c>
      <c r="DO129">
        <v>2.0425800000000001</v>
      </c>
      <c r="DP129">
        <v>0.11351700000000001</v>
      </c>
      <c r="DQ129">
        <v>0.16384599999999999</v>
      </c>
      <c r="DR129">
        <v>25.105799999999999</v>
      </c>
      <c r="DS129">
        <v>24.933499999999999</v>
      </c>
      <c r="DT129">
        <v>53.3</v>
      </c>
      <c r="DU129">
        <v>29.5</v>
      </c>
      <c r="DV129">
        <v>22.267499999999998</v>
      </c>
      <c r="DW129">
        <v>61.834200000000003</v>
      </c>
      <c r="DX129">
        <v>35.889400000000002</v>
      </c>
      <c r="DY129">
        <v>1</v>
      </c>
      <c r="DZ129">
        <v>-9.12906E-2</v>
      </c>
      <c r="EA129">
        <v>0.10584399999999999</v>
      </c>
      <c r="EB129">
        <v>20.190000000000001</v>
      </c>
      <c r="EC129">
        <v>5.2415500000000002</v>
      </c>
      <c r="ED129">
        <v>12.039899999999999</v>
      </c>
      <c r="EE129">
        <v>5.0176999999999996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1.8689100000000001</v>
      </c>
      <c r="EL129">
        <v>1.8646199999999999</v>
      </c>
      <c r="EM129">
        <v>1.8691800000000001</v>
      </c>
      <c r="EN129">
        <v>1.8672299999999999</v>
      </c>
      <c r="EO129">
        <v>1.8633999999999999</v>
      </c>
      <c r="EP129">
        <v>1.86453</v>
      </c>
      <c r="EQ129">
        <v>1.87016</v>
      </c>
      <c r="ER129">
        <v>1.8694500000000001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-0.33800000000000002</v>
      </c>
      <c r="FG129">
        <v>0.16270000000000001</v>
      </c>
      <c r="FH129">
        <v>5.8509882529719233E-2</v>
      </c>
      <c r="FI129">
        <v>-6.1462078757559423E-4</v>
      </c>
      <c r="FJ129">
        <v>-1.8861989874597051E-7</v>
      </c>
      <c r="FK129">
        <v>1.1980462299894961E-10</v>
      </c>
      <c r="FL129">
        <v>0.16277811159127681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27.5</v>
      </c>
      <c r="FU129">
        <v>27.7</v>
      </c>
      <c r="FV129">
        <v>1.7785599999999999</v>
      </c>
      <c r="FW129">
        <v>2.5830099999999998</v>
      </c>
      <c r="FX129">
        <v>1.5490699999999999</v>
      </c>
      <c r="FY129">
        <v>2.3278799999999999</v>
      </c>
      <c r="FZ129">
        <v>1.50146</v>
      </c>
      <c r="GA129">
        <v>2.31934</v>
      </c>
      <c r="GB129">
        <v>33.941299999999998</v>
      </c>
      <c r="GC129">
        <v>23.973700000000001</v>
      </c>
      <c r="GD129">
        <v>19</v>
      </c>
      <c r="GE129">
        <v>284.58100000000002</v>
      </c>
      <c r="GF129">
        <v>588.75300000000004</v>
      </c>
      <c r="GG129">
        <v>24.276800000000001</v>
      </c>
      <c r="GH129">
        <v>26.2377</v>
      </c>
      <c r="GI129">
        <v>30</v>
      </c>
      <c r="GJ129">
        <v>26.3903</v>
      </c>
      <c r="GK129">
        <v>26.3782</v>
      </c>
      <c r="GL129">
        <v>35.566499999999998</v>
      </c>
      <c r="GM129">
        <v>57.652700000000003</v>
      </c>
      <c r="GN129">
        <v>74.308999999999997</v>
      </c>
      <c r="GO129">
        <v>24.290800000000001</v>
      </c>
      <c r="GP129">
        <v>800</v>
      </c>
      <c r="GQ129">
        <v>10.254799999999999</v>
      </c>
      <c r="GR129">
        <v>99.738500000000002</v>
      </c>
      <c r="GS129">
        <v>99.572400000000002</v>
      </c>
    </row>
    <row r="130" spans="1:201" x14ac:dyDescent="0.25">
      <c r="A130">
        <v>114</v>
      </c>
      <c r="B130">
        <v>1690222185</v>
      </c>
      <c r="C130">
        <v>1302.5</v>
      </c>
      <c r="D130" t="s">
        <v>559</v>
      </c>
      <c r="E130" t="s">
        <v>560</v>
      </c>
      <c r="F130" t="s">
        <v>330</v>
      </c>
      <c r="H130">
        <v>1690222185</v>
      </c>
      <c r="I130">
        <f t="shared" si="30"/>
        <v>1.2957465462860702E-3</v>
      </c>
      <c r="J130">
        <f t="shared" si="31"/>
        <v>1.2957465462860702</v>
      </c>
      <c r="K130">
        <f t="shared" si="32"/>
        <v>20.754400241272279</v>
      </c>
      <c r="L130">
        <f t="shared" si="33"/>
        <v>576.54300000000001</v>
      </c>
      <c r="M130">
        <f t="shared" si="34"/>
        <v>181.18392143564753</v>
      </c>
      <c r="N130">
        <f t="shared" si="35"/>
        <v>17.97064788903711</v>
      </c>
      <c r="O130">
        <f t="shared" si="36"/>
        <v>57.184164929166002</v>
      </c>
      <c r="P130">
        <f t="shared" si="37"/>
        <v>8.7608624914776542E-2</v>
      </c>
      <c r="Q130">
        <f t="shared" si="38"/>
        <v>2.1952014843665721</v>
      </c>
      <c r="R130">
        <f t="shared" si="39"/>
        <v>8.5711561631921257E-2</v>
      </c>
      <c r="S130">
        <f t="shared" si="40"/>
        <v>5.3736748221789712E-2</v>
      </c>
      <c r="T130">
        <f t="shared" si="41"/>
        <v>276.11665790399996</v>
      </c>
      <c r="U130">
        <f t="shared" si="42"/>
        <v>27.881454027936666</v>
      </c>
      <c r="V130">
        <f t="shared" si="43"/>
        <v>27.881454027936666</v>
      </c>
      <c r="W130">
        <f t="shared" si="44"/>
        <v>3.7686931413053677</v>
      </c>
      <c r="X130">
        <f t="shared" si="45"/>
        <v>67.826213708407025</v>
      </c>
      <c r="Y130">
        <f t="shared" si="46"/>
        <v>2.3152553123097999</v>
      </c>
      <c r="Z130">
        <f t="shared" si="47"/>
        <v>3.4135110685425527</v>
      </c>
      <c r="AA130">
        <f t="shared" si="48"/>
        <v>1.4534378289955678</v>
      </c>
      <c r="AB130">
        <f t="shared" si="49"/>
        <v>-57.142422691215693</v>
      </c>
      <c r="AC130">
        <f t="shared" si="50"/>
        <v>-199.516950830524</v>
      </c>
      <c r="AD130">
        <f t="shared" si="51"/>
        <v>-19.622354656986936</v>
      </c>
      <c r="AE130">
        <f t="shared" si="52"/>
        <v>-0.16507027472667346</v>
      </c>
      <c r="AF130">
        <v>0</v>
      </c>
      <c r="AG130">
        <v>0</v>
      </c>
      <c r="AH130">
        <f t="shared" si="53"/>
        <v>1</v>
      </c>
      <c r="AI130">
        <f t="shared" si="54"/>
        <v>0</v>
      </c>
      <c r="AJ130">
        <f t="shared" si="55"/>
        <v>52571.727828315175</v>
      </c>
      <c r="AK130">
        <f t="shared" si="56"/>
        <v>1800</v>
      </c>
      <c r="AL130">
        <f t="shared" si="57"/>
        <v>1499.1101693999999</v>
      </c>
      <c r="AM130">
        <f t="shared" si="58"/>
        <v>0.83283898299999992</v>
      </c>
      <c r="AN130">
        <f t="shared" si="59"/>
        <v>0.15339814327999998</v>
      </c>
      <c r="AO130">
        <v>31.2</v>
      </c>
      <c r="AP130">
        <v>0.5</v>
      </c>
      <c r="AQ130" t="s">
        <v>331</v>
      </c>
      <c r="AR130">
        <v>2</v>
      </c>
      <c r="AS130">
        <v>1690222185</v>
      </c>
      <c r="AT130">
        <v>576.54300000000001</v>
      </c>
      <c r="AU130">
        <v>799.995</v>
      </c>
      <c r="AV130">
        <v>23.3429</v>
      </c>
      <c r="AW130">
        <v>10.1913</v>
      </c>
      <c r="AX130">
        <v>576.87900000000002</v>
      </c>
      <c r="AY130">
        <v>23.180099999999999</v>
      </c>
      <c r="AZ130">
        <v>300.21899999999999</v>
      </c>
      <c r="BA130">
        <v>99.084500000000006</v>
      </c>
      <c r="BB130">
        <v>0.100062</v>
      </c>
      <c r="BC130">
        <v>26.195599999999999</v>
      </c>
      <c r="BD130">
        <v>26.985199999999999</v>
      </c>
      <c r="BE130">
        <v>27.6174</v>
      </c>
      <c r="BF130">
        <v>0</v>
      </c>
      <c r="BG130">
        <v>0</v>
      </c>
      <c r="BH130">
        <v>10007.5</v>
      </c>
      <c r="BI130">
        <v>1072.07</v>
      </c>
      <c r="BJ130">
        <v>1.5137799999999999</v>
      </c>
      <c r="BK130">
        <v>-223.452</v>
      </c>
      <c r="BL130">
        <v>590.32299999999998</v>
      </c>
      <c r="BM130">
        <v>808.23199999999997</v>
      </c>
      <c r="BN130">
        <v>13.1516</v>
      </c>
      <c r="BO130">
        <v>799.995</v>
      </c>
      <c r="BP130">
        <v>10.1913</v>
      </c>
      <c r="BQ130">
        <v>2.3129200000000001</v>
      </c>
      <c r="BR130">
        <v>1.0098</v>
      </c>
      <c r="BS130">
        <v>19.7667</v>
      </c>
      <c r="BT130">
        <v>7.0586000000000002</v>
      </c>
      <c r="BU130">
        <v>1800</v>
      </c>
      <c r="BV130">
        <v>0.90997799999999995</v>
      </c>
      <c r="BW130">
        <v>3.4004199999999998E-2</v>
      </c>
      <c r="BX130">
        <v>2.20079E-2</v>
      </c>
      <c r="BY130">
        <v>3.4010199999999997E-2</v>
      </c>
      <c r="BZ130">
        <v>26</v>
      </c>
      <c r="CA130">
        <v>33528.199999999997</v>
      </c>
      <c r="CB130">
        <v>1690220522.5999999</v>
      </c>
      <c r="CC130" t="s">
        <v>332</v>
      </c>
      <c r="CD130">
        <v>1690220522.5999999</v>
      </c>
      <c r="CE130">
        <v>1690220510.5999999</v>
      </c>
      <c r="CF130">
        <v>10</v>
      </c>
      <c r="CG130">
        <v>-0.22</v>
      </c>
      <c r="CH130">
        <v>-2.7E-2</v>
      </c>
      <c r="CI130">
        <v>-0.49299999999999999</v>
      </c>
      <c r="CJ130">
        <v>0.152</v>
      </c>
      <c r="CK130">
        <v>800</v>
      </c>
      <c r="CL130">
        <v>19</v>
      </c>
      <c r="CM130">
        <v>0.1</v>
      </c>
      <c r="CN130">
        <v>0.03</v>
      </c>
      <c r="CO130">
        <v>-220.13260975609751</v>
      </c>
      <c r="CP130">
        <v>-17.62195818815357</v>
      </c>
      <c r="CQ130">
        <v>1.7390610990549691</v>
      </c>
      <c r="CR130">
        <v>-1</v>
      </c>
      <c r="CS130">
        <v>12.915070731707321</v>
      </c>
      <c r="CT130">
        <v>1.2794759581881481</v>
      </c>
      <c r="CU130">
        <v>0.12640662078195661</v>
      </c>
      <c r="CV130">
        <v>-1</v>
      </c>
      <c r="CW130">
        <v>0</v>
      </c>
      <c r="CX130">
        <v>0</v>
      </c>
      <c r="CY130" t="s">
        <v>333</v>
      </c>
      <c r="CZ130">
        <v>2.3647100000000001</v>
      </c>
      <c r="DA130">
        <v>2.7138599999999999</v>
      </c>
      <c r="DB130">
        <v>0.117169</v>
      </c>
      <c r="DC130">
        <v>0.14616899999999999</v>
      </c>
      <c r="DD130">
        <v>0.111771</v>
      </c>
      <c r="DE130">
        <v>6.0016899999999998E-2</v>
      </c>
      <c r="DF130">
        <v>32235.8</v>
      </c>
      <c r="DG130">
        <v>27518.2</v>
      </c>
      <c r="DH130">
        <v>31172.2</v>
      </c>
      <c r="DI130">
        <v>28083.1</v>
      </c>
      <c r="DJ130">
        <v>37589.5</v>
      </c>
      <c r="DK130">
        <v>37538.1</v>
      </c>
      <c r="DL130">
        <v>44362.2</v>
      </c>
      <c r="DM130">
        <v>42564.5</v>
      </c>
      <c r="DN130">
        <v>1.4802999999999999</v>
      </c>
      <c r="DO130">
        <v>2.0420500000000001</v>
      </c>
      <c r="DP130">
        <v>0.114743</v>
      </c>
      <c r="DQ130">
        <v>0.16381599999999999</v>
      </c>
      <c r="DR130">
        <v>25.105799999999999</v>
      </c>
      <c r="DS130">
        <v>24.935199999999998</v>
      </c>
      <c r="DT130">
        <v>53.1</v>
      </c>
      <c r="DU130">
        <v>29.5</v>
      </c>
      <c r="DV130">
        <v>22.182400000000001</v>
      </c>
      <c r="DW130">
        <v>61.584200000000003</v>
      </c>
      <c r="DX130">
        <v>36.4343</v>
      </c>
      <c r="DY130">
        <v>1</v>
      </c>
      <c r="DZ130">
        <v>-9.1405E-2</v>
      </c>
      <c r="EA130">
        <v>3.1505999999999999E-2</v>
      </c>
      <c r="EB130">
        <v>20.189800000000002</v>
      </c>
      <c r="EC130">
        <v>5.2411000000000003</v>
      </c>
      <c r="ED130">
        <v>12.039899999999999</v>
      </c>
      <c r="EE130">
        <v>5.0174000000000003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1.8689</v>
      </c>
      <c r="EL130">
        <v>1.86463</v>
      </c>
      <c r="EM130">
        <v>1.8691899999999999</v>
      </c>
      <c r="EN130">
        <v>1.8672200000000001</v>
      </c>
      <c r="EO130">
        <v>1.8633999999999999</v>
      </c>
      <c r="EP130">
        <v>1.8645499999999999</v>
      </c>
      <c r="EQ130">
        <v>1.8701700000000001</v>
      </c>
      <c r="ER130">
        <v>1.86947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-0.33600000000000002</v>
      </c>
      <c r="FG130">
        <v>0.1628</v>
      </c>
      <c r="FH130">
        <v>5.8509882529719233E-2</v>
      </c>
      <c r="FI130">
        <v>-6.1462078757559423E-4</v>
      </c>
      <c r="FJ130">
        <v>-1.8861989874597051E-7</v>
      </c>
      <c r="FK130">
        <v>1.1980462299894961E-10</v>
      </c>
      <c r="FL130">
        <v>0.16277811159127681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27.7</v>
      </c>
      <c r="FU130">
        <v>27.9</v>
      </c>
      <c r="FV130">
        <v>1.7785599999999999</v>
      </c>
      <c r="FW130">
        <v>2.5793499999999998</v>
      </c>
      <c r="FX130">
        <v>1.5490699999999999</v>
      </c>
      <c r="FY130">
        <v>2.3278799999999999</v>
      </c>
      <c r="FZ130">
        <v>1.50146</v>
      </c>
      <c r="GA130">
        <v>2.34131</v>
      </c>
      <c r="GB130">
        <v>33.918700000000001</v>
      </c>
      <c r="GC130">
        <v>23.982399999999998</v>
      </c>
      <c r="GD130">
        <v>19</v>
      </c>
      <c r="GE130">
        <v>284.79599999999999</v>
      </c>
      <c r="GF130">
        <v>588.28499999999997</v>
      </c>
      <c r="GG130">
        <v>24.312999999999999</v>
      </c>
      <c r="GH130">
        <v>26.235900000000001</v>
      </c>
      <c r="GI130">
        <v>30</v>
      </c>
      <c r="GJ130">
        <v>26.388000000000002</v>
      </c>
      <c r="GK130">
        <v>26.375499999999999</v>
      </c>
      <c r="GL130">
        <v>35.561300000000003</v>
      </c>
      <c r="GM130">
        <v>57.955500000000001</v>
      </c>
      <c r="GN130">
        <v>73.514200000000002</v>
      </c>
      <c r="GO130">
        <v>24.334299999999999</v>
      </c>
      <c r="GP130">
        <v>800</v>
      </c>
      <c r="GQ130">
        <v>10.070399999999999</v>
      </c>
      <c r="GR130">
        <v>99.7393</v>
      </c>
      <c r="GS130">
        <v>99.572999999999993</v>
      </c>
    </row>
    <row r="131" spans="1:201" x14ac:dyDescent="0.25">
      <c r="A131">
        <v>115</v>
      </c>
      <c r="B131">
        <v>1690222195.0999999</v>
      </c>
      <c r="C131">
        <v>1312.599999904633</v>
      </c>
      <c r="D131" t="s">
        <v>561</v>
      </c>
      <c r="E131" t="s">
        <v>562</v>
      </c>
      <c r="F131" t="s">
        <v>330</v>
      </c>
      <c r="H131">
        <v>1690222195.0999999</v>
      </c>
      <c r="I131">
        <f t="shared" si="30"/>
        <v>1.314399008515504E-3</v>
      </c>
      <c r="J131">
        <f t="shared" si="31"/>
        <v>1.314399008515504</v>
      </c>
      <c r="K131">
        <f t="shared" si="32"/>
        <v>21.040349240165316</v>
      </c>
      <c r="L131">
        <f t="shared" si="33"/>
        <v>573.58299999999997</v>
      </c>
      <c r="M131">
        <f t="shared" si="34"/>
        <v>178.70458710537031</v>
      </c>
      <c r="N131">
        <f t="shared" si="35"/>
        <v>17.725004756690506</v>
      </c>
      <c r="O131">
        <f t="shared" si="36"/>
        <v>56.891440606178392</v>
      </c>
      <c r="P131">
        <f t="shared" si="37"/>
        <v>8.8937727989614038E-2</v>
      </c>
      <c r="Q131">
        <f t="shared" si="38"/>
        <v>2.1920713426465812</v>
      </c>
      <c r="R131">
        <f t="shared" si="39"/>
        <v>8.6980634936669188E-2</v>
      </c>
      <c r="S131">
        <f t="shared" si="40"/>
        <v>5.4535146937031001E-2</v>
      </c>
      <c r="T131">
        <f t="shared" si="41"/>
        <v>276.11814416716766</v>
      </c>
      <c r="U131">
        <f t="shared" si="42"/>
        <v>27.882210121720231</v>
      </c>
      <c r="V131">
        <f t="shared" si="43"/>
        <v>27.882210121720231</v>
      </c>
      <c r="W131">
        <f t="shared" si="44"/>
        <v>3.768859406245789</v>
      </c>
      <c r="X131">
        <f t="shared" si="45"/>
        <v>67.828231349885613</v>
      </c>
      <c r="Y131">
        <f t="shared" si="46"/>
        <v>2.31599461308</v>
      </c>
      <c r="Z131">
        <f t="shared" si="47"/>
        <v>3.4144994893544509</v>
      </c>
      <c r="AA131">
        <f t="shared" si="48"/>
        <v>1.452864793165789</v>
      </c>
      <c r="AB131">
        <f t="shared" si="49"/>
        <v>-57.964996275533728</v>
      </c>
      <c r="AC131">
        <f t="shared" si="50"/>
        <v>-198.74273676725426</v>
      </c>
      <c r="AD131">
        <f t="shared" si="51"/>
        <v>-19.574674750825462</v>
      </c>
      <c r="AE131">
        <f t="shared" si="52"/>
        <v>-0.16426362644580195</v>
      </c>
      <c r="AF131">
        <v>0</v>
      </c>
      <c r="AG131">
        <v>0</v>
      </c>
      <c r="AH131">
        <f t="shared" si="53"/>
        <v>1</v>
      </c>
      <c r="AI131">
        <f t="shared" si="54"/>
        <v>0</v>
      </c>
      <c r="AJ131">
        <f t="shared" si="55"/>
        <v>52442.604960985787</v>
      </c>
      <c r="AK131">
        <f t="shared" si="56"/>
        <v>1800.01</v>
      </c>
      <c r="AL131">
        <f t="shared" si="57"/>
        <v>1499.1179559868199</v>
      </c>
      <c r="AM131">
        <f t="shared" si="58"/>
        <v>0.832838682</v>
      </c>
      <c r="AN131">
        <f t="shared" si="59"/>
        <v>0.15339811676999998</v>
      </c>
      <c r="AO131">
        <v>31.2</v>
      </c>
      <c r="AP131">
        <v>0.5</v>
      </c>
      <c r="AQ131" t="s">
        <v>331</v>
      </c>
      <c r="AR131">
        <v>2</v>
      </c>
      <c r="AS131">
        <v>1690222195.0999999</v>
      </c>
      <c r="AT131">
        <v>573.58299999999997</v>
      </c>
      <c r="AU131">
        <v>800.11500000000001</v>
      </c>
      <c r="AV131">
        <v>23.35</v>
      </c>
      <c r="AW131">
        <v>10.007</v>
      </c>
      <c r="AX131">
        <v>573.91700000000003</v>
      </c>
      <c r="AY131">
        <v>23.187200000000001</v>
      </c>
      <c r="AZ131">
        <v>300.17</v>
      </c>
      <c r="BA131">
        <v>99.086100000000002</v>
      </c>
      <c r="BB131">
        <v>9.9964800000000006E-2</v>
      </c>
      <c r="BC131">
        <v>26.200500000000002</v>
      </c>
      <c r="BD131">
        <v>27.001000000000001</v>
      </c>
      <c r="BE131">
        <v>27.632100000000001</v>
      </c>
      <c r="BF131">
        <v>0</v>
      </c>
      <c r="BG131">
        <v>0</v>
      </c>
      <c r="BH131">
        <v>9981.8799999999992</v>
      </c>
      <c r="BI131">
        <v>1072.19</v>
      </c>
      <c r="BJ131">
        <v>1.56985</v>
      </c>
      <c r="BK131">
        <v>-226.53200000000001</v>
      </c>
      <c r="BL131">
        <v>587.29600000000005</v>
      </c>
      <c r="BM131">
        <v>808.20299999999997</v>
      </c>
      <c r="BN131">
        <v>13.343</v>
      </c>
      <c r="BO131">
        <v>800.11500000000001</v>
      </c>
      <c r="BP131">
        <v>10.007</v>
      </c>
      <c r="BQ131">
        <v>2.31366</v>
      </c>
      <c r="BR131">
        <v>0.99155800000000005</v>
      </c>
      <c r="BS131">
        <v>19.771799999999999</v>
      </c>
      <c r="BT131">
        <v>6.7929199999999996</v>
      </c>
      <c r="BU131">
        <v>1800.01</v>
      </c>
      <c r="BV131">
        <v>0.90997700000000004</v>
      </c>
      <c r="BW131">
        <v>3.4004399999999997E-2</v>
      </c>
      <c r="BX131">
        <v>2.2008099999999999E-2</v>
      </c>
      <c r="BY131">
        <v>3.4010499999999999E-2</v>
      </c>
      <c r="BZ131">
        <v>26</v>
      </c>
      <c r="CA131">
        <v>33528.300000000003</v>
      </c>
      <c r="CB131">
        <v>1690220522.5999999</v>
      </c>
      <c r="CC131" t="s">
        <v>332</v>
      </c>
      <c r="CD131">
        <v>1690220522.5999999</v>
      </c>
      <c r="CE131">
        <v>1690220510.5999999</v>
      </c>
      <c r="CF131">
        <v>10</v>
      </c>
      <c r="CG131">
        <v>-0.22</v>
      </c>
      <c r="CH131">
        <v>-2.7E-2</v>
      </c>
      <c r="CI131">
        <v>-0.49299999999999999</v>
      </c>
      <c r="CJ131">
        <v>0.152</v>
      </c>
      <c r="CK131">
        <v>800</v>
      </c>
      <c r="CL131">
        <v>19</v>
      </c>
      <c r="CM131">
        <v>0.1</v>
      </c>
      <c r="CN131">
        <v>0.03</v>
      </c>
      <c r="CO131">
        <v>-223.30765853658539</v>
      </c>
      <c r="CP131">
        <v>-17.726835162867481</v>
      </c>
      <c r="CQ131">
        <v>1.704330332829507</v>
      </c>
      <c r="CR131">
        <v>-1</v>
      </c>
      <c r="CS131">
        <v>13.14477317073171</v>
      </c>
      <c r="CT131">
        <v>1.2241959214129501</v>
      </c>
      <c r="CU131">
        <v>0.11835689315895009</v>
      </c>
      <c r="CV131">
        <v>-1</v>
      </c>
      <c r="CW131">
        <v>0</v>
      </c>
      <c r="CX131">
        <v>0</v>
      </c>
      <c r="CY131" t="s">
        <v>333</v>
      </c>
      <c r="CZ131">
        <v>2.36456</v>
      </c>
      <c r="DA131">
        <v>2.71374</v>
      </c>
      <c r="DB131">
        <v>0.116744</v>
      </c>
      <c r="DC131">
        <v>0.14618300000000001</v>
      </c>
      <c r="DD131">
        <v>0.11179699999999999</v>
      </c>
      <c r="DE131">
        <v>5.9182699999999998E-2</v>
      </c>
      <c r="DF131">
        <v>32251.200000000001</v>
      </c>
      <c r="DG131">
        <v>27517.599999999999</v>
      </c>
      <c r="DH131">
        <v>31172</v>
      </c>
      <c r="DI131">
        <v>28082.9</v>
      </c>
      <c r="DJ131">
        <v>37588.199999999997</v>
      </c>
      <c r="DK131">
        <v>37571.199999999997</v>
      </c>
      <c r="DL131">
        <v>44362</v>
      </c>
      <c r="DM131">
        <v>42564.2</v>
      </c>
      <c r="DN131">
        <v>1.4799500000000001</v>
      </c>
      <c r="DO131">
        <v>2.0418500000000002</v>
      </c>
      <c r="DP131">
        <v>0.11570800000000001</v>
      </c>
      <c r="DQ131">
        <v>0.16459099999999999</v>
      </c>
      <c r="DR131">
        <v>25.105799999999999</v>
      </c>
      <c r="DS131">
        <v>24.9373</v>
      </c>
      <c r="DT131">
        <v>52.8</v>
      </c>
      <c r="DU131">
        <v>29.5</v>
      </c>
      <c r="DV131">
        <v>22.055299999999999</v>
      </c>
      <c r="DW131">
        <v>61.538699999999999</v>
      </c>
      <c r="DX131">
        <v>35.929499999999997</v>
      </c>
      <c r="DY131">
        <v>1</v>
      </c>
      <c r="DZ131">
        <v>-9.09832E-2</v>
      </c>
      <c r="EA131">
        <v>0.48358400000000001</v>
      </c>
      <c r="EB131">
        <v>20.188600000000001</v>
      </c>
      <c r="EC131">
        <v>5.2413999999999996</v>
      </c>
      <c r="ED131">
        <v>12.039899999999999</v>
      </c>
      <c r="EE131">
        <v>5.0170000000000003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1.8689100000000001</v>
      </c>
      <c r="EL131">
        <v>1.8646400000000001</v>
      </c>
      <c r="EM131">
        <v>1.8691899999999999</v>
      </c>
      <c r="EN131">
        <v>1.8672200000000001</v>
      </c>
      <c r="EO131">
        <v>1.8633999999999999</v>
      </c>
      <c r="EP131">
        <v>1.86453</v>
      </c>
      <c r="EQ131">
        <v>1.87019</v>
      </c>
      <c r="ER131">
        <v>1.86944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-0.33400000000000002</v>
      </c>
      <c r="FG131">
        <v>0.1628</v>
      </c>
      <c r="FH131">
        <v>5.8509882529719233E-2</v>
      </c>
      <c r="FI131">
        <v>-6.1462078757559423E-4</v>
      </c>
      <c r="FJ131">
        <v>-1.8861989874597051E-7</v>
      </c>
      <c r="FK131">
        <v>1.1980462299894961E-10</v>
      </c>
      <c r="FL131">
        <v>0.16277811159127681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27.9</v>
      </c>
      <c r="FU131">
        <v>28.1</v>
      </c>
      <c r="FV131">
        <v>1.7785599999999999</v>
      </c>
      <c r="FW131">
        <v>2.5830099999999998</v>
      </c>
      <c r="FX131">
        <v>1.5490699999999999</v>
      </c>
      <c r="FY131">
        <v>2.3278799999999999</v>
      </c>
      <c r="FZ131">
        <v>1.50146</v>
      </c>
      <c r="GA131">
        <v>2.3571800000000001</v>
      </c>
      <c r="GB131">
        <v>33.941299999999998</v>
      </c>
      <c r="GC131">
        <v>23.982399999999998</v>
      </c>
      <c r="GD131">
        <v>19</v>
      </c>
      <c r="GE131">
        <v>284.63499999999999</v>
      </c>
      <c r="GF131">
        <v>588.08600000000001</v>
      </c>
      <c r="GG131">
        <v>24.274100000000001</v>
      </c>
      <c r="GH131">
        <v>26.2332</v>
      </c>
      <c r="GI131">
        <v>30.000699999999998</v>
      </c>
      <c r="GJ131">
        <v>26.385200000000001</v>
      </c>
      <c r="GK131">
        <v>26.372599999999998</v>
      </c>
      <c r="GL131">
        <v>35.555799999999998</v>
      </c>
      <c r="GM131">
        <v>58.236800000000002</v>
      </c>
      <c r="GN131">
        <v>72.702699999999993</v>
      </c>
      <c r="GO131">
        <v>24.2502</v>
      </c>
      <c r="GP131">
        <v>800</v>
      </c>
      <c r="GQ131">
        <v>9.8782599999999992</v>
      </c>
      <c r="GR131">
        <v>99.738900000000001</v>
      </c>
      <c r="GS131">
        <v>99.572299999999998</v>
      </c>
    </row>
    <row r="132" spans="1:201" x14ac:dyDescent="0.25">
      <c r="A132">
        <v>116</v>
      </c>
      <c r="B132">
        <v>1690222205.0999999</v>
      </c>
      <c r="C132">
        <v>1322.599999904633</v>
      </c>
      <c r="D132" t="s">
        <v>563</v>
      </c>
      <c r="E132" t="s">
        <v>564</v>
      </c>
      <c r="F132" t="s">
        <v>330</v>
      </c>
      <c r="H132">
        <v>1690222205.0999999</v>
      </c>
      <c r="I132">
        <f t="shared" si="30"/>
        <v>1.3366438377601019E-3</v>
      </c>
      <c r="J132">
        <f t="shared" si="31"/>
        <v>1.336643837760102</v>
      </c>
      <c r="K132">
        <f t="shared" si="32"/>
        <v>21.309898087874924</v>
      </c>
      <c r="L132">
        <f t="shared" si="33"/>
        <v>570.63800000000003</v>
      </c>
      <c r="M132">
        <f t="shared" si="34"/>
        <v>178.4006802612459</v>
      </c>
      <c r="N132">
        <f t="shared" si="35"/>
        <v>17.6948577041818</v>
      </c>
      <c r="O132">
        <f t="shared" si="36"/>
        <v>56.599325719008206</v>
      </c>
      <c r="P132">
        <f t="shared" si="37"/>
        <v>9.0716071129898004E-2</v>
      </c>
      <c r="Q132">
        <f t="shared" si="38"/>
        <v>2.1936091000767117</v>
      </c>
      <c r="R132">
        <f t="shared" si="39"/>
        <v>8.8682287047158609E-2</v>
      </c>
      <c r="S132">
        <f t="shared" si="40"/>
        <v>5.5605359200672611E-2</v>
      </c>
      <c r="T132">
        <f t="shared" si="41"/>
        <v>276.11653087799999</v>
      </c>
      <c r="U132">
        <f t="shared" si="42"/>
        <v>27.865578016549343</v>
      </c>
      <c r="V132">
        <f t="shared" si="43"/>
        <v>27.865578016549343</v>
      </c>
      <c r="W132">
        <f t="shared" si="44"/>
        <v>3.7652034857981271</v>
      </c>
      <c r="X132">
        <f t="shared" si="45"/>
        <v>67.862611350689903</v>
      </c>
      <c r="Y132">
        <f t="shared" si="46"/>
        <v>2.3160734739001199</v>
      </c>
      <c r="Z132">
        <f t="shared" si="47"/>
        <v>3.4128858701464844</v>
      </c>
      <c r="AA132">
        <f t="shared" si="48"/>
        <v>1.4491300118980073</v>
      </c>
      <c r="AB132">
        <f t="shared" si="49"/>
        <v>-58.945993245220492</v>
      </c>
      <c r="AC132">
        <f t="shared" si="50"/>
        <v>-197.86130779473334</v>
      </c>
      <c r="AD132">
        <f t="shared" si="51"/>
        <v>-19.471799682198892</v>
      </c>
      <c r="AE132">
        <f t="shared" si="52"/>
        <v>-0.16256984415272768</v>
      </c>
      <c r="AF132">
        <v>0</v>
      </c>
      <c r="AG132">
        <v>0</v>
      </c>
      <c r="AH132">
        <f t="shared" si="53"/>
        <v>1</v>
      </c>
      <c r="AI132">
        <f t="shared" si="54"/>
        <v>0</v>
      </c>
      <c r="AJ132">
        <f t="shared" si="55"/>
        <v>52507.014126094291</v>
      </c>
      <c r="AK132">
        <f t="shared" si="56"/>
        <v>1800</v>
      </c>
      <c r="AL132">
        <f t="shared" si="57"/>
        <v>1499.1096257999998</v>
      </c>
      <c r="AM132">
        <f t="shared" si="58"/>
        <v>0.83283868099999991</v>
      </c>
      <c r="AN132">
        <f t="shared" si="59"/>
        <v>0.15339807271</v>
      </c>
      <c r="AO132">
        <v>31.2</v>
      </c>
      <c r="AP132">
        <v>0.5</v>
      </c>
      <c r="AQ132" t="s">
        <v>331</v>
      </c>
      <c r="AR132">
        <v>2</v>
      </c>
      <c r="AS132">
        <v>1690222205.0999999</v>
      </c>
      <c r="AT132">
        <v>570.63800000000003</v>
      </c>
      <c r="AU132">
        <v>800.13300000000004</v>
      </c>
      <c r="AV132">
        <v>23.3508</v>
      </c>
      <c r="AW132">
        <v>9.7778799999999997</v>
      </c>
      <c r="AX132">
        <v>570.97</v>
      </c>
      <c r="AY132">
        <v>23.187999999999999</v>
      </c>
      <c r="AZ132">
        <v>300.07900000000001</v>
      </c>
      <c r="BA132">
        <v>99.086100000000002</v>
      </c>
      <c r="BB132">
        <v>9.9943900000000002E-2</v>
      </c>
      <c r="BC132">
        <v>26.192499999999999</v>
      </c>
      <c r="BD132">
        <v>26.982500000000002</v>
      </c>
      <c r="BE132">
        <v>27.6234</v>
      </c>
      <c r="BF132">
        <v>0</v>
      </c>
      <c r="BG132">
        <v>0</v>
      </c>
      <c r="BH132">
        <v>9994.3799999999992</v>
      </c>
      <c r="BI132">
        <v>1072.24</v>
      </c>
      <c r="BJ132">
        <v>1.56985</v>
      </c>
      <c r="BK132">
        <v>-229.495</v>
      </c>
      <c r="BL132">
        <v>584.28099999999995</v>
      </c>
      <c r="BM132">
        <v>808.03399999999999</v>
      </c>
      <c r="BN132">
        <v>13.572900000000001</v>
      </c>
      <c r="BO132">
        <v>800.13300000000004</v>
      </c>
      <c r="BP132">
        <v>9.7778799999999997</v>
      </c>
      <c r="BQ132">
        <v>2.3137400000000001</v>
      </c>
      <c r="BR132">
        <v>0.96885200000000005</v>
      </c>
      <c r="BS132">
        <v>19.772400000000001</v>
      </c>
      <c r="BT132">
        <v>6.4561999999999999</v>
      </c>
      <c r="BU132">
        <v>1800</v>
      </c>
      <c r="BV132">
        <v>0.90997799999999995</v>
      </c>
      <c r="BW132">
        <v>3.4004E-2</v>
      </c>
      <c r="BX132">
        <v>2.2007800000000001E-2</v>
      </c>
      <c r="BY132">
        <v>3.4010100000000001E-2</v>
      </c>
      <c r="BZ132">
        <v>26</v>
      </c>
      <c r="CA132">
        <v>33528.199999999997</v>
      </c>
      <c r="CB132">
        <v>1690220522.5999999</v>
      </c>
      <c r="CC132" t="s">
        <v>332</v>
      </c>
      <c r="CD132">
        <v>1690220522.5999999</v>
      </c>
      <c r="CE132">
        <v>1690220510.5999999</v>
      </c>
      <c r="CF132">
        <v>10</v>
      </c>
      <c r="CG132">
        <v>-0.22</v>
      </c>
      <c r="CH132">
        <v>-2.7E-2</v>
      </c>
      <c r="CI132">
        <v>-0.49299999999999999</v>
      </c>
      <c r="CJ132">
        <v>0.152</v>
      </c>
      <c r="CK132">
        <v>800</v>
      </c>
      <c r="CL132">
        <v>19</v>
      </c>
      <c r="CM132">
        <v>0.1</v>
      </c>
      <c r="CN132">
        <v>0.03</v>
      </c>
      <c r="CO132">
        <v>-226.22673170731699</v>
      </c>
      <c r="CP132">
        <v>-18.065116586804031</v>
      </c>
      <c r="CQ132">
        <v>1.7493559515124999</v>
      </c>
      <c r="CR132">
        <v>-1</v>
      </c>
      <c r="CS132">
        <v>13.33705609756097</v>
      </c>
      <c r="CT132">
        <v>1.1173923090439599</v>
      </c>
      <c r="CU132">
        <v>0.1091983517448656</v>
      </c>
      <c r="CV132">
        <v>-1</v>
      </c>
      <c r="CW132">
        <v>0</v>
      </c>
      <c r="CX132">
        <v>0</v>
      </c>
      <c r="CY132" t="s">
        <v>333</v>
      </c>
      <c r="CZ132">
        <v>2.3642599999999998</v>
      </c>
      <c r="DA132">
        <v>2.71373</v>
      </c>
      <c r="DB132">
        <v>0.116318</v>
      </c>
      <c r="DC132">
        <v>0.14618100000000001</v>
      </c>
      <c r="DD132">
        <v>0.111801</v>
      </c>
      <c r="DE132">
        <v>5.8136599999999997E-2</v>
      </c>
      <c r="DF132">
        <v>32266.7</v>
      </c>
      <c r="DG132">
        <v>27517.8</v>
      </c>
      <c r="DH132">
        <v>31171.9</v>
      </c>
      <c r="DI132">
        <v>28083.1</v>
      </c>
      <c r="DJ132">
        <v>37587.800000000003</v>
      </c>
      <c r="DK132">
        <v>37613.1</v>
      </c>
      <c r="DL132">
        <v>44361.9</v>
      </c>
      <c r="DM132">
        <v>42564.2</v>
      </c>
      <c r="DN132">
        <v>1.4801200000000001</v>
      </c>
      <c r="DO132">
        <v>2.0415000000000001</v>
      </c>
      <c r="DP132">
        <v>0.114702</v>
      </c>
      <c r="DQ132">
        <v>0.16405400000000001</v>
      </c>
      <c r="DR132">
        <v>25.1038</v>
      </c>
      <c r="DS132">
        <v>24.9373</v>
      </c>
      <c r="DT132">
        <v>52.5</v>
      </c>
      <c r="DU132">
        <v>29.5</v>
      </c>
      <c r="DV132">
        <v>21.9313</v>
      </c>
      <c r="DW132">
        <v>61.828699999999998</v>
      </c>
      <c r="DX132">
        <v>36.935099999999998</v>
      </c>
      <c r="DY132">
        <v>1</v>
      </c>
      <c r="DZ132">
        <v>-9.1156000000000001E-2</v>
      </c>
      <c r="EA132">
        <v>0.212446</v>
      </c>
      <c r="EB132">
        <v>20.189599999999999</v>
      </c>
      <c r="EC132">
        <v>5.2413999999999996</v>
      </c>
      <c r="ED132">
        <v>12.039899999999999</v>
      </c>
      <c r="EE132">
        <v>5.0175000000000001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1.8689199999999999</v>
      </c>
      <c r="EL132">
        <v>1.8646400000000001</v>
      </c>
      <c r="EM132">
        <v>1.8691899999999999</v>
      </c>
      <c r="EN132">
        <v>1.8672299999999999</v>
      </c>
      <c r="EO132">
        <v>1.86341</v>
      </c>
      <c r="EP132">
        <v>1.8645400000000001</v>
      </c>
      <c r="EQ132">
        <v>1.8702000000000001</v>
      </c>
      <c r="ER132">
        <v>1.8694299999999999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-0.33200000000000002</v>
      </c>
      <c r="FG132">
        <v>0.1628</v>
      </c>
      <c r="FH132">
        <v>5.8509882529719233E-2</v>
      </c>
      <c r="FI132">
        <v>-6.1462078757559423E-4</v>
      </c>
      <c r="FJ132">
        <v>-1.8861989874597051E-7</v>
      </c>
      <c r="FK132">
        <v>1.1980462299894961E-10</v>
      </c>
      <c r="FL132">
        <v>0.16277811159127681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28</v>
      </c>
      <c r="FU132">
        <v>28.2</v>
      </c>
      <c r="FV132">
        <v>1.7785599999999999</v>
      </c>
      <c r="FW132">
        <v>2.5842299999999998</v>
      </c>
      <c r="FX132">
        <v>1.5490699999999999</v>
      </c>
      <c r="FY132">
        <v>2.3278799999999999</v>
      </c>
      <c r="FZ132">
        <v>1.50146</v>
      </c>
      <c r="GA132">
        <v>2.2961399999999998</v>
      </c>
      <c r="GB132">
        <v>33.941299999999998</v>
      </c>
      <c r="GC132">
        <v>23.982399999999998</v>
      </c>
      <c r="GD132">
        <v>19</v>
      </c>
      <c r="GE132">
        <v>284.69400000000002</v>
      </c>
      <c r="GF132">
        <v>587.76400000000001</v>
      </c>
      <c r="GG132">
        <v>24.2377</v>
      </c>
      <c r="GH132">
        <v>26.231000000000002</v>
      </c>
      <c r="GI132">
        <v>30.0002</v>
      </c>
      <c r="GJ132">
        <v>26.381900000000002</v>
      </c>
      <c r="GK132">
        <v>26.369900000000001</v>
      </c>
      <c r="GL132">
        <v>35.548200000000001</v>
      </c>
      <c r="GM132">
        <v>58.5246</v>
      </c>
      <c r="GN132">
        <v>71.933000000000007</v>
      </c>
      <c r="GO132">
        <v>24.2409</v>
      </c>
      <c r="GP132">
        <v>800</v>
      </c>
      <c r="GQ132">
        <v>9.6996400000000005</v>
      </c>
      <c r="GR132">
        <v>99.738500000000002</v>
      </c>
      <c r="GS132">
        <v>99.572599999999994</v>
      </c>
    </row>
    <row r="133" spans="1:201" x14ac:dyDescent="0.25">
      <c r="A133">
        <v>117</v>
      </c>
      <c r="B133">
        <v>1690222215.0999999</v>
      </c>
      <c r="C133">
        <v>1332.599999904633</v>
      </c>
      <c r="D133" t="s">
        <v>565</v>
      </c>
      <c r="E133" t="s">
        <v>566</v>
      </c>
      <c r="F133" t="s">
        <v>330</v>
      </c>
      <c r="H133">
        <v>1690222215.0999999</v>
      </c>
      <c r="I133">
        <f t="shared" si="30"/>
        <v>1.3517135754822205E-3</v>
      </c>
      <c r="J133">
        <f t="shared" si="31"/>
        <v>1.3517135754822205</v>
      </c>
      <c r="K133">
        <f t="shared" si="32"/>
        <v>21.595342626957624</v>
      </c>
      <c r="L133">
        <f t="shared" si="33"/>
        <v>567.63900000000001</v>
      </c>
      <c r="M133">
        <f t="shared" si="34"/>
        <v>175.12276585596157</v>
      </c>
      <c r="N133">
        <f t="shared" si="35"/>
        <v>17.369462569058495</v>
      </c>
      <c r="O133">
        <f t="shared" si="36"/>
        <v>56.300985854388003</v>
      </c>
      <c r="P133">
        <f t="shared" si="37"/>
        <v>9.1868173436655959E-2</v>
      </c>
      <c r="Q133">
        <f t="shared" si="38"/>
        <v>2.1912795269888177</v>
      </c>
      <c r="R133">
        <f t="shared" si="39"/>
        <v>8.9780880017974449E-2</v>
      </c>
      <c r="S133">
        <f t="shared" si="40"/>
        <v>5.6296635109306256E-2</v>
      </c>
      <c r="T133">
        <f t="shared" si="41"/>
        <v>276.11654961600004</v>
      </c>
      <c r="U133">
        <f t="shared" si="42"/>
        <v>27.860376225865508</v>
      </c>
      <c r="V133">
        <f t="shared" si="43"/>
        <v>27.860376225865508</v>
      </c>
      <c r="W133">
        <f t="shared" si="44"/>
        <v>3.76406071013202</v>
      </c>
      <c r="X133">
        <f t="shared" si="45"/>
        <v>67.883189595057786</v>
      </c>
      <c r="Y133">
        <f t="shared" si="46"/>
        <v>2.3165430767028004</v>
      </c>
      <c r="Z133">
        <f t="shared" si="47"/>
        <v>3.4125430618708812</v>
      </c>
      <c r="AA133">
        <f t="shared" si="48"/>
        <v>1.4475176334292197</v>
      </c>
      <c r="AB133">
        <f t="shared" si="49"/>
        <v>-59.610568678765922</v>
      </c>
      <c r="AC133">
        <f t="shared" si="50"/>
        <v>-197.23749421244401</v>
      </c>
      <c r="AD133">
        <f t="shared" si="51"/>
        <v>-19.430373658017373</v>
      </c>
      <c r="AE133">
        <f t="shared" si="52"/>
        <v>-0.16188693322729364</v>
      </c>
      <c r="AF133">
        <v>0</v>
      </c>
      <c r="AG133">
        <v>0</v>
      </c>
      <c r="AH133">
        <f t="shared" si="53"/>
        <v>1</v>
      </c>
      <c r="AI133">
        <f t="shared" si="54"/>
        <v>0</v>
      </c>
      <c r="AJ133">
        <f t="shared" si="55"/>
        <v>52411.843268107412</v>
      </c>
      <c r="AK133">
        <f t="shared" si="56"/>
        <v>1800</v>
      </c>
      <c r="AL133">
        <f t="shared" si="57"/>
        <v>1499.1100415999999</v>
      </c>
      <c r="AM133">
        <f t="shared" si="58"/>
        <v>0.83283891199999993</v>
      </c>
      <c r="AN133">
        <f t="shared" si="59"/>
        <v>0.15339808312000003</v>
      </c>
      <c r="AO133">
        <v>31.2</v>
      </c>
      <c r="AP133">
        <v>0.5</v>
      </c>
      <c r="AQ133" t="s">
        <v>331</v>
      </c>
      <c r="AR133">
        <v>2</v>
      </c>
      <c r="AS133">
        <v>1690222215.0999999</v>
      </c>
      <c r="AT133">
        <v>567.63900000000001</v>
      </c>
      <c r="AU133">
        <v>800.04300000000001</v>
      </c>
      <c r="AV133">
        <v>23.355899999999998</v>
      </c>
      <c r="AW133">
        <v>9.6362900000000007</v>
      </c>
      <c r="AX133">
        <v>567.96900000000005</v>
      </c>
      <c r="AY133">
        <v>23.193100000000001</v>
      </c>
      <c r="AZ133">
        <v>300.21600000000001</v>
      </c>
      <c r="BA133">
        <v>99.084400000000002</v>
      </c>
      <c r="BB133">
        <v>0.100092</v>
      </c>
      <c r="BC133">
        <v>26.190799999999999</v>
      </c>
      <c r="BD133">
        <v>26.993099999999998</v>
      </c>
      <c r="BE133">
        <v>27.618400000000001</v>
      </c>
      <c r="BF133">
        <v>0</v>
      </c>
      <c r="BG133">
        <v>0</v>
      </c>
      <c r="BH133">
        <v>9975.6200000000008</v>
      </c>
      <c r="BI133">
        <v>1072.3499999999999</v>
      </c>
      <c r="BJ133">
        <v>1.59788</v>
      </c>
      <c r="BK133">
        <v>-232.40299999999999</v>
      </c>
      <c r="BL133">
        <v>581.21400000000006</v>
      </c>
      <c r="BM133">
        <v>807.827</v>
      </c>
      <c r="BN133">
        <v>13.7196</v>
      </c>
      <c r="BO133">
        <v>800.04300000000001</v>
      </c>
      <c r="BP133">
        <v>9.6362900000000007</v>
      </c>
      <c r="BQ133">
        <v>2.3142100000000001</v>
      </c>
      <c r="BR133">
        <v>0.95480699999999996</v>
      </c>
      <c r="BS133">
        <v>19.775600000000001</v>
      </c>
      <c r="BT133">
        <v>6.2443999999999997</v>
      </c>
      <c r="BU133">
        <v>1800</v>
      </c>
      <c r="BV133">
        <v>0.90997899999999998</v>
      </c>
      <c r="BW133">
        <v>3.4003699999999998E-2</v>
      </c>
      <c r="BX133">
        <v>2.2007599999999999E-2</v>
      </c>
      <c r="BY133">
        <v>3.40098E-2</v>
      </c>
      <c r="BZ133">
        <v>26</v>
      </c>
      <c r="CA133">
        <v>33528.199999999997</v>
      </c>
      <c r="CB133">
        <v>1690220522.5999999</v>
      </c>
      <c r="CC133" t="s">
        <v>332</v>
      </c>
      <c r="CD133">
        <v>1690220522.5999999</v>
      </c>
      <c r="CE133">
        <v>1690220510.5999999</v>
      </c>
      <c r="CF133">
        <v>10</v>
      </c>
      <c r="CG133">
        <v>-0.22</v>
      </c>
      <c r="CH133">
        <v>-2.7E-2</v>
      </c>
      <c r="CI133">
        <v>-0.49299999999999999</v>
      </c>
      <c r="CJ133">
        <v>0.152</v>
      </c>
      <c r="CK133">
        <v>800</v>
      </c>
      <c r="CL133">
        <v>19</v>
      </c>
      <c r="CM133">
        <v>0.1</v>
      </c>
      <c r="CN133">
        <v>0.03</v>
      </c>
      <c r="CO133">
        <v>-228.9888292682927</v>
      </c>
      <c r="CP133">
        <v>-17.385888501742141</v>
      </c>
      <c r="CQ133">
        <v>1.716036057703475</v>
      </c>
      <c r="CR133">
        <v>-1</v>
      </c>
      <c r="CS133">
        <v>13.5087243902439</v>
      </c>
      <c r="CT133">
        <v>1.0987108013937541</v>
      </c>
      <c r="CU133">
        <v>0.1100184236910232</v>
      </c>
      <c r="CV133">
        <v>-1</v>
      </c>
      <c r="CW133">
        <v>0</v>
      </c>
      <c r="CX133">
        <v>0</v>
      </c>
      <c r="CY133" t="s">
        <v>333</v>
      </c>
      <c r="CZ133">
        <v>2.3647200000000002</v>
      </c>
      <c r="DA133">
        <v>2.7138599999999999</v>
      </c>
      <c r="DB133">
        <v>0.115882</v>
      </c>
      <c r="DC133">
        <v>0.14616599999999999</v>
      </c>
      <c r="DD133">
        <v>0.111817</v>
      </c>
      <c r="DE133">
        <v>5.7485000000000001E-2</v>
      </c>
      <c r="DF133">
        <v>32282.2</v>
      </c>
      <c r="DG133">
        <v>27518.2</v>
      </c>
      <c r="DH133">
        <v>31171.5</v>
      </c>
      <c r="DI133">
        <v>28083</v>
      </c>
      <c r="DJ133">
        <v>37586.400000000001</v>
      </c>
      <c r="DK133">
        <v>37639.1</v>
      </c>
      <c r="DL133">
        <v>44361.1</v>
      </c>
      <c r="DM133">
        <v>42564.2</v>
      </c>
      <c r="DN133">
        <v>1.4804299999999999</v>
      </c>
      <c r="DO133">
        <v>2.04135</v>
      </c>
      <c r="DP133">
        <v>0.11534999999999999</v>
      </c>
      <c r="DQ133">
        <v>0.16384599999999999</v>
      </c>
      <c r="DR133">
        <v>25.1038</v>
      </c>
      <c r="DS133">
        <v>24.935700000000001</v>
      </c>
      <c r="DT133">
        <v>52.3</v>
      </c>
      <c r="DU133">
        <v>29.5</v>
      </c>
      <c r="DV133">
        <v>21.852499999999999</v>
      </c>
      <c r="DW133">
        <v>61.518700000000003</v>
      </c>
      <c r="DX133">
        <v>36.490400000000001</v>
      </c>
      <c r="DY133">
        <v>1</v>
      </c>
      <c r="DZ133">
        <v>-9.1511700000000001E-2</v>
      </c>
      <c r="EA133">
        <v>0.122154</v>
      </c>
      <c r="EB133">
        <v>20.190000000000001</v>
      </c>
      <c r="EC133">
        <v>5.24125</v>
      </c>
      <c r="ED133">
        <v>12.039899999999999</v>
      </c>
      <c r="EE133">
        <v>5.0175000000000001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1.86893</v>
      </c>
      <c r="EL133">
        <v>1.8646400000000001</v>
      </c>
      <c r="EM133">
        <v>1.8691899999999999</v>
      </c>
      <c r="EN133">
        <v>1.8672299999999999</v>
      </c>
      <c r="EO133">
        <v>1.8633999999999999</v>
      </c>
      <c r="EP133">
        <v>1.8645499999999999</v>
      </c>
      <c r="EQ133">
        <v>1.8702099999999999</v>
      </c>
      <c r="ER133">
        <v>1.8694599999999999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-0.33</v>
      </c>
      <c r="FG133">
        <v>0.1628</v>
      </c>
      <c r="FH133">
        <v>5.8509882529719233E-2</v>
      </c>
      <c r="FI133">
        <v>-6.1462078757559423E-4</v>
      </c>
      <c r="FJ133">
        <v>-1.8861989874597051E-7</v>
      </c>
      <c r="FK133">
        <v>1.1980462299894961E-10</v>
      </c>
      <c r="FL133">
        <v>0.16277811159127681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28.2</v>
      </c>
      <c r="FU133">
        <v>28.4</v>
      </c>
      <c r="FV133">
        <v>1.7785599999999999</v>
      </c>
      <c r="FW133">
        <v>2.5817899999999998</v>
      </c>
      <c r="FX133">
        <v>1.5490699999999999</v>
      </c>
      <c r="FY133">
        <v>2.3278799999999999</v>
      </c>
      <c r="FZ133">
        <v>1.50146</v>
      </c>
      <c r="GA133">
        <v>2.2912599999999999</v>
      </c>
      <c r="GB133">
        <v>33.941299999999998</v>
      </c>
      <c r="GC133">
        <v>23.982399999999998</v>
      </c>
      <c r="GD133">
        <v>19</v>
      </c>
      <c r="GE133">
        <v>284.81</v>
      </c>
      <c r="GF133">
        <v>587.61400000000003</v>
      </c>
      <c r="GG133">
        <v>24.2453</v>
      </c>
      <c r="GH133">
        <v>26.2288</v>
      </c>
      <c r="GI133">
        <v>29.9999</v>
      </c>
      <c r="GJ133">
        <v>26.379200000000001</v>
      </c>
      <c r="GK133">
        <v>26.367699999999999</v>
      </c>
      <c r="GL133">
        <v>35.547400000000003</v>
      </c>
      <c r="GM133">
        <v>58.7986</v>
      </c>
      <c r="GN133">
        <v>71.156499999999994</v>
      </c>
      <c r="GO133">
        <v>24.279199999999999</v>
      </c>
      <c r="GP133">
        <v>800</v>
      </c>
      <c r="GQ133">
        <v>9.5149299999999997</v>
      </c>
      <c r="GR133">
        <v>99.736999999999995</v>
      </c>
      <c r="GS133">
        <v>99.572299999999998</v>
      </c>
    </row>
    <row r="134" spans="1:201" x14ac:dyDescent="0.25">
      <c r="A134">
        <v>118</v>
      </c>
      <c r="B134">
        <v>1690222225.0999999</v>
      </c>
      <c r="C134">
        <v>1342.599999904633</v>
      </c>
      <c r="D134" t="s">
        <v>567</v>
      </c>
      <c r="E134" t="s">
        <v>568</v>
      </c>
      <c r="F134" t="s">
        <v>330</v>
      </c>
      <c r="H134">
        <v>1690222225.0999999</v>
      </c>
      <c r="I134">
        <f t="shared" si="30"/>
        <v>1.3741972429463717E-3</v>
      </c>
      <c r="J134">
        <f t="shared" si="31"/>
        <v>1.3741972429463718</v>
      </c>
      <c r="K134">
        <f t="shared" si="32"/>
        <v>21.861248515061817</v>
      </c>
      <c r="L134">
        <f t="shared" si="33"/>
        <v>564.75199999999995</v>
      </c>
      <c r="M134">
        <f t="shared" si="34"/>
        <v>174.89380696193524</v>
      </c>
      <c r="N134">
        <f t="shared" si="35"/>
        <v>17.347115165305308</v>
      </c>
      <c r="O134">
        <f t="shared" si="36"/>
        <v>56.015808415495997</v>
      </c>
      <c r="P134">
        <f t="shared" si="37"/>
        <v>9.3664987250855036E-2</v>
      </c>
      <c r="Q134">
        <f t="shared" si="38"/>
        <v>2.1962956029144785</v>
      </c>
      <c r="R134">
        <f t="shared" si="39"/>
        <v>9.1501114308566736E-2</v>
      </c>
      <c r="S134">
        <f t="shared" si="40"/>
        <v>5.7378448186722317E-2</v>
      </c>
      <c r="T134">
        <f t="shared" si="41"/>
        <v>276.11644195800005</v>
      </c>
      <c r="U134">
        <f t="shared" si="42"/>
        <v>27.852565837266312</v>
      </c>
      <c r="V134">
        <f t="shared" si="43"/>
        <v>27.852565837266312</v>
      </c>
      <c r="W134">
        <f t="shared" si="44"/>
        <v>3.7623454227845747</v>
      </c>
      <c r="X134">
        <f t="shared" si="45"/>
        <v>67.923967653337286</v>
      </c>
      <c r="Y134">
        <f t="shared" si="46"/>
        <v>2.318386665127</v>
      </c>
      <c r="Z134">
        <f t="shared" si="47"/>
        <v>3.4132085407014516</v>
      </c>
      <c r="AA134">
        <f t="shared" si="48"/>
        <v>1.4439587576575748</v>
      </c>
      <c r="AB134">
        <f t="shared" si="49"/>
        <v>-60.602098413934996</v>
      </c>
      <c r="AC134">
        <f t="shared" si="50"/>
        <v>-196.37344785459612</v>
      </c>
      <c r="AD134">
        <f t="shared" si="51"/>
        <v>-19.300634767271045</v>
      </c>
      <c r="AE134">
        <f t="shared" si="52"/>
        <v>-0.15973907780210084</v>
      </c>
      <c r="AF134">
        <v>0</v>
      </c>
      <c r="AG134">
        <v>0</v>
      </c>
      <c r="AH134">
        <f t="shared" si="53"/>
        <v>1</v>
      </c>
      <c r="AI134">
        <f t="shared" si="54"/>
        <v>0</v>
      </c>
      <c r="AJ134">
        <f t="shared" si="55"/>
        <v>52616.928057338708</v>
      </c>
      <c r="AK134">
        <f t="shared" si="56"/>
        <v>1800</v>
      </c>
      <c r="AL134">
        <f t="shared" si="57"/>
        <v>1499.1099047999996</v>
      </c>
      <c r="AM134">
        <f t="shared" si="58"/>
        <v>0.83283883599999986</v>
      </c>
      <c r="AN134">
        <f t="shared" si="59"/>
        <v>0.15339802331000002</v>
      </c>
      <c r="AO134">
        <v>31.2</v>
      </c>
      <c r="AP134">
        <v>0.5</v>
      </c>
      <c r="AQ134" t="s">
        <v>331</v>
      </c>
      <c r="AR134">
        <v>2</v>
      </c>
      <c r="AS134">
        <v>1690222225.0999999</v>
      </c>
      <c r="AT134">
        <v>564.75199999999995</v>
      </c>
      <c r="AU134">
        <v>800.06100000000004</v>
      </c>
      <c r="AV134">
        <v>23.373999999999999</v>
      </c>
      <c r="AW134">
        <v>9.42347</v>
      </c>
      <c r="AX134">
        <v>565.07899999999995</v>
      </c>
      <c r="AY134">
        <v>23.211300000000001</v>
      </c>
      <c r="AZ134">
        <v>300.15199999999999</v>
      </c>
      <c r="BA134">
        <v>99.086600000000004</v>
      </c>
      <c r="BB134">
        <v>9.9960499999999994E-2</v>
      </c>
      <c r="BC134">
        <v>26.194099999999999</v>
      </c>
      <c r="BD134">
        <v>26.985399999999998</v>
      </c>
      <c r="BE134">
        <v>27.603300000000001</v>
      </c>
      <c r="BF134">
        <v>0</v>
      </c>
      <c r="BG134">
        <v>0</v>
      </c>
      <c r="BH134">
        <v>10016.200000000001</v>
      </c>
      <c r="BI134">
        <v>1072.51</v>
      </c>
      <c r="BJ134">
        <v>1.68198</v>
      </c>
      <c r="BK134">
        <v>-235.309</v>
      </c>
      <c r="BL134">
        <v>578.26800000000003</v>
      </c>
      <c r="BM134">
        <v>807.67200000000003</v>
      </c>
      <c r="BN134">
        <v>13.9506</v>
      </c>
      <c r="BO134">
        <v>800.06100000000004</v>
      </c>
      <c r="BP134">
        <v>9.42347</v>
      </c>
      <c r="BQ134">
        <v>2.3160599999999998</v>
      </c>
      <c r="BR134">
        <v>0.93374000000000001</v>
      </c>
      <c r="BS134">
        <v>19.788499999999999</v>
      </c>
      <c r="BT134">
        <v>5.9215200000000001</v>
      </c>
      <c r="BU134">
        <v>1800</v>
      </c>
      <c r="BV134">
        <v>0.90998000000000001</v>
      </c>
      <c r="BW134">
        <v>3.40033E-2</v>
      </c>
      <c r="BX134">
        <v>2.20073E-2</v>
      </c>
      <c r="BY134">
        <v>3.4009299999999999E-2</v>
      </c>
      <c r="BZ134">
        <v>26</v>
      </c>
      <c r="CA134">
        <v>33528.199999999997</v>
      </c>
      <c r="CB134">
        <v>1690220522.5999999</v>
      </c>
      <c r="CC134" t="s">
        <v>332</v>
      </c>
      <c r="CD134">
        <v>1690220522.5999999</v>
      </c>
      <c r="CE134">
        <v>1690220510.5999999</v>
      </c>
      <c r="CF134">
        <v>10</v>
      </c>
      <c r="CG134">
        <v>-0.22</v>
      </c>
      <c r="CH134">
        <v>-2.7E-2</v>
      </c>
      <c r="CI134">
        <v>-0.49299999999999999</v>
      </c>
      <c r="CJ134">
        <v>0.152</v>
      </c>
      <c r="CK134">
        <v>800</v>
      </c>
      <c r="CL134">
        <v>19</v>
      </c>
      <c r="CM134">
        <v>0.1</v>
      </c>
      <c r="CN134">
        <v>0.03</v>
      </c>
      <c r="CO134">
        <v>-232.15280000000001</v>
      </c>
      <c r="CP134">
        <v>-18.00747467166947</v>
      </c>
      <c r="CQ134">
        <v>1.7341691843646621</v>
      </c>
      <c r="CR134">
        <v>-1</v>
      </c>
      <c r="CS134">
        <v>13.717722500000001</v>
      </c>
      <c r="CT134">
        <v>1.207311444652899</v>
      </c>
      <c r="CU134">
        <v>0.11846658281452201</v>
      </c>
      <c r="CV134">
        <v>-1</v>
      </c>
      <c r="CW134">
        <v>0</v>
      </c>
      <c r="CX134">
        <v>0</v>
      </c>
      <c r="CY134" t="s">
        <v>333</v>
      </c>
      <c r="CZ134">
        <v>2.3645</v>
      </c>
      <c r="DA134">
        <v>2.7137699999999998</v>
      </c>
      <c r="DB134">
        <v>0.115465</v>
      </c>
      <c r="DC134">
        <v>0.14616799999999999</v>
      </c>
      <c r="DD134">
        <v>0.111882</v>
      </c>
      <c r="DE134">
        <v>5.6501999999999997E-2</v>
      </c>
      <c r="DF134">
        <v>32298</v>
      </c>
      <c r="DG134">
        <v>27518.7</v>
      </c>
      <c r="DH134">
        <v>31172.1</v>
      </c>
      <c r="DI134">
        <v>28083.5</v>
      </c>
      <c r="DJ134">
        <v>37584.5</v>
      </c>
      <c r="DK134">
        <v>37679.199999999997</v>
      </c>
      <c r="DL134">
        <v>44362.2</v>
      </c>
      <c r="DM134">
        <v>42565</v>
      </c>
      <c r="DN134">
        <v>1.4802999999999999</v>
      </c>
      <c r="DO134">
        <v>2.0410699999999999</v>
      </c>
      <c r="DP134">
        <v>0.115007</v>
      </c>
      <c r="DQ134">
        <v>0.16295200000000001</v>
      </c>
      <c r="DR134">
        <v>25.101600000000001</v>
      </c>
      <c r="DS134">
        <v>24.935199999999998</v>
      </c>
      <c r="DT134">
        <v>51.9</v>
      </c>
      <c r="DU134">
        <v>29.5</v>
      </c>
      <c r="DV134">
        <v>21.6798</v>
      </c>
      <c r="DW134">
        <v>61.718699999999998</v>
      </c>
      <c r="DX134">
        <v>35.869399999999999</v>
      </c>
      <c r="DY134">
        <v>1</v>
      </c>
      <c r="DZ134">
        <v>-9.2164599999999999E-2</v>
      </c>
      <c r="EA134">
        <v>6.7736900000000003E-2</v>
      </c>
      <c r="EB134">
        <v>20.189800000000002</v>
      </c>
      <c r="EC134">
        <v>5.2415500000000002</v>
      </c>
      <c r="ED134">
        <v>12.039899999999999</v>
      </c>
      <c r="EE134">
        <v>5.0171000000000001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1.86894</v>
      </c>
      <c r="EL134">
        <v>1.8646499999999999</v>
      </c>
      <c r="EM134">
        <v>1.8692</v>
      </c>
      <c r="EN134">
        <v>1.86724</v>
      </c>
      <c r="EO134">
        <v>1.8633999999999999</v>
      </c>
      <c r="EP134">
        <v>1.8645700000000001</v>
      </c>
      <c r="EQ134">
        <v>1.8702000000000001</v>
      </c>
      <c r="ER134">
        <v>1.8694500000000001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-0.32700000000000001</v>
      </c>
      <c r="FG134">
        <v>0.16270000000000001</v>
      </c>
      <c r="FH134">
        <v>5.8509882529719233E-2</v>
      </c>
      <c r="FI134">
        <v>-6.1462078757559423E-4</v>
      </c>
      <c r="FJ134">
        <v>-1.8861989874597051E-7</v>
      </c>
      <c r="FK134">
        <v>1.1980462299894961E-10</v>
      </c>
      <c r="FL134">
        <v>0.16277811159127681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28.4</v>
      </c>
      <c r="FU134">
        <v>28.6</v>
      </c>
      <c r="FV134">
        <v>1.7773399999999999</v>
      </c>
      <c r="FW134">
        <v>2.5817899999999998</v>
      </c>
      <c r="FX134">
        <v>1.5490699999999999</v>
      </c>
      <c r="FY134">
        <v>2.3278799999999999</v>
      </c>
      <c r="FZ134">
        <v>1.50146</v>
      </c>
      <c r="GA134">
        <v>2.3742700000000001</v>
      </c>
      <c r="GB134">
        <v>33.918700000000001</v>
      </c>
      <c r="GC134">
        <v>23.982399999999998</v>
      </c>
      <c r="GD134">
        <v>19</v>
      </c>
      <c r="GE134">
        <v>284.74700000000001</v>
      </c>
      <c r="GF134">
        <v>587.35500000000002</v>
      </c>
      <c r="GG134">
        <v>24.291899999999998</v>
      </c>
      <c r="GH134">
        <v>26.226600000000001</v>
      </c>
      <c r="GI134">
        <v>29.9998</v>
      </c>
      <c r="GJ134">
        <v>26.376999999999999</v>
      </c>
      <c r="GK134">
        <v>26.364899999999999</v>
      </c>
      <c r="GL134">
        <v>35.5396</v>
      </c>
      <c r="GM134">
        <v>59.089700000000001</v>
      </c>
      <c r="GN134">
        <v>70.387900000000002</v>
      </c>
      <c r="GO134">
        <v>24.314499999999999</v>
      </c>
      <c r="GP134">
        <v>800</v>
      </c>
      <c r="GQ134">
        <v>9.3214199999999998</v>
      </c>
      <c r="GR134">
        <v>99.739099999999993</v>
      </c>
      <c r="GS134">
        <v>99.574200000000005</v>
      </c>
    </row>
    <row r="135" spans="1:201" x14ac:dyDescent="0.25">
      <c r="A135">
        <v>119</v>
      </c>
      <c r="B135">
        <v>1690222235.0999999</v>
      </c>
      <c r="C135">
        <v>1352.599999904633</v>
      </c>
      <c r="D135" t="s">
        <v>569</v>
      </c>
      <c r="E135" t="s">
        <v>570</v>
      </c>
      <c r="F135" t="s">
        <v>330</v>
      </c>
      <c r="H135">
        <v>1690222235.0999999</v>
      </c>
      <c r="I135">
        <f t="shared" si="30"/>
        <v>1.3911636316642608E-3</v>
      </c>
      <c r="J135">
        <f t="shared" si="31"/>
        <v>1.3911636316642608</v>
      </c>
      <c r="K135">
        <f t="shared" si="32"/>
        <v>22.138933653742168</v>
      </c>
      <c r="L135">
        <f t="shared" si="33"/>
        <v>561.79100000000005</v>
      </c>
      <c r="M135">
        <f t="shared" si="34"/>
        <v>172.29900364801392</v>
      </c>
      <c r="N135">
        <f t="shared" si="35"/>
        <v>17.089428605406244</v>
      </c>
      <c r="O135">
        <f t="shared" si="36"/>
        <v>55.721083595311001</v>
      </c>
      <c r="P135">
        <f t="shared" si="37"/>
        <v>9.4953865487008682E-2</v>
      </c>
      <c r="Q135">
        <f t="shared" si="38"/>
        <v>2.1951302754663367</v>
      </c>
      <c r="R135">
        <f t="shared" si="39"/>
        <v>9.2729641786225295E-2</v>
      </c>
      <c r="S135">
        <f t="shared" si="40"/>
        <v>5.8151524353777323E-2</v>
      </c>
      <c r="T135">
        <f t="shared" si="41"/>
        <v>276.11487899792792</v>
      </c>
      <c r="U135">
        <f t="shared" si="42"/>
        <v>27.851789203355427</v>
      </c>
      <c r="V135">
        <f t="shared" si="43"/>
        <v>27.851789203355427</v>
      </c>
      <c r="W135">
        <f t="shared" si="44"/>
        <v>3.7621748987336141</v>
      </c>
      <c r="X135">
        <f t="shared" si="45"/>
        <v>67.948269876052521</v>
      </c>
      <c r="Y135">
        <f t="shared" si="46"/>
        <v>2.3197917655806002</v>
      </c>
      <c r="Z135">
        <f t="shared" si="47"/>
        <v>3.4140556776680788</v>
      </c>
      <c r="AA135">
        <f t="shared" si="48"/>
        <v>1.4423831331530139</v>
      </c>
      <c r="AB135">
        <f t="shared" si="49"/>
        <v>-61.350316156393902</v>
      </c>
      <c r="AC135">
        <f t="shared" si="50"/>
        <v>-195.68030043336057</v>
      </c>
      <c r="AD135">
        <f t="shared" si="51"/>
        <v>-19.243046942255187</v>
      </c>
      <c r="AE135">
        <f t="shared" si="52"/>
        <v>-0.15878453408174664</v>
      </c>
      <c r="AF135">
        <v>0</v>
      </c>
      <c r="AG135">
        <v>0</v>
      </c>
      <c r="AH135">
        <f t="shared" si="53"/>
        <v>1</v>
      </c>
      <c r="AI135">
        <f t="shared" si="54"/>
        <v>0</v>
      </c>
      <c r="AJ135">
        <f t="shared" si="55"/>
        <v>52568.336981223358</v>
      </c>
      <c r="AK135">
        <f t="shared" si="56"/>
        <v>1799.99</v>
      </c>
      <c r="AL135">
        <f t="shared" si="57"/>
        <v>1499.1014504123398</v>
      </c>
      <c r="AM135">
        <f t="shared" si="58"/>
        <v>0.83283876599999984</v>
      </c>
      <c r="AN135">
        <f t="shared" si="59"/>
        <v>0.15339800721000002</v>
      </c>
      <c r="AO135">
        <v>31.2</v>
      </c>
      <c r="AP135">
        <v>0.5</v>
      </c>
      <c r="AQ135" t="s">
        <v>331</v>
      </c>
      <c r="AR135">
        <v>2</v>
      </c>
      <c r="AS135">
        <v>1690222235.0999999</v>
      </c>
      <c r="AT135">
        <v>561.79100000000005</v>
      </c>
      <c r="AU135">
        <v>800.07500000000005</v>
      </c>
      <c r="AV135">
        <v>23.3886</v>
      </c>
      <c r="AW135">
        <v>9.2641600000000004</v>
      </c>
      <c r="AX135">
        <v>562.11699999999996</v>
      </c>
      <c r="AY135">
        <v>23.2258</v>
      </c>
      <c r="AZ135">
        <v>300.11200000000002</v>
      </c>
      <c r="BA135">
        <v>99.084699999999998</v>
      </c>
      <c r="BB135">
        <v>0.100021</v>
      </c>
      <c r="BC135">
        <v>26.1983</v>
      </c>
      <c r="BD135">
        <v>26.930499999999999</v>
      </c>
      <c r="BE135">
        <v>27.611000000000001</v>
      </c>
      <c r="BF135">
        <v>0</v>
      </c>
      <c r="BG135">
        <v>0</v>
      </c>
      <c r="BH135">
        <v>10006.9</v>
      </c>
      <c r="BI135">
        <v>1072.53</v>
      </c>
      <c r="BJ135">
        <v>1.68198</v>
      </c>
      <c r="BK135">
        <v>-238.28399999999999</v>
      </c>
      <c r="BL135">
        <v>575.245</v>
      </c>
      <c r="BM135">
        <v>807.55600000000004</v>
      </c>
      <c r="BN135">
        <v>14.1244</v>
      </c>
      <c r="BO135">
        <v>800.07500000000005</v>
      </c>
      <c r="BP135">
        <v>9.2641600000000004</v>
      </c>
      <c r="BQ135">
        <v>2.31745</v>
      </c>
      <c r="BR135">
        <v>0.917937</v>
      </c>
      <c r="BS135">
        <v>19.798200000000001</v>
      </c>
      <c r="BT135">
        <v>5.6750600000000002</v>
      </c>
      <c r="BU135">
        <v>1799.99</v>
      </c>
      <c r="BV135">
        <v>0.90998000000000001</v>
      </c>
      <c r="BW135">
        <v>3.4003199999999997E-2</v>
      </c>
      <c r="BX135">
        <v>2.20073E-2</v>
      </c>
      <c r="BY135">
        <v>3.4009299999999999E-2</v>
      </c>
      <c r="BZ135">
        <v>26</v>
      </c>
      <c r="CA135">
        <v>33528.1</v>
      </c>
      <c r="CB135">
        <v>1690220522.5999999</v>
      </c>
      <c r="CC135" t="s">
        <v>332</v>
      </c>
      <c r="CD135">
        <v>1690220522.5999999</v>
      </c>
      <c r="CE135">
        <v>1690220510.5999999</v>
      </c>
      <c r="CF135">
        <v>10</v>
      </c>
      <c r="CG135">
        <v>-0.22</v>
      </c>
      <c r="CH135">
        <v>-2.7E-2</v>
      </c>
      <c r="CI135">
        <v>-0.49299999999999999</v>
      </c>
      <c r="CJ135">
        <v>0.152</v>
      </c>
      <c r="CK135">
        <v>800</v>
      </c>
      <c r="CL135">
        <v>19</v>
      </c>
      <c r="CM135">
        <v>0.1</v>
      </c>
      <c r="CN135">
        <v>0.03</v>
      </c>
      <c r="CO135">
        <v>-235.13602499999999</v>
      </c>
      <c r="CP135">
        <v>-17.596176360224909</v>
      </c>
      <c r="CQ135">
        <v>1.6937797006621029</v>
      </c>
      <c r="CR135">
        <v>-1</v>
      </c>
      <c r="CS135">
        <v>13.91845</v>
      </c>
      <c r="CT135">
        <v>1.2033973733583549</v>
      </c>
      <c r="CU135">
        <v>0.1168091177948023</v>
      </c>
      <c r="CV135">
        <v>-1</v>
      </c>
      <c r="CW135">
        <v>0</v>
      </c>
      <c r="CX135">
        <v>0</v>
      </c>
      <c r="CY135" t="s">
        <v>333</v>
      </c>
      <c r="CZ135">
        <v>2.3643700000000001</v>
      </c>
      <c r="DA135">
        <v>2.7138200000000001</v>
      </c>
      <c r="DB135">
        <v>0.11503099999999999</v>
      </c>
      <c r="DC135">
        <v>0.14616399999999999</v>
      </c>
      <c r="DD135">
        <v>0.111929</v>
      </c>
      <c r="DE135">
        <v>5.5759200000000002E-2</v>
      </c>
      <c r="DF135">
        <v>32314.3</v>
      </c>
      <c r="DG135">
        <v>27519.200000000001</v>
      </c>
      <c r="DH135">
        <v>31172.6</v>
      </c>
      <c r="DI135">
        <v>28084</v>
      </c>
      <c r="DJ135">
        <v>37582.800000000003</v>
      </c>
      <c r="DK135">
        <v>37709.5</v>
      </c>
      <c r="DL135">
        <v>44362.6</v>
      </c>
      <c r="DM135">
        <v>42565.599999999999</v>
      </c>
      <c r="DN135">
        <v>1.4804999999999999</v>
      </c>
      <c r="DO135">
        <v>2.0406300000000002</v>
      </c>
      <c r="DP135">
        <v>0.111654</v>
      </c>
      <c r="DQ135">
        <v>0.16342100000000001</v>
      </c>
      <c r="DR135">
        <v>25.101600000000001</v>
      </c>
      <c r="DS135">
        <v>24.935199999999998</v>
      </c>
      <c r="DT135">
        <v>51.6</v>
      </c>
      <c r="DU135">
        <v>29.5</v>
      </c>
      <c r="DV135">
        <v>21.557200000000002</v>
      </c>
      <c r="DW135">
        <v>61.918700000000001</v>
      </c>
      <c r="DX135">
        <v>36.682699999999997</v>
      </c>
      <c r="DY135">
        <v>1</v>
      </c>
      <c r="DZ135">
        <v>-9.2558399999999999E-2</v>
      </c>
      <c r="EA135">
        <v>4.2848600000000001E-2</v>
      </c>
      <c r="EB135">
        <v>20.189599999999999</v>
      </c>
      <c r="EC135">
        <v>5.2413999999999996</v>
      </c>
      <c r="ED135">
        <v>12.039899999999999</v>
      </c>
      <c r="EE135">
        <v>5.01715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1.8689199999999999</v>
      </c>
      <c r="EL135">
        <v>1.8646400000000001</v>
      </c>
      <c r="EM135">
        <v>1.8692</v>
      </c>
      <c r="EN135">
        <v>1.86724</v>
      </c>
      <c r="EO135">
        <v>1.8633999999999999</v>
      </c>
      <c r="EP135">
        <v>1.86453</v>
      </c>
      <c r="EQ135">
        <v>1.8701700000000001</v>
      </c>
      <c r="ER135">
        <v>1.8694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-0.32600000000000001</v>
      </c>
      <c r="FG135">
        <v>0.1628</v>
      </c>
      <c r="FH135">
        <v>5.8509882529719233E-2</v>
      </c>
      <c r="FI135">
        <v>-6.1462078757559423E-4</v>
      </c>
      <c r="FJ135">
        <v>-1.8861989874597051E-7</v>
      </c>
      <c r="FK135">
        <v>1.1980462299894961E-10</v>
      </c>
      <c r="FL135">
        <v>0.16277811159127681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28.5</v>
      </c>
      <c r="FU135">
        <v>28.7</v>
      </c>
      <c r="FV135">
        <v>1.7773399999999999</v>
      </c>
      <c r="FW135">
        <v>2.5891099999999998</v>
      </c>
      <c r="FX135">
        <v>1.5490699999999999</v>
      </c>
      <c r="FY135">
        <v>2.3278799999999999</v>
      </c>
      <c r="FZ135">
        <v>1.50146</v>
      </c>
      <c r="GA135">
        <v>2.3022499999999999</v>
      </c>
      <c r="GB135">
        <v>33.918700000000001</v>
      </c>
      <c r="GC135">
        <v>23.982399999999998</v>
      </c>
      <c r="GD135">
        <v>19</v>
      </c>
      <c r="GE135">
        <v>284.82400000000001</v>
      </c>
      <c r="GF135">
        <v>586.95000000000005</v>
      </c>
      <c r="GG135">
        <v>24.3309</v>
      </c>
      <c r="GH135">
        <v>26.224399999999999</v>
      </c>
      <c r="GI135">
        <v>30</v>
      </c>
      <c r="GJ135">
        <v>26.3748</v>
      </c>
      <c r="GK135">
        <v>26.362200000000001</v>
      </c>
      <c r="GL135">
        <v>35.534399999999998</v>
      </c>
      <c r="GM135">
        <v>59.659500000000001</v>
      </c>
      <c r="GN135">
        <v>69.981700000000004</v>
      </c>
      <c r="GO135">
        <v>24.3752</v>
      </c>
      <c r="GP135">
        <v>800</v>
      </c>
      <c r="GQ135">
        <v>9.1276899999999994</v>
      </c>
      <c r="GR135">
        <v>99.740300000000005</v>
      </c>
      <c r="GS135">
        <v>99.575699999999998</v>
      </c>
    </row>
    <row r="136" spans="1:201" x14ac:dyDescent="0.25">
      <c r="A136">
        <v>120</v>
      </c>
      <c r="B136">
        <v>1690222245.0999999</v>
      </c>
      <c r="C136">
        <v>1362.599999904633</v>
      </c>
      <c r="D136" t="s">
        <v>571</v>
      </c>
      <c r="E136" t="s">
        <v>572</v>
      </c>
      <c r="F136" t="s">
        <v>330</v>
      </c>
      <c r="H136">
        <v>1690222245.0999999</v>
      </c>
      <c r="I136">
        <f t="shared" si="30"/>
        <v>1.4146958897503416E-3</v>
      </c>
      <c r="J136">
        <f t="shared" si="31"/>
        <v>1.4146958897503417</v>
      </c>
      <c r="K136">
        <f t="shared" si="32"/>
        <v>22.419366710695328</v>
      </c>
      <c r="L136">
        <f t="shared" si="33"/>
        <v>558.81700000000001</v>
      </c>
      <c r="M136">
        <f t="shared" si="34"/>
        <v>171.50941452062926</v>
      </c>
      <c r="N136">
        <f t="shared" si="35"/>
        <v>17.011462106741682</v>
      </c>
      <c r="O136">
        <f t="shared" si="36"/>
        <v>55.427244310017997</v>
      </c>
      <c r="P136">
        <f t="shared" si="37"/>
        <v>9.6731668551377201E-2</v>
      </c>
      <c r="Q136">
        <f t="shared" si="38"/>
        <v>2.1969103102623646</v>
      </c>
      <c r="R136">
        <f t="shared" si="39"/>
        <v>9.4426289193814572E-2</v>
      </c>
      <c r="S136">
        <f t="shared" si="40"/>
        <v>5.9218983719894605E-2</v>
      </c>
      <c r="T136">
        <f t="shared" si="41"/>
        <v>276.11644084199997</v>
      </c>
      <c r="U136">
        <f t="shared" si="42"/>
        <v>27.851084013237688</v>
      </c>
      <c r="V136">
        <f t="shared" si="43"/>
        <v>27.851084013237688</v>
      </c>
      <c r="W136">
        <f t="shared" si="44"/>
        <v>3.7620200673038839</v>
      </c>
      <c r="X136">
        <f t="shared" si="45"/>
        <v>67.966362440511247</v>
      </c>
      <c r="Y136">
        <f t="shared" si="46"/>
        <v>2.3215750827993999</v>
      </c>
      <c r="Z136">
        <f t="shared" si="47"/>
        <v>3.4157706833750283</v>
      </c>
      <c r="AA136">
        <f t="shared" si="48"/>
        <v>1.440444984504484</v>
      </c>
      <c r="AB136">
        <f t="shared" si="49"/>
        <v>-62.388088737990067</v>
      </c>
      <c r="AC136">
        <f t="shared" si="50"/>
        <v>-194.74871677465052</v>
      </c>
      <c r="AD136">
        <f t="shared" si="51"/>
        <v>-19.13666252391064</v>
      </c>
      <c r="AE136">
        <f t="shared" si="52"/>
        <v>-0.15702719455123315</v>
      </c>
      <c r="AF136">
        <v>0</v>
      </c>
      <c r="AG136">
        <v>0</v>
      </c>
      <c r="AH136">
        <f t="shared" si="53"/>
        <v>1</v>
      </c>
      <c r="AI136">
        <f t="shared" si="54"/>
        <v>0</v>
      </c>
      <c r="AJ136">
        <f t="shared" si="55"/>
        <v>52639.92704027427</v>
      </c>
      <c r="AK136">
        <f t="shared" si="56"/>
        <v>1800</v>
      </c>
      <c r="AL136">
        <f t="shared" si="57"/>
        <v>1499.1108911999997</v>
      </c>
      <c r="AM136">
        <f t="shared" si="58"/>
        <v>0.8328393839999999</v>
      </c>
      <c r="AN136">
        <f t="shared" si="59"/>
        <v>0.15339802269</v>
      </c>
      <c r="AO136">
        <v>31.2</v>
      </c>
      <c r="AP136">
        <v>0.5</v>
      </c>
      <c r="AQ136" t="s">
        <v>331</v>
      </c>
      <c r="AR136">
        <v>2</v>
      </c>
      <c r="AS136">
        <v>1690222245.0999999</v>
      </c>
      <c r="AT136">
        <v>558.81700000000001</v>
      </c>
      <c r="AU136">
        <v>800.12699999999995</v>
      </c>
      <c r="AV136">
        <v>23.406099999999999</v>
      </c>
      <c r="AW136">
        <v>9.0419900000000002</v>
      </c>
      <c r="AX136">
        <v>559.14</v>
      </c>
      <c r="AY136">
        <v>23.243300000000001</v>
      </c>
      <c r="AZ136">
        <v>300.09100000000001</v>
      </c>
      <c r="BA136">
        <v>99.086699999999993</v>
      </c>
      <c r="BB136">
        <v>0.100054</v>
      </c>
      <c r="BC136">
        <v>26.206800000000001</v>
      </c>
      <c r="BD136">
        <v>26.9894</v>
      </c>
      <c r="BE136">
        <v>27.607299999999999</v>
      </c>
      <c r="BF136">
        <v>0</v>
      </c>
      <c r="BG136">
        <v>0</v>
      </c>
      <c r="BH136">
        <v>10021.200000000001</v>
      </c>
      <c r="BI136">
        <v>1072.52</v>
      </c>
      <c r="BJ136">
        <v>1.68198</v>
      </c>
      <c r="BK136">
        <v>-241.31</v>
      </c>
      <c r="BL136">
        <v>572.21</v>
      </c>
      <c r="BM136">
        <v>807.428</v>
      </c>
      <c r="BN136">
        <v>14.364100000000001</v>
      </c>
      <c r="BO136">
        <v>800.12699999999995</v>
      </c>
      <c r="BP136">
        <v>9.0419900000000002</v>
      </c>
      <c r="BQ136">
        <v>2.3192400000000002</v>
      </c>
      <c r="BR136">
        <v>0.89594099999999999</v>
      </c>
      <c r="BS136">
        <v>19.810600000000001</v>
      </c>
      <c r="BT136">
        <v>5.3257099999999999</v>
      </c>
      <c r="BU136">
        <v>1800</v>
      </c>
      <c r="BV136">
        <v>0.90998299999999999</v>
      </c>
      <c r="BW136">
        <v>3.4002299999999999E-2</v>
      </c>
      <c r="BX136">
        <v>2.2006700000000001E-2</v>
      </c>
      <c r="BY136">
        <v>3.4008299999999998E-2</v>
      </c>
      <c r="BZ136">
        <v>26</v>
      </c>
      <c r="CA136">
        <v>33528.300000000003</v>
      </c>
      <c r="CB136">
        <v>1690220522.5999999</v>
      </c>
      <c r="CC136" t="s">
        <v>332</v>
      </c>
      <c r="CD136">
        <v>1690220522.5999999</v>
      </c>
      <c r="CE136">
        <v>1690220510.5999999</v>
      </c>
      <c r="CF136">
        <v>10</v>
      </c>
      <c r="CG136">
        <v>-0.22</v>
      </c>
      <c r="CH136">
        <v>-2.7E-2</v>
      </c>
      <c r="CI136">
        <v>-0.49299999999999999</v>
      </c>
      <c r="CJ136">
        <v>0.152</v>
      </c>
      <c r="CK136">
        <v>800</v>
      </c>
      <c r="CL136">
        <v>19</v>
      </c>
      <c r="CM136">
        <v>0.1</v>
      </c>
      <c r="CN136">
        <v>0.03</v>
      </c>
      <c r="CO136">
        <v>-237.8285365853659</v>
      </c>
      <c r="CP136">
        <v>-17.607282229965278</v>
      </c>
      <c r="CQ136">
        <v>1.736780791278564</v>
      </c>
      <c r="CR136">
        <v>-1</v>
      </c>
      <c r="CS136">
        <v>14.102773170731711</v>
      </c>
      <c r="CT136">
        <v>1.168016027874589</v>
      </c>
      <c r="CU136">
        <v>0.1155151474058289</v>
      </c>
      <c r="CV136">
        <v>-1</v>
      </c>
      <c r="CW136">
        <v>0</v>
      </c>
      <c r="CX136">
        <v>0</v>
      </c>
      <c r="CY136" t="s">
        <v>333</v>
      </c>
      <c r="CZ136">
        <v>2.3643200000000002</v>
      </c>
      <c r="DA136">
        <v>2.7138599999999999</v>
      </c>
      <c r="DB136">
        <v>0.11459900000000001</v>
      </c>
      <c r="DC136">
        <v>0.14616999999999999</v>
      </c>
      <c r="DD136">
        <v>0.11199099999999999</v>
      </c>
      <c r="DE136">
        <v>5.4718200000000002E-2</v>
      </c>
      <c r="DF136">
        <v>32330.2</v>
      </c>
      <c r="DG136">
        <v>27519.1</v>
      </c>
      <c r="DH136">
        <v>31172.6</v>
      </c>
      <c r="DI136">
        <v>28084.1</v>
      </c>
      <c r="DJ136">
        <v>37580.300000000003</v>
      </c>
      <c r="DK136">
        <v>37751.300000000003</v>
      </c>
      <c r="DL136">
        <v>44362.9</v>
      </c>
      <c r="DM136">
        <v>42565.8</v>
      </c>
      <c r="DN136">
        <v>1.4807999999999999</v>
      </c>
      <c r="DO136">
        <v>2.0403500000000001</v>
      </c>
      <c r="DP136">
        <v>0.11515599999999999</v>
      </c>
      <c r="DQ136">
        <v>0.16307099999999999</v>
      </c>
      <c r="DR136">
        <v>25.103200000000001</v>
      </c>
      <c r="DS136">
        <v>24.9373</v>
      </c>
      <c r="DT136">
        <v>51.3</v>
      </c>
      <c r="DU136">
        <v>29.4</v>
      </c>
      <c r="DV136">
        <v>21.308700000000002</v>
      </c>
      <c r="DW136">
        <v>61.6387</v>
      </c>
      <c r="DX136">
        <v>36.987200000000001</v>
      </c>
      <c r="DY136">
        <v>1</v>
      </c>
      <c r="DZ136">
        <v>-9.2621999999999996E-2</v>
      </c>
      <c r="EA136">
        <v>-0.13284599999999999</v>
      </c>
      <c r="EB136">
        <v>20.189499999999999</v>
      </c>
      <c r="EC136">
        <v>5.2411000000000003</v>
      </c>
      <c r="ED136">
        <v>12.039899999999999</v>
      </c>
      <c r="EE136">
        <v>5.0172999999999996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1.86893</v>
      </c>
      <c r="EL136">
        <v>1.8646199999999999</v>
      </c>
      <c r="EM136">
        <v>1.8691899999999999</v>
      </c>
      <c r="EN136">
        <v>1.8672500000000001</v>
      </c>
      <c r="EO136">
        <v>1.86341</v>
      </c>
      <c r="EP136">
        <v>1.8645700000000001</v>
      </c>
      <c r="EQ136">
        <v>1.87018</v>
      </c>
      <c r="ER136">
        <v>1.86941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-0.32300000000000001</v>
      </c>
      <c r="FG136">
        <v>0.1628</v>
      </c>
      <c r="FH136">
        <v>5.8509882529719233E-2</v>
      </c>
      <c r="FI136">
        <v>-6.1462078757559423E-4</v>
      </c>
      <c r="FJ136">
        <v>-1.8861989874597051E-7</v>
      </c>
      <c r="FK136">
        <v>1.1980462299894961E-10</v>
      </c>
      <c r="FL136">
        <v>0.16277811159127681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28.7</v>
      </c>
      <c r="FU136">
        <v>28.9</v>
      </c>
      <c r="FV136">
        <v>1.7773399999999999</v>
      </c>
      <c r="FW136">
        <v>2.5830099999999998</v>
      </c>
      <c r="FX136">
        <v>1.5490699999999999</v>
      </c>
      <c r="FY136">
        <v>2.3278799999999999</v>
      </c>
      <c r="FZ136">
        <v>1.50146</v>
      </c>
      <c r="GA136">
        <v>2.2924799999999999</v>
      </c>
      <c r="GB136">
        <v>33.941299999999998</v>
      </c>
      <c r="GC136">
        <v>23.982399999999998</v>
      </c>
      <c r="GD136">
        <v>19</v>
      </c>
      <c r="GE136">
        <v>284.94200000000001</v>
      </c>
      <c r="GF136">
        <v>586.69100000000003</v>
      </c>
      <c r="GG136">
        <v>24.415900000000001</v>
      </c>
      <c r="GH136">
        <v>26.222200000000001</v>
      </c>
      <c r="GI136">
        <v>30</v>
      </c>
      <c r="GJ136">
        <v>26.372599999999998</v>
      </c>
      <c r="GK136">
        <v>26.359400000000001</v>
      </c>
      <c r="GL136">
        <v>35.528500000000001</v>
      </c>
      <c r="GM136">
        <v>59.947400000000002</v>
      </c>
      <c r="GN136">
        <v>69.230500000000006</v>
      </c>
      <c r="GO136">
        <v>24.447399999999998</v>
      </c>
      <c r="GP136">
        <v>800</v>
      </c>
      <c r="GQ136">
        <v>8.9268000000000001</v>
      </c>
      <c r="GR136">
        <v>99.740799999999993</v>
      </c>
      <c r="GS136">
        <v>99.576099999999997</v>
      </c>
    </row>
    <row r="137" spans="1:201" x14ac:dyDescent="0.25">
      <c r="A137">
        <v>121</v>
      </c>
      <c r="B137">
        <v>1690222255.0999999</v>
      </c>
      <c r="C137">
        <v>1372.599999904633</v>
      </c>
      <c r="D137" t="s">
        <v>573</v>
      </c>
      <c r="E137" t="s">
        <v>574</v>
      </c>
      <c r="F137" t="s">
        <v>330</v>
      </c>
      <c r="H137">
        <v>1690222255.0999999</v>
      </c>
      <c r="I137">
        <f t="shared" si="30"/>
        <v>1.4350284683533406E-3</v>
      </c>
      <c r="J137">
        <f t="shared" si="31"/>
        <v>1.4350284683533405</v>
      </c>
      <c r="K137">
        <f t="shared" si="32"/>
        <v>22.672922019806869</v>
      </c>
      <c r="L137">
        <f t="shared" si="33"/>
        <v>555.95699999999999</v>
      </c>
      <c r="M137">
        <f t="shared" si="34"/>
        <v>169.89866015402285</v>
      </c>
      <c r="N137">
        <f t="shared" si="35"/>
        <v>16.851578852865313</v>
      </c>
      <c r="O137">
        <f t="shared" si="36"/>
        <v>55.1431848597813</v>
      </c>
      <c r="P137">
        <f t="shared" si="37"/>
        <v>9.8168286032184554E-2</v>
      </c>
      <c r="Q137">
        <f t="shared" si="38"/>
        <v>2.193531637137359</v>
      </c>
      <c r="R137">
        <f t="shared" si="39"/>
        <v>9.5791265677328596E-2</v>
      </c>
      <c r="S137">
        <f t="shared" si="40"/>
        <v>6.0078313026934019E-2</v>
      </c>
      <c r="T137">
        <f t="shared" si="41"/>
        <v>276.11633255400005</v>
      </c>
      <c r="U137">
        <f t="shared" si="42"/>
        <v>27.859463583000302</v>
      </c>
      <c r="V137">
        <f t="shared" si="43"/>
        <v>27.859463583000302</v>
      </c>
      <c r="W137">
        <f t="shared" si="44"/>
        <v>3.7638602438345385</v>
      </c>
      <c r="X137">
        <f t="shared" si="45"/>
        <v>67.972609276860567</v>
      </c>
      <c r="Y137">
        <f t="shared" si="46"/>
        <v>2.3235723370677603</v>
      </c>
      <c r="Z137">
        <f t="shared" si="47"/>
        <v>3.4183950885327534</v>
      </c>
      <c r="AA137">
        <f t="shared" si="48"/>
        <v>1.4402879067667782</v>
      </c>
      <c r="AB137">
        <f t="shared" si="49"/>
        <v>-63.284755454382321</v>
      </c>
      <c r="AC137">
        <f t="shared" si="50"/>
        <v>-193.90280740591635</v>
      </c>
      <c r="AD137">
        <f t="shared" si="51"/>
        <v>-19.084927574713124</v>
      </c>
      <c r="AE137">
        <f t="shared" si="52"/>
        <v>-0.15615788101172257</v>
      </c>
      <c r="AF137">
        <v>0</v>
      </c>
      <c r="AG137">
        <v>0</v>
      </c>
      <c r="AH137">
        <f t="shared" si="53"/>
        <v>1</v>
      </c>
      <c r="AI137">
        <f t="shared" si="54"/>
        <v>0</v>
      </c>
      <c r="AJ137">
        <f t="shared" si="55"/>
        <v>52499.048820122727</v>
      </c>
      <c r="AK137">
        <f t="shared" si="56"/>
        <v>1800</v>
      </c>
      <c r="AL137">
        <f t="shared" si="57"/>
        <v>1499.1107634</v>
      </c>
      <c r="AM137">
        <f t="shared" si="58"/>
        <v>0.83283931300000003</v>
      </c>
      <c r="AN137">
        <f t="shared" si="59"/>
        <v>0.15339796253000001</v>
      </c>
      <c r="AO137">
        <v>31.2</v>
      </c>
      <c r="AP137">
        <v>0.5</v>
      </c>
      <c r="AQ137" t="s">
        <v>331</v>
      </c>
      <c r="AR137">
        <v>2</v>
      </c>
      <c r="AS137">
        <v>1690222255.0999999</v>
      </c>
      <c r="AT137">
        <v>555.95699999999999</v>
      </c>
      <c r="AU137">
        <v>799.96400000000006</v>
      </c>
      <c r="AV137">
        <v>23.426400000000001</v>
      </c>
      <c r="AW137">
        <v>8.8570200000000003</v>
      </c>
      <c r="AX137">
        <v>556.27800000000002</v>
      </c>
      <c r="AY137">
        <v>23.2636</v>
      </c>
      <c r="AZ137">
        <v>300.10899999999998</v>
      </c>
      <c r="BA137">
        <v>99.086100000000002</v>
      </c>
      <c r="BB137">
        <v>9.9960900000000005E-2</v>
      </c>
      <c r="BC137">
        <v>26.219799999999999</v>
      </c>
      <c r="BD137">
        <v>26.965</v>
      </c>
      <c r="BE137">
        <v>27.6052</v>
      </c>
      <c r="BF137">
        <v>0</v>
      </c>
      <c r="BG137">
        <v>0</v>
      </c>
      <c r="BH137">
        <v>9993.75</v>
      </c>
      <c r="BI137">
        <v>1072.56</v>
      </c>
      <c r="BJ137">
        <v>1.68198</v>
      </c>
      <c r="BK137">
        <v>-244.006</v>
      </c>
      <c r="BL137">
        <v>569.29399999999998</v>
      </c>
      <c r="BM137">
        <v>807.11199999999997</v>
      </c>
      <c r="BN137">
        <v>14.5694</v>
      </c>
      <c r="BO137">
        <v>799.96400000000006</v>
      </c>
      <c r="BP137">
        <v>8.8570200000000003</v>
      </c>
      <c r="BQ137">
        <v>2.3212299999999999</v>
      </c>
      <c r="BR137">
        <v>0.87760700000000003</v>
      </c>
      <c r="BS137">
        <v>19.8245</v>
      </c>
      <c r="BT137">
        <v>5.0286900000000001</v>
      </c>
      <c r="BU137">
        <v>1800</v>
      </c>
      <c r="BV137">
        <v>0.90998400000000002</v>
      </c>
      <c r="BW137">
        <v>3.4001799999999999E-2</v>
      </c>
      <c r="BX137">
        <v>2.2006399999999999E-2</v>
      </c>
      <c r="BY137">
        <v>3.4007900000000001E-2</v>
      </c>
      <c r="BZ137">
        <v>26</v>
      </c>
      <c r="CA137">
        <v>33528.199999999997</v>
      </c>
      <c r="CB137">
        <v>1690220522.5999999</v>
      </c>
      <c r="CC137" t="s">
        <v>332</v>
      </c>
      <c r="CD137">
        <v>1690220522.5999999</v>
      </c>
      <c r="CE137">
        <v>1690220510.5999999</v>
      </c>
      <c r="CF137">
        <v>10</v>
      </c>
      <c r="CG137">
        <v>-0.22</v>
      </c>
      <c r="CH137">
        <v>-2.7E-2</v>
      </c>
      <c r="CI137">
        <v>-0.49299999999999999</v>
      </c>
      <c r="CJ137">
        <v>0.152</v>
      </c>
      <c r="CK137">
        <v>800</v>
      </c>
      <c r="CL137">
        <v>19</v>
      </c>
      <c r="CM137">
        <v>0.1</v>
      </c>
      <c r="CN137">
        <v>0.03</v>
      </c>
      <c r="CO137">
        <v>-240.97822500000001</v>
      </c>
      <c r="CP137">
        <v>-17.415523452157611</v>
      </c>
      <c r="CQ137">
        <v>1.67629907068369</v>
      </c>
      <c r="CR137">
        <v>-1</v>
      </c>
      <c r="CS137">
        <v>14.337574999999999</v>
      </c>
      <c r="CT137">
        <v>1.379421388367676</v>
      </c>
      <c r="CU137">
        <v>0.13324073466849401</v>
      </c>
      <c r="CV137">
        <v>-1</v>
      </c>
      <c r="CW137">
        <v>0</v>
      </c>
      <c r="CX137">
        <v>0</v>
      </c>
      <c r="CY137" t="s">
        <v>333</v>
      </c>
      <c r="CZ137">
        <v>2.3643700000000001</v>
      </c>
      <c r="DA137">
        <v>2.7137500000000001</v>
      </c>
      <c r="DB137">
        <v>0.11418</v>
      </c>
      <c r="DC137">
        <v>0.146146</v>
      </c>
      <c r="DD137">
        <v>0.11206000000000001</v>
      </c>
      <c r="DE137">
        <v>5.3844000000000003E-2</v>
      </c>
      <c r="DF137">
        <v>32345.5</v>
      </c>
      <c r="DG137">
        <v>27519.9</v>
      </c>
      <c r="DH137">
        <v>31172.6</v>
      </c>
      <c r="DI137">
        <v>28084.1</v>
      </c>
      <c r="DJ137">
        <v>37577.4</v>
      </c>
      <c r="DK137">
        <v>37786.300000000003</v>
      </c>
      <c r="DL137">
        <v>44362.9</v>
      </c>
      <c r="DM137">
        <v>42565.7</v>
      </c>
      <c r="DN137">
        <v>1.4807300000000001</v>
      </c>
      <c r="DO137">
        <v>2.0403500000000001</v>
      </c>
      <c r="DP137">
        <v>0.11350200000000001</v>
      </c>
      <c r="DQ137">
        <v>0.16294400000000001</v>
      </c>
      <c r="DR137">
        <v>25.105799999999999</v>
      </c>
      <c r="DS137">
        <v>24.9373</v>
      </c>
      <c r="DT137">
        <v>50.9</v>
      </c>
      <c r="DU137">
        <v>29.5</v>
      </c>
      <c r="DV137">
        <v>21.264199999999999</v>
      </c>
      <c r="DW137">
        <v>61.808700000000002</v>
      </c>
      <c r="DX137">
        <v>35.989600000000003</v>
      </c>
      <c r="DY137">
        <v>1</v>
      </c>
      <c r="DZ137">
        <v>-9.2555899999999997E-2</v>
      </c>
      <c r="EA137">
        <v>-8.0035400000000007E-2</v>
      </c>
      <c r="EB137">
        <v>20.189900000000002</v>
      </c>
      <c r="EC137">
        <v>5.2413999999999996</v>
      </c>
      <c r="ED137">
        <v>12.039899999999999</v>
      </c>
      <c r="EE137">
        <v>5.0170000000000003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1.8689100000000001</v>
      </c>
      <c r="EL137">
        <v>1.86463</v>
      </c>
      <c r="EM137">
        <v>1.8691899999999999</v>
      </c>
      <c r="EN137">
        <v>1.8672299999999999</v>
      </c>
      <c r="EO137">
        <v>1.8633999999999999</v>
      </c>
      <c r="EP137">
        <v>1.86456</v>
      </c>
      <c r="EQ137">
        <v>1.8702000000000001</v>
      </c>
      <c r="ER137">
        <v>1.8694200000000001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-0.32100000000000001</v>
      </c>
      <c r="FG137">
        <v>0.1628</v>
      </c>
      <c r="FH137">
        <v>5.8509882529719233E-2</v>
      </c>
      <c r="FI137">
        <v>-6.1462078757559423E-4</v>
      </c>
      <c r="FJ137">
        <v>-1.8861989874597051E-7</v>
      </c>
      <c r="FK137">
        <v>1.1980462299894961E-10</v>
      </c>
      <c r="FL137">
        <v>0.16277811159127681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28.9</v>
      </c>
      <c r="FU137">
        <v>29.1</v>
      </c>
      <c r="FV137">
        <v>1.7773399999999999</v>
      </c>
      <c r="FW137">
        <v>2.5793499999999998</v>
      </c>
      <c r="FX137">
        <v>1.5490699999999999</v>
      </c>
      <c r="FY137">
        <v>2.3278799999999999</v>
      </c>
      <c r="FZ137">
        <v>1.50146</v>
      </c>
      <c r="GA137">
        <v>2.3962400000000001</v>
      </c>
      <c r="GB137">
        <v>33.941299999999998</v>
      </c>
      <c r="GC137">
        <v>23.991199999999999</v>
      </c>
      <c r="GD137">
        <v>19</v>
      </c>
      <c r="GE137">
        <v>284.89999999999998</v>
      </c>
      <c r="GF137">
        <v>586.65899999999999</v>
      </c>
      <c r="GG137">
        <v>24.477499999999999</v>
      </c>
      <c r="GH137">
        <v>26.219899999999999</v>
      </c>
      <c r="GI137">
        <v>30.0001</v>
      </c>
      <c r="GJ137">
        <v>26.3703</v>
      </c>
      <c r="GK137">
        <v>26.3567</v>
      </c>
      <c r="GL137">
        <v>35.5276</v>
      </c>
      <c r="GM137">
        <v>60.515900000000002</v>
      </c>
      <c r="GN137">
        <v>68.471299999999999</v>
      </c>
      <c r="GO137">
        <v>24.493099999999998</v>
      </c>
      <c r="GP137">
        <v>800</v>
      </c>
      <c r="GQ137">
        <v>8.7209900000000005</v>
      </c>
      <c r="GR137">
        <v>99.740799999999993</v>
      </c>
      <c r="GS137">
        <v>99.576099999999997</v>
      </c>
    </row>
    <row r="138" spans="1:201" x14ac:dyDescent="0.25">
      <c r="A138">
        <v>122</v>
      </c>
      <c r="B138">
        <v>1690222265.0999999</v>
      </c>
      <c r="C138">
        <v>1382.599999904633</v>
      </c>
      <c r="D138" t="s">
        <v>575</v>
      </c>
      <c r="E138" t="s">
        <v>576</v>
      </c>
      <c r="F138" t="s">
        <v>330</v>
      </c>
      <c r="H138">
        <v>1690222265.0999999</v>
      </c>
      <c r="I138">
        <f t="shared" si="30"/>
        <v>1.4560921024210991E-3</v>
      </c>
      <c r="J138">
        <f t="shared" si="31"/>
        <v>1.4560921024210991</v>
      </c>
      <c r="K138">
        <f t="shared" si="32"/>
        <v>22.947679260884829</v>
      </c>
      <c r="L138">
        <f t="shared" si="33"/>
        <v>553.02800000000002</v>
      </c>
      <c r="M138">
        <f t="shared" si="34"/>
        <v>168.50223401755503</v>
      </c>
      <c r="N138">
        <f t="shared" si="35"/>
        <v>16.713165639231537</v>
      </c>
      <c r="O138">
        <f t="shared" si="36"/>
        <v>54.852973439924796</v>
      </c>
      <c r="P138">
        <f t="shared" si="37"/>
        <v>9.9776696643495852E-2</v>
      </c>
      <c r="Q138">
        <f t="shared" si="38"/>
        <v>2.1971433574699128</v>
      </c>
      <c r="R138">
        <f t="shared" si="39"/>
        <v>9.7326123902713418E-2</v>
      </c>
      <c r="S138">
        <f t="shared" si="40"/>
        <v>6.1043988661248674E-2</v>
      </c>
      <c r="T138">
        <f t="shared" si="41"/>
        <v>276.11622489600006</v>
      </c>
      <c r="U138">
        <f t="shared" si="42"/>
        <v>27.857350291001339</v>
      </c>
      <c r="V138">
        <f t="shared" si="43"/>
        <v>27.857350291001339</v>
      </c>
      <c r="W138">
        <f t="shared" si="44"/>
        <v>3.7633960850669479</v>
      </c>
      <c r="X138">
        <f t="shared" si="45"/>
        <v>67.984641293857607</v>
      </c>
      <c r="Y138">
        <f t="shared" si="46"/>
        <v>2.3250135251932798</v>
      </c>
      <c r="Z138">
        <f t="shared" si="47"/>
        <v>3.4199099692879367</v>
      </c>
      <c r="AA138">
        <f t="shared" si="48"/>
        <v>1.4383825598736681</v>
      </c>
      <c r="AB138">
        <f t="shared" si="49"/>
        <v>-64.213661716770474</v>
      </c>
      <c r="AC138">
        <f t="shared" si="50"/>
        <v>-193.08335717074556</v>
      </c>
      <c r="AD138">
        <f t="shared" si="51"/>
        <v>-18.973542580699949</v>
      </c>
      <c r="AE138">
        <f t="shared" si="52"/>
        <v>-0.15433657221589669</v>
      </c>
      <c r="AF138">
        <v>0</v>
      </c>
      <c r="AG138">
        <v>0</v>
      </c>
      <c r="AH138">
        <f t="shared" si="53"/>
        <v>1</v>
      </c>
      <c r="AI138">
        <f t="shared" si="54"/>
        <v>0</v>
      </c>
      <c r="AJ138">
        <f t="shared" si="55"/>
        <v>52645.887181622187</v>
      </c>
      <c r="AK138">
        <f t="shared" si="56"/>
        <v>1800</v>
      </c>
      <c r="AL138">
        <f t="shared" si="57"/>
        <v>1499.1106266000002</v>
      </c>
      <c r="AM138">
        <f t="shared" si="58"/>
        <v>0.83283923700000007</v>
      </c>
      <c r="AN138">
        <f t="shared" si="59"/>
        <v>0.15339790272000003</v>
      </c>
      <c r="AO138">
        <v>31.2</v>
      </c>
      <c r="AP138">
        <v>0.5</v>
      </c>
      <c r="AQ138" t="s">
        <v>331</v>
      </c>
      <c r="AR138">
        <v>2</v>
      </c>
      <c r="AS138">
        <v>1690222265.0999999</v>
      </c>
      <c r="AT138">
        <v>553.02800000000002</v>
      </c>
      <c r="AU138">
        <v>799.99599999999998</v>
      </c>
      <c r="AV138">
        <v>23.440799999999999</v>
      </c>
      <c r="AW138">
        <v>8.6561599999999999</v>
      </c>
      <c r="AX138">
        <v>553.34699999999998</v>
      </c>
      <c r="AY138">
        <v>23.277999999999999</v>
      </c>
      <c r="AZ138">
        <v>300.07600000000002</v>
      </c>
      <c r="BA138">
        <v>99.086699999999993</v>
      </c>
      <c r="BB138">
        <v>9.9911600000000003E-2</v>
      </c>
      <c r="BC138">
        <v>26.2273</v>
      </c>
      <c r="BD138">
        <v>26.97</v>
      </c>
      <c r="BE138">
        <v>27.627700000000001</v>
      </c>
      <c r="BF138">
        <v>0</v>
      </c>
      <c r="BG138">
        <v>0</v>
      </c>
      <c r="BH138">
        <v>10023.1</v>
      </c>
      <c r="BI138">
        <v>1072.5899999999999</v>
      </c>
      <c r="BJ138">
        <v>1.2334499999999999</v>
      </c>
      <c r="BK138">
        <v>-246.96799999999999</v>
      </c>
      <c r="BL138">
        <v>566.30200000000002</v>
      </c>
      <c r="BM138">
        <v>806.98099999999999</v>
      </c>
      <c r="BN138">
        <v>14.784599999999999</v>
      </c>
      <c r="BO138">
        <v>799.99599999999998</v>
      </c>
      <c r="BP138">
        <v>8.6561599999999999</v>
      </c>
      <c r="BQ138">
        <v>2.32267</v>
      </c>
      <c r="BR138">
        <v>0.85770999999999997</v>
      </c>
      <c r="BS138">
        <v>19.834499999999998</v>
      </c>
      <c r="BT138">
        <v>4.7000599999999997</v>
      </c>
      <c r="BU138">
        <v>1800</v>
      </c>
      <c r="BV138">
        <v>0.90998500000000004</v>
      </c>
      <c r="BW138">
        <v>3.4001400000000001E-2</v>
      </c>
      <c r="BX138">
        <v>2.2006100000000001E-2</v>
      </c>
      <c r="BY138">
        <v>3.40074E-2</v>
      </c>
      <c r="BZ138">
        <v>26</v>
      </c>
      <c r="CA138">
        <v>33528.199999999997</v>
      </c>
      <c r="CB138">
        <v>1690220522.5999999</v>
      </c>
      <c r="CC138" t="s">
        <v>332</v>
      </c>
      <c r="CD138">
        <v>1690220522.5999999</v>
      </c>
      <c r="CE138">
        <v>1690220510.5999999</v>
      </c>
      <c r="CF138">
        <v>10</v>
      </c>
      <c r="CG138">
        <v>-0.22</v>
      </c>
      <c r="CH138">
        <v>-2.7E-2</v>
      </c>
      <c r="CI138">
        <v>-0.49299999999999999</v>
      </c>
      <c r="CJ138">
        <v>0.152</v>
      </c>
      <c r="CK138">
        <v>800</v>
      </c>
      <c r="CL138">
        <v>19</v>
      </c>
      <c r="CM138">
        <v>0.1</v>
      </c>
      <c r="CN138">
        <v>0.03</v>
      </c>
      <c r="CO138">
        <v>-243.86969999999999</v>
      </c>
      <c r="CP138">
        <v>-17.008120075046431</v>
      </c>
      <c r="CQ138">
        <v>1.636918632675429</v>
      </c>
      <c r="CR138">
        <v>-1</v>
      </c>
      <c r="CS138">
        <v>14.564014999999999</v>
      </c>
      <c r="CT138">
        <v>1.288021013133176</v>
      </c>
      <c r="CU138">
        <v>0.12446776600791069</v>
      </c>
      <c r="CV138">
        <v>-1</v>
      </c>
      <c r="CW138">
        <v>0</v>
      </c>
      <c r="CX138">
        <v>0</v>
      </c>
      <c r="CY138" t="s">
        <v>333</v>
      </c>
      <c r="CZ138">
        <v>2.3642500000000002</v>
      </c>
      <c r="DA138">
        <v>2.7137199999999999</v>
      </c>
      <c r="DB138">
        <v>0.11375</v>
      </c>
      <c r="DC138">
        <v>0.146148</v>
      </c>
      <c r="DD138">
        <v>0.11211</v>
      </c>
      <c r="DE138">
        <v>5.2887999999999998E-2</v>
      </c>
      <c r="DF138">
        <v>32361.1</v>
      </c>
      <c r="DG138">
        <v>27520</v>
      </c>
      <c r="DH138">
        <v>31172.5</v>
      </c>
      <c r="DI138">
        <v>28084.3</v>
      </c>
      <c r="DJ138">
        <v>37574.800000000003</v>
      </c>
      <c r="DK138">
        <v>37825.1</v>
      </c>
      <c r="DL138">
        <v>44362.400000000001</v>
      </c>
      <c r="DM138">
        <v>42566.400000000001</v>
      </c>
      <c r="DN138">
        <v>1.4806699999999999</v>
      </c>
      <c r="DO138">
        <v>2.0398200000000002</v>
      </c>
      <c r="DP138">
        <v>0.11361400000000001</v>
      </c>
      <c r="DQ138">
        <v>0.164159</v>
      </c>
      <c r="DR138">
        <v>25.109000000000002</v>
      </c>
      <c r="DS138">
        <v>24.939900000000002</v>
      </c>
      <c r="DT138">
        <v>50.5</v>
      </c>
      <c r="DU138">
        <v>29.4</v>
      </c>
      <c r="DV138">
        <v>20.975200000000001</v>
      </c>
      <c r="DW138">
        <v>61.648699999999998</v>
      </c>
      <c r="DX138">
        <v>36.314100000000003</v>
      </c>
      <c r="DY138">
        <v>1</v>
      </c>
      <c r="DZ138">
        <v>-9.2677800000000005E-2</v>
      </c>
      <c r="EA138">
        <v>-5.9621500000000001E-2</v>
      </c>
      <c r="EB138">
        <v>20.189800000000002</v>
      </c>
      <c r="EC138">
        <v>5.24125</v>
      </c>
      <c r="ED138">
        <v>12.039899999999999</v>
      </c>
      <c r="EE138">
        <v>5.0171999999999999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1.8689100000000001</v>
      </c>
      <c r="EL138">
        <v>1.8646400000000001</v>
      </c>
      <c r="EM138">
        <v>1.8692</v>
      </c>
      <c r="EN138">
        <v>1.86724</v>
      </c>
      <c r="EO138">
        <v>1.8633999999999999</v>
      </c>
      <c r="EP138">
        <v>1.86456</v>
      </c>
      <c r="EQ138">
        <v>1.87019</v>
      </c>
      <c r="ER138">
        <v>1.8694500000000001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-0.31900000000000001</v>
      </c>
      <c r="FG138">
        <v>0.1628</v>
      </c>
      <c r="FH138">
        <v>5.8509882529719233E-2</v>
      </c>
      <c r="FI138">
        <v>-6.1462078757559423E-4</v>
      </c>
      <c r="FJ138">
        <v>-1.8861989874597051E-7</v>
      </c>
      <c r="FK138">
        <v>1.1980462299894961E-10</v>
      </c>
      <c r="FL138">
        <v>0.16277811159127681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29</v>
      </c>
      <c r="FU138">
        <v>29.2</v>
      </c>
      <c r="FV138">
        <v>1.7761199999999999</v>
      </c>
      <c r="FW138">
        <v>2.5842299999999998</v>
      </c>
      <c r="FX138">
        <v>1.5490699999999999</v>
      </c>
      <c r="FY138">
        <v>2.3278799999999999</v>
      </c>
      <c r="FZ138">
        <v>1.50146</v>
      </c>
      <c r="GA138">
        <v>2.3303199999999999</v>
      </c>
      <c r="GB138">
        <v>33.941299999999998</v>
      </c>
      <c r="GC138">
        <v>23.982399999999998</v>
      </c>
      <c r="GD138">
        <v>19</v>
      </c>
      <c r="GE138">
        <v>284.86799999999999</v>
      </c>
      <c r="GF138">
        <v>586.19799999999998</v>
      </c>
      <c r="GG138">
        <v>24.5138</v>
      </c>
      <c r="GH138">
        <v>26.217700000000001</v>
      </c>
      <c r="GI138">
        <v>30.0002</v>
      </c>
      <c r="GJ138">
        <v>26.368099999999998</v>
      </c>
      <c r="GK138">
        <v>26.354500000000002</v>
      </c>
      <c r="GL138">
        <v>35.524299999999997</v>
      </c>
      <c r="GM138">
        <v>60.800199999999997</v>
      </c>
      <c r="GN138">
        <v>67.720799999999997</v>
      </c>
      <c r="GO138">
        <v>24.531199999999998</v>
      </c>
      <c r="GP138">
        <v>800</v>
      </c>
      <c r="GQ138">
        <v>8.5187200000000001</v>
      </c>
      <c r="GR138">
        <v>99.740099999999998</v>
      </c>
      <c r="GS138">
        <v>99.577200000000005</v>
      </c>
    </row>
    <row r="139" spans="1:201" x14ac:dyDescent="0.25">
      <c r="A139">
        <v>123</v>
      </c>
      <c r="B139">
        <v>1690222275.0999999</v>
      </c>
      <c r="C139">
        <v>1392.599999904633</v>
      </c>
      <c r="D139" t="s">
        <v>577</v>
      </c>
      <c r="E139" t="s">
        <v>578</v>
      </c>
      <c r="F139" t="s">
        <v>330</v>
      </c>
      <c r="H139">
        <v>1690222275.0999999</v>
      </c>
      <c r="I139">
        <f t="shared" si="30"/>
        <v>1.4797032537141291E-3</v>
      </c>
      <c r="J139">
        <f t="shared" si="31"/>
        <v>1.479703253714129</v>
      </c>
      <c r="K139">
        <f t="shared" si="32"/>
        <v>23.214140843517239</v>
      </c>
      <c r="L139">
        <f t="shared" si="33"/>
        <v>550.20299999999997</v>
      </c>
      <c r="M139">
        <f t="shared" si="34"/>
        <v>167.26367227231435</v>
      </c>
      <c r="N139">
        <f t="shared" si="35"/>
        <v>16.590420834109683</v>
      </c>
      <c r="O139">
        <f t="shared" si="36"/>
        <v>54.573113158298995</v>
      </c>
      <c r="P139">
        <f t="shared" si="37"/>
        <v>0.1013914088410711</v>
      </c>
      <c r="Q139">
        <f t="shared" si="38"/>
        <v>2.1911615234657154</v>
      </c>
      <c r="R139">
        <f t="shared" si="39"/>
        <v>9.8855241432321619E-2</v>
      </c>
      <c r="S139">
        <f t="shared" si="40"/>
        <v>6.2007106632565728E-2</v>
      </c>
      <c r="T139">
        <f t="shared" si="41"/>
        <v>276.11628111000005</v>
      </c>
      <c r="U139">
        <f t="shared" si="42"/>
        <v>27.866955103668076</v>
      </c>
      <c r="V139">
        <f t="shared" si="43"/>
        <v>27.866955103668076</v>
      </c>
      <c r="W139">
        <f t="shared" si="44"/>
        <v>3.7655060672232379</v>
      </c>
      <c r="X139">
        <f t="shared" si="45"/>
        <v>67.971334747021913</v>
      </c>
      <c r="Y139">
        <f t="shared" si="46"/>
        <v>2.3264266312916999</v>
      </c>
      <c r="Z139">
        <f t="shared" si="47"/>
        <v>3.4226584485213887</v>
      </c>
      <c r="AA139">
        <f t="shared" si="48"/>
        <v>1.439079435931538</v>
      </c>
      <c r="AB139">
        <f t="shared" si="49"/>
        <v>-65.254913488793093</v>
      </c>
      <c r="AC139">
        <f t="shared" si="50"/>
        <v>-192.0857268771164</v>
      </c>
      <c r="AD139">
        <f t="shared" si="51"/>
        <v>-18.929234267808976</v>
      </c>
      <c r="AE139">
        <f t="shared" si="52"/>
        <v>-0.15359352371839918</v>
      </c>
      <c r="AF139">
        <v>0</v>
      </c>
      <c r="AG139">
        <v>0</v>
      </c>
      <c r="AH139">
        <f t="shared" si="53"/>
        <v>1</v>
      </c>
      <c r="AI139">
        <f t="shared" si="54"/>
        <v>0</v>
      </c>
      <c r="AJ139">
        <f t="shared" si="55"/>
        <v>52398.297389843639</v>
      </c>
      <c r="AK139">
        <f t="shared" si="56"/>
        <v>1800</v>
      </c>
      <c r="AL139">
        <f t="shared" si="57"/>
        <v>1499.1118739999999</v>
      </c>
      <c r="AM139">
        <f t="shared" si="58"/>
        <v>0.83283993000000001</v>
      </c>
      <c r="AN139">
        <f t="shared" si="59"/>
        <v>0.15339793395000001</v>
      </c>
      <c r="AO139">
        <v>31.2</v>
      </c>
      <c r="AP139">
        <v>0.5</v>
      </c>
      <c r="AQ139" t="s">
        <v>331</v>
      </c>
      <c r="AR139">
        <v>2</v>
      </c>
      <c r="AS139">
        <v>1690222275.0999999</v>
      </c>
      <c r="AT139">
        <v>550.20299999999997</v>
      </c>
      <c r="AU139">
        <v>800.00300000000004</v>
      </c>
      <c r="AV139">
        <v>23.454899999999999</v>
      </c>
      <c r="AW139">
        <v>8.4325899999999994</v>
      </c>
      <c r="AX139">
        <v>550.52</v>
      </c>
      <c r="AY139">
        <v>23.292200000000001</v>
      </c>
      <c r="AZ139">
        <v>300.113</v>
      </c>
      <c r="BA139">
        <v>99.087199999999996</v>
      </c>
      <c r="BB139">
        <v>0.100033</v>
      </c>
      <c r="BC139">
        <v>26.2409</v>
      </c>
      <c r="BD139">
        <v>26.998200000000001</v>
      </c>
      <c r="BE139">
        <v>27.6252</v>
      </c>
      <c r="BF139">
        <v>0</v>
      </c>
      <c r="BG139">
        <v>0</v>
      </c>
      <c r="BH139">
        <v>9974.3799999999992</v>
      </c>
      <c r="BI139">
        <v>1072.5899999999999</v>
      </c>
      <c r="BJ139">
        <v>1.4437</v>
      </c>
      <c r="BK139">
        <v>-249.8</v>
      </c>
      <c r="BL139">
        <v>563.41800000000001</v>
      </c>
      <c r="BM139">
        <v>806.80700000000002</v>
      </c>
      <c r="BN139">
        <v>15.022399999999999</v>
      </c>
      <c r="BO139">
        <v>800.00300000000004</v>
      </c>
      <c r="BP139">
        <v>8.4325899999999994</v>
      </c>
      <c r="BQ139">
        <v>2.32409</v>
      </c>
      <c r="BR139">
        <v>0.83556200000000003</v>
      </c>
      <c r="BS139">
        <v>19.8443</v>
      </c>
      <c r="BT139">
        <v>4.3262499999999999</v>
      </c>
      <c r="BU139">
        <v>1800</v>
      </c>
      <c r="BV139">
        <v>0.90998800000000002</v>
      </c>
      <c r="BW139">
        <v>3.4000500000000003E-2</v>
      </c>
      <c r="BX139">
        <v>2.2005500000000001E-2</v>
      </c>
      <c r="BY139">
        <v>3.4006500000000002E-2</v>
      </c>
      <c r="BZ139">
        <v>26</v>
      </c>
      <c r="CA139">
        <v>33528.300000000003</v>
      </c>
      <c r="CB139">
        <v>1690220522.5999999</v>
      </c>
      <c r="CC139" t="s">
        <v>332</v>
      </c>
      <c r="CD139">
        <v>1690220522.5999999</v>
      </c>
      <c r="CE139">
        <v>1690220510.5999999</v>
      </c>
      <c r="CF139">
        <v>10</v>
      </c>
      <c r="CG139">
        <v>-0.22</v>
      </c>
      <c r="CH139">
        <v>-2.7E-2</v>
      </c>
      <c r="CI139">
        <v>-0.49299999999999999</v>
      </c>
      <c r="CJ139">
        <v>0.152</v>
      </c>
      <c r="CK139">
        <v>800</v>
      </c>
      <c r="CL139">
        <v>19</v>
      </c>
      <c r="CM139">
        <v>0.1</v>
      </c>
      <c r="CN139">
        <v>0.03</v>
      </c>
      <c r="CO139">
        <v>-246.56243902439019</v>
      </c>
      <c r="CP139">
        <v>-17.921581881533061</v>
      </c>
      <c r="CQ139">
        <v>1.767398460860681</v>
      </c>
      <c r="CR139">
        <v>-1</v>
      </c>
      <c r="CS139">
        <v>14.757485365853659</v>
      </c>
      <c r="CT139">
        <v>1.2870857142856851</v>
      </c>
      <c r="CU139">
        <v>0.1273902043961217</v>
      </c>
      <c r="CV139">
        <v>-1</v>
      </c>
      <c r="CW139">
        <v>0</v>
      </c>
      <c r="CX139">
        <v>0</v>
      </c>
      <c r="CY139" t="s">
        <v>333</v>
      </c>
      <c r="CZ139">
        <v>2.3643900000000002</v>
      </c>
      <c r="DA139">
        <v>2.7138</v>
      </c>
      <c r="DB139">
        <v>0.11333500000000001</v>
      </c>
      <c r="DC139">
        <v>0.146146</v>
      </c>
      <c r="DD139">
        <v>0.11215899999999999</v>
      </c>
      <c r="DE139">
        <v>5.1814899999999997E-2</v>
      </c>
      <c r="DF139">
        <v>32377.1</v>
      </c>
      <c r="DG139">
        <v>27520.3</v>
      </c>
      <c r="DH139">
        <v>31173.3</v>
      </c>
      <c r="DI139">
        <v>28084.5</v>
      </c>
      <c r="DJ139">
        <v>37573.699999999997</v>
      </c>
      <c r="DK139">
        <v>37868.400000000001</v>
      </c>
      <c r="DL139">
        <v>44363.7</v>
      </c>
      <c r="DM139">
        <v>42566.7</v>
      </c>
      <c r="DN139">
        <v>1.4813000000000001</v>
      </c>
      <c r="DO139">
        <v>2.0398200000000002</v>
      </c>
      <c r="DP139">
        <v>0.115082</v>
      </c>
      <c r="DQ139">
        <v>0.163719</v>
      </c>
      <c r="DR139">
        <v>25.113299999999999</v>
      </c>
      <c r="DS139">
        <v>24.944600000000001</v>
      </c>
      <c r="DT139">
        <v>50.1</v>
      </c>
      <c r="DU139">
        <v>29.4</v>
      </c>
      <c r="DV139">
        <v>20.812100000000001</v>
      </c>
      <c r="DW139">
        <v>62.148699999999998</v>
      </c>
      <c r="DX139">
        <v>37.171500000000002</v>
      </c>
      <c r="DY139">
        <v>1</v>
      </c>
      <c r="DZ139">
        <v>-9.3084399999999998E-2</v>
      </c>
      <c r="EA139">
        <v>-5.4095900000000002E-2</v>
      </c>
      <c r="EB139">
        <v>20.189599999999999</v>
      </c>
      <c r="EC139">
        <v>5.24125</v>
      </c>
      <c r="ED139">
        <v>12.039899999999999</v>
      </c>
      <c r="EE139">
        <v>5.0172499999999998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1.8689199999999999</v>
      </c>
      <c r="EL139">
        <v>1.86463</v>
      </c>
      <c r="EM139">
        <v>1.8691899999999999</v>
      </c>
      <c r="EN139">
        <v>1.8672200000000001</v>
      </c>
      <c r="EO139">
        <v>1.8633999999999999</v>
      </c>
      <c r="EP139">
        <v>1.86456</v>
      </c>
      <c r="EQ139">
        <v>1.8702000000000001</v>
      </c>
      <c r="ER139">
        <v>1.86947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-0.317</v>
      </c>
      <c r="FG139">
        <v>0.16270000000000001</v>
      </c>
      <c r="FH139">
        <v>5.8509882529719233E-2</v>
      </c>
      <c r="FI139">
        <v>-6.1462078757559423E-4</v>
      </c>
      <c r="FJ139">
        <v>-1.8861989874597051E-7</v>
      </c>
      <c r="FK139">
        <v>1.1980462299894961E-10</v>
      </c>
      <c r="FL139">
        <v>0.16277811159127681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29.2</v>
      </c>
      <c r="FU139">
        <v>29.4</v>
      </c>
      <c r="FV139">
        <v>1.7761199999999999</v>
      </c>
      <c r="FW139">
        <v>2.5854499999999998</v>
      </c>
      <c r="FX139">
        <v>1.5490699999999999</v>
      </c>
      <c r="FY139">
        <v>2.3278799999999999</v>
      </c>
      <c r="FZ139">
        <v>1.50146</v>
      </c>
      <c r="GA139">
        <v>2.33887</v>
      </c>
      <c r="GB139">
        <v>33.941299999999998</v>
      </c>
      <c r="GC139">
        <v>23.973700000000001</v>
      </c>
      <c r="GD139">
        <v>19</v>
      </c>
      <c r="GE139">
        <v>285.12700000000001</v>
      </c>
      <c r="GF139">
        <v>586.173</v>
      </c>
      <c r="GG139">
        <v>24.546600000000002</v>
      </c>
      <c r="GH139">
        <v>26.215499999999999</v>
      </c>
      <c r="GI139">
        <v>30.0001</v>
      </c>
      <c r="GJ139">
        <v>26.3659</v>
      </c>
      <c r="GK139">
        <v>26.3522</v>
      </c>
      <c r="GL139">
        <v>35.516500000000001</v>
      </c>
      <c r="GM139">
        <v>61.110399999999998</v>
      </c>
      <c r="GN139">
        <v>66.963200000000001</v>
      </c>
      <c r="GO139">
        <v>24.546299999999999</v>
      </c>
      <c r="GP139">
        <v>800</v>
      </c>
      <c r="GQ139">
        <v>8.3106100000000005</v>
      </c>
      <c r="GR139">
        <v>99.742699999999999</v>
      </c>
      <c r="GS139">
        <v>99.578100000000006</v>
      </c>
    </row>
    <row r="140" spans="1:201" x14ac:dyDescent="0.25">
      <c r="A140">
        <v>124</v>
      </c>
      <c r="B140">
        <v>1690222285.0999999</v>
      </c>
      <c r="C140">
        <v>1402.599999904633</v>
      </c>
      <c r="D140" t="s">
        <v>579</v>
      </c>
      <c r="E140" t="s">
        <v>580</v>
      </c>
      <c r="F140" t="s">
        <v>330</v>
      </c>
      <c r="H140">
        <v>1690222285.0999999</v>
      </c>
      <c r="I140">
        <f t="shared" si="30"/>
        <v>1.4992200643495319E-3</v>
      </c>
      <c r="J140">
        <f t="shared" si="31"/>
        <v>1.4992200643495319</v>
      </c>
      <c r="K140">
        <f t="shared" si="32"/>
        <v>23.489259993075734</v>
      </c>
      <c r="L140">
        <f t="shared" si="33"/>
        <v>547.27</v>
      </c>
      <c r="M140">
        <f t="shared" si="34"/>
        <v>165.09368906339196</v>
      </c>
      <c r="N140">
        <f t="shared" si="35"/>
        <v>16.3754020969774</v>
      </c>
      <c r="O140">
        <f t="shared" si="36"/>
        <v>54.282912668889004</v>
      </c>
      <c r="P140">
        <f t="shared" si="37"/>
        <v>0.10280783576202801</v>
      </c>
      <c r="Q140">
        <f t="shared" si="38"/>
        <v>2.1985521515084487</v>
      </c>
      <c r="R140">
        <f t="shared" si="39"/>
        <v>0.10020981811096974</v>
      </c>
      <c r="S140">
        <f t="shared" si="40"/>
        <v>6.2859089570675777E-2</v>
      </c>
      <c r="T140">
        <f t="shared" si="41"/>
        <v>276.11606516399996</v>
      </c>
      <c r="U140">
        <f t="shared" si="42"/>
        <v>27.867538132211486</v>
      </c>
      <c r="V140">
        <f t="shared" si="43"/>
        <v>27.867538132211486</v>
      </c>
      <c r="W140">
        <f t="shared" si="44"/>
        <v>3.7656341799681026</v>
      </c>
      <c r="X140">
        <f t="shared" si="45"/>
        <v>67.947015549432706</v>
      </c>
      <c r="Y140">
        <f t="shared" si="46"/>
        <v>2.3272706492981703</v>
      </c>
      <c r="Z140">
        <f t="shared" si="47"/>
        <v>3.4251256372033558</v>
      </c>
      <c r="AA140">
        <f t="shared" si="48"/>
        <v>1.4383635306699323</v>
      </c>
      <c r="AB140">
        <f t="shared" si="49"/>
        <v>-66.115604837814359</v>
      </c>
      <c r="AC140">
        <f t="shared" si="50"/>
        <v>-191.35667764298913</v>
      </c>
      <c r="AD140">
        <f t="shared" si="51"/>
        <v>-18.795197828636315</v>
      </c>
      <c r="AE140">
        <f t="shared" si="52"/>
        <v>-0.15141514543987</v>
      </c>
      <c r="AF140">
        <v>0</v>
      </c>
      <c r="AG140">
        <v>0</v>
      </c>
      <c r="AH140">
        <f t="shared" si="53"/>
        <v>1</v>
      </c>
      <c r="AI140">
        <f t="shared" si="54"/>
        <v>0</v>
      </c>
      <c r="AJ140">
        <f t="shared" si="55"/>
        <v>52699.238421068745</v>
      </c>
      <c r="AK140">
        <f t="shared" si="56"/>
        <v>1800</v>
      </c>
      <c r="AL140">
        <f t="shared" si="57"/>
        <v>1499.1116093999999</v>
      </c>
      <c r="AM140">
        <f t="shared" si="58"/>
        <v>0.83283978299999994</v>
      </c>
      <c r="AN140">
        <f t="shared" si="59"/>
        <v>0.15339781397999999</v>
      </c>
      <c r="AO140">
        <v>31.2</v>
      </c>
      <c r="AP140">
        <v>0.5</v>
      </c>
      <c r="AQ140" t="s">
        <v>331</v>
      </c>
      <c r="AR140">
        <v>2</v>
      </c>
      <c r="AS140">
        <v>1690222285.0999999</v>
      </c>
      <c r="AT140">
        <v>547.27</v>
      </c>
      <c r="AU140">
        <v>799.92200000000003</v>
      </c>
      <c r="AV140">
        <v>23.463100000000001</v>
      </c>
      <c r="AW140">
        <v>8.2472399999999997</v>
      </c>
      <c r="AX140">
        <v>547.58500000000004</v>
      </c>
      <c r="AY140">
        <v>23.3004</v>
      </c>
      <c r="AZ140">
        <v>300.20100000000002</v>
      </c>
      <c r="BA140">
        <v>99.0886</v>
      </c>
      <c r="BB140">
        <v>9.9940699999999993E-2</v>
      </c>
      <c r="BC140">
        <v>26.2531</v>
      </c>
      <c r="BD140">
        <v>26.993099999999998</v>
      </c>
      <c r="BE140">
        <v>27.617000000000001</v>
      </c>
      <c r="BF140">
        <v>0</v>
      </c>
      <c r="BG140">
        <v>0</v>
      </c>
      <c r="BH140">
        <v>10034.4</v>
      </c>
      <c r="BI140">
        <v>1072.67</v>
      </c>
      <c r="BJ140">
        <v>1.68198</v>
      </c>
      <c r="BK140">
        <v>-252.65100000000001</v>
      </c>
      <c r="BL140">
        <v>560.41999999999996</v>
      </c>
      <c r="BM140">
        <v>806.57399999999996</v>
      </c>
      <c r="BN140">
        <v>15.2159</v>
      </c>
      <c r="BO140">
        <v>799.92200000000003</v>
      </c>
      <c r="BP140">
        <v>8.2472399999999997</v>
      </c>
      <c r="BQ140">
        <v>2.3249300000000002</v>
      </c>
      <c r="BR140">
        <v>0.81720700000000002</v>
      </c>
      <c r="BS140">
        <v>19.850200000000001</v>
      </c>
      <c r="BT140">
        <v>4.0097500000000004</v>
      </c>
      <c r="BU140">
        <v>1800</v>
      </c>
      <c r="BV140">
        <v>0.90998999999999997</v>
      </c>
      <c r="BW140">
        <v>3.3999599999999998E-2</v>
      </c>
      <c r="BX140">
        <v>2.2004900000000001E-2</v>
      </c>
      <c r="BY140">
        <v>3.4005599999999997E-2</v>
      </c>
      <c r="BZ140">
        <v>26</v>
      </c>
      <c r="CA140">
        <v>33528.300000000003</v>
      </c>
      <c r="CB140">
        <v>1690220522.5999999</v>
      </c>
      <c r="CC140" t="s">
        <v>332</v>
      </c>
      <c r="CD140">
        <v>1690220522.5999999</v>
      </c>
      <c r="CE140">
        <v>1690220510.5999999</v>
      </c>
      <c r="CF140">
        <v>10</v>
      </c>
      <c r="CG140">
        <v>-0.22</v>
      </c>
      <c r="CH140">
        <v>-2.7E-2</v>
      </c>
      <c r="CI140">
        <v>-0.49299999999999999</v>
      </c>
      <c r="CJ140">
        <v>0.152</v>
      </c>
      <c r="CK140">
        <v>800</v>
      </c>
      <c r="CL140">
        <v>19</v>
      </c>
      <c r="CM140">
        <v>0.1</v>
      </c>
      <c r="CN140">
        <v>0.03</v>
      </c>
      <c r="CO140">
        <v>-249.4500243902439</v>
      </c>
      <c r="CP140">
        <v>-17.172020905923759</v>
      </c>
      <c r="CQ140">
        <v>1.6962698745217391</v>
      </c>
      <c r="CR140">
        <v>-1</v>
      </c>
      <c r="CS140">
        <v>14.970234146341459</v>
      </c>
      <c r="CT140">
        <v>1.2805358885017419</v>
      </c>
      <c r="CU140">
        <v>0.12659122153851229</v>
      </c>
      <c r="CV140">
        <v>-1</v>
      </c>
      <c r="CW140">
        <v>0</v>
      </c>
      <c r="CX140">
        <v>0</v>
      </c>
      <c r="CY140" t="s">
        <v>333</v>
      </c>
      <c r="CZ140">
        <v>2.36469</v>
      </c>
      <c r="DA140">
        <v>2.7137600000000002</v>
      </c>
      <c r="DB140">
        <v>0.112904</v>
      </c>
      <c r="DC140">
        <v>0.14613499999999999</v>
      </c>
      <c r="DD140">
        <v>0.112189</v>
      </c>
      <c r="DE140">
        <v>5.09188E-2</v>
      </c>
      <c r="DF140">
        <v>32392.7</v>
      </c>
      <c r="DG140">
        <v>27520.6</v>
      </c>
      <c r="DH140">
        <v>31173.200000000001</v>
      </c>
      <c r="DI140">
        <v>28084.5</v>
      </c>
      <c r="DJ140">
        <v>37572.199999999997</v>
      </c>
      <c r="DK140">
        <v>37904.1</v>
      </c>
      <c r="DL140">
        <v>44363.6</v>
      </c>
      <c r="DM140">
        <v>42566.5</v>
      </c>
      <c r="DN140">
        <v>1.48108</v>
      </c>
      <c r="DO140">
        <v>2.03932</v>
      </c>
      <c r="DP140">
        <v>0.11444799999999999</v>
      </c>
      <c r="DQ140">
        <v>0.16289200000000001</v>
      </c>
      <c r="DR140">
        <v>25.118600000000001</v>
      </c>
      <c r="DS140">
        <v>24.9499</v>
      </c>
      <c r="DT140">
        <v>49.8</v>
      </c>
      <c r="DU140">
        <v>29.4</v>
      </c>
      <c r="DV140">
        <v>20.682700000000001</v>
      </c>
      <c r="DW140">
        <v>61.2087</v>
      </c>
      <c r="DX140">
        <v>36.5745</v>
      </c>
      <c r="DY140">
        <v>1</v>
      </c>
      <c r="DZ140">
        <v>-9.2718499999999995E-2</v>
      </c>
      <c r="EA140">
        <v>0.55967299999999998</v>
      </c>
      <c r="EB140">
        <v>20.188099999999999</v>
      </c>
      <c r="EC140">
        <v>5.2411000000000003</v>
      </c>
      <c r="ED140">
        <v>12.039899999999999</v>
      </c>
      <c r="EE140">
        <v>5.0172499999999998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1.86893</v>
      </c>
      <c r="EL140">
        <v>1.86463</v>
      </c>
      <c r="EM140">
        <v>1.8691899999999999</v>
      </c>
      <c r="EN140">
        <v>1.8672200000000001</v>
      </c>
      <c r="EO140">
        <v>1.8633999999999999</v>
      </c>
      <c r="EP140">
        <v>1.8645400000000001</v>
      </c>
      <c r="EQ140">
        <v>1.87019</v>
      </c>
      <c r="ER140">
        <v>1.8694500000000001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-0.315</v>
      </c>
      <c r="FG140">
        <v>0.16270000000000001</v>
      </c>
      <c r="FH140">
        <v>5.8509882529719233E-2</v>
      </c>
      <c r="FI140">
        <v>-6.1462078757559423E-4</v>
      </c>
      <c r="FJ140">
        <v>-1.8861989874597051E-7</v>
      </c>
      <c r="FK140">
        <v>1.1980462299894961E-10</v>
      </c>
      <c r="FL140">
        <v>0.16277811159127681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29.4</v>
      </c>
      <c r="FU140">
        <v>29.6</v>
      </c>
      <c r="FV140">
        <v>1.7761199999999999</v>
      </c>
      <c r="FW140">
        <v>2.5744600000000002</v>
      </c>
      <c r="FX140">
        <v>1.5490699999999999</v>
      </c>
      <c r="FY140">
        <v>2.3278799999999999</v>
      </c>
      <c r="FZ140">
        <v>1.50146</v>
      </c>
      <c r="GA140">
        <v>2.4023400000000001</v>
      </c>
      <c r="GB140">
        <v>33.941299999999998</v>
      </c>
      <c r="GC140">
        <v>23.991199999999999</v>
      </c>
      <c r="GD140">
        <v>19</v>
      </c>
      <c r="GE140">
        <v>285.02</v>
      </c>
      <c r="GF140">
        <v>585.73400000000004</v>
      </c>
      <c r="GG140">
        <v>24.458600000000001</v>
      </c>
      <c r="GH140">
        <v>26.2133</v>
      </c>
      <c r="GI140">
        <v>30.000399999999999</v>
      </c>
      <c r="GJ140">
        <v>26.363700000000001</v>
      </c>
      <c r="GK140">
        <v>26.350100000000001</v>
      </c>
      <c r="GL140">
        <v>35.518000000000001</v>
      </c>
      <c r="GM140">
        <v>61.673099999999998</v>
      </c>
      <c r="GN140">
        <v>66.209299999999999</v>
      </c>
      <c r="GO140">
        <v>24.393899999999999</v>
      </c>
      <c r="GP140">
        <v>800</v>
      </c>
      <c r="GQ140">
        <v>8.1089800000000007</v>
      </c>
      <c r="GR140">
        <v>99.742500000000007</v>
      </c>
      <c r="GS140">
        <v>99.577699999999993</v>
      </c>
    </row>
    <row r="141" spans="1:201" x14ac:dyDescent="0.25">
      <c r="A141">
        <v>125</v>
      </c>
      <c r="B141">
        <v>1690222295.0999999</v>
      </c>
      <c r="C141">
        <v>1412.599999904633</v>
      </c>
      <c r="D141" t="s">
        <v>581</v>
      </c>
      <c r="E141" t="s">
        <v>582</v>
      </c>
      <c r="F141" t="s">
        <v>330</v>
      </c>
      <c r="H141">
        <v>1690222295.0999999</v>
      </c>
      <c r="I141">
        <f t="shared" si="30"/>
        <v>1.5180192665434974E-3</v>
      </c>
      <c r="J141">
        <f t="shared" si="31"/>
        <v>1.5180192665434973</v>
      </c>
      <c r="K141">
        <f t="shared" si="32"/>
        <v>23.771704445969995</v>
      </c>
      <c r="L141">
        <f t="shared" si="33"/>
        <v>544.49</v>
      </c>
      <c r="M141">
        <f t="shared" si="34"/>
        <v>163.0385604354974</v>
      </c>
      <c r="N141">
        <f t="shared" si="35"/>
        <v>16.171243413185596</v>
      </c>
      <c r="O141">
        <f t="shared" si="36"/>
        <v>54.006121634820005</v>
      </c>
      <c r="P141">
        <f t="shared" si="37"/>
        <v>0.10427016451027557</v>
      </c>
      <c r="Q141">
        <f t="shared" si="38"/>
        <v>2.1882245926686741</v>
      </c>
      <c r="R141">
        <f t="shared" si="39"/>
        <v>0.1015864890267319</v>
      </c>
      <c r="S141">
        <f t="shared" si="40"/>
        <v>6.372692017339962E-2</v>
      </c>
      <c r="T141">
        <f t="shared" si="41"/>
        <v>276.11453968181303</v>
      </c>
      <c r="U141">
        <f t="shared" si="42"/>
        <v>27.854984494350319</v>
      </c>
      <c r="V141">
        <f t="shared" si="43"/>
        <v>27.854984494350319</v>
      </c>
      <c r="W141">
        <f t="shared" si="44"/>
        <v>3.7628765259887555</v>
      </c>
      <c r="X141">
        <f t="shared" si="45"/>
        <v>67.968730548814179</v>
      </c>
      <c r="Y141">
        <f t="shared" si="46"/>
        <v>2.3262138332921998</v>
      </c>
      <c r="Z141">
        <f t="shared" si="47"/>
        <v>3.4224765042824301</v>
      </c>
      <c r="AA141">
        <f t="shared" si="48"/>
        <v>1.4366626926965558</v>
      </c>
      <c r="AB141">
        <f t="shared" si="49"/>
        <v>-66.944649654568238</v>
      </c>
      <c r="AC141">
        <f t="shared" si="50"/>
        <v>-190.52224702177776</v>
      </c>
      <c r="AD141">
        <f t="shared" si="51"/>
        <v>-18.799147595627243</v>
      </c>
      <c r="AE141">
        <f t="shared" si="52"/>
        <v>-0.151504590160215</v>
      </c>
      <c r="AF141">
        <v>0</v>
      </c>
      <c r="AG141">
        <v>0</v>
      </c>
      <c r="AH141">
        <f t="shared" si="53"/>
        <v>1</v>
      </c>
      <c r="AI141">
        <f t="shared" si="54"/>
        <v>0</v>
      </c>
      <c r="AJ141">
        <f t="shared" si="55"/>
        <v>52278.302889284991</v>
      </c>
      <c r="AK141">
        <f t="shared" si="56"/>
        <v>1799.99</v>
      </c>
      <c r="AL141">
        <f t="shared" si="57"/>
        <v>1499.10398659825</v>
      </c>
      <c r="AM141">
        <f t="shared" si="58"/>
        <v>0.83284017499999996</v>
      </c>
      <c r="AN141">
        <f t="shared" si="59"/>
        <v>0.15339781870000002</v>
      </c>
      <c r="AO141">
        <v>31.2</v>
      </c>
      <c r="AP141">
        <v>0.5</v>
      </c>
      <c r="AQ141" t="s">
        <v>331</v>
      </c>
      <c r="AR141">
        <v>2</v>
      </c>
      <c r="AS141">
        <v>1690222295.0999999</v>
      </c>
      <c r="AT141">
        <v>544.49</v>
      </c>
      <c r="AU141">
        <v>800.15499999999997</v>
      </c>
      <c r="AV141">
        <v>23.4529</v>
      </c>
      <c r="AW141">
        <v>8.0452100000000009</v>
      </c>
      <c r="AX141">
        <v>544.803</v>
      </c>
      <c r="AY141">
        <v>23.290099999999999</v>
      </c>
      <c r="AZ141">
        <v>300.18400000000003</v>
      </c>
      <c r="BA141">
        <v>99.086600000000004</v>
      </c>
      <c r="BB141">
        <v>0.100018</v>
      </c>
      <c r="BC141">
        <v>26.24</v>
      </c>
      <c r="BD141">
        <v>26.987200000000001</v>
      </c>
      <c r="BE141">
        <v>27.619499999999999</v>
      </c>
      <c r="BF141">
        <v>0</v>
      </c>
      <c r="BG141">
        <v>0</v>
      </c>
      <c r="BH141">
        <v>9950.6200000000008</v>
      </c>
      <c r="BI141">
        <v>1072.72</v>
      </c>
      <c r="BJ141">
        <v>1.68198</v>
      </c>
      <c r="BK141">
        <v>-255.66499999999999</v>
      </c>
      <c r="BL141">
        <v>557.56700000000001</v>
      </c>
      <c r="BM141">
        <v>806.64400000000001</v>
      </c>
      <c r="BN141">
        <v>15.4077</v>
      </c>
      <c r="BO141">
        <v>800.15499999999997</v>
      </c>
      <c r="BP141">
        <v>8.0452100000000009</v>
      </c>
      <c r="BQ141">
        <v>2.3238699999999999</v>
      </c>
      <c r="BR141">
        <v>0.79717300000000002</v>
      </c>
      <c r="BS141">
        <v>19.8428</v>
      </c>
      <c r="BT141">
        <v>3.65706</v>
      </c>
      <c r="BU141">
        <v>1799.99</v>
      </c>
      <c r="BV141">
        <v>0.90999200000000002</v>
      </c>
      <c r="BW141">
        <v>3.3998899999999999E-2</v>
      </c>
      <c r="BX141">
        <v>2.20045E-2</v>
      </c>
      <c r="BY141">
        <v>3.4005000000000001E-2</v>
      </c>
      <c r="BZ141">
        <v>26</v>
      </c>
      <c r="CA141">
        <v>33528.199999999997</v>
      </c>
      <c r="CB141">
        <v>1690220522.5999999</v>
      </c>
      <c r="CC141" t="s">
        <v>332</v>
      </c>
      <c r="CD141">
        <v>1690220522.5999999</v>
      </c>
      <c r="CE141">
        <v>1690220510.5999999</v>
      </c>
      <c r="CF141">
        <v>10</v>
      </c>
      <c r="CG141">
        <v>-0.22</v>
      </c>
      <c r="CH141">
        <v>-2.7E-2</v>
      </c>
      <c r="CI141">
        <v>-0.49299999999999999</v>
      </c>
      <c r="CJ141">
        <v>0.152</v>
      </c>
      <c r="CK141">
        <v>800</v>
      </c>
      <c r="CL141">
        <v>19</v>
      </c>
      <c r="CM141">
        <v>0.1</v>
      </c>
      <c r="CN141">
        <v>0.03</v>
      </c>
      <c r="CO141">
        <v>-252.5806097560976</v>
      </c>
      <c r="CP141">
        <v>-17.683839721254941</v>
      </c>
      <c r="CQ141">
        <v>1.7457872062943149</v>
      </c>
      <c r="CR141">
        <v>-1</v>
      </c>
      <c r="CS141">
        <v>15.1968487804878</v>
      </c>
      <c r="CT141">
        <v>1.154034146341463</v>
      </c>
      <c r="CU141">
        <v>0.11397374991305891</v>
      </c>
      <c r="CV141">
        <v>-1</v>
      </c>
      <c r="CW141">
        <v>0</v>
      </c>
      <c r="CX141">
        <v>0</v>
      </c>
      <c r="CY141" t="s">
        <v>333</v>
      </c>
      <c r="CZ141">
        <v>2.36463</v>
      </c>
      <c r="DA141">
        <v>2.7137699999999998</v>
      </c>
      <c r="DB141">
        <v>0.11249000000000001</v>
      </c>
      <c r="DC141">
        <v>0.14615700000000001</v>
      </c>
      <c r="DD141">
        <v>0.112153</v>
      </c>
      <c r="DE141">
        <v>4.9932200000000003E-2</v>
      </c>
      <c r="DF141">
        <v>32408.2</v>
      </c>
      <c r="DG141">
        <v>27519.599999999999</v>
      </c>
      <c r="DH141">
        <v>31173.5</v>
      </c>
      <c r="DI141">
        <v>28084.2</v>
      </c>
      <c r="DJ141">
        <v>37574</v>
      </c>
      <c r="DK141">
        <v>37943.199999999997</v>
      </c>
      <c r="DL141">
        <v>44363.9</v>
      </c>
      <c r="DM141">
        <v>42566</v>
      </c>
      <c r="DN141">
        <v>1.4814700000000001</v>
      </c>
      <c r="DO141">
        <v>2.0392999999999999</v>
      </c>
      <c r="DP141">
        <v>0.113763</v>
      </c>
      <c r="DQ141">
        <v>0.16275800000000001</v>
      </c>
      <c r="DR141">
        <v>25.123799999999999</v>
      </c>
      <c r="DS141">
        <v>24.954599999999999</v>
      </c>
      <c r="DT141">
        <v>49.4</v>
      </c>
      <c r="DU141">
        <v>29.4</v>
      </c>
      <c r="DV141">
        <v>20.521799999999999</v>
      </c>
      <c r="DW141">
        <v>62.098700000000001</v>
      </c>
      <c r="DX141">
        <v>35.973599999999998</v>
      </c>
      <c r="DY141">
        <v>1</v>
      </c>
      <c r="DZ141">
        <v>-9.2591499999999993E-2</v>
      </c>
      <c r="EA141">
        <v>0.182119</v>
      </c>
      <c r="EB141">
        <v>20.189299999999999</v>
      </c>
      <c r="EC141">
        <v>5.2411000000000003</v>
      </c>
      <c r="ED141">
        <v>12.039899999999999</v>
      </c>
      <c r="EE141">
        <v>5.0172999999999996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1.8689100000000001</v>
      </c>
      <c r="EL141">
        <v>1.86463</v>
      </c>
      <c r="EM141">
        <v>1.86917</v>
      </c>
      <c r="EN141">
        <v>1.8672299999999999</v>
      </c>
      <c r="EO141">
        <v>1.8633999999999999</v>
      </c>
      <c r="EP141">
        <v>1.8645499999999999</v>
      </c>
      <c r="EQ141">
        <v>1.87016</v>
      </c>
      <c r="ER141">
        <v>1.8694500000000001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-0.313</v>
      </c>
      <c r="FG141">
        <v>0.1628</v>
      </c>
      <c r="FH141">
        <v>5.8509882529719233E-2</v>
      </c>
      <c r="FI141">
        <v>-6.1462078757559423E-4</v>
      </c>
      <c r="FJ141">
        <v>-1.8861989874597051E-7</v>
      </c>
      <c r="FK141">
        <v>1.1980462299894961E-10</v>
      </c>
      <c r="FL141">
        <v>0.16277811159127681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29.5</v>
      </c>
      <c r="FU141">
        <v>29.7</v>
      </c>
      <c r="FV141">
        <v>1.7761199999999999</v>
      </c>
      <c r="FW141">
        <v>2.5817899999999998</v>
      </c>
      <c r="FX141">
        <v>1.5490699999999999</v>
      </c>
      <c r="FY141">
        <v>2.3278799999999999</v>
      </c>
      <c r="FZ141">
        <v>1.50146</v>
      </c>
      <c r="GA141">
        <v>2.3706100000000001</v>
      </c>
      <c r="GB141">
        <v>33.941299999999998</v>
      </c>
      <c r="GC141">
        <v>23.982399999999998</v>
      </c>
      <c r="GD141">
        <v>19</v>
      </c>
      <c r="GE141">
        <v>285.18200000000002</v>
      </c>
      <c r="GF141">
        <v>585.68799999999999</v>
      </c>
      <c r="GG141">
        <v>24.372599999999998</v>
      </c>
      <c r="GH141">
        <v>26.211500000000001</v>
      </c>
      <c r="GI141">
        <v>30</v>
      </c>
      <c r="GJ141">
        <v>26.3614</v>
      </c>
      <c r="GK141">
        <v>26.347899999999999</v>
      </c>
      <c r="GL141">
        <v>35.506599999999999</v>
      </c>
      <c r="GM141">
        <v>62.247799999999998</v>
      </c>
      <c r="GN141">
        <v>65.445999999999998</v>
      </c>
      <c r="GO141">
        <v>24.406500000000001</v>
      </c>
      <c r="GP141">
        <v>800</v>
      </c>
      <c r="GQ141">
        <v>7.9171500000000004</v>
      </c>
      <c r="GR141">
        <v>99.743300000000005</v>
      </c>
      <c r="GS141">
        <v>99.576700000000002</v>
      </c>
    </row>
    <row r="142" spans="1:201" x14ac:dyDescent="0.25">
      <c r="A142">
        <v>126</v>
      </c>
      <c r="B142">
        <v>1690222305.0999999</v>
      </c>
      <c r="C142">
        <v>1422.599999904633</v>
      </c>
      <c r="D142" t="s">
        <v>583</v>
      </c>
      <c r="E142" t="s">
        <v>584</v>
      </c>
      <c r="F142" t="s">
        <v>330</v>
      </c>
      <c r="H142">
        <v>1690222305.0999999</v>
      </c>
      <c r="I142">
        <f t="shared" si="30"/>
        <v>1.5355988828281895E-3</v>
      </c>
      <c r="J142">
        <f t="shared" si="31"/>
        <v>1.5355988828281895</v>
      </c>
      <c r="K142">
        <f t="shared" si="32"/>
        <v>24.0415455474403</v>
      </c>
      <c r="L142">
        <f t="shared" si="33"/>
        <v>541.54999999999995</v>
      </c>
      <c r="M142">
        <f t="shared" si="34"/>
        <v>161.19634517950516</v>
      </c>
      <c r="N142">
        <f t="shared" si="35"/>
        <v>15.989250692955727</v>
      </c>
      <c r="O142">
        <f t="shared" si="36"/>
        <v>53.716966740949999</v>
      </c>
      <c r="P142">
        <f t="shared" si="37"/>
        <v>0.10577322757805421</v>
      </c>
      <c r="Q142">
        <f t="shared" si="38"/>
        <v>2.1912849991597647</v>
      </c>
      <c r="R142">
        <f t="shared" si="39"/>
        <v>0.10301647385464691</v>
      </c>
      <c r="S142">
        <f t="shared" si="40"/>
        <v>6.4626995132532131E-2</v>
      </c>
      <c r="T142">
        <f t="shared" si="41"/>
        <v>276.11607366000004</v>
      </c>
      <c r="U142">
        <f t="shared" si="42"/>
        <v>27.841870819629278</v>
      </c>
      <c r="V142">
        <f t="shared" si="43"/>
        <v>27.841870819629278</v>
      </c>
      <c r="W142">
        <f t="shared" si="44"/>
        <v>3.759997730740293</v>
      </c>
      <c r="X142">
        <f t="shared" si="45"/>
        <v>68.005940681498217</v>
      </c>
      <c r="Y142">
        <f t="shared" si="46"/>
        <v>2.3267862967823998</v>
      </c>
      <c r="Z142">
        <f t="shared" si="47"/>
        <v>3.4214456464616312</v>
      </c>
      <c r="AA142">
        <f t="shared" si="48"/>
        <v>1.4332114339578932</v>
      </c>
      <c r="AB142">
        <f t="shared" si="49"/>
        <v>-67.71991073272315</v>
      </c>
      <c r="AC142">
        <f t="shared" si="50"/>
        <v>-189.84199962911953</v>
      </c>
      <c r="AD142">
        <f t="shared" si="51"/>
        <v>-18.704160284813685</v>
      </c>
      <c r="AE142">
        <f t="shared" si="52"/>
        <v>-0.1499969866563049</v>
      </c>
      <c r="AF142">
        <v>0</v>
      </c>
      <c r="AG142">
        <v>0</v>
      </c>
      <c r="AH142">
        <f t="shared" si="53"/>
        <v>1</v>
      </c>
      <c r="AI142">
        <f t="shared" si="54"/>
        <v>0</v>
      </c>
      <c r="AJ142">
        <f t="shared" si="55"/>
        <v>52404.483634917204</v>
      </c>
      <c r="AK142">
        <f t="shared" si="56"/>
        <v>1800</v>
      </c>
      <c r="AL142">
        <f t="shared" si="57"/>
        <v>1499.1123149999999</v>
      </c>
      <c r="AM142">
        <f t="shared" si="58"/>
        <v>0.83284017499999996</v>
      </c>
      <c r="AN142">
        <f t="shared" si="59"/>
        <v>0.15339781870000002</v>
      </c>
      <c r="AO142">
        <v>31.2</v>
      </c>
      <c r="AP142">
        <v>0.5</v>
      </c>
      <c r="AQ142" t="s">
        <v>331</v>
      </c>
      <c r="AR142">
        <v>2</v>
      </c>
      <c r="AS142">
        <v>1690222305.0999999</v>
      </c>
      <c r="AT142">
        <v>541.54999999999995</v>
      </c>
      <c r="AU142">
        <v>800.09199999999998</v>
      </c>
      <c r="AV142">
        <v>23.457599999999999</v>
      </c>
      <c r="AW142">
        <v>7.8703599999999998</v>
      </c>
      <c r="AX142">
        <v>541.86</v>
      </c>
      <c r="AY142">
        <v>23.294899999999998</v>
      </c>
      <c r="AZ142">
        <v>300.161</v>
      </c>
      <c r="BA142">
        <v>99.090999999999994</v>
      </c>
      <c r="BB142">
        <v>0.100149</v>
      </c>
      <c r="BC142">
        <v>26.2349</v>
      </c>
      <c r="BD142">
        <v>26.9255</v>
      </c>
      <c r="BE142">
        <v>27.631</v>
      </c>
      <c r="BF142">
        <v>0</v>
      </c>
      <c r="BG142">
        <v>0</v>
      </c>
      <c r="BH142">
        <v>9975</v>
      </c>
      <c r="BI142">
        <v>1072.72</v>
      </c>
      <c r="BJ142">
        <v>1.68198</v>
      </c>
      <c r="BK142">
        <v>-258.54300000000001</v>
      </c>
      <c r="BL142">
        <v>554.55799999999999</v>
      </c>
      <c r="BM142">
        <v>806.43899999999996</v>
      </c>
      <c r="BN142">
        <v>15.587300000000001</v>
      </c>
      <c r="BO142">
        <v>800.09199999999998</v>
      </c>
      <c r="BP142">
        <v>7.8703599999999998</v>
      </c>
      <c r="BQ142">
        <v>2.3244400000000001</v>
      </c>
      <c r="BR142">
        <v>0.77988199999999996</v>
      </c>
      <c r="BS142">
        <v>19.846800000000002</v>
      </c>
      <c r="BT142">
        <v>3.3462900000000002</v>
      </c>
      <c r="BU142">
        <v>1800</v>
      </c>
      <c r="BV142">
        <v>0.90999200000000002</v>
      </c>
      <c r="BW142">
        <v>3.3998899999999999E-2</v>
      </c>
      <c r="BX142">
        <v>2.20045E-2</v>
      </c>
      <c r="BY142">
        <v>3.4005000000000001E-2</v>
      </c>
      <c r="BZ142">
        <v>26</v>
      </c>
      <c r="CA142">
        <v>33528.199999999997</v>
      </c>
      <c r="CB142">
        <v>1690220522.5999999</v>
      </c>
      <c r="CC142" t="s">
        <v>332</v>
      </c>
      <c r="CD142">
        <v>1690220522.5999999</v>
      </c>
      <c r="CE142">
        <v>1690220510.5999999</v>
      </c>
      <c r="CF142">
        <v>10</v>
      </c>
      <c r="CG142">
        <v>-0.22</v>
      </c>
      <c r="CH142">
        <v>-2.7E-2</v>
      </c>
      <c r="CI142">
        <v>-0.49299999999999999</v>
      </c>
      <c r="CJ142">
        <v>0.152</v>
      </c>
      <c r="CK142">
        <v>800</v>
      </c>
      <c r="CL142">
        <v>19</v>
      </c>
      <c r="CM142">
        <v>0.1</v>
      </c>
      <c r="CN142">
        <v>0.03</v>
      </c>
      <c r="CO142">
        <v>-255.43102439024389</v>
      </c>
      <c r="CP142">
        <v>-17.00268292682868</v>
      </c>
      <c r="CQ142">
        <v>1.6794175890556531</v>
      </c>
      <c r="CR142">
        <v>-1</v>
      </c>
      <c r="CS142">
        <v>15.393173170731711</v>
      </c>
      <c r="CT142">
        <v>1.1412898954703941</v>
      </c>
      <c r="CU142">
        <v>0.1128493773271133</v>
      </c>
      <c r="CV142">
        <v>-1</v>
      </c>
      <c r="CW142">
        <v>0</v>
      </c>
      <c r="CX142">
        <v>0</v>
      </c>
      <c r="CY142" t="s">
        <v>333</v>
      </c>
      <c r="CZ142">
        <v>2.3645700000000001</v>
      </c>
      <c r="DA142">
        <v>2.7139199999999999</v>
      </c>
      <c r="DB142">
        <v>0.11205900000000001</v>
      </c>
      <c r="DC142">
        <v>0.14615300000000001</v>
      </c>
      <c r="DD142">
        <v>0.112174</v>
      </c>
      <c r="DE142">
        <v>4.9075000000000001E-2</v>
      </c>
      <c r="DF142">
        <v>32424.1</v>
      </c>
      <c r="DG142">
        <v>27520.1</v>
      </c>
      <c r="DH142">
        <v>31173.7</v>
      </c>
      <c r="DI142">
        <v>28084.6</v>
      </c>
      <c r="DJ142">
        <v>37573.4</v>
      </c>
      <c r="DK142">
        <v>37978</v>
      </c>
      <c r="DL142">
        <v>44364.2</v>
      </c>
      <c r="DM142">
        <v>42566.6</v>
      </c>
      <c r="DN142">
        <v>1.4817499999999999</v>
      </c>
      <c r="DO142">
        <v>2.0388500000000001</v>
      </c>
      <c r="DP142">
        <v>0.10967300000000001</v>
      </c>
      <c r="DQ142">
        <v>0.16314500000000001</v>
      </c>
      <c r="DR142">
        <v>25.129100000000001</v>
      </c>
      <c r="DS142">
        <v>24.959900000000001</v>
      </c>
      <c r="DT142">
        <v>49.1</v>
      </c>
      <c r="DU142">
        <v>29.4</v>
      </c>
      <c r="DV142">
        <v>20.397500000000001</v>
      </c>
      <c r="DW142">
        <v>61.848700000000001</v>
      </c>
      <c r="DX142">
        <v>36.650599999999997</v>
      </c>
      <c r="DY142">
        <v>1</v>
      </c>
      <c r="DZ142">
        <v>-9.3391799999999997E-2</v>
      </c>
      <c r="EA142">
        <v>3.7979300000000001E-2</v>
      </c>
      <c r="EB142">
        <v>20.189599999999999</v>
      </c>
      <c r="EC142">
        <v>5.2416999999999998</v>
      </c>
      <c r="ED142">
        <v>12.039899999999999</v>
      </c>
      <c r="EE142">
        <v>5.01715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1.86893</v>
      </c>
      <c r="EL142">
        <v>1.86466</v>
      </c>
      <c r="EM142">
        <v>1.8691899999999999</v>
      </c>
      <c r="EN142">
        <v>1.8672200000000001</v>
      </c>
      <c r="EO142">
        <v>1.8633999999999999</v>
      </c>
      <c r="EP142">
        <v>1.86456</v>
      </c>
      <c r="EQ142">
        <v>1.87018</v>
      </c>
      <c r="ER142">
        <v>1.8694299999999999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-0.31</v>
      </c>
      <c r="FG142">
        <v>0.16270000000000001</v>
      </c>
      <c r="FH142">
        <v>5.8509882529719233E-2</v>
      </c>
      <c r="FI142">
        <v>-6.1462078757559423E-4</v>
      </c>
      <c r="FJ142">
        <v>-1.8861989874597051E-7</v>
      </c>
      <c r="FK142">
        <v>1.1980462299894961E-10</v>
      </c>
      <c r="FL142">
        <v>0.16277811159127681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29.7</v>
      </c>
      <c r="FU142">
        <v>29.9</v>
      </c>
      <c r="FV142">
        <v>1.7761199999999999</v>
      </c>
      <c r="FW142">
        <v>2.5830099999999998</v>
      </c>
      <c r="FX142">
        <v>1.5490699999999999</v>
      </c>
      <c r="FY142">
        <v>2.3278799999999999</v>
      </c>
      <c r="FZ142">
        <v>1.50146</v>
      </c>
      <c r="GA142">
        <v>2.3571800000000001</v>
      </c>
      <c r="GB142">
        <v>33.941299999999998</v>
      </c>
      <c r="GC142">
        <v>23.982399999999998</v>
      </c>
      <c r="GD142">
        <v>19</v>
      </c>
      <c r="GE142">
        <v>285.29000000000002</v>
      </c>
      <c r="GF142">
        <v>585.29</v>
      </c>
      <c r="GG142">
        <v>24.4054</v>
      </c>
      <c r="GH142">
        <v>26.2104</v>
      </c>
      <c r="GI142">
        <v>29.9998</v>
      </c>
      <c r="GJ142">
        <v>26.359300000000001</v>
      </c>
      <c r="GK142">
        <v>26.345600000000001</v>
      </c>
      <c r="GL142">
        <v>35.507300000000001</v>
      </c>
      <c r="GM142">
        <v>62.84</v>
      </c>
      <c r="GN142">
        <v>64.686499999999995</v>
      </c>
      <c r="GO142">
        <v>24.450199999999999</v>
      </c>
      <c r="GP142">
        <v>800</v>
      </c>
      <c r="GQ142">
        <v>7.7130599999999996</v>
      </c>
      <c r="GR142">
        <v>99.744</v>
      </c>
      <c r="GS142">
        <v>99.578000000000003</v>
      </c>
    </row>
    <row r="143" spans="1:201" x14ac:dyDescent="0.25">
      <c r="A143">
        <v>127</v>
      </c>
      <c r="B143">
        <v>1690222315.0999999</v>
      </c>
      <c r="C143">
        <v>1432.599999904633</v>
      </c>
      <c r="D143" t="s">
        <v>585</v>
      </c>
      <c r="E143" t="s">
        <v>586</v>
      </c>
      <c r="F143" t="s">
        <v>330</v>
      </c>
      <c r="H143">
        <v>1690222315.0999999</v>
      </c>
      <c r="I143">
        <f t="shared" si="30"/>
        <v>1.5586239902445783E-3</v>
      </c>
      <c r="J143">
        <f t="shared" si="31"/>
        <v>1.5586239902445782</v>
      </c>
      <c r="K143">
        <f t="shared" si="32"/>
        <v>24.290602862952419</v>
      </c>
      <c r="L143">
        <f t="shared" si="33"/>
        <v>538.82100000000003</v>
      </c>
      <c r="M143">
        <f t="shared" si="34"/>
        <v>161.0625059648028</v>
      </c>
      <c r="N143">
        <f t="shared" si="35"/>
        <v>15.97600659571931</v>
      </c>
      <c r="O143">
        <f t="shared" si="36"/>
        <v>53.446379704245004</v>
      </c>
      <c r="P143">
        <f t="shared" si="37"/>
        <v>0.10764449671695818</v>
      </c>
      <c r="Q143">
        <f t="shared" si="38"/>
        <v>2.1934424145475906</v>
      </c>
      <c r="R143">
        <f t="shared" si="39"/>
        <v>0.1047934828036335</v>
      </c>
      <c r="S143">
        <f t="shared" si="40"/>
        <v>6.5745789615586941E-2</v>
      </c>
      <c r="T143">
        <f t="shared" si="41"/>
        <v>276.11590543200003</v>
      </c>
      <c r="U143">
        <f t="shared" si="42"/>
        <v>27.835901917195823</v>
      </c>
      <c r="V143">
        <f t="shared" si="43"/>
        <v>27.835901917195823</v>
      </c>
      <c r="W143">
        <f t="shared" si="44"/>
        <v>3.7586880367690307</v>
      </c>
      <c r="X143">
        <f t="shared" si="45"/>
        <v>68.047312755315019</v>
      </c>
      <c r="Y143">
        <f t="shared" si="46"/>
        <v>2.3286556917580001</v>
      </c>
      <c r="Z143">
        <f t="shared" si="47"/>
        <v>3.4221126411433698</v>
      </c>
      <c r="AA143">
        <f t="shared" si="48"/>
        <v>1.4300323450110306</v>
      </c>
      <c r="AB143">
        <f t="shared" si="49"/>
        <v>-68.735317969785896</v>
      </c>
      <c r="AC143">
        <f t="shared" si="50"/>
        <v>-188.93283304370507</v>
      </c>
      <c r="AD143">
        <f t="shared" si="51"/>
        <v>-18.596026255214088</v>
      </c>
      <c r="AE143">
        <f t="shared" si="52"/>
        <v>-0.14827183670504951</v>
      </c>
      <c r="AF143">
        <v>0</v>
      </c>
      <c r="AG143">
        <v>0</v>
      </c>
      <c r="AH143">
        <f t="shared" si="53"/>
        <v>1</v>
      </c>
      <c r="AI143">
        <f t="shared" si="54"/>
        <v>0</v>
      </c>
      <c r="AJ143">
        <f t="shared" si="55"/>
        <v>52492.276499635918</v>
      </c>
      <c r="AK143">
        <f t="shared" si="56"/>
        <v>1800</v>
      </c>
      <c r="AL143">
        <f t="shared" si="57"/>
        <v>1499.1125921999999</v>
      </c>
      <c r="AM143">
        <f t="shared" si="58"/>
        <v>0.83284032899999993</v>
      </c>
      <c r="AN143">
        <f t="shared" si="59"/>
        <v>0.15339772524</v>
      </c>
      <c r="AO143">
        <v>31.2</v>
      </c>
      <c r="AP143">
        <v>0.5</v>
      </c>
      <c r="AQ143" t="s">
        <v>331</v>
      </c>
      <c r="AR143">
        <v>2</v>
      </c>
      <c r="AS143">
        <v>1690222315.0999999</v>
      </c>
      <c r="AT143">
        <v>538.82100000000003</v>
      </c>
      <c r="AU143">
        <v>800.05200000000002</v>
      </c>
      <c r="AV143">
        <v>23.476400000000002</v>
      </c>
      <c r="AW143">
        <v>7.6548499999999997</v>
      </c>
      <c r="AX143">
        <v>539.13</v>
      </c>
      <c r="AY143">
        <v>23.313600000000001</v>
      </c>
      <c r="AZ143">
        <v>300.14400000000001</v>
      </c>
      <c r="BA143">
        <v>99.091300000000004</v>
      </c>
      <c r="BB143">
        <v>0.100045</v>
      </c>
      <c r="BC143">
        <v>26.238199999999999</v>
      </c>
      <c r="BD143">
        <v>27.01</v>
      </c>
      <c r="BE143">
        <v>27.580400000000001</v>
      </c>
      <c r="BF143">
        <v>0</v>
      </c>
      <c r="BG143">
        <v>0</v>
      </c>
      <c r="BH143">
        <v>9992.5</v>
      </c>
      <c r="BI143">
        <v>1072.72</v>
      </c>
      <c r="BJ143">
        <v>1.68198</v>
      </c>
      <c r="BK143">
        <v>-261.23099999999999</v>
      </c>
      <c r="BL143">
        <v>551.774</v>
      </c>
      <c r="BM143">
        <v>806.22299999999996</v>
      </c>
      <c r="BN143">
        <v>15.8216</v>
      </c>
      <c r="BO143">
        <v>800.05200000000002</v>
      </c>
      <c r="BP143">
        <v>7.6548499999999997</v>
      </c>
      <c r="BQ143">
        <v>2.3263099999999999</v>
      </c>
      <c r="BR143">
        <v>0.75852900000000001</v>
      </c>
      <c r="BS143">
        <v>19.8597</v>
      </c>
      <c r="BT143">
        <v>2.9540199999999999</v>
      </c>
      <c r="BU143">
        <v>1800</v>
      </c>
      <c r="BV143">
        <v>0.909995</v>
      </c>
      <c r="BW143">
        <v>3.3997800000000002E-2</v>
      </c>
      <c r="BX143">
        <v>2.2003700000000001E-2</v>
      </c>
      <c r="BY143">
        <v>3.4003800000000001E-2</v>
      </c>
      <c r="BZ143">
        <v>26</v>
      </c>
      <c r="CA143">
        <v>33528.199999999997</v>
      </c>
      <c r="CB143">
        <v>1690220522.5999999</v>
      </c>
      <c r="CC143" t="s">
        <v>332</v>
      </c>
      <c r="CD143">
        <v>1690220522.5999999</v>
      </c>
      <c r="CE143">
        <v>1690220510.5999999</v>
      </c>
      <c r="CF143">
        <v>10</v>
      </c>
      <c r="CG143">
        <v>-0.22</v>
      </c>
      <c r="CH143">
        <v>-2.7E-2</v>
      </c>
      <c r="CI143">
        <v>-0.49299999999999999</v>
      </c>
      <c r="CJ143">
        <v>0.152</v>
      </c>
      <c r="CK143">
        <v>800</v>
      </c>
      <c r="CL143">
        <v>19</v>
      </c>
      <c r="CM143">
        <v>0.1</v>
      </c>
      <c r="CN143">
        <v>0.03</v>
      </c>
      <c r="CO143">
        <v>-258.215825</v>
      </c>
      <c r="CP143">
        <v>-17.31646153846161</v>
      </c>
      <c r="CQ143">
        <v>1.668642320683198</v>
      </c>
      <c r="CR143">
        <v>-1</v>
      </c>
      <c r="CS143">
        <v>15.591955</v>
      </c>
      <c r="CT143">
        <v>1.2450844277673301</v>
      </c>
      <c r="CU143">
        <v>0.1203380238120937</v>
      </c>
      <c r="CV143">
        <v>-1</v>
      </c>
      <c r="CW143">
        <v>0</v>
      </c>
      <c r="CX143">
        <v>0</v>
      </c>
      <c r="CY143" t="s">
        <v>333</v>
      </c>
      <c r="CZ143">
        <v>2.3645</v>
      </c>
      <c r="DA143">
        <v>2.7138300000000002</v>
      </c>
      <c r="DB143">
        <v>0.111653</v>
      </c>
      <c r="DC143">
        <v>0.146145</v>
      </c>
      <c r="DD143">
        <v>0.11223900000000001</v>
      </c>
      <c r="DE143">
        <v>4.8007300000000003E-2</v>
      </c>
      <c r="DF143">
        <v>32438.7</v>
      </c>
      <c r="DG143">
        <v>27520.5</v>
      </c>
      <c r="DH143">
        <v>31173.5</v>
      </c>
      <c r="DI143">
        <v>28084.7</v>
      </c>
      <c r="DJ143">
        <v>37570.400000000001</v>
      </c>
      <c r="DK143">
        <v>38020.800000000003</v>
      </c>
      <c r="DL143">
        <v>44364</v>
      </c>
      <c r="DM143">
        <v>42566.7</v>
      </c>
      <c r="DN143">
        <v>1.4820500000000001</v>
      </c>
      <c r="DO143">
        <v>2.03857</v>
      </c>
      <c r="DP143">
        <v>0.11461200000000001</v>
      </c>
      <c r="DQ143">
        <v>0.15979299999999999</v>
      </c>
      <c r="DR143">
        <v>25.1328</v>
      </c>
      <c r="DS143">
        <v>24.963999999999999</v>
      </c>
      <c r="DT143">
        <v>48.7</v>
      </c>
      <c r="DU143">
        <v>29.4</v>
      </c>
      <c r="DV143">
        <v>20.2285</v>
      </c>
      <c r="DW143">
        <v>62.048699999999997</v>
      </c>
      <c r="DX143">
        <v>37.079300000000003</v>
      </c>
      <c r="DY143">
        <v>1</v>
      </c>
      <c r="DZ143">
        <v>-9.3821100000000004E-2</v>
      </c>
      <c r="EA143">
        <v>-9.8172700000000002E-2</v>
      </c>
      <c r="EB143">
        <v>20.189699999999998</v>
      </c>
      <c r="EC143">
        <v>5.2416999999999998</v>
      </c>
      <c r="ED143">
        <v>12.039899999999999</v>
      </c>
      <c r="EE143">
        <v>5.0171000000000001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1.8689100000000001</v>
      </c>
      <c r="EL143">
        <v>1.86463</v>
      </c>
      <c r="EM143">
        <v>1.8691899999999999</v>
      </c>
      <c r="EN143">
        <v>1.8672200000000001</v>
      </c>
      <c r="EO143">
        <v>1.8633999999999999</v>
      </c>
      <c r="EP143">
        <v>1.86456</v>
      </c>
      <c r="EQ143">
        <v>1.87016</v>
      </c>
      <c r="ER143">
        <v>1.8694500000000001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-0.309</v>
      </c>
      <c r="FG143">
        <v>0.1628</v>
      </c>
      <c r="FH143">
        <v>5.8509882529719233E-2</v>
      </c>
      <c r="FI143">
        <v>-6.1462078757559423E-4</v>
      </c>
      <c r="FJ143">
        <v>-1.8861989874597051E-7</v>
      </c>
      <c r="FK143">
        <v>1.1980462299894961E-10</v>
      </c>
      <c r="FL143">
        <v>0.16277811159127681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29.9</v>
      </c>
      <c r="FU143">
        <v>30.1</v>
      </c>
      <c r="FV143">
        <v>1.7761199999999999</v>
      </c>
      <c r="FW143">
        <v>2.5891099999999998</v>
      </c>
      <c r="FX143">
        <v>1.5490699999999999</v>
      </c>
      <c r="FY143">
        <v>2.3278799999999999</v>
      </c>
      <c r="FZ143">
        <v>1.50146</v>
      </c>
      <c r="GA143">
        <v>2.2839399999999999</v>
      </c>
      <c r="GB143">
        <v>33.941299999999998</v>
      </c>
      <c r="GC143">
        <v>23.982399999999998</v>
      </c>
      <c r="GD143">
        <v>19</v>
      </c>
      <c r="GE143">
        <v>285.40899999999999</v>
      </c>
      <c r="GF143">
        <v>585.03800000000001</v>
      </c>
      <c r="GG143">
        <v>24.476800000000001</v>
      </c>
      <c r="GH143">
        <v>26.2089</v>
      </c>
      <c r="GI143">
        <v>30</v>
      </c>
      <c r="GJ143">
        <v>26.357099999999999</v>
      </c>
      <c r="GK143">
        <v>26.343399999999999</v>
      </c>
      <c r="GL143">
        <v>35.499400000000001</v>
      </c>
      <c r="GM143">
        <v>63.445</v>
      </c>
      <c r="GN143">
        <v>63.909399999999998</v>
      </c>
      <c r="GO143">
        <v>24.497900000000001</v>
      </c>
      <c r="GP143">
        <v>800</v>
      </c>
      <c r="GQ143">
        <v>7.50258</v>
      </c>
      <c r="GR143">
        <v>99.743399999999994</v>
      </c>
      <c r="GS143">
        <v>99.578299999999999</v>
      </c>
    </row>
    <row r="144" spans="1:201" x14ac:dyDescent="0.25">
      <c r="A144">
        <v>128</v>
      </c>
      <c r="B144">
        <v>1690222325.0999999</v>
      </c>
      <c r="C144">
        <v>1442.599999904633</v>
      </c>
      <c r="D144" t="s">
        <v>587</v>
      </c>
      <c r="E144" t="s">
        <v>588</v>
      </c>
      <c r="F144" t="s">
        <v>330</v>
      </c>
      <c r="H144">
        <v>1690222325.0999999</v>
      </c>
      <c r="I144">
        <f t="shared" si="30"/>
        <v>1.5809737890720838E-3</v>
      </c>
      <c r="J144">
        <f t="shared" si="31"/>
        <v>1.5809737890720839</v>
      </c>
      <c r="K144">
        <f t="shared" si="32"/>
        <v>24.548746111026887</v>
      </c>
      <c r="L144">
        <f t="shared" si="33"/>
        <v>536.05899999999997</v>
      </c>
      <c r="M144">
        <f t="shared" si="34"/>
        <v>159.92624982795022</v>
      </c>
      <c r="N144">
        <f t="shared" si="35"/>
        <v>15.862652311840097</v>
      </c>
      <c r="O144">
        <f t="shared" si="36"/>
        <v>53.170242813675806</v>
      </c>
      <c r="P144">
        <f t="shared" si="37"/>
        <v>0.10929178398725428</v>
      </c>
      <c r="Q144">
        <f t="shared" si="38"/>
        <v>2.1937002114946127</v>
      </c>
      <c r="R144">
        <f t="shared" si="39"/>
        <v>0.1063544615778695</v>
      </c>
      <c r="S144">
        <f t="shared" si="40"/>
        <v>6.6728869842696714E-2</v>
      </c>
      <c r="T144">
        <f t="shared" si="41"/>
        <v>276.11592417000003</v>
      </c>
      <c r="U144">
        <f t="shared" si="42"/>
        <v>27.837624885754192</v>
      </c>
      <c r="V144">
        <f t="shared" si="43"/>
        <v>27.837624885754192</v>
      </c>
      <c r="W144">
        <f t="shared" si="44"/>
        <v>3.7590660489070435</v>
      </c>
      <c r="X144">
        <f t="shared" si="45"/>
        <v>68.045181526296687</v>
      </c>
      <c r="Y144">
        <f t="shared" si="46"/>
        <v>2.3298897502787601</v>
      </c>
      <c r="Z144">
        <f t="shared" si="47"/>
        <v>3.4240334113567656</v>
      </c>
      <c r="AA144">
        <f t="shared" si="48"/>
        <v>1.4291762986282834</v>
      </c>
      <c r="AB144">
        <f t="shared" si="49"/>
        <v>-69.720944098078888</v>
      </c>
      <c r="AC144">
        <f t="shared" si="50"/>
        <v>-188.03527410641792</v>
      </c>
      <c r="AD144">
        <f t="shared" si="51"/>
        <v>-18.506544613418537</v>
      </c>
      <c r="AE144">
        <f t="shared" si="52"/>
        <v>-0.14683864791533097</v>
      </c>
      <c r="AF144">
        <v>0</v>
      </c>
      <c r="AG144">
        <v>0</v>
      </c>
      <c r="AH144">
        <f t="shared" si="53"/>
        <v>1</v>
      </c>
      <c r="AI144">
        <f t="shared" si="54"/>
        <v>0</v>
      </c>
      <c r="AJ144">
        <f t="shared" si="55"/>
        <v>52501.088331888284</v>
      </c>
      <c r="AK144">
        <f t="shared" si="56"/>
        <v>1800</v>
      </c>
      <c r="AL144">
        <f t="shared" si="57"/>
        <v>1499.1130079999998</v>
      </c>
      <c r="AM144">
        <f t="shared" si="58"/>
        <v>0.83284055999999995</v>
      </c>
      <c r="AN144">
        <f t="shared" si="59"/>
        <v>0.15339773565000001</v>
      </c>
      <c r="AO144">
        <v>31.2</v>
      </c>
      <c r="AP144">
        <v>0.5</v>
      </c>
      <c r="AQ144" t="s">
        <v>331</v>
      </c>
      <c r="AR144">
        <v>2</v>
      </c>
      <c r="AS144">
        <v>1690222325.0999999</v>
      </c>
      <c r="AT144">
        <v>536.05899999999997</v>
      </c>
      <c r="AU144">
        <v>800.04</v>
      </c>
      <c r="AV144">
        <v>23.489799999999999</v>
      </c>
      <c r="AW144">
        <v>7.4424000000000001</v>
      </c>
      <c r="AX144">
        <v>536.36599999999999</v>
      </c>
      <c r="AY144">
        <v>23.327100000000002</v>
      </c>
      <c r="AZ144">
        <v>300.15899999999999</v>
      </c>
      <c r="BA144">
        <v>99.087299999999999</v>
      </c>
      <c r="BB144">
        <v>9.9996199999999993E-2</v>
      </c>
      <c r="BC144">
        <v>26.247699999999998</v>
      </c>
      <c r="BD144">
        <v>26.973400000000002</v>
      </c>
      <c r="BE144">
        <v>27.5975</v>
      </c>
      <c r="BF144">
        <v>0</v>
      </c>
      <c r="BG144">
        <v>0</v>
      </c>
      <c r="BH144">
        <v>9995</v>
      </c>
      <c r="BI144">
        <v>1072.8699999999999</v>
      </c>
      <c r="BJ144">
        <v>1.68198</v>
      </c>
      <c r="BK144">
        <v>-263.98099999999999</v>
      </c>
      <c r="BL144">
        <v>548.95399999999995</v>
      </c>
      <c r="BM144">
        <v>806.03899999999999</v>
      </c>
      <c r="BN144">
        <v>16.0474</v>
      </c>
      <c r="BO144">
        <v>800.04</v>
      </c>
      <c r="BP144">
        <v>7.4424000000000001</v>
      </c>
      <c r="BQ144">
        <v>2.32755</v>
      </c>
      <c r="BR144">
        <v>0.73744799999999999</v>
      </c>
      <c r="BS144">
        <v>19.868300000000001</v>
      </c>
      <c r="BT144">
        <v>2.5570200000000001</v>
      </c>
      <c r="BU144">
        <v>1800</v>
      </c>
      <c r="BV144">
        <v>0.90999600000000003</v>
      </c>
      <c r="BW144">
        <v>3.39975E-2</v>
      </c>
      <c r="BX144">
        <v>2.2003499999999999E-2</v>
      </c>
      <c r="BY144">
        <v>3.4003499999999999E-2</v>
      </c>
      <c r="BZ144">
        <v>26</v>
      </c>
      <c r="CA144">
        <v>33528.300000000003</v>
      </c>
      <c r="CB144">
        <v>1690220522.5999999</v>
      </c>
      <c r="CC144" t="s">
        <v>332</v>
      </c>
      <c r="CD144">
        <v>1690220522.5999999</v>
      </c>
      <c r="CE144">
        <v>1690220510.5999999</v>
      </c>
      <c r="CF144">
        <v>10</v>
      </c>
      <c r="CG144">
        <v>-0.22</v>
      </c>
      <c r="CH144">
        <v>-2.7E-2</v>
      </c>
      <c r="CI144">
        <v>-0.49299999999999999</v>
      </c>
      <c r="CJ144">
        <v>0.152</v>
      </c>
      <c r="CK144">
        <v>800</v>
      </c>
      <c r="CL144">
        <v>19</v>
      </c>
      <c r="CM144">
        <v>0.1</v>
      </c>
      <c r="CN144">
        <v>0.03</v>
      </c>
      <c r="CO144">
        <v>-261.02499999999998</v>
      </c>
      <c r="CP144">
        <v>-16.25698311444539</v>
      </c>
      <c r="CQ144">
        <v>1.5648268115034309</v>
      </c>
      <c r="CR144">
        <v>-1</v>
      </c>
      <c r="CS144">
        <v>15.811735000000001</v>
      </c>
      <c r="CT144">
        <v>1.380812757973735</v>
      </c>
      <c r="CU144">
        <v>0.1330175619044342</v>
      </c>
      <c r="CV144">
        <v>-1</v>
      </c>
      <c r="CW144">
        <v>0</v>
      </c>
      <c r="CX144">
        <v>0</v>
      </c>
      <c r="CY144" t="s">
        <v>333</v>
      </c>
      <c r="CZ144">
        <v>2.3645700000000001</v>
      </c>
      <c r="DA144">
        <v>2.7137799999999999</v>
      </c>
      <c r="DB144">
        <v>0.111237</v>
      </c>
      <c r="DC144">
        <v>0.14613399999999999</v>
      </c>
      <c r="DD144">
        <v>0.11228</v>
      </c>
      <c r="DE144">
        <v>4.6942999999999999E-2</v>
      </c>
      <c r="DF144">
        <v>32453.8</v>
      </c>
      <c r="DG144">
        <v>27520.799999999999</v>
      </c>
      <c r="DH144">
        <v>31173.4</v>
      </c>
      <c r="DI144">
        <v>28084.7</v>
      </c>
      <c r="DJ144">
        <v>37568.400000000001</v>
      </c>
      <c r="DK144">
        <v>38063.599999999999</v>
      </c>
      <c r="DL144">
        <v>44363.8</v>
      </c>
      <c r="DM144">
        <v>42566.9</v>
      </c>
      <c r="DN144">
        <v>1.4818</v>
      </c>
      <c r="DO144">
        <v>2.0383499999999999</v>
      </c>
      <c r="DP144">
        <v>0.11234</v>
      </c>
      <c r="DQ144">
        <v>0.16067899999999999</v>
      </c>
      <c r="DR144">
        <v>25.133400000000002</v>
      </c>
      <c r="DS144">
        <v>24.966699999999999</v>
      </c>
      <c r="DT144">
        <v>48.3</v>
      </c>
      <c r="DU144">
        <v>29.4</v>
      </c>
      <c r="DV144">
        <v>20.061599999999999</v>
      </c>
      <c r="DW144">
        <v>61.738700000000001</v>
      </c>
      <c r="DX144">
        <v>36.069699999999997</v>
      </c>
      <c r="DY144">
        <v>1</v>
      </c>
      <c r="DZ144">
        <v>-9.3315499999999996E-2</v>
      </c>
      <c r="EA144">
        <v>0.209643</v>
      </c>
      <c r="EB144">
        <v>20.189699999999998</v>
      </c>
      <c r="EC144">
        <v>5.2411000000000003</v>
      </c>
      <c r="ED144">
        <v>12.039899999999999</v>
      </c>
      <c r="EE144">
        <v>5.01715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</v>
      </c>
      <c r="EL144">
        <v>1.8646199999999999</v>
      </c>
      <c r="EM144">
        <v>1.86917</v>
      </c>
      <c r="EN144">
        <v>1.8672200000000001</v>
      </c>
      <c r="EO144">
        <v>1.8633999999999999</v>
      </c>
      <c r="EP144">
        <v>1.8645499999999999</v>
      </c>
      <c r="EQ144">
        <v>1.8701300000000001</v>
      </c>
      <c r="ER144">
        <v>1.8694299999999999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-0.307</v>
      </c>
      <c r="FG144">
        <v>0.16270000000000001</v>
      </c>
      <c r="FH144">
        <v>5.8509882529719233E-2</v>
      </c>
      <c r="FI144">
        <v>-6.1462078757559423E-4</v>
      </c>
      <c r="FJ144">
        <v>-1.8861989874597051E-7</v>
      </c>
      <c r="FK144">
        <v>1.1980462299894961E-10</v>
      </c>
      <c r="FL144">
        <v>0.16277811159127681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30</v>
      </c>
      <c r="FU144">
        <v>30.2</v>
      </c>
      <c r="FV144">
        <v>1.7748999999999999</v>
      </c>
      <c r="FW144">
        <v>2.5720200000000002</v>
      </c>
      <c r="FX144">
        <v>1.5490699999999999</v>
      </c>
      <c r="FY144">
        <v>2.3278799999999999</v>
      </c>
      <c r="FZ144">
        <v>1.50146</v>
      </c>
      <c r="GA144">
        <v>2.3645</v>
      </c>
      <c r="GB144">
        <v>33.941299999999998</v>
      </c>
      <c r="GC144">
        <v>23.991199999999999</v>
      </c>
      <c r="GD144">
        <v>19</v>
      </c>
      <c r="GE144">
        <v>285.29199999999997</v>
      </c>
      <c r="GF144">
        <v>584.827</v>
      </c>
      <c r="GG144">
        <v>24.475999999999999</v>
      </c>
      <c r="GH144">
        <v>26.206700000000001</v>
      </c>
      <c r="GI144">
        <v>30.000499999999999</v>
      </c>
      <c r="GJ144">
        <v>26.354900000000001</v>
      </c>
      <c r="GK144">
        <v>26.341200000000001</v>
      </c>
      <c r="GL144">
        <v>35.491900000000001</v>
      </c>
      <c r="GM144">
        <v>64.0017</v>
      </c>
      <c r="GN144">
        <v>63.136699999999998</v>
      </c>
      <c r="GO144">
        <v>24.461200000000002</v>
      </c>
      <c r="GP144">
        <v>800</v>
      </c>
      <c r="GQ144">
        <v>7.2900900000000002</v>
      </c>
      <c r="GR144">
        <v>99.742999999999995</v>
      </c>
      <c r="GS144">
        <v>99.578500000000005</v>
      </c>
    </row>
    <row r="145" spans="1:201" x14ac:dyDescent="0.25">
      <c r="A145">
        <v>129</v>
      </c>
      <c r="B145">
        <v>1690222335.0999999</v>
      </c>
      <c r="C145">
        <v>1452.599999904633</v>
      </c>
      <c r="D145" t="s">
        <v>589</v>
      </c>
      <c r="E145" t="s">
        <v>590</v>
      </c>
      <c r="F145" t="s">
        <v>330</v>
      </c>
      <c r="H145">
        <v>1690222335.0999999</v>
      </c>
      <c r="I145">
        <f t="shared" ref="I145:I208" si="60">(J145)/1000</f>
        <v>1.6011485182825691E-3</v>
      </c>
      <c r="J145">
        <f t="shared" ref="J145:J208" si="61">1000*AZ145*AH145*(AV145-AW145)/(100*AO145*(1000-AH145*AV145))</f>
        <v>1.6011485182825691</v>
      </c>
      <c r="K145">
        <f t="shared" ref="K145:K208" si="62">AZ145*AH145*(AU145-AT145*(1000-AH145*AW145)/(1000-AH145*AV145))/(100*AO145)</f>
        <v>24.802088049099169</v>
      </c>
      <c r="L145">
        <f t="shared" ref="L145:L208" si="63">AT145 - IF(AH145&gt;1, K145*AO145*100/(AJ145*BH145), 0)</f>
        <v>533.322</v>
      </c>
      <c r="M145">
        <f t="shared" ref="M145:M208" si="64">((S145-I145/2)*L145-K145)/(S145+I145/2)</f>
        <v>158.56790162270769</v>
      </c>
      <c r="N145">
        <f t="shared" ref="N145:N208" si="65">M145*(BA145+BB145)/1000</f>
        <v>15.727912514547898</v>
      </c>
      <c r="O145">
        <f t="shared" ref="O145:O208" si="66">(AT145 - IF(AH145&gt;1, K145*AO145*100/(AJ145*BH145), 0))*(BA145+BB145)/1000</f>
        <v>52.89873721128</v>
      </c>
      <c r="P145">
        <f t="shared" ref="P145:P208" si="67">2/((1/R145-1/Q145)+SIGN(R145)*SQRT((1/R145-1/Q145)*(1/R145-1/Q145) + 4*AP145/((AP145+1)*(AP145+1))*(2*1/R145*1/Q145-1/Q145*1/Q145)))</f>
        <v>0.11085433363827642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2.1933915698261952</v>
      </c>
      <c r="R145">
        <f t="shared" ref="R145:R208" si="69">I145*(1000-(1000*0.61365*EXP(17.502*V145/(240.97+V145))/(BA145+BB145)+AV145)/2)/(1000*0.61365*EXP(17.502*V145/(240.97+V145))/(BA145+BB145)-AV145)</f>
        <v>0.10783325809779352</v>
      </c>
      <c r="S145">
        <f t="shared" ref="S145:S208" si="70">1/((AP145+1)/(P145/1.6)+1/(Q145/1.37)) + AP145/((AP145+1)/(P145/1.6) + AP145/(Q145/1.37))</f>
        <v>6.766036023165882E-2</v>
      </c>
      <c r="T145">
        <f t="shared" ref="T145:T208" si="71">(AK145*AN145)</f>
        <v>276.11577728999998</v>
      </c>
      <c r="U145">
        <f t="shared" ref="U145:U208" si="72">(BC145+(T145+2*0.95*0.0000000567*(((BC145+$B$7)+273)^4-(BC145+273)^4)-44100*I145)/(1.84*29.3*Q145+8*0.95*0.0000000567*(BC145+273)^3))</f>
        <v>27.829475135754755</v>
      </c>
      <c r="V145">
        <f t="shared" ref="V145:V208" si="73">($C$7*BD145+$D$7*BE145+$E$7*U145)</f>
        <v>27.829475135754755</v>
      </c>
      <c r="W145">
        <f t="shared" ref="W145:W208" si="74">0.61365*EXP(17.502*V145/(240.97+V145))</f>
        <v>3.7572783202186724</v>
      </c>
      <c r="X145">
        <f t="shared" ref="X145:X208" si="75">(Y145/Z145*100)</f>
        <v>68.045667364513605</v>
      </c>
      <c r="Y145">
        <f t="shared" ref="Y145:Y208" si="76">AV145*(BA145+BB145)/1000</f>
        <v>2.3296999743960001</v>
      </c>
      <c r="Z145">
        <f t="shared" ref="Z145:Z208" si="77">0.61365*EXP(17.502*BC145/(240.97+BC145))</f>
        <v>3.423730069272505</v>
      </c>
      <c r="AA145">
        <f t="shared" ref="AA145:AA208" si="78">(W145-AV145*(BA145+BB145)/1000)</f>
        <v>1.4275783458226723</v>
      </c>
      <c r="AB145">
        <f t="shared" ref="AB145:AB208" si="79">(-I145*44100)</f>
        <v>-70.610649656261302</v>
      </c>
      <c r="AC145">
        <f t="shared" ref="AC145:AC208" si="80">2*29.3*Q145*0.92*(BC145-V145)</f>
        <v>-187.22248479039243</v>
      </c>
      <c r="AD145">
        <f t="shared" ref="AD145:AD208" si="81">2*0.95*0.0000000567*(((BC145+$B$7)+273)^4-(V145+273)^4)</f>
        <v>-18.42825216262181</v>
      </c>
      <c r="AE145">
        <f t="shared" ref="AE145:AE208" si="82">T145+AD145+AB145+AC145</f>
        <v>-0.14560931927553611</v>
      </c>
      <c r="AF145">
        <v>0</v>
      </c>
      <c r="AG145">
        <v>0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52488.701318014399</v>
      </c>
      <c r="AK145">
        <f t="shared" ref="AK145:AK208" si="86">$B$11*BI145+$C$11*BJ145+$D$11*BU145</f>
        <v>1800</v>
      </c>
      <c r="AL145">
        <f t="shared" ref="AL145:AL208" si="87">AK145*AM145</f>
        <v>1499.1130349999999</v>
      </c>
      <c r="AM145">
        <f t="shared" ref="AM145:AM208" si="88">($B$11*$D$9+$C$11*$D$9+$D$11*(BV145*$E$9+BW145*$F$9+BX145*$G$9+BY145*$H$9))/($B$11+$C$11+$D$11)</f>
        <v>0.83284057499999986</v>
      </c>
      <c r="AN145">
        <f t="shared" ref="AN145:AN208" si="89">($B$11*$K$9+$C$11*$K$9+$D$11*(BV145*$L$9+BW145*$M$9+BX145*$N$9+BY145*$O$9))/($B$11+$C$11+$D$11)</f>
        <v>0.15339765405</v>
      </c>
      <c r="AO145">
        <v>31.2</v>
      </c>
      <c r="AP145">
        <v>0.5</v>
      </c>
      <c r="AQ145" t="s">
        <v>331</v>
      </c>
      <c r="AR145">
        <v>2</v>
      </c>
      <c r="AS145">
        <v>1690222335.0999999</v>
      </c>
      <c r="AT145">
        <v>533.322</v>
      </c>
      <c r="AU145">
        <v>800.005</v>
      </c>
      <c r="AV145">
        <v>23.4879</v>
      </c>
      <c r="AW145">
        <v>7.2355799999999997</v>
      </c>
      <c r="AX145">
        <v>533.62699999999995</v>
      </c>
      <c r="AY145">
        <v>23.325099999999999</v>
      </c>
      <c r="AZ145">
        <v>300.15699999999998</v>
      </c>
      <c r="BA145">
        <v>99.087199999999996</v>
      </c>
      <c r="BB145">
        <v>0.10004</v>
      </c>
      <c r="BC145">
        <v>26.246200000000002</v>
      </c>
      <c r="BD145">
        <v>26.9879</v>
      </c>
      <c r="BE145">
        <v>27.598500000000001</v>
      </c>
      <c r="BF145">
        <v>0</v>
      </c>
      <c r="BG145">
        <v>0</v>
      </c>
      <c r="BH145">
        <v>9992.5</v>
      </c>
      <c r="BI145">
        <v>1073.03</v>
      </c>
      <c r="BJ145">
        <v>1.66797</v>
      </c>
      <c r="BK145">
        <v>-266.68299999999999</v>
      </c>
      <c r="BL145">
        <v>546.15</v>
      </c>
      <c r="BM145">
        <v>805.83500000000004</v>
      </c>
      <c r="BN145">
        <v>16.252300000000002</v>
      </c>
      <c r="BO145">
        <v>800.005</v>
      </c>
      <c r="BP145">
        <v>7.2355799999999997</v>
      </c>
      <c r="BQ145">
        <v>2.32735</v>
      </c>
      <c r="BR145">
        <v>0.71695399999999998</v>
      </c>
      <c r="BS145">
        <v>19.866900000000001</v>
      </c>
      <c r="BT145">
        <v>2.1613500000000001</v>
      </c>
      <c r="BU145">
        <v>1800</v>
      </c>
      <c r="BV145">
        <v>0.90999799999999997</v>
      </c>
      <c r="BW145">
        <v>3.3996600000000002E-2</v>
      </c>
      <c r="BX145">
        <v>2.2003000000000002E-2</v>
      </c>
      <c r="BY145">
        <v>3.4002699999999997E-2</v>
      </c>
      <c r="BZ145">
        <v>26</v>
      </c>
      <c r="CA145">
        <v>33528.400000000001</v>
      </c>
      <c r="CB145">
        <v>1690220522.5999999</v>
      </c>
      <c r="CC145" t="s">
        <v>332</v>
      </c>
      <c r="CD145">
        <v>1690220522.5999999</v>
      </c>
      <c r="CE145">
        <v>1690220510.5999999</v>
      </c>
      <c r="CF145">
        <v>10</v>
      </c>
      <c r="CG145">
        <v>-0.22</v>
      </c>
      <c r="CH145">
        <v>-2.7E-2</v>
      </c>
      <c r="CI145">
        <v>-0.49299999999999999</v>
      </c>
      <c r="CJ145">
        <v>0.152</v>
      </c>
      <c r="CK145">
        <v>800</v>
      </c>
      <c r="CL145">
        <v>19</v>
      </c>
      <c r="CM145">
        <v>0.1</v>
      </c>
      <c r="CN145">
        <v>0.03</v>
      </c>
      <c r="CO145">
        <v>-263.84921951219508</v>
      </c>
      <c r="CP145">
        <v>-16.748801393729082</v>
      </c>
      <c r="CQ145">
        <v>1.6522367324651399</v>
      </c>
      <c r="CR145">
        <v>-1</v>
      </c>
      <c r="CS145">
        <v>16.04291219512195</v>
      </c>
      <c r="CT145">
        <v>1.315475958188125</v>
      </c>
      <c r="CU145">
        <v>0.1301020859867677</v>
      </c>
      <c r="CV145">
        <v>-1</v>
      </c>
      <c r="CW145">
        <v>0</v>
      </c>
      <c r="CX145">
        <v>0</v>
      </c>
      <c r="CY145" t="s">
        <v>333</v>
      </c>
      <c r="CZ145">
        <v>2.3645800000000001</v>
      </c>
      <c r="DA145">
        <v>2.7138200000000001</v>
      </c>
      <c r="DB145">
        <v>0.110828</v>
      </c>
      <c r="DC145">
        <v>0.14612600000000001</v>
      </c>
      <c r="DD145">
        <v>0.112274</v>
      </c>
      <c r="DE145">
        <v>4.5899200000000001E-2</v>
      </c>
      <c r="DF145">
        <v>32468.400000000001</v>
      </c>
      <c r="DG145">
        <v>27520.9</v>
      </c>
      <c r="DH145">
        <v>31173</v>
      </c>
      <c r="DI145">
        <v>28084.5</v>
      </c>
      <c r="DJ145">
        <v>37568.1</v>
      </c>
      <c r="DK145">
        <v>38105.300000000003</v>
      </c>
      <c r="DL145">
        <v>44363.199999999997</v>
      </c>
      <c r="DM145">
        <v>42566.8</v>
      </c>
      <c r="DN145">
        <v>1.48217</v>
      </c>
      <c r="DO145">
        <v>2.0379499999999999</v>
      </c>
      <c r="DP145">
        <v>0.11310000000000001</v>
      </c>
      <c r="DQ145">
        <v>0.160612</v>
      </c>
      <c r="DR145">
        <v>25.1355</v>
      </c>
      <c r="DS145">
        <v>24.968800000000002</v>
      </c>
      <c r="DT145">
        <v>48</v>
      </c>
      <c r="DU145">
        <v>29.4</v>
      </c>
      <c r="DV145">
        <v>19.937200000000001</v>
      </c>
      <c r="DW145">
        <v>61.968699999999998</v>
      </c>
      <c r="DX145">
        <v>36.105800000000002</v>
      </c>
      <c r="DY145">
        <v>1</v>
      </c>
      <c r="DZ145">
        <v>-9.3790700000000005E-2</v>
      </c>
      <c r="EA145">
        <v>3.61193E-2</v>
      </c>
      <c r="EB145">
        <v>20.189399999999999</v>
      </c>
      <c r="EC145">
        <v>5.24125</v>
      </c>
      <c r="ED145">
        <v>12.039899999999999</v>
      </c>
      <c r="EE145">
        <v>5.0171999999999999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1.8689100000000001</v>
      </c>
      <c r="EL145">
        <v>1.8646400000000001</v>
      </c>
      <c r="EM145">
        <v>1.86917</v>
      </c>
      <c r="EN145">
        <v>1.8672299999999999</v>
      </c>
      <c r="EO145">
        <v>1.8633999999999999</v>
      </c>
      <c r="EP145">
        <v>1.8645400000000001</v>
      </c>
      <c r="EQ145">
        <v>1.87018</v>
      </c>
      <c r="ER145">
        <v>1.8694299999999999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-0.30499999999999999</v>
      </c>
      <c r="FG145">
        <v>0.1628</v>
      </c>
      <c r="FH145">
        <v>5.8509882529719233E-2</v>
      </c>
      <c r="FI145">
        <v>-6.1462078757559423E-4</v>
      </c>
      <c r="FJ145">
        <v>-1.8861989874597051E-7</v>
      </c>
      <c r="FK145">
        <v>1.1980462299894961E-10</v>
      </c>
      <c r="FL145">
        <v>0.16277811159127681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30.2</v>
      </c>
      <c r="FU145">
        <v>30.4</v>
      </c>
      <c r="FV145">
        <v>1.7748999999999999</v>
      </c>
      <c r="FW145">
        <v>2.5805699999999998</v>
      </c>
      <c r="FX145">
        <v>1.5490699999999999</v>
      </c>
      <c r="FY145">
        <v>2.3278799999999999</v>
      </c>
      <c r="FZ145">
        <v>1.50146</v>
      </c>
      <c r="GA145">
        <v>2.3901400000000002</v>
      </c>
      <c r="GB145">
        <v>33.941299999999998</v>
      </c>
      <c r="GC145">
        <v>23.991199999999999</v>
      </c>
      <c r="GD145">
        <v>19</v>
      </c>
      <c r="GE145">
        <v>285.447</v>
      </c>
      <c r="GF145">
        <v>584.49</v>
      </c>
      <c r="GG145">
        <v>24.464600000000001</v>
      </c>
      <c r="GH145">
        <v>26.206700000000001</v>
      </c>
      <c r="GI145">
        <v>30</v>
      </c>
      <c r="GJ145">
        <v>26.3536</v>
      </c>
      <c r="GK145">
        <v>26.340699999999998</v>
      </c>
      <c r="GL145">
        <v>35.488500000000002</v>
      </c>
      <c r="GM145">
        <v>64.580500000000001</v>
      </c>
      <c r="GN145">
        <v>62.360599999999998</v>
      </c>
      <c r="GO145">
        <v>24.4727</v>
      </c>
      <c r="GP145">
        <v>800</v>
      </c>
      <c r="GQ145">
        <v>7.0885699999999998</v>
      </c>
      <c r="GR145">
        <v>99.741799999999998</v>
      </c>
      <c r="GS145">
        <v>99.578100000000006</v>
      </c>
    </row>
    <row r="146" spans="1:201" x14ac:dyDescent="0.25">
      <c r="A146">
        <v>130</v>
      </c>
      <c r="B146">
        <v>1690222345.0999999</v>
      </c>
      <c r="C146">
        <v>1462.599999904633</v>
      </c>
      <c r="D146" t="s">
        <v>591</v>
      </c>
      <c r="E146" t="s">
        <v>592</v>
      </c>
      <c r="F146" t="s">
        <v>330</v>
      </c>
      <c r="H146">
        <v>1690222345.0999999</v>
      </c>
      <c r="I146">
        <f t="shared" si="60"/>
        <v>1.6219370971645929E-3</v>
      </c>
      <c r="J146">
        <f t="shared" si="61"/>
        <v>1.621937097164593</v>
      </c>
      <c r="K146">
        <f t="shared" si="62"/>
        <v>25.047840767931358</v>
      </c>
      <c r="L146">
        <f t="shared" si="63"/>
        <v>530.69000000000005</v>
      </c>
      <c r="M146">
        <f t="shared" si="64"/>
        <v>157.58649999886904</v>
      </c>
      <c r="N146">
        <f t="shared" si="65"/>
        <v>15.630449946752124</v>
      </c>
      <c r="O146">
        <f t="shared" si="66"/>
        <v>52.637272115958005</v>
      </c>
      <c r="P146">
        <f t="shared" si="67"/>
        <v>0.11247864957367019</v>
      </c>
      <c r="Q146">
        <f t="shared" si="68"/>
        <v>2.1954596181386545</v>
      </c>
      <c r="R146">
        <f t="shared" si="69"/>
        <v>0.10937256982010049</v>
      </c>
      <c r="S146">
        <f t="shared" si="70"/>
        <v>6.8629780642854132E-2</v>
      </c>
      <c r="T146">
        <f t="shared" si="71"/>
        <v>276.11421496361697</v>
      </c>
      <c r="U146">
        <f t="shared" si="72"/>
        <v>27.823343990318769</v>
      </c>
      <c r="V146">
        <f t="shared" si="73"/>
        <v>27.823343990318769</v>
      </c>
      <c r="W146">
        <f t="shared" si="74"/>
        <v>3.7559338815242578</v>
      </c>
      <c r="X146">
        <f t="shared" si="75"/>
        <v>68.050384843488203</v>
      </c>
      <c r="Y146">
        <f t="shared" si="76"/>
        <v>2.3301780137047801</v>
      </c>
      <c r="Z146">
        <f t="shared" si="77"/>
        <v>3.424195203398261</v>
      </c>
      <c r="AA146">
        <f t="shared" si="78"/>
        <v>1.4257558678194777</v>
      </c>
      <c r="AB146">
        <f t="shared" si="79"/>
        <v>-71.527425984958555</v>
      </c>
      <c r="AC146">
        <f t="shared" si="80"/>
        <v>-186.4010842611788</v>
      </c>
      <c r="AD146">
        <f t="shared" si="81"/>
        <v>-18.329766895860956</v>
      </c>
      <c r="AE146">
        <f t="shared" si="82"/>
        <v>-0.14406217838134694</v>
      </c>
      <c r="AF146">
        <v>0</v>
      </c>
      <c r="AG146">
        <v>0</v>
      </c>
      <c r="AH146">
        <f t="shared" si="83"/>
        <v>1</v>
      </c>
      <c r="AI146">
        <f t="shared" si="84"/>
        <v>0</v>
      </c>
      <c r="AJ146">
        <f t="shared" si="85"/>
        <v>52573.064982272539</v>
      </c>
      <c r="AK146">
        <f t="shared" si="86"/>
        <v>1799.99</v>
      </c>
      <c r="AL146">
        <f t="shared" si="87"/>
        <v>1499.1045715949997</v>
      </c>
      <c r="AM146">
        <f t="shared" si="88"/>
        <v>0.83284049999999987</v>
      </c>
      <c r="AN146">
        <f t="shared" si="89"/>
        <v>0.1533976383</v>
      </c>
      <c r="AO146">
        <v>31.2</v>
      </c>
      <c r="AP146">
        <v>0.5</v>
      </c>
      <c r="AQ146" t="s">
        <v>331</v>
      </c>
      <c r="AR146">
        <v>2</v>
      </c>
      <c r="AS146">
        <v>1690222345.0999999</v>
      </c>
      <c r="AT146">
        <v>530.69000000000005</v>
      </c>
      <c r="AU146">
        <v>800.01900000000001</v>
      </c>
      <c r="AV146">
        <v>23.492899999999999</v>
      </c>
      <c r="AW146">
        <v>7.0283899999999999</v>
      </c>
      <c r="AX146">
        <v>530.99300000000005</v>
      </c>
      <c r="AY146">
        <v>23.330200000000001</v>
      </c>
      <c r="AZ146">
        <v>300.13400000000001</v>
      </c>
      <c r="BA146">
        <v>99.086500000000001</v>
      </c>
      <c r="BB146">
        <v>9.9978200000000003E-2</v>
      </c>
      <c r="BC146">
        <v>26.2485</v>
      </c>
      <c r="BD146">
        <v>26.9666</v>
      </c>
      <c r="BE146">
        <v>27.578299999999999</v>
      </c>
      <c r="BF146">
        <v>0</v>
      </c>
      <c r="BG146">
        <v>0</v>
      </c>
      <c r="BH146">
        <v>10009.4</v>
      </c>
      <c r="BI146">
        <v>1073.1199999999999</v>
      </c>
      <c r="BJ146">
        <v>1.5838699999999999</v>
      </c>
      <c r="BK146">
        <v>-269.32900000000001</v>
      </c>
      <c r="BL146">
        <v>543.45699999999999</v>
      </c>
      <c r="BM146">
        <v>805.68100000000004</v>
      </c>
      <c r="BN146">
        <v>16.464600000000001</v>
      </c>
      <c r="BO146">
        <v>800.01900000000001</v>
      </c>
      <c r="BP146">
        <v>7.0283899999999999</v>
      </c>
      <c r="BQ146">
        <v>2.3278300000000001</v>
      </c>
      <c r="BR146">
        <v>0.69641799999999998</v>
      </c>
      <c r="BS146">
        <v>19.8703</v>
      </c>
      <c r="BT146">
        <v>1.75471</v>
      </c>
      <c r="BU146">
        <v>1799.99</v>
      </c>
      <c r="BV146">
        <v>0.90999799999999997</v>
      </c>
      <c r="BW146">
        <v>3.3996600000000002E-2</v>
      </c>
      <c r="BX146">
        <v>2.2003000000000002E-2</v>
      </c>
      <c r="BY146">
        <v>3.4002600000000001E-2</v>
      </c>
      <c r="BZ146">
        <v>26</v>
      </c>
      <c r="CA146">
        <v>33528.199999999997</v>
      </c>
      <c r="CB146">
        <v>1690220522.5999999</v>
      </c>
      <c r="CC146" t="s">
        <v>332</v>
      </c>
      <c r="CD146">
        <v>1690220522.5999999</v>
      </c>
      <c r="CE146">
        <v>1690220510.5999999</v>
      </c>
      <c r="CF146">
        <v>10</v>
      </c>
      <c r="CG146">
        <v>-0.22</v>
      </c>
      <c r="CH146">
        <v>-2.7E-2</v>
      </c>
      <c r="CI146">
        <v>-0.49299999999999999</v>
      </c>
      <c r="CJ146">
        <v>0.152</v>
      </c>
      <c r="CK146">
        <v>800</v>
      </c>
      <c r="CL146">
        <v>19</v>
      </c>
      <c r="CM146">
        <v>0.1</v>
      </c>
      <c r="CN146">
        <v>0.03</v>
      </c>
      <c r="CO146">
        <v>-266.31524390243902</v>
      </c>
      <c r="CP146">
        <v>-16.314585365853571</v>
      </c>
      <c r="CQ146">
        <v>1.609869602058984</v>
      </c>
      <c r="CR146">
        <v>-1</v>
      </c>
      <c r="CS146">
        <v>16.23282195121951</v>
      </c>
      <c r="CT146">
        <v>1.2389289198606339</v>
      </c>
      <c r="CU146">
        <v>0.12258912837683759</v>
      </c>
      <c r="CV146">
        <v>-1</v>
      </c>
      <c r="CW146">
        <v>0</v>
      </c>
      <c r="CX146">
        <v>0</v>
      </c>
      <c r="CY146" t="s">
        <v>333</v>
      </c>
      <c r="CZ146">
        <v>2.3645100000000001</v>
      </c>
      <c r="DA146">
        <v>2.7137799999999999</v>
      </c>
      <c r="DB146">
        <v>0.110432</v>
      </c>
      <c r="DC146">
        <v>0.146123</v>
      </c>
      <c r="DD146">
        <v>0.11229</v>
      </c>
      <c r="DE146">
        <v>4.4843800000000003E-2</v>
      </c>
      <c r="DF146">
        <v>32482.9</v>
      </c>
      <c r="DG146">
        <v>27521.5</v>
      </c>
      <c r="DH146">
        <v>31173.1</v>
      </c>
      <c r="DI146">
        <v>28085</v>
      </c>
      <c r="DJ146">
        <v>37567.4</v>
      </c>
      <c r="DK146">
        <v>38148.1</v>
      </c>
      <c r="DL146">
        <v>44363.3</v>
      </c>
      <c r="DM146">
        <v>42567.3</v>
      </c>
      <c r="DN146">
        <v>1.48217</v>
      </c>
      <c r="DO146">
        <v>2.0378500000000002</v>
      </c>
      <c r="DP146">
        <v>0.11160200000000001</v>
      </c>
      <c r="DQ146">
        <v>0.15937499999999999</v>
      </c>
      <c r="DR146">
        <v>25.1386</v>
      </c>
      <c r="DS146">
        <v>24.968800000000002</v>
      </c>
      <c r="DT146">
        <v>47.6</v>
      </c>
      <c r="DU146">
        <v>29.4</v>
      </c>
      <c r="DV146">
        <v>19.7727</v>
      </c>
      <c r="DW146">
        <v>61.808700000000002</v>
      </c>
      <c r="DX146">
        <v>37.223599999999998</v>
      </c>
      <c r="DY146">
        <v>1</v>
      </c>
      <c r="DZ146">
        <v>-9.39329E-2</v>
      </c>
      <c r="EA146">
        <v>2.5321400000000001E-2</v>
      </c>
      <c r="EB146">
        <v>20.189699999999998</v>
      </c>
      <c r="EC146">
        <v>5.2413999999999996</v>
      </c>
      <c r="ED146">
        <v>12.039899999999999</v>
      </c>
      <c r="EE146">
        <v>5.0172499999999998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1.8689100000000001</v>
      </c>
      <c r="EL146">
        <v>1.8646400000000001</v>
      </c>
      <c r="EM146">
        <v>1.8691899999999999</v>
      </c>
      <c r="EN146">
        <v>1.8672200000000001</v>
      </c>
      <c r="EO146">
        <v>1.8633999999999999</v>
      </c>
      <c r="EP146">
        <v>1.8645400000000001</v>
      </c>
      <c r="EQ146">
        <v>1.87016</v>
      </c>
      <c r="ER146">
        <v>1.8694200000000001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-0.30299999999999999</v>
      </c>
      <c r="FG146">
        <v>0.16270000000000001</v>
      </c>
      <c r="FH146">
        <v>5.8509882529719233E-2</v>
      </c>
      <c r="FI146">
        <v>-6.1462078757559423E-4</v>
      </c>
      <c r="FJ146">
        <v>-1.8861989874597051E-7</v>
      </c>
      <c r="FK146">
        <v>1.1980462299894961E-10</v>
      </c>
      <c r="FL146">
        <v>0.16277811159127681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30.4</v>
      </c>
      <c r="FU146">
        <v>30.6</v>
      </c>
      <c r="FV146">
        <v>1.7748999999999999</v>
      </c>
      <c r="FW146">
        <v>2.5854499999999998</v>
      </c>
      <c r="FX146">
        <v>1.5490699999999999</v>
      </c>
      <c r="FY146">
        <v>2.3278799999999999</v>
      </c>
      <c r="FZ146">
        <v>1.50146</v>
      </c>
      <c r="GA146">
        <v>2.31934</v>
      </c>
      <c r="GB146">
        <v>33.941299999999998</v>
      </c>
      <c r="GC146">
        <v>23.982399999999998</v>
      </c>
      <c r="GD146">
        <v>19</v>
      </c>
      <c r="GE146">
        <v>285.44200000000001</v>
      </c>
      <c r="GF146">
        <v>584.38800000000003</v>
      </c>
      <c r="GG146">
        <v>24.478899999999999</v>
      </c>
      <c r="GH146">
        <v>26.204499999999999</v>
      </c>
      <c r="GI146">
        <v>29.9999</v>
      </c>
      <c r="GJ146">
        <v>26.352599999999999</v>
      </c>
      <c r="GK146">
        <v>26.338999999999999</v>
      </c>
      <c r="GL146">
        <v>35.488900000000001</v>
      </c>
      <c r="GM146">
        <v>64.880099999999999</v>
      </c>
      <c r="GN146">
        <v>61.5809</v>
      </c>
      <c r="GO146">
        <v>24.503</v>
      </c>
      <c r="GP146">
        <v>800</v>
      </c>
      <c r="GQ146">
        <v>6.8824300000000003</v>
      </c>
      <c r="GR146">
        <v>99.742000000000004</v>
      </c>
      <c r="GS146">
        <v>99.579599999999999</v>
      </c>
    </row>
    <row r="147" spans="1:201" x14ac:dyDescent="0.25">
      <c r="A147">
        <v>131</v>
      </c>
      <c r="B147">
        <v>1690222355.0999999</v>
      </c>
      <c r="C147">
        <v>1472.599999904633</v>
      </c>
      <c r="D147" t="s">
        <v>593</v>
      </c>
      <c r="E147" t="s">
        <v>594</v>
      </c>
      <c r="F147" t="s">
        <v>330</v>
      </c>
      <c r="H147">
        <v>1690222355.0999999</v>
      </c>
      <c r="I147">
        <f t="shared" si="60"/>
        <v>1.6435916558958043E-3</v>
      </c>
      <c r="J147">
        <f t="shared" si="61"/>
        <v>1.6435916558958044</v>
      </c>
      <c r="K147">
        <f t="shared" si="62"/>
        <v>25.315734669404051</v>
      </c>
      <c r="L147">
        <f t="shared" si="63"/>
        <v>528.03399999999999</v>
      </c>
      <c r="M147">
        <f t="shared" si="64"/>
        <v>156.16052369663669</v>
      </c>
      <c r="N147">
        <f t="shared" si="65"/>
        <v>15.489059102565729</v>
      </c>
      <c r="O147">
        <f t="shared" si="66"/>
        <v>52.373990817631594</v>
      </c>
      <c r="P147">
        <f t="shared" si="67"/>
        <v>0.11409311050721228</v>
      </c>
      <c r="Q147">
        <f t="shared" si="68"/>
        <v>2.1915407959332955</v>
      </c>
      <c r="R147">
        <f t="shared" si="69"/>
        <v>0.11089304833242734</v>
      </c>
      <c r="S147">
        <f t="shared" si="70"/>
        <v>6.9588192015534456E-2</v>
      </c>
      <c r="T147">
        <f t="shared" si="71"/>
        <v>276.11577728999998</v>
      </c>
      <c r="U147">
        <f t="shared" si="72"/>
        <v>27.822652633795077</v>
      </c>
      <c r="V147">
        <f t="shared" si="73"/>
        <v>27.822652633795077</v>
      </c>
      <c r="W147">
        <f t="shared" si="74"/>
        <v>3.7557823070767133</v>
      </c>
      <c r="X147">
        <f t="shared" si="75"/>
        <v>68.052068123074292</v>
      </c>
      <c r="Y147">
        <f t="shared" si="76"/>
        <v>2.3308000008003398</v>
      </c>
      <c r="Z147">
        <f t="shared" si="77"/>
        <v>3.4250244924004587</v>
      </c>
      <c r="AA147">
        <f t="shared" si="78"/>
        <v>1.4249823062763736</v>
      </c>
      <c r="AB147">
        <f t="shared" si="79"/>
        <v>-72.48239202500497</v>
      </c>
      <c r="AC147">
        <f t="shared" si="80"/>
        <v>-185.50226410403133</v>
      </c>
      <c r="AD147">
        <f t="shared" si="81"/>
        <v>-18.274310463613354</v>
      </c>
      <c r="AE147">
        <f t="shared" si="82"/>
        <v>-0.14318930264965957</v>
      </c>
      <c r="AF147">
        <v>0</v>
      </c>
      <c r="AG147">
        <v>0</v>
      </c>
      <c r="AH147">
        <f t="shared" si="83"/>
        <v>1</v>
      </c>
      <c r="AI147">
        <f t="shared" si="84"/>
        <v>0</v>
      </c>
      <c r="AJ147">
        <f t="shared" si="85"/>
        <v>52411.766314307017</v>
      </c>
      <c r="AK147">
        <f t="shared" si="86"/>
        <v>1800</v>
      </c>
      <c r="AL147">
        <f t="shared" si="87"/>
        <v>1499.1130349999999</v>
      </c>
      <c r="AM147">
        <f t="shared" si="88"/>
        <v>0.83284057499999986</v>
      </c>
      <c r="AN147">
        <f t="shared" si="89"/>
        <v>0.15339765405</v>
      </c>
      <c r="AO147">
        <v>31.2</v>
      </c>
      <c r="AP147">
        <v>0.5</v>
      </c>
      <c r="AQ147" t="s">
        <v>331</v>
      </c>
      <c r="AR147">
        <v>2</v>
      </c>
      <c r="AS147">
        <v>1690222355.0999999</v>
      </c>
      <c r="AT147">
        <v>528.03399999999999</v>
      </c>
      <c r="AU147">
        <v>800.16300000000001</v>
      </c>
      <c r="AV147">
        <v>23.499099999999999</v>
      </c>
      <c r="AW147">
        <v>6.8184899999999997</v>
      </c>
      <c r="AX147">
        <v>528.33500000000004</v>
      </c>
      <c r="AY147">
        <v>23.336400000000001</v>
      </c>
      <c r="AZ147">
        <v>300.19900000000001</v>
      </c>
      <c r="BA147">
        <v>99.086799999999997</v>
      </c>
      <c r="BB147">
        <v>9.9977399999999994E-2</v>
      </c>
      <c r="BC147">
        <v>26.252600000000001</v>
      </c>
      <c r="BD147">
        <v>26.9954</v>
      </c>
      <c r="BE147">
        <v>27.576799999999999</v>
      </c>
      <c r="BF147">
        <v>0</v>
      </c>
      <c r="BG147">
        <v>0</v>
      </c>
      <c r="BH147">
        <v>9977.5</v>
      </c>
      <c r="BI147">
        <v>1073.3</v>
      </c>
      <c r="BJ147">
        <v>1.62592</v>
      </c>
      <c r="BK147">
        <v>-272.12900000000002</v>
      </c>
      <c r="BL147">
        <v>540.74099999999999</v>
      </c>
      <c r="BM147">
        <v>805.65599999999995</v>
      </c>
      <c r="BN147">
        <v>16.680700000000002</v>
      </c>
      <c r="BO147">
        <v>800.16300000000001</v>
      </c>
      <c r="BP147">
        <v>6.8184899999999997</v>
      </c>
      <c r="BQ147">
        <v>2.3284500000000001</v>
      </c>
      <c r="BR147">
        <v>0.67562199999999994</v>
      </c>
      <c r="BS147">
        <v>19.874600000000001</v>
      </c>
      <c r="BT147">
        <v>1.33195</v>
      </c>
      <c r="BU147">
        <v>1800</v>
      </c>
      <c r="BV147">
        <v>0.90999799999999997</v>
      </c>
      <c r="BW147">
        <v>3.3996600000000002E-2</v>
      </c>
      <c r="BX147">
        <v>2.2003000000000002E-2</v>
      </c>
      <c r="BY147">
        <v>3.4002699999999997E-2</v>
      </c>
      <c r="BZ147">
        <v>26</v>
      </c>
      <c r="CA147">
        <v>33528.400000000001</v>
      </c>
      <c r="CB147">
        <v>1690220522.5999999</v>
      </c>
      <c r="CC147" t="s">
        <v>332</v>
      </c>
      <c r="CD147">
        <v>1690220522.5999999</v>
      </c>
      <c r="CE147">
        <v>1690220510.5999999</v>
      </c>
      <c r="CF147">
        <v>10</v>
      </c>
      <c r="CG147">
        <v>-0.22</v>
      </c>
      <c r="CH147">
        <v>-2.7E-2</v>
      </c>
      <c r="CI147">
        <v>-0.49299999999999999</v>
      </c>
      <c r="CJ147">
        <v>0.152</v>
      </c>
      <c r="CK147">
        <v>800</v>
      </c>
      <c r="CL147">
        <v>19</v>
      </c>
      <c r="CM147">
        <v>0.1</v>
      </c>
      <c r="CN147">
        <v>0.03</v>
      </c>
      <c r="CO147">
        <v>-269.26175609756098</v>
      </c>
      <c r="CP147">
        <v>-16.1406480836235</v>
      </c>
      <c r="CQ147">
        <v>1.5922852235684779</v>
      </c>
      <c r="CR147">
        <v>-1</v>
      </c>
      <c r="CS147">
        <v>16.45874146341464</v>
      </c>
      <c r="CT147">
        <v>1.284054355400702</v>
      </c>
      <c r="CU147">
        <v>0.1267843761544884</v>
      </c>
      <c r="CV147">
        <v>-1</v>
      </c>
      <c r="CW147">
        <v>0</v>
      </c>
      <c r="CX147">
        <v>0</v>
      </c>
      <c r="CY147" t="s">
        <v>333</v>
      </c>
      <c r="CZ147">
        <v>2.3647200000000002</v>
      </c>
      <c r="DA147">
        <v>2.7137500000000001</v>
      </c>
      <c r="DB147">
        <v>0.11003400000000001</v>
      </c>
      <c r="DC147">
        <v>0.14613699999999999</v>
      </c>
      <c r="DD147">
        <v>0.112312</v>
      </c>
      <c r="DE147">
        <v>4.3765199999999997E-2</v>
      </c>
      <c r="DF147">
        <v>32498.2</v>
      </c>
      <c r="DG147">
        <v>27521.3</v>
      </c>
      <c r="DH147">
        <v>31173.8</v>
      </c>
      <c r="DI147">
        <v>28085.3</v>
      </c>
      <c r="DJ147">
        <v>37567.4</v>
      </c>
      <c r="DK147">
        <v>38191.9</v>
      </c>
      <c r="DL147">
        <v>44364.4</v>
      </c>
      <c r="DM147">
        <v>42568.1</v>
      </c>
      <c r="DN147">
        <v>1.48258</v>
      </c>
      <c r="DO147">
        <v>2.0375000000000001</v>
      </c>
      <c r="DP147">
        <v>0.113167</v>
      </c>
      <c r="DQ147">
        <v>0.15915199999999999</v>
      </c>
      <c r="DR147">
        <v>25.1418</v>
      </c>
      <c r="DS147">
        <v>24.9709</v>
      </c>
      <c r="DT147">
        <v>47.2</v>
      </c>
      <c r="DU147">
        <v>29.4</v>
      </c>
      <c r="DV147">
        <v>19.6035</v>
      </c>
      <c r="DW147">
        <v>62.0687</v>
      </c>
      <c r="DX147">
        <v>36.310099999999998</v>
      </c>
      <c r="DY147">
        <v>1</v>
      </c>
      <c r="DZ147">
        <v>-9.3783000000000005E-2</v>
      </c>
      <c r="EA147">
        <v>-6.7873100000000006E-2</v>
      </c>
      <c r="EB147">
        <v>20.189499999999999</v>
      </c>
      <c r="EC147">
        <v>5.2416999999999998</v>
      </c>
      <c r="ED147">
        <v>12.039899999999999</v>
      </c>
      <c r="EE147">
        <v>5.0174500000000002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</v>
      </c>
      <c r="EL147">
        <v>1.86466</v>
      </c>
      <c r="EM147">
        <v>1.86917</v>
      </c>
      <c r="EN147">
        <v>1.8672299999999999</v>
      </c>
      <c r="EO147">
        <v>1.8633999999999999</v>
      </c>
      <c r="EP147">
        <v>1.8645499999999999</v>
      </c>
      <c r="EQ147">
        <v>1.87018</v>
      </c>
      <c r="ER147">
        <v>1.86944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-0.30099999999999999</v>
      </c>
      <c r="FG147">
        <v>0.16270000000000001</v>
      </c>
      <c r="FH147">
        <v>5.8509882529719233E-2</v>
      </c>
      <c r="FI147">
        <v>-6.1462078757559423E-4</v>
      </c>
      <c r="FJ147">
        <v>-1.8861989874597051E-7</v>
      </c>
      <c r="FK147">
        <v>1.1980462299894961E-10</v>
      </c>
      <c r="FL147">
        <v>0.16277811159127681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30.5</v>
      </c>
      <c r="FU147">
        <v>30.7</v>
      </c>
      <c r="FV147">
        <v>1.7748999999999999</v>
      </c>
      <c r="FW147">
        <v>2.5781200000000002</v>
      </c>
      <c r="FX147">
        <v>1.5490699999999999</v>
      </c>
      <c r="FY147">
        <v>2.3278799999999999</v>
      </c>
      <c r="FZ147">
        <v>1.50146</v>
      </c>
      <c r="GA147">
        <v>2.3889200000000002</v>
      </c>
      <c r="GB147">
        <v>33.941299999999998</v>
      </c>
      <c r="GC147">
        <v>23.991199999999999</v>
      </c>
      <c r="GD147">
        <v>19</v>
      </c>
      <c r="GE147">
        <v>285.60399999999998</v>
      </c>
      <c r="GF147">
        <v>584.07399999999996</v>
      </c>
      <c r="GG147">
        <v>24.5215</v>
      </c>
      <c r="GH147">
        <v>26.204499999999999</v>
      </c>
      <c r="GI147">
        <v>30.0001</v>
      </c>
      <c r="GJ147">
        <v>26.3504</v>
      </c>
      <c r="GK147">
        <v>26.3369</v>
      </c>
      <c r="GL147">
        <v>35.476100000000002</v>
      </c>
      <c r="GM147">
        <v>65.445400000000006</v>
      </c>
      <c r="GN147">
        <v>60.797899999999998</v>
      </c>
      <c r="GO147">
        <v>24.534600000000001</v>
      </c>
      <c r="GP147">
        <v>800</v>
      </c>
      <c r="GQ147">
        <v>6.6713800000000001</v>
      </c>
      <c r="GR147">
        <v>99.744500000000002</v>
      </c>
      <c r="GS147">
        <v>99.581100000000006</v>
      </c>
    </row>
    <row r="148" spans="1:201" x14ac:dyDescent="0.25">
      <c r="A148">
        <v>132</v>
      </c>
      <c r="B148">
        <v>1690222365.0999999</v>
      </c>
      <c r="C148">
        <v>1482.599999904633</v>
      </c>
      <c r="D148" t="s">
        <v>595</v>
      </c>
      <c r="E148" t="s">
        <v>596</v>
      </c>
      <c r="F148" t="s">
        <v>330</v>
      </c>
      <c r="H148">
        <v>1690222365.0999999</v>
      </c>
      <c r="I148">
        <f t="shared" si="60"/>
        <v>1.6637705345250947E-3</v>
      </c>
      <c r="J148">
        <f t="shared" si="61"/>
        <v>1.6637705345250948</v>
      </c>
      <c r="K148">
        <f t="shared" si="62"/>
        <v>25.551148728842389</v>
      </c>
      <c r="L148">
        <f t="shared" si="63"/>
        <v>525.34900000000005</v>
      </c>
      <c r="M148">
        <f t="shared" si="64"/>
        <v>155.07937124540558</v>
      </c>
      <c r="N148">
        <f t="shared" si="65"/>
        <v>15.38205775666251</v>
      </c>
      <c r="O148">
        <f t="shared" si="66"/>
        <v>52.108469330954307</v>
      </c>
      <c r="P148">
        <f t="shared" si="67"/>
        <v>0.11567897545283036</v>
      </c>
      <c r="Q148">
        <f t="shared" si="68"/>
        <v>2.1963166915991543</v>
      </c>
      <c r="R148">
        <f t="shared" si="69"/>
        <v>0.1123976472125809</v>
      </c>
      <c r="S148">
        <f t="shared" si="70"/>
        <v>7.0535590926413039E-2</v>
      </c>
      <c r="T148">
        <f t="shared" si="71"/>
        <v>276.11579602799998</v>
      </c>
      <c r="U148">
        <f t="shared" si="72"/>
        <v>27.818486396882872</v>
      </c>
      <c r="V148">
        <f t="shared" si="73"/>
        <v>27.818486396882872</v>
      </c>
      <c r="W148">
        <f t="shared" si="74"/>
        <v>3.7548690055853542</v>
      </c>
      <c r="X148">
        <f t="shared" si="75"/>
        <v>68.054406324534639</v>
      </c>
      <c r="Y148">
        <f t="shared" si="76"/>
        <v>2.33167866245932</v>
      </c>
      <c r="Z148">
        <f t="shared" si="77"/>
        <v>3.4261979324896625</v>
      </c>
      <c r="AA148">
        <f t="shared" si="78"/>
        <v>1.4231903431260342</v>
      </c>
      <c r="AB148">
        <f t="shared" si="79"/>
        <v>-73.372280572556676</v>
      </c>
      <c r="AC148">
        <f t="shared" si="80"/>
        <v>-184.72643781191871</v>
      </c>
      <c r="AD148">
        <f t="shared" si="81"/>
        <v>-18.158457202269918</v>
      </c>
      <c r="AE148">
        <f t="shared" si="82"/>
        <v>-0.14137955874534214</v>
      </c>
      <c r="AF148">
        <v>0</v>
      </c>
      <c r="AG148">
        <v>0</v>
      </c>
      <c r="AH148">
        <f t="shared" si="83"/>
        <v>1</v>
      </c>
      <c r="AI148">
        <f t="shared" si="84"/>
        <v>0</v>
      </c>
      <c r="AJ148">
        <f t="shared" si="85"/>
        <v>52606.525087918671</v>
      </c>
      <c r="AK148">
        <f t="shared" si="86"/>
        <v>1800</v>
      </c>
      <c r="AL148">
        <f t="shared" si="87"/>
        <v>1499.1134508</v>
      </c>
      <c r="AM148">
        <f t="shared" si="88"/>
        <v>0.83284080599999999</v>
      </c>
      <c r="AN148">
        <f t="shared" si="89"/>
        <v>0.15339766446</v>
      </c>
      <c r="AO148">
        <v>31.2</v>
      </c>
      <c r="AP148">
        <v>0.5</v>
      </c>
      <c r="AQ148" t="s">
        <v>331</v>
      </c>
      <c r="AR148">
        <v>2</v>
      </c>
      <c r="AS148">
        <v>1690222365.0999999</v>
      </c>
      <c r="AT148">
        <v>525.34900000000005</v>
      </c>
      <c r="AU148">
        <v>800.03200000000004</v>
      </c>
      <c r="AV148">
        <v>23.5076</v>
      </c>
      <c r="AW148">
        <v>6.6196999999999999</v>
      </c>
      <c r="AX148">
        <v>525.64800000000002</v>
      </c>
      <c r="AY148">
        <v>23.344799999999999</v>
      </c>
      <c r="AZ148">
        <v>300.15199999999999</v>
      </c>
      <c r="BA148">
        <v>99.088300000000004</v>
      </c>
      <c r="BB148">
        <v>9.9990700000000002E-2</v>
      </c>
      <c r="BC148">
        <v>26.258400000000002</v>
      </c>
      <c r="BD148">
        <v>26.949000000000002</v>
      </c>
      <c r="BE148">
        <v>27.5825</v>
      </c>
      <c r="BF148">
        <v>0</v>
      </c>
      <c r="BG148">
        <v>0</v>
      </c>
      <c r="BH148">
        <v>10016.200000000001</v>
      </c>
      <c r="BI148">
        <v>1073.3900000000001</v>
      </c>
      <c r="BJ148">
        <v>1.41567</v>
      </c>
      <c r="BK148">
        <v>-274.68299999999999</v>
      </c>
      <c r="BL148">
        <v>537.99599999999998</v>
      </c>
      <c r="BM148">
        <v>805.36300000000006</v>
      </c>
      <c r="BN148">
        <v>16.887899999999998</v>
      </c>
      <c r="BO148">
        <v>800.03200000000004</v>
      </c>
      <c r="BP148">
        <v>6.6196999999999999</v>
      </c>
      <c r="BQ148">
        <v>2.3293200000000001</v>
      </c>
      <c r="BR148">
        <v>0.65593400000000002</v>
      </c>
      <c r="BS148">
        <v>19.880600000000001</v>
      </c>
      <c r="BT148">
        <v>0.92096</v>
      </c>
      <c r="BU148">
        <v>1800</v>
      </c>
      <c r="BV148">
        <v>0.909999</v>
      </c>
      <c r="BW148">
        <v>3.39963E-2</v>
      </c>
      <c r="BX148">
        <v>2.2002799999999999E-2</v>
      </c>
      <c r="BY148">
        <v>3.4002400000000002E-2</v>
      </c>
      <c r="BZ148">
        <v>26</v>
      </c>
      <c r="CA148">
        <v>33528.400000000001</v>
      </c>
      <c r="CB148">
        <v>1690220522.5999999</v>
      </c>
      <c r="CC148" t="s">
        <v>332</v>
      </c>
      <c r="CD148">
        <v>1690220522.5999999</v>
      </c>
      <c r="CE148">
        <v>1690220510.5999999</v>
      </c>
      <c r="CF148">
        <v>10</v>
      </c>
      <c r="CG148">
        <v>-0.22</v>
      </c>
      <c r="CH148">
        <v>-2.7E-2</v>
      </c>
      <c r="CI148">
        <v>-0.49299999999999999</v>
      </c>
      <c r="CJ148">
        <v>0.152</v>
      </c>
      <c r="CK148">
        <v>800</v>
      </c>
      <c r="CL148">
        <v>19</v>
      </c>
      <c r="CM148">
        <v>0.1</v>
      </c>
      <c r="CN148">
        <v>0.03</v>
      </c>
      <c r="CO148">
        <v>-271.67148780487798</v>
      </c>
      <c r="CP148">
        <v>-16.172445993031701</v>
      </c>
      <c r="CQ148">
        <v>1.5951655640341991</v>
      </c>
      <c r="CR148">
        <v>-1</v>
      </c>
      <c r="CS148">
        <v>16.65172926829268</v>
      </c>
      <c r="CT148">
        <v>1.333367247386785</v>
      </c>
      <c r="CU148">
        <v>0.13164745279075429</v>
      </c>
      <c r="CV148">
        <v>-1</v>
      </c>
      <c r="CW148">
        <v>0</v>
      </c>
      <c r="CX148">
        <v>0</v>
      </c>
      <c r="CY148" t="s">
        <v>333</v>
      </c>
      <c r="CZ148">
        <v>2.3645800000000001</v>
      </c>
      <c r="DA148">
        <v>2.7138</v>
      </c>
      <c r="DB148">
        <v>0.10963100000000001</v>
      </c>
      <c r="DC148">
        <v>0.14612</v>
      </c>
      <c r="DD148">
        <v>0.112343</v>
      </c>
      <c r="DE148">
        <v>4.27347E-2</v>
      </c>
      <c r="DF148">
        <v>32512.7</v>
      </c>
      <c r="DG148">
        <v>27521.8</v>
      </c>
      <c r="DH148">
        <v>31173.599999999999</v>
      </c>
      <c r="DI148">
        <v>28085.3</v>
      </c>
      <c r="DJ148">
        <v>37565.9</v>
      </c>
      <c r="DK148">
        <v>38233.1</v>
      </c>
      <c r="DL148">
        <v>44364.2</v>
      </c>
      <c r="DM148">
        <v>42568</v>
      </c>
      <c r="DN148">
        <v>1.48228</v>
      </c>
      <c r="DO148">
        <v>2.0369999999999999</v>
      </c>
      <c r="DP148">
        <v>0.11020199999999999</v>
      </c>
      <c r="DQ148">
        <v>0.15937499999999999</v>
      </c>
      <c r="DR148">
        <v>25.143999999999998</v>
      </c>
      <c r="DS148">
        <v>24.972999999999999</v>
      </c>
      <c r="DT148">
        <v>46.8</v>
      </c>
      <c r="DU148">
        <v>29.4</v>
      </c>
      <c r="DV148">
        <v>19.441600000000001</v>
      </c>
      <c r="DW148">
        <v>61.908700000000003</v>
      </c>
      <c r="DX148">
        <v>36.241999999999997</v>
      </c>
      <c r="DY148">
        <v>1</v>
      </c>
      <c r="DZ148">
        <v>-9.4219999999999998E-2</v>
      </c>
      <c r="EA148">
        <v>-1.7186799999999999E-2</v>
      </c>
      <c r="EB148">
        <v>20.189800000000002</v>
      </c>
      <c r="EC148">
        <v>5.2421499999999996</v>
      </c>
      <c r="ED148">
        <v>12.039899999999999</v>
      </c>
      <c r="EE148">
        <v>5.0173500000000004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1.8689100000000001</v>
      </c>
      <c r="EL148">
        <v>1.8646499999999999</v>
      </c>
      <c r="EM148">
        <v>1.8691800000000001</v>
      </c>
      <c r="EN148">
        <v>1.8672299999999999</v>
      </c>
      <c r="EO148">
        <v>1.8633999999999999</v>
      </c>
      <c r="EP148">
        <v>1.86453</v>
      </c>
      <c r="EQ148">
        <v>1.87015</v>
      </c>
      <c r="ER148">
        <v>1.8694299999999999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-0.29899999999999999</v>
      </c>
      <c r="FG148">
        <v>0.1628</v>
      </c>
      <c r="FH148">
        <v>5.8509882529719233E-2</v>
      </c>
      <c r="FI148">
        <v>-6.1462078757559423E-4</v>
      </c>
      <c r="FJ148">
        <v>-1.8861989874597051E-7</v>
      </c>
      <c r="FK148">
        <v>1.1980462299894961E-10</v>
      </c>
      <c r="FL148">
        <v>0.16277811159127681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30.7</v>
      </c>
      <c r="FU148">
        <v>30.9</v>
      </c>
      <c r="FV148">
        <v>1.7748999999999999</v>
      </c>
      <c r="FW148">
        <v>2.5781200000000002</v>
      </c>
      <c r="FX148">
        <v>1.5490699999999999</v>
      </c>
      <c r="FY148">
        <v>2.3278799999999999</v>
      </c>
      <c r="FZ148">
        <v>1.50146</v>
      </c>
      <c r="GA148">
        <v>2.3925800000000002</v>
      </c>
      <c r="GB148">
        <v>33.941299999999998</v>
      </c>
      <c r="GC148">
        <v>23.991199999999999</v>
      </c>
      <c r="GD148">
        <v>19</v>
      </c>
      <c r="GE148">
        <v>285.46600000000001</v>
      </c>
      <c r="GF148">
        <v>583.63599999999997</v>
      </c>
      <c r="GG148">
        <v>24.546399999999998</v>
      </c>
      <c r="GH148">
        <v>26.202300000000001</v>
      </c>
      <c r="GI148">
        <v>30.0001</v>
      </c>
      <c r="GJ148">
        <v>26.348199999999999</v>
      </c>
      <c r="GK148">
        <v>26.334700000000002</v>
      </c>
      <c r="GL148">
        <v>35.475200000000001</v>
      </c>
      <c r="GM148">
        <v>65.745099999999994</v>
      </c>
      <c r="GN148">
        <v>59.987200000000001</v>
      </c>
      <c r="GO148">
        <v>24.572800000000001</v>
      </c>
      <c r="GP148">
        <v>800</v>
      </c>
      <c r="GQ148">
        <v>6.556</v>
      </c>
      <c r="GR148">
        <v>99.743899999999996</v>
      </c>
      <c r="GS148">
        <v>99.581000000000003</v>
      </c>
    </row>
    <row r="149" spans="1:201" x14ac:dyDescent="0.25">
      <c r="A149">
        <v>133</v>
      </c>
      <c r="B149">
        <v>1690222375.0999999</v>
      </c>
      <c r="C149">
        <v>1492.599999904633</v>
      </c>
      <c r="D149" t="s">
        <v>597</v>
      </c>
      <c r="E149" t="s">
        <v>598</v>
      </c>
      <c r="F149" t="s">
        <v>330</v>
      </c>
      <c r="H149">
        <v>1690222375.0999999</v>
      </c>
      <c r="I149">
        <f t="shared" si="60"/>
        <v>1.6760721810421581E-3</v>
      </c>
      <c r="J149">
        <f t="shared" si="61"/>
        <v>1.6760721810421582</v>
      </c>
      <c r="K149">
        <f t="shared" si="62"/>
        <v>25.791257137343536</v>
      </c>
      <c r="L149">
        <f t="shared" si="63"/>
        <v>522.83299999999997</v>
      </c>
      <c r="M149">
        <f t="shared" si="64"/>
        <v>151.76101735254443</v>
      </c>
      <c r="N149">
        <f t="shared" si="65"/>
        <v>15.052855793552949</v>
      </c>
      <c r="O149">
        <f t="shared" si="66"/>
        <v>51.858704497401796</v>
      </c>
      <c r="P149">
        <f t="shared" si="67"/>
        <v>0.11651082248911614</v>
      </c>
      <c r="Q149">
        <f t="shared" si="68"/>
        <v>2.1936314231355736</v>
      </c>
      <c r="R149">
        <f t="shared" si="69"/>
        <v>0.1131789150626084</v>
      </c>
      <c r="S149">
        <f t="shared" si="70"/>
        <v>7.1028243852555115E-2</v>
      </c>
      <c r="T149">
        <f t="shared" si="71"/>
        <v>276.11554260600002</v>
      </c>
      <c r="U149">
        <f t="shared" si="72"/>
        <v>27.825531933589652</v>
      </c>
      <c r="V149">
        <f t="shared" si="73"/>
        <v>27.825531933589652</v>
      </c>
      <c r="W149">
        <f t="shared" si="74"/>
        <v>3.7564136059491724</v>
      </c>
      <c r="X149">
        <f t="shared" si="75"/>
        <v>68.0437404537292</v>
      </c>
      <c r="Y149">
        <f t="shared" si="76"/>
        <v>2.3326215548871199</v>
      </c>
      <c r="Z149">
        <f t="shared" si="77"/>
        <v>3.4281207049064841</v>
      </c>
      <c r="AA149">
        <f t="shared" si="78"/>
        <v>1.4237920510620525</v>
      </c>
      <c r="AB149">
        <f t="shared" si="79"/>
        <v>-73.914783183959173</v>
      </c>
      <c r="AC149">
        <f t="shared" si="80"/>
        <v>-184.21031458963301</v>
      </c>
      <c r="AD149">
        <f t="shared" si="81"/>
        <v>-18.131388042565138</v>
      </c>
      <c r="AE149">
        <f t="shared" si="82"/>
        <v>-0.14094321015733158</v>
      </c>
      <c r="AF149">
        <v>0</v>
      </c>
      <c r="AG149">
        <v>0</v>
      </c>
      <c r="AH149">
        <f t="shared" si="83"/>
        <v>1</v>
      </c>
      <c r="AI149">
        <f t="shared" si="84"/>
        <v>0</v>
      </c>
      <c r="AJ149">
        <f t="shared" si="85"/>
        <v>52494.738683038537</v>
      </c>
      <c r="AK149">
        <f t="shared" si="86"/>
        <v>1800</v>
      </c>
      <c r="AL149">
        <f t="shared" si="87"/>
        <v>1499.1123545999999</v>
      </c>
      <c r="AM149">
        <f t="shared" si="88"/>
        <v>0.83284019699999989</v>
      </c>
      <c r="AN149">
        <f t="shared" si="89"/>
        <v>0.15339752367000001</v>
      </c>
      <c r="AO149">
        <v>31.2</v>
      </c>
      <c r="AP149">
        <v>0.5</v>
      </c>
      <c r="AQ149" t="s">
        <v>331</v>
      </c>
      <c r="AR149">
        <v>2</v>
      </c>
      <c r="AS149">
        <v>1690222375.0999999</v>
      </c>
      <c r="AT149">
        <v>522.83299999999997</v>
      </c>
      <c r="AU149">
        <v>800.07399999999996</v>
      </c>
      <c r="AV149">
        <v>23.517199999999999</v>
      </c>
      <c r="AW149">
        <v>6.5022200000000003</v>
      </c>
      <c r="AX149">
        <v>523.13</v>
      </c>
      <c r="AY149">
        <v>23.354500000000002</v>
      </c>
      <c r="AZ149">
        <v>300.11</v>
      </c>
      <c r="BA149">
        <v>99.087900000000005</v>
      </c>
      <c r="BB149">
        <v>9.9994600000000003E-2</v>
      </c>
      <c r="BC149">
        <v>26.267900000000001</v>
      </c>
      <c r="BD149">
        <v>26.954499999999999</v>
      </c>
      <c r="BE149">
        <v>27.5825</v>
      </c>
      <c r="BF149">
        <v>0</v>
      </c>
      <c r="BG149">
        <v>0</v>
      </c>
      <c r="BH149">
        <v>9994.3799999999992</v>
      </c>
      <c r="BI149">
        <v>1073.55</v>
      </c>
      <c r="BJ149">
        <v>1.02321</v>
      </c>
      <c r="BK149">
        <v>-277.24099999999999</v>
      </c>
      <c r="BL149">
        <v>535.42399999999998</v>
      </c>
      <c r="BM149">
        <v>805.31</v>
      </c>
      <c r="BN149">
        <v>17.015000000000001</v>
      </c>
      <c r="BO149">
        <v>800.07399999999996</v>
      </c>
      <c r="BP149">
        <v>6.5022200000000003</v>
      </c>
      <c r="BQ149">
        <v>2.3302700000000001</v>
      </c>
      <c r="BR149">
        <v>0.64429199999999998</v>
      </c>
      <c r="BS149">
        <v>19.8872</v>
      </c>
      <c r="BT149">
        <v>0.67275499999999999</v>
      </c>
      <c r="BU149">
        <v>1800</v>
      </c>
      <c r="BV149">
        <v>0.909999</v>
      </c>
      <c r="BW149">
        <v>3.3995999999999998E-2</v>
      </c>
      <c r="BX149">
        <v>2.2002600000000001E-2</v>
      </c>
      <c r="BY149">
        <v>3.40021E-2</v>
      </c>
      <c r="BZ149">
        <v>26</v>
      </c>
      <c r="CA149">
        <v>33528.300000000003</v>
      </c>
      <c r="CB149">
        <v>1690220522.5999999</v>
      </c>
      <c r="CC149" t="s">
        <v>332</v>
      </c>
      <c r="CD149">
        <v>1690220522.5999999</v>
      </c>
      <c r="CE149">
        <v>1690220510.5999999</v>
      </c>
      <c r="CF149">
        <v>10</v>
      </c>
      <c r="CG149">
        <v>-0.22</v>
      </c>
      <c r="CH149">
        <v>-2.7E-2</v>
      </c>
      <c r="CI149">
        <v>-0.49299999999999999</v>
      </c>
      <c r="CJ149">
        <v>0.152</v>
      </c>
      <c r="CK149">
        <v>800</v>
      </c>
      <c r="CL149">
        <v>19</v>
      </c>
      <c r="CM149">
        <v>0.1</v>
      </c>
      <c r="CN149">
        <v>0.03</v>
      </c>
      <c r="CO149">
        <v>-274.49312500000002</v>
      </c>
      <c r="CP149">
        <v>-15.32272795497056</v>
      </c>
      <c r="CQ149">
        <v>1.474792005462126</v>
      </c>
      <c r="CR149">
        <v>-1</v>
      </c>
      <c r="CS149">
        <v>16.857082500000001</v>
      </c>
      <c r="CT149">
        <v>0.98342026266412652</v>
      </c>
      <c r="CU149">
        <v>9.6390294862864392E-2</v>
      </c>
      <c r="CV149">
        <v>-1</v>
      </c>
      <c r="CW149">
        <v>0</v>
      </c>
      <c r="CX149">
        <v>0</v>
      </c>
      <c r="CY149" t="s">
        <v>333</v>
      </c>
      <c r="CZ149">
        <v>2.3644500000000002</v>
      </c>
      <c r="DA149">
        <v>2.7137799999999999</v>
      </c>
      <c r="DB149">
        <v>0.109251</v>
      </c>
      <c r="DC149">
        <v>0.146123</v>
      </c>
      <c r="DD149">
        <v>0.112375</v>
      </c>
      <c r="DE149">
        <v>4.2120600000000001E-2</v>
      </c>
      <c r="DF149">
        <v>32526.7</v>
      </c>
      <c r="DG149">
        <v>27521.200000000001</v>
      </c>
      <c r="DH149">
        <v>31173.8</v>
      </c>
      <c r="DI149">
        <v>28084.799999999999</v>
      </c>
      <c r="DJ149">
        <v>37564.5</v>
      </c>
      <c r="DK149">
        <v>38257.1</v>
      </c>
      <c r="DL149">
        <v>44364.2</v>
      </c>
      <c r="DM149">
        <v>42567.3</v>
      </c>
      <c r="DN149">
        <v>1.48237</v>
      </c>
      <c r="DO149">
        <v>2.0367999999999999</v>
      </c>
      <c r="DP149">
        <v>0.11038000000000001</v>
      </c>
      <c r="DQ149">
        <v>0.15915199999999999</v>
      </c>
      <c r="DR149">
        <v>25.146599999999999</v>
      </c>
      <c r="DS149">
        <v>24.976700000000001</v>
      </c>
      <c r="DT149">
        <v>46.4</v>
      </c>
      <c r="DU149">
        <v>29.4</v>
      </c>
      <c r="DV149">
        <v>19.273399999999999</v>
      </c>
      <c r="DW149">
        <v>62.108699999999999</v>
      </c>
      <c r="DX149">
        <v>36.866999999999997</v>
      </c>
      <c r="DY149">
        <v>1</v>
      </c>
      <c r="DZ149">
        <v>-9.4197199999999995E-2</v>
      </c>
      <c r="EA149">
        <v>-9.2015299999999994E-2</v>
      </c>
      <c r="EB149">
        <v>20.189900000000002</v>
      </c>
      <c r="EC149">
        <v>5.2415500000000002</v>
      </c>
      <c r="ED149">
        <v>12.039899999999999</v>
      </c>
      <c r="EE149">
        <v>5.01715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</v>
      </c>
      <c r="EL149">
        <v>1.8646400000000001</v>
      </c>
      <c r="EM149">
        <v>1.8691800000000001</v>
      </c>
      <c r="EN149">
        <v>1.8672200000000001</v>
      </c>
      <c r="EO149">
        <v>1.8633999999999999</v>
      </c>
      <c r="EP149">
        <v>1.86453</v>
      </c>
      <c r="EQ149">
        <v>1.8701700000000001</v>
      </c>
      <c r="ER149">
        <v>1.8694500000000001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-0.29699999999999999</v>
      </c>
      <c r="FG149">
        <v>0.16270000000000001</v>
      </c>
      <c r="FH149">
        <v>5.8509882529719233E-2</v>
      </c>
      <c r="FI149">
        <v>-6.1462078757559423E-4</v>
      </c>
      <c r="FJ149">
        <v>-1.8861989874597051E-7</v>
      </c>
      <c r="FK149">
        <v>1.1980462299894961E-10</v>
      </c>
      <c r="FL149">
        <v>0.16277811159127681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30.9</v>
      </c>
      <c r="FU149">
        <v>31.1</v>
      </c>
      <c r="FV149">
        <v>1.7736799999999999</v>
      </c>
      <c r="FW149">
        <v>2.5805699999999998</v>
      </c>
      <c r="FX149">
        <v>1.5490699999999999</v>
      </c>
      <c r="FY149">
        <v>2.3278799999999999</v>
      </c>
      <c r="FZ149">
        <v>1.50146</v>
      </c>
      <c r="GA149">
        <v>2.3596200000000001</v>
      </c>
      <c r="GB149">
        <v>33.941299999999998</v>
      </c>
      <c r="GC149">
        <v>23.982399999999998</v>
      </c>
      <c r="GD149">
        <v>19</v>
      </c>
      <c r="GE149">
        <v>285.50400000000002</v>
      </c>
      <c r="GF149">
        <v>583.44500000000005</v>
      </c>
      <c r="GG149">
        <v>24.590900000000001</v>
      </c>
      <c r="GH149">
        <v>26.202200000000001</v>
      </c>
      <c r="GI149">
        <v>30</v>
      </c>
      <c r="GJ149">
        <v>26.347000000000001</v>
      </c>
      <c r="GK149">
        <v>26.3324</v>
      </c>
      <c r="GL149">
        <v>35.469900000000003</v>
      </c>
      <c r="GM149">
        <v>66.295100000000005</v>
      </c>
      <c r="GN149">
        <v>59.207299999999996</v>
      </c>
      <c r="GO149">
        <v>24.607299999999999</v>
      </c>
      <c r="GP149">
        <v>800</v>
      </c>
      <c r="GQ149">
        <v>6.3619399999999997</v>
      </c>
      <c r="GR149">
        <v>99.744100000000003</v>
      </c>
      <c r="GS149">
        <v>99.579300000000003</v>
      </c>
    </row>
    <row r="150" spans="1:201" x14ac:dyDescent="0.25">
      <c r="A150">
        <v>134</v>
      </c>
      <c r="B150">
        <v>1690222385.0999999</v>
      </c>
      <c r="C150">
        <v>1502.599999904633</v>
      </c>
      <c r="D150" t="s">
        <v>599</v>
      </c>
      <c r="E150" t="s">
        <v>600</v>
      </c>
      <c r="F150" t="s">
        <v>330</v>
      </c>
      <c r="H150">
        <v>1690222385.0999999</v>
      </c>
      <c r="I150">
        <f t="shared" si="60"/>
        <v>1.6992357542572787E-3</v>
      </c>
      <c r="J150">
        <f t="shared" si="61"/>
        <v>1.6992357542572787</v>
      </c>
      <c r="K150">
        <f t="shared" si="62"/>
        <v>26.025802574561354</v>
      </c>
      <c r="L150">
        <f t="shared" si="63"/>
        <v>520.274</v>
      </c>
      <c r="M150">
        <f t="shared" si="64"/>
        <v>151.6845478008639</v>
      </c>
      <c r="N150">
        <f t="shared" si="65"/>
        <v>15.046022900698018</v>
      </c>
      <c r="O150">
        <f t="shared" si="66"/>
        <v>51.607461881447996</v>
      </c>
      <c r="P150">
        <f t="shared" si="67"/>
        <v>0.1184088268857479</v>
      </c>
      <c r="Q150">
        <f t="shared" si="68"/>
        <v>2.1956114365043331</v>
      </c>
      <c r="R150">
        <f t="shared" si="69"/>
        <v>0.11497220944461484</v>
      </c>
      <c r="S150">
        <f t="shared" si="70"/>
        <v>7.2158089198637976E-2</v>
      </c>
      <c r="T150">
        <f t="shared" si="71"/>
        <v>276.11404610655512</v>
      </c>
      <c r="U150">
        <f t="shared" si="72"/>
        <v>27.825665121778894</v>
      </c>
      <c r="V150">
        <f t="shared" si="73"/>
        <v>27.825665121778894</v>
      </c>
      <c r="W150">
        <f t="shared" si="74"/>
        <v>3.7564428102732355</v>
      </c>
      <c r="X150">
        <f t="shared" si="75"/>
        <v>68.08844087364055</v>
      </c>
      <c r="Y150">
        <f t="shared" si="76"/>
        <v>2.3354361846288003</v>
      </c>
      <c r="Z150">
        <f t="shared" si="77"/>
        <v>3.4300039105946549</v>
      </c>
      <c r="AA150">
        <f t="shared" si="78"/>
        <v>1.4210066256444351</v>
      </c>
      <c r="AB150">
        <f t="shared" si="79"/>
        <v>-74.936296762745997</v>
      </c>
      <c r="AC150">
        <f t="shared" si="80"/>
        <v>-183.29151260163817</v>
      </c>
      <c r="AD150">
        <f t="shared" si="81"/>
        <v>-18.025531705687175</v>
      </c>
      <c r="AE150">
        <f t="shared" si="82"/>
        <v>-0.13929496351622106</v>
      </c>
      <c r="AF150">
        <v>0</v>
      </c>
      <c r="AG150">
        <v>0</v>
      </c>
      <c r="AH150">
        <f t="shared" si="83"/>
        <v>1</v>
      </c>
      <c r="AI150">
        <f t="shared" si="84"/>
        <v>0</v>
      </c>
      <c r="AJ150">
        <f t="shared" si="85"/>
        <v>52574.387440346676</v>
      </c>
      <c r="AK150">
        <f t="shared" si="86"/>
        <v>1799.99</v>
      </c>
      <c r="AL150">
        <f t="shared" si="87"/>
        <v>1499.1048577934098</v>
      </c>
      <c r="AM150">
        <f t="shared" si="88"/>
        <v>0.83284065899999993</v>
      </c>
      <c r="AN150">
        <f t="shared" si="89"/>
        <v>0.15339754449000001</v>
      </c>
      <c r="AO150">
        <v>31.2</v>
      </c>
      <c r="AP150">
        <v>0.5</v>
      </c>
      <c r="AQ150" t="s">
        <v>331</v>
      </c>
      <c r="AR150">
        <v>2</v>
      </c>
      <c r="AS150">
        <v>1690222385.0999999</v>
      </c>
      <c r="AT150">
        <v>520.274</v>
      </c>
      <c r="AU150">
        <v>799.95299999999997</v>
      </c>
      <c r="AV150">
        <v>23.5444</v>
      </c>
      <c r="AW150">
        <v>6.2997500000000004</v>
      </c>
      <c r="AX150">
        <v>520.57000000000005</v>
      </c>
      <c r="AY150">
        <v>23.381599999999999</v>
      </c>
      <c r="AZ150">
        <v>300.197</v>
      </c>
      <c r="BA150">
        <v>99.092799999999997</v>
      </c>
      <c r="BB150">
        <v>0.100052</v>
      </c>
      <c r="BC150">
        <v>26.277200000000001</v>
      </c>
      <c r="BD150">
        <v>27.019200000000001</v>
      </c>
      <c r="BE150">
        <v>27.594200000000001</v>
      </c>
      <c r="BF150">
        <v>0</v>
      </c>
      <c r="BG150">
        <v>0</v>
      </c>
      <c r="BH150">
        <v>10010</v>
      </c>
      <c r="BI150">
        <v>1073.3800000000001</v>
      </c>
      <c r="BJ150">
        <v>1.3455900000000001</v>
      </c>
      <c r="BK150">
        <v>-279.67899999999997</v>
      </c>
      <c r="BL150">
        <v>532.81899999999996</v>
      </c>
      <c r="BM150">
        <v>805.024</v>
      </c>
      <c r="BN150">
        <v>17.244599999999998</v>
      </c>
      <c r="BO150">
        <v>799.95299999999997</v>
      </c>
      <c r="BP150">
        <v>6.2997500000000004</v>
      </c>
      <c r="BQ150">
        <v>2.3330799999999998</v>
      </c>
      <c r="BR150">
        <v>0.62426000000000004</v>
      </c>
      <c r="BS150">
        <v>19.906600000000001</v>
      </c>
      <c r="BT150">
        <v>0.23625099999999999</v>
      </c>
      <c r="BU150">
        <v>1799.99</v>
      </c>
      <c r="BV150">
        <v>0.91000099999999995</v>
      </c>
      <c r="BW150">
        <v>3.3995400000000002E-2</v>
      </c>
      <c r="BX150">
        <v>2.20022E-2</v>
      </c>
      <c r="BY150">
        <v>3.4001499999999997E-2</v>
      </c>
      <c r="BZ150">
        <v>26</v>
      </c>
      <c r="CA150">
        <v>33528.199999999997</v>
      </c>
      <c r="CB150">
        <v>1690220522.5999999</v>
      </c>
      <c r="CC150" t="s">
        <v>332</v>
      </c>
      <c r="CD150">
        <v>1690220522.5999999</v>
      </c>
      <c r="CE150">
        <v>1690220510.5999999</v>
      </c>
      <c r="CF150">
        <v>10</v>
      </c>
      <c r="CG150">
        <v>-0.22</v>
      </c>
      <c r="CH150">
        <v>-2.7E-2</v>
      </c>
      <c r="CI150">
        <v>-0.49299999999999999</v>
      </c>
      <c r="CJ150">
        <v>0.152</v>
      </c>
      <c r="CK150">
        <v>800</v>
      </c>
      <c r="CL150">
        <v>19</v>
      </c>
      <c r="CM150">
        <v>0.1</v>
      </c>
      <c r="CN150">
        <v>0.03</v>
      </c>
      <c r="CO150">
        <v>-276.83292682926827</v>
      </c>
      <c r="CP150">
        <v>-15.07076655052337</v>
      </c>
      <c r="CQ150">
        <v>1.4866569205852771</v>
      </c>
      <c r="CR150">
        <v>-1</v>
      </c>
      <c r="CS150">
        <v>17.010836585365851</v>
      </c>
      <c r="CT150">
        <v>1.0029637630662189</v>
      </c>
      <c r="CU150">
        <v>0.1006032772488963</v>
      </c>
      <c r="CV150">
        <v>-1</v>
      </c>
      <c r="CW150">
        <v>0</v>
      </c>
      <c r="CX150">
        <v>0</v>
      </c>
      <c r="CY150" t="s">
        <v>333</v>
      </c>
      <c r="CZ150">
        <v>2.3647100000000001</v>
      </c>
      <c r="DA150">
        <v>2.7138499999999999</v>
      </c>
      <c r="DB150">
        <v>0.10886899999999999</v>
      </c>
      <c r="DC150">
        <v>0.14611199999999999</v>
      </c>
      <c r="DD150">
        <v>0.112473</v>
      </c>
      <c r="DE150">
        <v>4.10564E-2</v>
      </c>
      <c r="DF150">
        <v>32540.400000000001</v>
      </c>
      <c r="DG150">
        <v>27521.8</v>
      </c>
      <c r="DH150">
        <v>31173.5</v>
      </c>
      <c r="DI150">
        <v>28085</v>
      </c>
      <c r="DJ150">
        <v>37560.1</v>
      </c>
      <c r="DK150">
        <v>38300</v>
      </c>
      <c r="DL150">
        <v>44364</v>
      </c>
      <c r="DM150">
        <v>42567.6</v>
      </c>
      <c r="DN150">
        <v>1.4824999999999999</v>
      </c>
      <c r="DO150">
        <v>2.0363199999999999</v>
      </c>
      <c r="DP150">
        <v>0.114106</v>
      </c>
      <c r="DQ150">
        <v>0.15961400000000001</v>
      </c>
      <c r="DR150">
        <v>25.150300000000001</v>
      </c>
      <c r="DS150">
        <v>24.980899999999998</v>
      </c>
      <c r="DT150">
        <v>46</v>
      </c>
      <c r="DU150">
        <v>29.4</v>
      </c>
      <c r="DV150">
        <v>19.105399999999999</v>
      </c>
      <c r="DW150">
        <v>61.738700000000001</v>
      </c>
      <c r="DX150">
        <v>37.103400000000001</v>
      </c>
      <c r="DY150">
        <v>1</v>
      </c>
      <c r="DZ150">
        <v>-9.3920199999999995E-2</v>
      </c>
      <c r="EA150">
        <v>-9.4123100000000001E-2</v>
      </c>
      <c r="EB150">
        <v>20.189800000000002</v>
      </c>
      <c r="EC150">
        <v>5.2408000000000001</v>
      </c>
      <c r="ED150">
        <v>12.039899999999999</v>
      </c>
      <c r="EE150">
        <v>5.0170000000000003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1.8689100000000001</v>
      </c>
      <c r="EL150">
        <v>1.86466</v>
      </c>
      <c r="EM150">
        <v>1.8691899999999999</v>
      </c>
      <c r="EN150">
        <v>1.8672200000000001</v>
      </c>
      <c r="EO150">
        <v>1.8633999999999999</v>
      </c>
      <c r="EP150">
        <v>1.8645499999999999</v>
      </c>
      <c r="EQ150">
        <v>1.8701700000000001</v>
      </c>
      <c r="ER150">
        <v>1.8694200000000001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-0.29599999999999999</v>
      </c>
      <c r="FG150">
        <v>0.1628</v>
      </c>
      <c r="FH150">
        <v>5.8509882529719233E-2</v>
      </c>
      <c r="FI150">
        <v>-6.1462078757559423E-4</v>
      </c>
      <c r="FJ150">
        <v>-1.8861989874597051E-7</v>
      </c>
      <c r="FK150">
        <v>1.1980462299894961E-10</v>
      </c>
      <c r="FL150">
        <v>0.16277811159127681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31</v>
      </c>
      <c r="FU150">
        <v>31.2</v>
      </c>
      <c r="FV150">
        <v>1.7736799999999999</v>
      </c>
      <c r="FW150">
        <v>2.5830099999999998</v>
      </c>
      <c r="FX150">
        <v>1.5490699999999999</v>
      </c>
      <c r="FY150">
        <v>2.3278799999999999</v>
      </c>
      <c r="FZ150">
        <v>1.50146</v>
      </c>
      <c r="GA150">
        <v>2.2973599999999998</v>
      </c>
      <c r="GB150">
        <v>33.941299999999998</v>
      </c>
      <c r="GC150">
        <v>23.982399999999998</v>
      </c>
      <c r="GD150">
        <v>19</v>
      </c>
      <c r="GE150">
        <v>285.553</v>
      </c>
      <c r="GF150">
        <v>583.03499999999997</v>
      </c>
      <c r="GG150">
        <v>24.626000000000001</v>
      </c>
      <c r="GH150">
        <v>26.2</v>
      </c>
      <c r="GI150">
        <v>30.0002</v>
      </c>
      <c r="GJ150">
        <v>26.346</v>
      </c>
      <c r="GK150">
        <v>26.3308</v>
      </c>
      <c r="GL150">
        <v>35.470300000000002</v>
      </c>
      <c r="GM150">
        <v>66.852800000000002</v>
      </c>
      <c r="GN150">
        <v>58.4129</v>
      </c>
      <c r="GO150">
        <v>24.543600000000001</v>
      </c>
      <c r="GP150">
        <v>800</v>
      </c>
      <c r="GQ150">
        <v>6.15184</v>
      </c>
      <c r="GR150">
        <v>99.743499999999997</v>
      </c>
      <c r="GS150">
        <v>99.580100000000002</v>
      </c>
    </row>
    <row r="151" spans="1:201" x14ac:dyDescent="0.25">
      <c r="A151">
        <v>135</v>
      </c>
      <c r="B151">
        <v>1690222395.0999999</v>
      </c>
      <c r="C151">
        <v>1512.599999904633</v>
      </c>
      <c r="D151" t="s">
        <v>601</v>
      </c>
      <c r="E151" t="s">
        <v>602</v>
      </c>
      <c r="F151" t="s">
        <v>330</v>
      </c>
      <c r="H151">
        <v>1690222395.0999999</v>
      </c>
      <c r="I151">
        <f t="shared" si="60"/>
        <v>1.7214006207953636E-3</v>
      </c>
      <c r="J151">
        <f t="shared" si="61"/>
        <v>1.7214006207953636</v>
      </c>
      <c r="K151">
        <f t="shared" si="62"/>
        <v>26.258570899677103</v>
      </c>
      <c r="L151">
        <f t="shared" si="63"/>
        <v>517.79700000000003</v>
      </c>
      <c r="M151">
        <f t="shared" si="64"/>
        <v>151.30224549788838</v>
      </c>
      <c r="N151">
        <f t="shared" si="65"/>
        <v>15.008417073246958</v>
      </c>
      <c r="O151">
        <f t="shared" si="66"/>
        <v>51.362842036501803</v>
      </c>
      <c r="P151">
        <f t="shared" si="67"/>
        <v>0.12019622493102046</v>
      </c>
      <c r="Q151">
        <f t="shared" si="68"/>
        <v>2.1949509443037951</v>
      </c>
      <c r="R151">
        <f t="shared" si="69"/>
        <v>0.11665571017063389</v>
      </c>
      <c r="S151">
        <f t="shared" si="70"/>
        <v>7.321923301308636E-2</v>
      </c>
      <c r="T151">
        <f t="shared" si="71"/>
        <v>276.11388961542451</v>
      </c>
      <c r="U151">
        <f t="shared" si="72"/>
        <v>27.818562780079464</v>
      </c>
      <c r="V151">
        <f t="shared" si="73"/>
        <v>27.818562780079464</v>
      </c>
      <c r="W151">
        <f t="shared" si="74"/>
        <v>3.7548857481813838</v>
      </c>
      <c r="X151">
        <f t="shared" si="75"/>
        <v>68.107225581581247</v>
      </c>
      <c r="Y151">
        <f t="shared" si="76"/>
        <v>2.3360805008457599</v>
      </c>
      <c r="Z151">
        <f t="shared" si="77"/>
        <v>3.4300039105946549</v>
      </c>
      <c r="AA151">
        <f t="shared" si="78"/>
        <v>1.4188052473356239</v>
      </c>
      <c r="AB151">
        <f t="shared" si="79"/>
        <v>-75.91376737707553</v>
      </c>
      <c r="AC151">
        <f t="shared" si="80"/>
        <v>-182.39592426041847</v>
      </c>
      <c r="AD151">
        <f t="shared" si="81"/>
        <v>-17.94221588234608</v>
      </c>
      <c r="AE151">
        <f t="shared" si="82"/>
        <v>-0.13801790441559092</v>
      </c>
      <c r="AF151">
        <v>0</v>
      </c>
      <c r="AG151">
        <v>0</v>
      </c>
      <c r="AH151">
        <f t="shared" si="83"/>
        <v>1</v>
      </c>
      <c r="AI151">
        <f t="shared" si="84"/>
        <v>0</v>
      </c>
      <c r="AJ151">
        <f t="shared" si="85"/>
        <v>52547.348725926182</v>
      </c>
      <c r="AK151">
        <f t="shared" si="86"/>
        <v>1799.99</v>
      </c>
      <c r="AL151">
        <f t="shared" si="87"/>
        <v>1499.1051655916999</v>
      </c>
      <c r="AM151">
        <f t="shared" si="88"/>
        <v>0.83284082999999998</v>
      </c>
      <c r="AN151">
        <f t="shared" si="89"/>
        <v>0.15339745755</v>
      </c>
      <c r="AO151">
        <v>31.2</v>
      </c>
      <c r="AP151">
        <v>0.5</v>
      </c>
      <c r="AQ151" t="s">
        <v>331</v>
      </c>
      <c r="AR151">
        <v>2</v>
      </c>
      <c r="AS151">
        <v>1690222395.0999999</v>
      </c>
      <c r="AT151">
        <v>517.79700000000003</v>
      </c>
      <c r="AU151">
        <v>799.99800000000005</v>
      </c>
      <c r="AV151">
        <v>23.5504</v>
      </c>
      <c r="AW151">
        <v>6.0792299999999999</v>
      </c>
      <c r="AX151">
        <v>518.09100000000001</v>
      </c>
      <c r="AY151">
        <v>23.387699999999999</v>
      </c>
      <c r="AZ151">
        <v>300.16800000000001</v>
      </c>
      <c r="BA151">
        <v>99.094999999999999</v>
      </c>
      <c r="BB151">
        <v>9.9939399999999998E-2</v>
      </c>
      <c r="BC151">
        <v>26.277200000000001</v>
      </c>
      <c r="BD151">
        <v>26.9861</v>
      </c>
      <c r="BE151">
        <v>27.6005</v>
      </c>
      <c r="BF151">
        <v>0</v>
      </c>
      <c r="BG151">
        <v>0</v>
      </c>
      <c r="BH151">
        <v>10004.4</v>
      </c>
      <c r="BI151">
        <v>1073.27</v>
      </c>
      <c r="BJ151">
        <v>1.62592</v>
      </c>
      <c r="BK151">
        <v>-282.20100000000002</v>
      </c>
      <c r="BL151">
        <v>530.28499999999997</v>
      </c>
      <c r="BM151">
        <v>804.89099999999996</v>
      </c>
      <c r="BN151">
        <v>17.4712</v>
      </c>
      <c r="BO151">
        <v>799.99800000000005</v>
      </c>
      <c r="BP151">
        <v>6.0792299999999999</v>
      </c>
      <c r="BQ151">
        <v>2.3337300000000001</v>
      </c>
      <c r="BR151">
        <v>0.60242099999999998</v>
      </c>
      <c r="BS151">
        <v>19.911100000000001</v>
      </c>
      <c r="BT151">
        <v>-0.253996</v>
      </c>
      <c r="BU151">
        <v>1799.99</v>
      </c>
      <c r="BV151">
        <v>0.91000400000000004</v>
      </c>
      <c r="BW151">
        <v>3.3994200000000002E-2</v>
      </c>
      <c r="BX151">
        <v>2.20015E-2</v>
      </c>
      <c r="BY151">
        <v>3.4000299999999997E-2</v>
      </c>
      <c r="BZ151">
        <v>26</v>
      </c>
      <c r="CA151">
        <v>33528.300000000003</v>
      </c>
      <c r="CB151">
        <v>1690220522.5999999</v>
      </c>
      <c r="CC151" t="s">
        <v>332</v>
      </c>
      <c r="CD151">
        <v>1690220522.5999999</v>
      </c>
      <c r="CE151">
        <v>1690220510.5999999</v>
      </c>
      <c r="CF151">
        <v>10</v>
      </c>
      <c r="CG151">
        <v>-0.22</v>
      </c>
      <c r="CH151">
        <v>-2.7E-2</v>
      </c>
      <c r="CI151">
        <v>-0.49299999999999999</v>
      </c>
      <c r="CJ151">
        <v>0.152</v>
      </c>
      <c r="CK151">
        <v>800</v>
      </c>
      <c r="CL151">
        <v>19</v>
      </c>
      <c r="CM151">
        <v>0.1</v>
      </c>
      <c r="CN151">
        <v>0.03</v>
      </c>
      <c r="CO151">
        <v>-279.37051219512188</v>
      </c>
      <c r="CP151">
        <v>-15.44046689895414</v>
      </c>
      <c r="CQ151">
        <v>1.522914441520842</v>
      </c>
      <c r="CR151">
        <v>-1</v>
      </c>
      <c r="CS151">
        <v>17.208702439024389</v>
      </c>
      <c r="CT151">
        <v>1.38562160278744</v>
      </c>
      <c r="CU151">
        <v>0.1367399177855628</v>
      </c>
      <c r="CV151">
        <v>-1</v>
      </c>
      <c r="CW151">
        <v>0</v>
      </c>
      <c r="CX151">
        <v>0</v>
      </c>
      <c r="CY151" t="s">
        <v>333</v>
      </c>
      <c r="CZ151">
        <v>2.3646500000000001</v>
      </c>
      <c r="DA151">
        <v>2.71373</v>
      </c>
      <c r="DB151">
        <v>0.108496</v>
      </c>
      <c r="DC151">
        <v>0.146116</v>
      </c>
      <c r="DD151">
        <v>0.112496</v>
      </c>
      <c r="DE151">
        <v>3.9884099999999999E-2</v>
      </c>
      <c r="DF151">
        <v>32554.2</v>
      </c>
      <c r="DG151">
        <v>27521.7</v>
      </c>
      <c r="DH151">
        <v>31173.7</v>
      </c>
      <c r="DI151">
        <v>28085.1</v>
      </c>
      <c r="DJ151">
        <v>37559.199999999997</v>
      </c>
      <c r="DK151">
        <v>38347.1</v>
      </c>
      <c r="DL151">
        <v>44364.2</v>
      </c>
      <c r="DM151">
        <v>42567.7</v>
      </c>
      <c r="DN151">
        <v>1.4826699999999999</v>
      </c>
      <c r="DO151">
        <v>2.0364</v>
      </c>
      <c r="DP151">
        <v>0.111759</v>
      </c>
      <c r="DQ151">
        <v>0.15964400000000001</v>
      </c>
      <c r="DR151">
        <v>25.1556</v>
      </c>
      <c r="DS151">
        <v>24.986699999999999</v>
      </c>
      <c r="DT151">
        <v>45.7</v>
      </c>
      <c r="DU151">
        <v>29.4</v>
      </c>
      <c r="DV151">
        <v>18.981400000000001</v>
      </c>
      <c r="DW151">
        <v>61.578699999999998</v>
      </c>
      <c r="DX151">
        <v>36.213900000000002</v>
      </c>
      <c r="DY151">
        <v>1</v>
      </c>
      <c r="DZ151">
        <v>-9.3579800000000005E-2</v>
      </c>
      <c r="EA151">
        <v>0.23700399999999999</v>
      </c>
      <c r="EB151">
        <v>20.1891</v>
      </c>
      <c r="EC151">
        <v>5.2408000000000001</v>
      </c>
      <c r="ED151">
        <v>12.039899999999999</v>
      </c>
      <c r="EE151">
        <v>5.0171999999999999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1.8689100000000001</v>
      </c>
      <c r="EL151">
        <v>1.8646400000000001</v>
      </c>
      <c r="EM151">
        <v>1.8691899999999999</v>
      </c>
      <c r="EN151">
        <v>1.8672200000000001</v>
      </c>
      <c r="EO151">
        <v>1.8633999999999999</v>
      </c>
      <c r="EP151">
        <v>1.8645499999999999</v>
      </c>
      <c r="EQ151">
        <v>1.8701700000000001</v>
      </c>
      <c r="ER151">
        <v>1.86947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-0.29399999999999998</v>
      </c>
      <c r="FG151">
        <v>0.16270000000000001</v>
      </c>
      <c r="FH151">
        <v>5.8509882529719233E-2</v>
      </c>
      <c r="FI151">
        <v>-6.1462078757559423E-4</v>
      </c>
      <c r="FJ151">
        <v>-1.8861989874597051E-7</v>
      </c>
      <c r="FK151">
        <v>1.1980462299894961E-10</v>
      </c>
      <c r="FL151">
        <v>0.16277811159127681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31.2</v>
      </c>
      <c r="FU151">
        <v>31.4</v>
      </c>
      <c r="FV151">
        <v>1.7736799999999999</v>
      </c>
      <c r="FW151">
        <v>2.5756800000000002</v>
      </c>
      <c r="FX151">
        <v>1.5490699999999999</v>
      </c>
      <c r="FY151">
        <v>2.3278799999999999</v>
      </c>
      <c r="FZ151">
        <v>1.50146</v>
      </c>
      <c r="GA151">
        <v>2.36206</v>
      </c>
      <c r="GB151">
        <v>33.941299999999998</v>
      </c>
      <c r="GC151">
        <v>23.991199999999999</v>
      </c>
      <c r="GD151">
        <v>19</v>
      </c>
      <c r="GE151">
        <v>285.61799999999999</v>
      </c>
      <c r="GF151">
        <v>583.07799999999997</v>
      </c>
      <c r="GG151">
        <v>24.523299999999999</v>
      </c>
      <c r="GH151">
        <v>26.197900000000001</v>
      </c>
      <c r="GI151">
        <v>30.0002</v>
      </c>
      <c r="GJ151">
        <v>26.343800000000002</v>
      </c>
      <c r="GK151">
        <v>26.3291</v>
      </c>
      <c r="GL151">
        <v>35.465200000000003</v>
      </c>
      <c r="GM151">
        <v>67.417500000000004</v>
      </c>
      <c r="GN151">
        <v>57.624899999999997</v>
      </c>
      <c r="GO151">
        <v>24.507999999999999</v>
      </c>
      <c r="GP151">
        <v>800</v>
      </c>
      <c r="GQ151">
        <v>5.9571300000000003</v>
      </c>
      <c r="GR151">
        <v>99.744</v>
      </c>
      <c r="GS151">
        <v>99.580299999999994</v>
      </c>
    </row>
    <row r="152" spans="1:201" x14ac:dyDescent="0.25">
      <c r="A152">
        <v>136</v>
      </c>
      <c r="B152">
        <v>1690222405.0999999</v>
      </c>
      <c r="C152">
        <v>1522.599999904633</v>
      </c>
      <c r="D152" t="s">
        <v>603</v>
      </c>
      <c r="E152" t="s">
        <v>604</v>
      </c>
      <c r="F152" t="s">
        <v>330</v>
      </c>
      <c r="H152">
        <v>1690222405.0999999</v>
      </c>
      <c r="I152">
        <f t="shared" si="60"/>
        <v>1.7395693172915587E-3</v>
      </c>
      <c r="J152">
        <f t="shared" si="61"/>
        <v>1.7395693172915587</v>
      </c>
      <c r="K152">
        <f t="shared" si="62"/>
        <v>26.489906220805338</v>
      </c>
      <c r="L152">
        <f t="shared" si="63"/>
        <v>515.35299999999995</v>
      </c>
      <c r="M152">
        <f t="shared" si="64"/>
        <v>149.9219923958556</v>
      </c>
      <c r="N152">
        <f t="shared" si="65"/>
        <v>14.871016738420618</v>
      </c>
      <c r="O152">
        <f t="shared" si="66"/>
        <v>51.118738263293899</v>
      </c>
      <c r="P152">
        <f t="shared" si="67"/>
        <v>0.12163520919966871</v>
      </c>
      <c r="Q152">
        <f t="shared" si="68"/>
        <v>2.1944431187391609</v>
      </c>
      <c r="R152">
        <f t="shared" si="69"/>
        <v>0.11800997739225702</v>
      </c>
      <c r="S152">
        <f t="shared" si="70"/>
        <v>7.4072948490167892E-2</v>
      </c>
      <c r="T152">
        <f t="shared" si="71"/>
        <v>276.115226382</v>
      </c>
      <c r="U152">
        <f t="shared" si="72"/>
        <v>27.807734753355852</v>
      </c>
      <c r="V152">
        <f t="shared" si="73"/>
        <v>27.807734753355852</v>
      </c>
      <c r="W152">
        <f t="shared" si="74"/>
        <v>3.752512979650235</v>
      </c>
      <c r="X152">
        <f t="shared" si="75"/>
        <v>68.101968525845521</v>
      </c>
      <c r="Y152">
        <f t="shared" si="76"/>
        <v>2.3352105909731202</v>
      </c>
      <c r="Z152">
        <f t="shared" si="77"/>
        <v>3.4289913221625588</v>
      </c>
      <c r="AA152">
        <f t="shared" si="78"/>
        <v>1.4173023886771148</v>
      </c>
      <c r="AB152">
        <f t="shared" si="79"/>
        <v>-76.715006892557739</v>
      </c>
      <c r="AC152">
        <f t="shared" si="80"/>
        <v>-181.66422970344379</v>
      </c>
      <c r="AD152">
        <f t="shared" si="81"/>
        <v>-17.872959602473966</v>
      </c>
      <c r="AE152">
        <f t="shared" si="82"/>
        <v>-0.13696981647547091</v>
      </c>
      <c r="AF152">
        <v>0</v>
      </c>
      <c r="AG152">
        <v>0</v>
      </c>
      <c r="AH152">
        <f t="shared" si="83"/>
        <v>1</v>
      </c>
      <c r="AI152">
        <f t="shared" si="84"/>
        <v>0</v>
      </c>
      <c r="AJ152">
        <f t="shared" si="85"/>
        <v>52527.334663299123</v>
      </c>
      <c r="AK152">
        <f t="shared" si="86"/>
        <v>1800</v>
      </c>
      <c r="AL152">
        <f t="shared" si="87"/>
        <v>1499.1136451999998</v>
      </c>
      <c r="AM152">
        <f t="shared" si="88"/>
        <v>0.83284091399999993</v>
      </c>
      <c r="AN152">
        <f t="shared" si="89"/>
        <v>0.15339734798999999</v>
      </c>
      <c r="AO152">
        <v>31.2</v>
      </c>
      <c r="AP152">
        <v>0.5</v>
      </c>
      <c r="AQ152" t="s">
        <v>331</v>
      </c>
      <c r="AR152">
        <v>2</v>
      </c>
      <c r="AS152">
        <v>1690222405.0999999</v>
      </c>
      <c r="AT152">
        <v>515.35299999999995</v>
      </c>
      <c r="AU152">
        <v>800.03300000000002</v>
      </c>
      <c r="AV152">
        <v>23.542400000000001</v>
      </c>
      <c r="AW152">
        <v>5.8853900000000001</v>
      </c>
      <c r="AX152">
        <v>515.64499999999998</v>
      </c>
      <c r="AY152">
        <v>23.3796</v>
      </c>
      <c r="AZ152">
        <v>300.14600000000002</v>
      </c>
      <c r="BA152">
        <v>99.091700000000003</v>
      </c>
      <c r="BB152">
        <v>9.9996299999999996E-2</v>
      </c>
      <c r="BC152">
        <v>26.272200000000002</v>
      </c>
      <c r="BD152">
        <v>26.983799999999999</v>
      </c>
      <c r="BE152">
        <v>27.5913</v>
      </c>
      <c r="BF152">
        <v>0</v>
      </c>
      <c r="BG152">
        <v>0</v>
      </c>
      <c r="BH152">
        <v>10000.6</v>
      </c>
      <c r="BI152">
        <v>1073.25</v>
      </c>
      <c r="BJ152">
        <v>1.62592</v>
      </c>
      <c r="BK152">
        <v>-284.68</v>
      </c>
      <c r="BL152">
        <v>527.77800000000002</v>
      </c>
      <c r="BM152">
        <v>804.76900000000001</v>
      </c>
      <c r="BN152">
        <v>17.657</v>
      </c>
      <c r="BO152">
        <v>800.03300000000002</v>
      </c>
      <c r="BP152">
        <v>5.8853900000000001</v>
      </c>
      <c r="BQ152">
        <v>2.3328500000000001</v>
      </c>
      <c r="BR152">
        <v>0.58319299999999996</v>
      </c>
      <c r="BS152">
        <v>19.905100000000001</v>
      </c>
      <c r="BT152">
        <v>-0.698851</v>
      </c>
      <c r="BU152">
        <v>1800</v>
      </c>
      <c r="BV152">
        <v>0.91000700000000001</v>
      </c>
      <c r="BW152">
        <v>3.3993000000000002E-2</v>
      </c>
      <c r="BX152">
        <v>2.2000700000000002E-2</v>
      </c>
      <c r="BY152">
        <v>3.3999099999999997E-2</v>
      </c>
      <c r="BZ152">
        <v>26</v>
      </c>
      <c r="CA152">
        <v>33528.5</v>
      </c>
      <c r="CB152">
        <v>1690220522.5999999</v>
      </c>
      <c r="CC152" t="s">
        <v>332</v>
      </c>
      <c r="CD152">
        <v>1690220522.5999999</v>
      </c>
      <c r="CE152">
        <v>1690220510.5999999</v>
      </c>
      <c r="CF152">
        <v>10</v>
      </c>
      <c r="CG152">
        <v>-0.22</v>
      </c>
      <c r="CH152">
        <v>-2.7E-2</v>
      </c>
      <c r="CI152">
        <v>-0.49299999999999999</v>
      </c>
      <c r="CJ152">
        <v>0.152</v>
      </c>
      <c r="CK152">
        <v>800</v>
      </c>
      <c r="CL152">
        <v>19</v>
      </c>
      <c r="CM152">
        <v>0.1</v>
      </c>
      <c r="CN152">
        <v>0.03</v>
      </c>
      <c r="CO152">
        <v>-282.04147499999999</v>
      </c>
      <c r="CP152">
        <v>-14.650953095684891</v>
      </c>
      <c r="CQ152">
        <v>1.411526460742061</v>
      </c>
      <c r="CR152">
        <v>-1</v>
      </c>
      <c r="CS152">
        <v>17.438755</v>
      </c>
      <c r="CT152">
        <v>1.168703189493417</v>
      </c>
      <c r="CU152">
        <v>0.1128332618291257</v>
      </c>
      <c r="CV152">
        <v>-1</v>
      </c>
      <c r="CW152">
        <v>0</v>
      </c>
      <c r="CX152">
        <v>0</v>
      </c>
      <c r="CY152" t="s">
        <v>333</v>
      </c>
      <c r="CZ152">
        <v>2.3645299999999998</v>
      </c>
      <c r="DA152">
        <v>2.7137899999999999</v>
      </c>
      <c r="DB152">
        <v>0.10812099999999999</v>
      </c>
      <c r="DC152">
        <v>0.14611199999999999</v>
      </c>
      <c r="DD152">
        <v>0.112466</v>
      </c>
      <c r="DE152">
        <v>3.8840800000000002E-2</v>
      </c>
      <c r="DF152">
        <v>32568.5</v>
      </c>
      <c r="DG152">
        <v>27522.1</v>
      </c>
      <c r="DH152">
        <v>31174.2</v>
      </c>
      <c r="DI152">
        <v>28085.3</v>
      </c>
      <c r="DJ152">
        <v>37560.800000000003</v>
      </c>
      <c r="DK152">
        <v>38389.199999999997</v>
      </c>
      <c r="DL152">
        <v>44364.7</v>
      </c>
      <c r="DM152">
        <v>42568.1</v>
      </c>
      <c r="DN152">
        <v>1.48298</v>
      </c>
      <c r="DO152">
        <v>2.036</v>
      </c>
      <c r="DP152">
        <v>0.111431</v>
      </c>
      <c r="DQ152">
        <v>0.15872700000000001</v>
      </c>
      <c r="DR152">
        <v>25.158799999999999</v>
      </c>
      <c r="DS152">
        <v>24.9925</v>
      </c>
      <c r="DT152">
        <v>45.3</v>
      </c>
      <c r="DU152">
        <v>29.4</v>
      </c>
      <c r="DV152">
        <v>18.8186</v>
      </c>
      <c r="DW152">
        <v>61.898699999999998</v>
      </c>
      <c r="DX152">
        <v>36.137799999999999</v>
      </c>
      <c r="DY152">
        <v>1</v>
      </c>
      <c r="DZ152">
        <v>-9.4400399999999995E-2</v>
      </c>
      <c r="EA152">
        <v>2.84668E-2</v>
      </c>
      <c r="EB152">
        <v>20.189800000000002</v>
      </c>
      <c r="EC152">
        <v>5.24125</v>
      </c>
      <c r="ED152">
        <v>12.039899999999999</v>
      </c>
      <c r="EE152">
        <v>5.0172499999999998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1.8689100000000001</v>
      </c>
      <c r="EL152">
        <v>1.86463</v>
      </c>
      <c r="EM152">
        <v>1.8691899999999999</v>
      </c>
      <c r="EN152">
        <v>1.86724</v>
      </c>
      <c r="EO152">
        <v>1.8633999999999999</v>
      </c>
      <c r="EP152">
        <v>1.86456</v>
      </c>
      <c r="EQ152">
        <v>1.87016</v>
      </c>
      <c r="ER152">
        <v>1.8694599999999999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-0.29199999999999998</v>
      </c>
      <c r="FG152">
        <v>0.1628</v>
      </c>
      <c r="FH152">
        <v>5.8509882529719233E-2</v>
      </c>
      <c r="FI152">
        <v>-6.1462078757559423E-4</v>
      </c>
      <c r="FJ152">
        <v>-1.8861989874597051E-7</v>
      </c>
      <c r="FK152">
        <v>1.1980462299894961E-10</v>
      </c>
      <c r="FL152">
        <v>0.16277811159127681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31.4</v>
      </c>
      <c r="FU152">
        <v>31.6</v>
      </c>
      <c r="FV152">
        <v>1.7736799999999999</v>
      </c>
      <c r="FW152">
        <v>2.5781200000000002</v>
      </c>
      <c r="FX152">
        <v>1.5490699999999999</v>
      </c>
      <c r="FY152">
        <v>2.3278799999999999</v>
      </c>
      <c r="FZ152">
        <v>1.50146</v>
      </c>
      <c r="GA152">
        <v>2.3986800000000001</v>
      </c>
      <c r="GB152">
        <v>33.941299999999998</v>
      </c>
      <c r="GC152">
        <v>23.991199999999999</v>
      </c>
      <c r="GD152">
        <v>19</v>
      </c>
      <c r="GE152">
        <v>285.73700000000002</v>
      </c>
      <c r="GF152">
        <v>582.73500000000001</v>
      </c>
      <c r="GG152">
        <v>24.505099999999999</v>
      </c>
      <c r="GH152">
        <v>26.197900000000001</v>
      </c>
      <c r="GI152">
        <v>29.9998</v>
      </c>
      <c r="GJ152">
        <v>26.3416</v>
      </c>
      <c r="GK152">
        <v>26.328099999999999</v>
      </c>
      <c r="GL152">
        <v>35.457000000000001</v>
      </c>
      <c r="GM152">
        <v>67.708500000000001</v>
      </c>
      <c r="GN152">
        <v>56.8538</v>
      </c>
      <c r="GO152">
        <v>24.5382</v>
      </c>
      <c r="GP152">
        <v>800</v>
      </c>
      <c r="GQ152">
        <v>5.7665699999999998</v>
      </c>
      <c r="GR152">
        <v>99.745199999999997</v>
      </c>
      <c r="GS152">
        <v>99.581199999999995</v>
      </c>
    </row>
    <row r="153" spans="1:201" x14ac:dyDescent="0.25">
      <c r="A153">
        <v>137</v>
      </c>
      <c r="B153">
        <v>1690222415.0999999</v>
      </c>
      <c r="C153">
        <v>1532.599999904633</v>
      </c>
      <c r="D153" t="s">
        <v>605</v>
      </c>
      <c r="E153" t="s">
        <v>606</v>
      </c>
      <c r="F153" t="s">
        <v>330</v>
      </c>
      <c r="H153">
        <v>1690222415.0999999</v>
      </c>
      <c r="I153">
        <f t="shared" si="60"/>
        <v>1.7574838613628328E-3</v>
      </c>
      <c r="J153">
        <f t="shared" si="61"/>
        <v>1.7574838613628327</v>
      </c>
      <c r="K153">
        <f t="shared" si="62"/>
        <v>26.709820830062213</v>
      </c>
      <c r="L153">
        <f t="shared" si="63"/>
        <v>512.96299999999997</v>
      </c>
      <c r="M153">
        <f t="shared" si="64"/>
        <v>148.35599476751068</v>
      </c>
      <c r="N153">
        <f t="shared" si="65"/>
        <v>14.715191807934225</v>
      </c>
      <c r="O153">
        <f t="shared" si="66"/>
        <v>50.879972509384693</v>
      </c>
      <c r="P153">
        <f t="shared" si="67"/>
        <v>0.12294258161684417</v>
      </c>
      <c r="Q153">
        <f t="shared" si="68"/>
        <v>2.1964774595716254</v>
      </c>
      <c r="R153">
        <f t="shared" si="69"/>
        <v>0.11924359554722677</v>
      </c>
      <c r="S153">
        <f t="shared" si="70"/>
        <v>7.4850316007830459E-2</v>
      </c>
      <c r="T153">
        <f t="shared" si="71"/>
        <v>276.11525424600001</v>
      </c>
      <c r="U153">
        <f t="shared" si="72"/>
        <v>27.810147116830997</v>
      </c>
      <c r="V153">
        <f t="shared" si="73"/>
        <v>27.810147116830997</v>
      </c>
      <c r="W153">
        <f t="shared" si="74"/>
        <v>3.7530414926932907</v>
      </c>
      <c r="X153">
        <f t="shared" si="75"/>
        <v>68.086028354967709</v>
      </c>
      <c r="Y153">
        <f t="shared" si="76"/>
        <v>2.3360154563979698</v>
      </c>
      <c r="Z153">
        <f t="shared" si="77"/>
        <v>3.4309762411446765</v>
      </c>
      <c r="AA153">
        <f t="shared" si="78"/>
        <v>1.4170260362953209</v>
      </c>
      <c r="AB153">
        <f t="shared" si="79"/>
        <v>-77.505038286100927</v>
      </c>
      <c r="AC153">
        <f t="shared" si="80"/>
        <v>-180.95782205820871</v>
      </c>
      <c r="AD153">
        <f t="shared" si="81"/>
        <v>-17.788055571812244</v>
      </c>
      <c r="AE153">
        <f t="shared" si="82"/>
        <v>-0.13566167012189112</v>
      </c>
      <c r="AF153">
        <v>0</v>
      </c>
      <c r="AG153">
        <v>0</v>
      </c>
      <c r="AH153">
        <f t="shared" si="83"/>
        <v>1</v>
      </c>
      <c r="AI153">
        <f t="shared" si="84"/>
        <v>0</v>
      </c>
      <c r="AJ153">
        <f t="shared" si="85"/>
        <v>52608.975288656897</v>
      </c>
      <c r="AK153">
        <f t="shared" si="86"/>
        <v>1800</v>
      </c>
      <c r="AL153">
        <f t="shared" si="87"/>
        <v>1499.1147576000001</v>
      </c>
      <c r="AM153">
        <f t="shared" si="88"/>
        <v>0.832841532</v>
      </c>
      <c r="AN153">
        <f t="shared" si="89"/>
        <v>0.15339736346999999</v>
      </c>
      <c r="AO153">
        <v>31.2</v>
      </c>
      <c r="AP153">
        <v>0.5</v>
      </c>
      <c r="AQ153" t="s">
        <v>331</v>
      </c>
      <c r="AR153">
        <v>2</v>
      </c>
      <c r="AS153">
        <v>1690222415.0999999</v>
      </c>
      <c r="AT153">
        <v>512.96299999999997</v>
      </c>
      <c r="AU153">
        <v>799.98800000000006</v>
      </c>
      <c r="AV153">
        <v>23.551300000000001</v>
      </c>
      <c r="AW153">
        <v>5.7122000000000002</v>
      </c>
      <c r="AX153">
        <v>513.25300000000004</v>
      </c>
      <c r="AY153">
        <v>23.388500000000001</v>
      </c>
      <c r="AZ153">
        <v>300.13900000000001</v>
      </c>
      <c r="BA153">
        <v>99.088399999999993</v>
      </c>
      <c r="BB153">
        <v>9.9986900000000004E-2</v>
      </c>
      <c r="BC153">
        <v>26.282</v>
      </c>
      <c r="BD153">
        <v>27.0168</v>
      </c>
      <c r="BE153">
        <v>27.571200000000001</v>
      </c>
      <c r="BF153">
        <v>0</v>
      </c>
      <c r="BG153">
        <v>0</v>
      </c>
      <c r="BH153">
        <v>10017.5</v>
      </c>
      <c r="BI153">
        <v>1073.29</v>
      </c>
      <c r="BJ153">
        <v>1.62592</v>
      </c>
      <c r="BK153">
        <v>-287.02600000000001</v>
      </c>
      <c r="BL153">
        <v>525.33500000000004</v>
      </c>
      <c r="BM153">
        <v>804.58399999999995</v>
      </c>
      <c r="BN153">
        <v>17.839099999999998</v>
      </c>
      <c r="BO153">
        <v>799.98800000000006</v>
      </c>
      <c r="BP153">
        <v>5.7122000000000002</v>
      </c>
      <c r="BQ153">
        <v>2.3336600000000001</v>
      </c>
      <c r="BR153">
        <v>0.56601299999999999</v>
      </c>
      <c r="BS153">
        <v>19.910599999999999</v>
      </c>
      <c r="BT153">
        <v>-1.10747</v>
      </c>
      <c r="BU153">
        <v>1800</v>
      </c>
      <c r="BV153">
        <v>0.91000999999999999</v>
      </c>
      <c r="BW153">
        <v>3.3992099999999997E-2</v>
      </c>
      <c r="BX153">
        <v>2.2000100000000002E-2</v>
      </c>
      <c r="BY153">
        <v>3.3998100000000003E-2</v>
      </c>
      <c r="BZ153">
        <v>26</v>
      </c>
      <c r="CA153">
        <v>33528.5</v>
      </c>
      <c r="CB153">
        <v>1690220522.5999999</v>
      </c>
      <c r="CC153" t="s">
        <v>332</v>
      </c>
      <c r="CD153">
        <v>1690220522.5999999</v>
      </c>
      <c r="CE153">
        <v>1690220510.5999999</v>
      </c>
      <c r="CF153">
        <v>10</v>
      </c>
      <c r="CG153">
        <v>-0.22</v>
      </c>
      <c r="CH153">
        <v>-2.7E-2</v>
      </c>
      <c r="CI153">
        <v>-0.49299999999999999</v>
      </c>
      <c r="CJ153">
        <v>0.152</v>
      </c>
      <c r="CK153">
        <v>800</v>
      </c>
      <c r="CL153">
        <v>19</v>
      </c>
      <c r="CM153">
        <v>0.1</v>
      </c>
      <c r="CN153">
        <v>0.03</v>
      </c>
      <c r="CO153">
        <v>-284.291</v>
      </c>
      <c r="CP153">
        <v>-14.69351916376327</v>
      </c>
      <c r="CQ153">
        <v>1.450306544552125</v>
      </c>
      <c r="CR153">
        <v>-1</v>
      </c>
      <c r="CS153">
        <v>17.618843902439028</v>
      </c>
      <c r="CT153">
        <v>1.110150522648089</v>
      </c>
      <c r="CU153">
        <v>0.1098043827122568</v>
      </c>
      <c r="CV153">
        <v>-1</v>
      </c>
      <c r="CW153">
        <v>0</v>
      </c>
      <c r="CX153">
        <v>0</v>
      </c>
      <c r="CY153" t="s">
        <v>333</v>
      </c>
      <c r="CZ153">
        <v>2.3645100000000001</v>
      </c>
      <c r="DA153">
        <v>2.7137899999999999</v>
      </c>
      <c r="DB153">
        <v>0.107753</v>
      </c>
      <c r="DC153">
        <v>0.14609900000000001</v>
      </c>
      <c r="DD153">
        <v>0.11249199999999999</v>
      </c>
      <c r="DE153">
        <v>3.7900200000000002E-2</v>
      </c>
      <c r="DF153">
        <v>32582</v>
      </c>
      <c r="DG153">
        <v>27522.2</v>
      </c>
      <c r="DH153">
        <v>31174.3</v>
      </c>
      <c r="DI153">
        <v>28085.1</v>
      </c>
      <c r="DJ153">
        <v>37560</v>
      </c>
      <c r="DK153">
        <v>38426.5</v>
      </c>
      <c r="DL153">
        <v>44365.1</v>
      </c>
      <c r="DM153">
        <v>42567.8</v>
      </c>
      <c r="DN153">
        <v>1.48295</v>
      </c>
      <c r="DO153">
        <v>2.0356999999999998</v>
      </c>
      <c r="DP153">
        <v>0.113219</v>
      </c>
      <c r="DQ153">
        <v>0.157274</v>
      </c>
      <c r="DR153">
        <v>25.162500000000001</v>
      </c>
      <c r="DS153">
        <v>24.996200000000002</v>
      </c>
      <c r="DT153">
        <v>44.9</v>
      </c>
      <c r="DU153">
        <v>29.4</v>
      </c>
      <c r="DV153">
        <v>18.648599999999998</v>
      </c>
      <c r="DW153">
        <v>61.438699999999997</v>
      </c>
      <c r="DX153">
        <v>37.151400000000002</v>
      </c>
      <c r="DY153">
        <v>1</v>
      </c>
      <c r="DZ153">
        <v>-9.4456300000000007E-2</v>
      </c>
      <c r="EA153">
        <v>6.21296E-2</v>
      </c>
      <c r="EB153">
        <v>20.189800000000002</v>
      </c>
      <c r="EC153">
        <v>5.2415500000000002</v>
      </c>
      <c r="ED153">
        <v>12.039899999999999</v>
      </c>
      <c r="EE153">
        <v>5.0174000000000003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1.86893</v>
      </c>
      <c r="EL153">
        <v>1.86466</v>
      </c>
      <c r="EM153">
        <v>1.8691899999999999</v>
      </c>
      <c r="EN153">
        <v>1.8672299999999999</v>
      </c>
      <c r="EO153">
        <v>1.8633999999999999</v>
      </c>
      <c r="EP153">
        <v>1.8645799999999999</v>
      </c>
      <c r="EQ153">
        <v>1.8701700000000001</v>
      </c>
      <c r="ER153">
        <v>1.8694500000000001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-0.28999999999999998</v>
      </c>
      <c r="FG153">
        <v>0.1628</v>
      </c>
      <c r="FH153">
        <v>5.8509882529719233E-2</v>
      </c>
      <c r="FI153">
        <v>-6.1462078757559423E-4</v>
      </c>
      <c r="FJ153">
        <v>-1.8861989874597051E-7</v>
      </c>
      <c r="FK153">
        <v>1.1980462299894961E-10</v>
      </c>
      <c r="FL153">
        <v>0.16277811159127681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31.5</v>
      </c>
      <c r="FU153">
        <v>31.7</v>
      </c>
      <c r="FV153">
        <v>1.7736799999999999</v>
      </c>
      <c r="FW153">
        <v>2.5805699999999998</v>
      </c>
      <c r="FX153">
        <v>1.5490699999999999</v>
      </c>
      <c r="FY153">
        <v>2.3278799999999999</v>
      </c>
      <c r="FZ153">
        <v>1.50146</v>
      </c>
      <c r="GA153">
        <v>2.3107899999999999</v>
      </c>
      <c r="GB153">
        <v>33.941299999999998</v>
      </c>
      <c r="GC153">
        <v>23.982399999999998</v>
      </c>
      <c r="GD153">
        <v>19</v>
      </c>
      <c r="GE153">
        <v>285.726</v>
      </c>
      <c r="GF153">
        <v>582.46299999999997</v>
      </c>
      <c r="GG153">
        <v>24.529699999999998</v>
      </c>
      <c r="GH153">
        <v>26.197900000000001</v>
      </c>
      <c r="GI153">
        <v>30</v>
      </c>
      <c r="GJ153">
        <v>26.3416</v>
      </c>
      <c r="GK153">
        <v>26.325900000000001</v>
      </c>
      <c r="GL153">
        <v>35.459000000000003</v>
      </c>
      <c r="GM153">
        <v>68.300399999999996</v>
      </c>
      <c r="GN153">
        <v>56.072499999999998</v>
      </c>
      <c r="GO153">
        <v>24.502600000000001</v>
      </c>
      <c r="GP153">
        <v>800</v>
      </c>
      <c r="GQ153">
        <v>5.5699399999999999</v>
      </c>
      <c r="GR153">
        <v>99.745999999999995</v>
      </c>
      <c r="GS153">
        <v>99.580399999999997</v>
      </c>
    </row>
    <row r="154" spans="1:201" x14ac:dyDescent="0.25">
      <c r="A154">
        <v>138</v>
      </c>
      <c r="B154">
        <v>1690222425.0999999</v>
      </c>
      <c r="C154">
        <v>1542.599999904633</v>
      </c>
      <c r="D154" t="s">
        <v>607</v>
      </c>
      <c r="E154" t="s">
        <v>608</v>
      </c>
      <c r="F154" t="s">
        <v>330</v>
      </c>
      <c r="H154">
        <v>1690222425.0999999</v>
      </c>
      <c r="I154">
        <f t="shared" si="60"/>
        <v>1.7784894834346782E-3</v>
      </c>
      <c r="J154">
        <f t="shared" si="61"/>
        <v>1.7784894834346783</v>
      </c>
      <c r="K154">
        <f t="shared" si="62"/>
        <v>26.939121144548032</v>
      </c>
      <c r="L154">
        <f t="shared" si="63"/>
        <v>510.541</v>
      </c>
      <c r="M154">
        <f t="shared" si="64"/>
        <v>147.98231195702408</v>
      </c>
      <c r="N154">
        <f t="shared" si="65"/>
        <v>14.678670218597537</v>
      </c>
      <c r="O154">
        <f t="shared" si="66"/>
        <v>50.641612993918997</v>
      </c>
      <c r="P154">
        <f t="shared" si="67"/>
        <v>0.12474821007577722</v>
      </c>
      <c r="Q154">
        <f t="shared" si="68"/>
        <v>2.1932986084257755</v>
      </c>
      <c r="R154">
        <f t="shared" si="69"/>
        <v>0.12093624900961489</v>
      </c>
      <c r="S154">
        <f t="shared" si="70"/>
        <v>7.5917942238751313E-2</v>
      </c>
      <c r="T154">
        <f t="shared" si="71"/>
        <v>276.115174938</v>
      </c>
      <c r="U154">
        <f t="shared" si="72"/>
        <v>27.79943489933828</v>
      </c>
      <c r="V154">
        <f t="shared" si="73"/>
        <v>27.79943489933828</v>
      </c>
      <c r="W154">
        <f t="shared" si="74"/>
        <v>3.7506951008299509</v>
      </c>
      <c r="X154">
        <f t="shared" si="75"/>
        <v>68.12957712947474</v>
      </c>
      <c r="Y154">
        <f t="shared" si="76"/>
        <v>2.3367367683042999</v>
      </c>
      <c r="Z154">
        <f t="shared" si="77"/>
        <v>3.4298418789001452</v>
      </c>
      <c r="AA154">
        <f t="shared" si="78"/>
        <v>1.4139583325256511</v>
      </c>
      <c r="AB154">
        <f t="shared" si="79"/>
        <v>-78.431386219469303</v>
      </c>
      <c r="AC154">
        <f t="shared" si="80"/>
        <v>-180.09143617771073</v>
      </c>
      <c r="AD154">
        <f t="shared" si="81"/>
        <v>-17.727101484705273</v>
      </c>
      <c r="AE154">
        <f t="shared" si="82"/>
        <v>-0.13474894388528469</v>
      </c>
      <c r="AF154">
        <v>0</v>
      </c>
      <c r="AG154">
        <v>0</v>
      </c>
      <c r="AH154">
        <f t="shared" si="83"/>
        <v>1</v>
      </c>
      <c r="AI154">
        <f t="shared" si="84"/>
        <v>0</v>
      </c>
      <c r="AJ154">
        <f t="shared" si="85"/>
        <v>52479.701438926262</v>
      </c>
      <c r="AK154">
        <f t="shared" si="86"/>
        <v>1800</v>
      </c>
      <c r="AL154">
        <f t="shared" si="87"/>
        <v>1499.1147558</v>
      </c>
      <c r="AM154">
        <f t="shared" si="88"/>
        <v>0.83284153100000002</v>
      </c>
      <c r="AN154">
        <f t="shared" si="89"/>
        <v>0.15339731940999998</v>
      </c>
      <c r="AO154">
        <v>31.2</v>
      </c>
      <c r="AP154">
        <v>0.5</v>
      </c>
      <c r="AQ154" t="s">
        <v>331</v>
      </c>
      <c r="AR154">
        <v>2</v>
      </c>
      <c r="AS154">
        <v>1690222425.0999999</v>
      </c>
      <c r="AT154">
        <v>510.541</v>
      </c>
      <c r="AU154">
        <v>800.04</v>
      </c>
      <c r="AV154">
        <v>23.557700000000001</v>
      </c>
      <c r="AW154">
        <v>5.50406</v>
      </c>
      <c r="AX154">
        <v>510.82900000000001</v>
      </c>
      <c r="AY154">
        <v>23.3949</v>
      </c>
      <c r="AZ154">
        <v>300.11500000000001</v>
      </c>
      <c r="BA154">
        <v>99.092100000000002</v>
      </c>
      <c r="BB154">
        <v>9.9959000000000006E-2</v>
      </c>
      <c r="BC154">
        <v>26.276399999999999</v>
      </c>
      <c r="BD154">
        <v>27.033100000000001</v>
      </c>
      <c r="BE154">
        <v>27.555199999999999</v>
      </c>
      <c r="BF154">
        <v>0</v>
      </c>
      <c r="BG154">
        <v>0</v>
      </c>
      <c r="BH154">
        <v>9991.25</v>
      </c>
      <c r="BI154">
        <v>1073.3599999999999</v>
      </c>
      <c r="BJ154">
        <v>1.62592</v>
      </c>
      <c r="BK154">
        <v>-289.49900000000002</v>
      </c>
      <c r="BL154">
        <v>522.85799999999995</v>
      </c>
      <c r="BM154">
        <v>804.46799999999996</v>
      </c>
      <c r="BN154">
        <v>18.053599999999999</v>
      </c>
      <c r="BO154">
        <v>800.04</v>
      </c>
      <c r="BP154">
        <v>5.50406</v>
      </c>
      <c r="BQ154">
        <v>2.3343799999999999</v>
      </c>
      <c r="BR154">
        <v>0.54540900000000003</v>
      </c>
      <c r="BS154">
        <v>19.915600000000001</v>
      </c>
      <c r="BT154">
        <v>-1.61225</v>
      </c>
      <c r="BU154">
        <v>1800</v>
      </c>
      <c r="BV154">
        <v>0.91001100000000001</v>
      </c>
      <c r="BW154">
        <v>3.39917E-2</v>
      </c>
      <c r="BX154">
        <v>2.19998E-2</v>
      </c>
      <c r="BY154">
        <v>3.3997699999999999E-2</v>
      </c>
      <c r="BZ154">
        <v>26</v>
      </c>
      <c r="CA154">
        <v>33528.5</v>
      </c>
      <c r="CB154">
        <v>1690220522.5999999</v>
      </c>
      <c r="CC154" t="s">
        <v>332</v>
      </c>
      <c r="CD154">
        <v>1690220522.5999999</v>
      </c>
      <c r="CE154">
        <v>1690220510.5999999</v>
      </c>
      <c r="CF154">
        <v>10</v>
      </c>
      <c r="CG154">
        <v>-0.22</v>
      </c>
      <c r="CH154">
        <v>-2.7E-2</v>
      </c>
      <c r="CI154">
        <v>-0.49299999999999999</v>
      </c>
      <c r="CJ154">
        <v>0.152</v>
      </c>
      <c r="CK154">
        <v>800</v>
      </c>
      <c r="CL154">
        <v>19</v>
      </c>
      <c r="CM154">
        <v>0.1</v>
      </c>
      <c r="CN154">
        <v>0.03</v>
      </c>
      <c r="CO154">
        <v>-286.70321951219512</v>
      </c>
      <c r="CP154">
        <v>-14.395358885017799</v>
      </c>
      <c r="CQ154">
        <v>1.4202388928592229</v>
      </c>
      <c r="CR154">
        <v>-1</v>
      </c>
      <c r="CS154">
        <v>17.815724390243901</v>
      </c>
      <c r="CT154">
        <v>1.189605574912904</v>
      </c>
      <c r="CU154">
        <v>0.1176352107991062</v>
      </c>
      <c r="CV154">
        <v>-1</v>
      </c>
      <c r="CW154">
        <v>0</v>
      </c>
      <c r="CX154">
        <v>0</v>
      </c>
      <c r="CY154" t="s">
        <v>333</v>
      </c>
      <c r="CZ154">
        <v>2.3644400000000001</v>
      </c>
      <c r="DA154">
        <v>2.71374</v>
      </c>
      <c r="DB154">
        <v>0.107387</v>
      </c>
      <c r="DC154">
        <v>0.14610799999999999</v>
      </c>
      <c r="DD154">
        <v>0.11251899999999999</v>
      </c>
      <c r="DE154">
        <v>3.6761799999999997E-2</v>
      </c>
      <c r="DF154">
        <v>32595</v>
      </c>
      <c r="DG154">
        <v>27522.799999999999</v>
      </c>
      <c r="DH154">
        <v>31174</v>
      </c>
      <c r="DI154">
        <v>28086</v>
      </c>
      <c r="DJ154">
        <v>37558.300000000003</v>
      </c>
      <c r="DK154">
        <v>38473.4</v>
      </c>
      <c r="DL154">
        <v>44364.5</v>
      </c>
      <c r="DM154">
        <v>42569.2</v>
      </c>
      <c r="DN154">
        <v>1.4825999999999999</v>
      </c>
      <c r="DO154">
        <v>2.0352000000000001</v>
      </c>
      <c r="DP154">
        <v>0.114053</v>
      </c>
      <c r="DQ154">
        <v>0.156164</v>
      </c>
      <c r="DR154">
        <v>25.165099999999999</v>
      </c>
      <c r="DS154">
        <v>24.998200000000001</v>
      </c>
      <c r="DT154">
        <v>44.6</v>
      </c>
      <c r="DU154">
        <v>29.4</v>
      </c>
      <c r="DV154">
        <v>18.5242</v>
      </c>
      <c r="DW154">
        <v>61.968699999999998</v>
      </c>
      <c r="DX154">
        <v>36.979199999999999</v>
      </c>
      <c r="DY154">
        <v>1</v>
      </c>
      <c r="DZ154">
        <v>-9.4890799999999997E-2</v>
      </c>
      <c r="EA154">
        <v>0.103519</v>
      </c>
      <c r="EB154">
        <v>20.189599999999999</v>
      </c>
      <c r="EC154">
        <v>5.24125</v>
      </c>
      <c r="ED154">
        <v>12.039899999999999</v>
      </c>
      <c r="EE154">
        <v>5.01715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1.8689499999999999</v>
      </c>
      <c r="EL154">
        <v>1.86463</v>
      </c>
      <c r="EM154">
        <v>1.8691899999999999</v>
      </c>
      <c r="EN154">
        <v>1.8672299999999999</v>
      </c>
      <c r="EO154">
        <v>1.8633999999999999</v>
      </c>
      <c r="EP154">
        <v>1.86456</v>
      </c>
      <c r="EQ154">
        <v>1.8702000000000001</v>
      </c>
      <c r="ER154">
        <v>1.86947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-0.28799999999999998</v>
      </c>
      <c r="FG154">
        <v>0.1628</v>
      </c>
      <c r="FH154">
        <v>5.8509882529719233E-2</v>
      </c>
      <c r="FI154">
        <v>-6.1462078757559423E-4</v>
      </c>
      <c r="FJ154">
        <v>-1.8861989874597051E-7</v>
      </c>
      <c r="FK154">
        <v>1.1980462299894961E-10</v>
      </c>
      <c r="FL154">
        <v>0.16277811159127681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31.7</v>
      </c>
      <c r="FU154">
        <v>31.9</v>
      </c>
      <c r="FV154">
        <v>1.7736799999999999</v>
      </c>
      <c r="FW154">
        <v>2.5781200000000002</v>
      </c>
      <c r="FX154">
        <v>1.5490699999999999</v>
      </c>
      <c r="FY154">
        <v>2.3278799999999999</v>
      </c>
      <c r="FZ154">
        <v>1.50146</v>
      </c>
      <c r="GA154">
        <v>2.31934</v>
      </c>
      <c r="GB154">
        <v>33.941299999999998</v>
      </c>
      <c r="GC154">
        <v>23.982399999999998</v>
      </c>
      <c r="GD154">
        <v>19</v>
      </c>
      <c r="GE154">
        <v>285.56599999999997</v>
      </c>
      <c r="GF154">
        <v>582.02599999999995</v>
      </c>
      <c r="GG154">
        <v>24.5014</v>
      </c>
      <c r="GH154">
        <v>26.195599999999999</v>
      </c>
      <c r="GI154">
        <v>30</v>
      </c>
      <c r="GJ154">
        <v>26.339400000000001</v>
      </c>
      <c r="GK154">
        <v>26.323599999999999</v>
      </c>
      <c r="GL154">
        <v>35.451799999999999</v>
      </c>
      <c r="GM154">
        <v>68.876800000000003</v>
      </c>
      <c r="GN154">
        <v>55.283499999999997</v>
      </c>
      <c r="GO154">
        <v>24.495100000000001</v>
      </c>
      <c r="GP154">
        <v>800</v>
      </c>
      <c r="GQ154">
        <v>5.3725699999999996</v>
      </c>
      <c r="GR154">
        <v>99.744699999999995</v>
      </c>
      <c r="GS154">
        <v>99.583600000000004</v>
      </c>
    </row>
    <row r="155" spans="1:201" x14ac:dyDescent="0.25">
      <c r="A155">
        <v>139</v>
      </c>
      <c r="B155">
        <v>1690222435.0999999</v>
      </c>
      <c r="C155">
        <v>1552.599999904633</v>
      </c>
      <c r="D155" t="s">
        <v>609</v>
      </c>
      <c r="E155" t="s">
        <v>610</v>
      </c>
      <c r="F155" t="s">
        <v>330</v>
      </c>
      <c r="H155">
        <v>1690222435.0999999</v>
      </c>
      <c r="I155">
        <f t="shared" si="60"/>
        <v>1.7972908994659754E-3</v>
      </c>
      <c r="J155">
        <f t="shared" si="61"/>
        <v>1.7972908994659755</v>
      </c>
      <c r="K155">
        <f t="shared" si="62"/>
        <v>27.17824726374657</v>
      </c>
      <c r="L155">
        <f t="shared" si="63"/>
        <v>508.17</v>
      </c>
      <c r="M155">
        <f t="shared" si="64"/>
        <v>146.7790562479079</v>
      </c>
      <c r="N155">
        <f t="shared" si="65"/>
        <v>14.558809098551237</v>
      </c>
      <c r="O155">
        <f t="shared" si="66"/>
        <v>50.404670861999996</v>
      </c>
      <c r="P155">
        <f t="shared" si="67"/>
        <v>0.12629502101086368</v>
      </c>
      <c r="Q155">
        <f t="shared" si="68"/>
        <v>2.1921011017805272</v>
      </c>
      <c r="R155">
        <f t="shared" si="69"/>
        <v>0.12238747178181583</v>
      </c>
      <c r="S155">
        <f t="shared" si="70"/>
        <v>7.6833176738369577E-2</v>
      </c>
      <c r="T155">
        <f t="shared" si="71"/>
        <v>276.11519232599994</v>
      </c>
      <c r="U155">
        <f t="shared" si="72"/>
        <v>27.789207967695486</v>
      </c>
      <c r="V155">
        <f t="shared" si="73"/>
        <v>27.789207967695486</v>
      </c>
      <c r="W155">
        <f t="shared" si="74"/>
        <v>3.7484561998477939</v>
      </c>
      <c r="X155">
        <f t="shared" si="75"/>
        <v>68.141949326391426</v>
      </c>
      <c r="Y155">
        <f t="shared" si="76"/>
        <v>2.33652633704</v>
      </c>
      <c r="Z155">
        <f t="shared" si="77"/>
        <v>3.4289103263664069</v>
      </c>
      <c r="AA155">
        <f t="shared" si="78"/>
        <v>1.4119298628077939</v>
      </c>
      <c r="AB155">
        <f t="shared" si="79"/>
        <v>-79.260528666449517</v>
      </c>
      <c r="AC155">
        <f t="shared" si="80"/>
        <v>-179.32811517548512</v>
      </c>
      <c r="AD155">
        <f t="shared" si="81"/>
        <v>-17.660297813434184</v>
      </c>
      <c r="AE155">
        <f t="shared" si="82"/>
        <v>-0.13374932936886808</v>
      </c>
      <c r="AF155">
        <v>0</v>
      </c>
      <c r="AG155">
        <v>0</v>
      </c>
      <c r="AH155">
        <f t="shared" si="83"/>
        <v>1</v>
      </c>
      <c r="AI155">
        <f t="shared" si="84"/>
        <v>0</v>
      </c>
      <c r="AJ155">
        <f t="shared" si="85"/>
        <v>52431.380702853094</v>
      </c>
      <c r="AK155">
        <f t="shared" si="86"/>
        <v>1800</v>
      </c>
      <c r="AL155">
        <f t="shared" si="87"/>
        <v>1499.1141995999999</v>
      </c>
      <c r="AM155">
        <f t="shared" si="88"/>
        <v>0.83284122199999999</v>
      </c>
      <c r="AN155">
        <f t="shared" si="89"/>
        <v>0.15339732906999998</v>
      </c>
      <c r="AO155">
        <v>31.2</v>
      </c>
      <c r="AP155">
        <v>0.5</v>
      </c>
      <c r="AQ155" t="s">
        <v>331</v>
      </c>
      <c r="AR155">
        <v>2</v>
      </c>
      <c r="AS155">
        <v>1690222435.0999999</v>
      </c>
      <c r="AT155">
        <v>508.17</v>
      </c>
      <c r="AU155">
        <v>800.08399999999995</v>
      </c>
      <c r="AV155">
        <v>23.5564</v>
      </c>
      <c r="AW155">
        <v>5.3197799999999997</v>
      </c>
      <c r="AX155">
        <v>508.45699999999999</v>
      </c>
      <c r="AY155">
        <v>23.393599999999999</v>
      </c>
      <c r="AZ155">
        <v>300.245</v>
      </c>
      <c r="BA155">
        <v>99.088499999999996</v>
      </c>
      <c r="BB155">
        <v>0.10009999999999999</v>
      </c>
      <c r="BC155">
        <v>26.271799999999999</v>
      </c>
      <c r="BD155">
        <v>26.9937</v>
      </c>
      <c r="BE155">
        <v>27.549600000000002</v>
      </c>
      <c r="BF155">
        <v>0</v>
      </c>
      <c r="BG155">
        <v>0</v>
      </c>
      <c r="BH155">
        <v>9981.8799999999992</v>
      </c>
      <c r="BI155">
        <v>1073.3900000000001</v>
      </c>
      <c r="BJ155">
        <v>1.62592</v>
      </c>
      <c r="BK155">
        <v>-291.91399999999999</v>
      </c>
      <c r="BL155">
        <v>520.42999999999995</v>
      </c>
      <c r="BM155">
        <v>804.36300000000006</v>
      </c>
      <c r="BN155">
        <v>18.236599999999999</v>
      </c>
      <c r="BO155">
        <v>800.08399999999995</v>
      </c>
      <c r="BP155">
        <v>5.3197799999999997</v>
      </c>
      <c r="BQ155">
        <v>2.3341599999999998</v>
      </c>
      <c r="BR155">
        <v>0.52712899999999996</v>
      </c>
      <c r="BS155">
        <v>19.914100000000001</v>
      </c>
      <c r="BT155">
        <v>-2.0744699999999998</v>
      </c>
      <c r="BU155">
        <v>1800</v>
      </c>
      <c r="BV155">
        <v>0.91000899999999996</v>
      </c>
      <c r="BW155">
        <v>3.3995600000000001E-2</v>
      </c>
      <c r="BX155">
        <v>2.1999100000000001E-2</v>
      </c>
      <c r="BY155">
        <v>3.3996699999999998E-2</v>
      </c>
      <c r="BZ155">
        <v>26</v>
      </c>
      <c r="CA155">
        <v>33528.400000000001</v>
      </c>
      <c r="CB155">
        <v>1690220522.5999999</v>
      </c>
      <c r="CC155" t="s">
        <v>332</v>
      </c>
      <c r="CD155">
        <v>1690220522.5999999</v>
      </c>
      <c r="CE155">
        <v>1690220510.5999999</v>
      </c>
      <c r="CF155">
        <v>10</v>
      </c>
      <c r="CG155">
        <v>-0.22</v>
      </c>
      <c r="CH155">
        <v>-2.7E-2</v>
      </c>
      <c r="CI155">
        <v>-0.49299999999999999</v>
      </c>
      <c r="CJ155">
        <v>0.152</v>
      </c>
      <c r="CK155">
        <v>800</v>
      </c>
      <c r="CL155">
        <v>19</v>
      </c>
      <c r="CM155">
        <v>0.1</v>
      </c>
      <c r="CN155">
        <v>0.03</v>
      </c>
      <c r="CO155">
        <v>-289.11829268292678</v>
      </c>
      <c r="CP155">
        <v>-14.509547038328231</v>
      </c>
      <c r="CQ155">
        <v>1.43264013904234</v>
      </c>
      <c r="CR155">
        <v>-1</v>
      </c>
      <c r="CS155">
        <v>18.01987317073171</v>
      </c>
      <c r="CT155">
        <v>1.231319163763102</v>
      </c>
      <c r="CU155">
        <v>0.1216483416914836</v>
      </c>
      <c r="CV155">
        <v>-1</v>
      </c>
      <c r="CW155">
        <v>0</v>
      </c>
      <c r="CX155">
        <v>0</v>
      </c>
      <c r="CY155" t="s">
        <v>333</v>
      </c>
      <c r="CZ155">
        <v>2.3648400000000001</v>
      </c>
      <c r="DA155">
        <v>2.7138800000000001</v>
      </c>
      <c r="DB155">
        <v>0.10702</v>
      </c>
      <c r="DC155">
        <v>0.14610400000000001</v>
      </c>
      <c r="DD155">
        <v>0.112511</v>
      </c>
      <c r="DE155">
        <v>3.57407E-2</v>
      </c>
      <c r="DF155">
        <v>32608.7</v>
      </c>
      <c r="DG155">
        <v>27522.5</v>
      </c>
      <c r="DH155">
        <v>31174.3</v>
      </c>
      <c r="DI155">
        <v>28085.5</v>
      </c>
      <c r="DJ155">
        <v>37559</v>
      </c>
      <c r="DK155">
        <v>38513.5</v>
      </c>
      <c r="DL155">
        <v>44364.9</v>
      </c>
      <c r="DM155">
        <v>42568.4</v>
      </c>
      <c r="DN155">
        <v>1.4837499999999999</v>
      </c>
      <c r="DO155">
        <v>2.03525</v>
      </c>
      <c r="DP155">
        <v>0.111453</v>
      </c>
      <c r="DQ155">
        <v>0.15579200000000001</v>
      </c>
      <c r="DR155">
        <v>25.168299999999999</v>
      </c>
      <c r="DS155">
        <v>24.998799999999999</v>
      </c>
      <c r="DT155">
        <v>44.2</v>
      </c>
      <c r="DU155">
        <v>29.4</v>
      </c>
      <c r="DV155">
        <v>18.362200000000001</v>
      </c>
      <c r="DW155">
        <v>61.778700000000001</v>
      </c>
      <c r="DX155">
        <v>36.149799999999999</v>
      </c>
      <c r="DY155">
        <v>1</v>
      </c>
      <c r="DZ155">
        <v>-9.4639200000000007E-2</v>
      </c>
      <c r="EA155">
        <v>9.1353500000000004E-2</v>
      </c>
      <c r="EB155">
        <v>20.189699999999998</v>
      </c>
      <c r="EC155">
        <v>5.2415500000000002</v>
      </c>
      <c r="ED155">
        <v>12.039899999999999</v>
      </c>
      <c r="EE155">
        <v>5.0171999999999999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1.86894</v>
      </c>
      <c r="EL155">
        <v>1.8646499999999999</v>
      </c>
      <c r="EM155">
        <v>1.8691899999999999</v>
      </c>
      <c r="EN155">
        <v>1.8672299999999999</v>
      </c>
      <c r="EO155">
        <v>1.8633999999999999</v>
      </c>
      <c r="EP155">
        <v>1.8645700000000001</v>
      </c>
      <c r="EQ155">
        <v>1.87018</v>
      </c>
      <c r="ER155">
        <v>1.8694200000000001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-0.28699999999999998</v>
      </c>
      <c r="FG155">
        <v>0.1628</v>
      </c>
      <c r="FH155">
        <v>5.8509882529719233E-2</v>
      </c>
      <c r="FI155">
        <v>-6.1462078757559423E-4</v>
      </c>
      <c r="FJ155">
        <v>-1.8861989874597051E-7</v>
      </c>
      <c r="FK155">
        <v>1.1980462299894961E-10</v>
      </c>
      <c r="FL155">
        <v>0.16277811159127681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31.9</v>
      </c>
      <c r="FU155">
        <v>32.1</v>
      </c>
      <c r="FV155">
        <v>1.7724599999999999</v>
      </c>
      <c r="FW155">
        <v>2.5769000000000002</v>
      </c>
      <c r="FX155">
        <v>1.5490699999999999</v>
      </c>
      <c r="FY155">
        <v>2.3278799999999999</v>
      </c>
      <c r="FZ155">
        <v>1.50146</v>
      </c>
      <c r="GA155">
        <v>2.3828100000000001</v>
      </c>
      <c r="GB155">
        <v>33.941299999999998</v>
      </c>
      <c r="GC155">
        <v>23.991199999999999</v>
      </c>
      <c r="GD155">
        <v>19</v>
      </c>
      <c r="GE155">
        <v>286.05500000000001</v>
      </c>
      <c r="GF155">
        <v>582.06700000000001</v>
      </c>
      <c r="GG155">
        <v>24.490600000000001</v>
      </c>
      <c r="GH155">
        <v>26.195599999999999</v>
      </c>
      <c r="GI155">
        <v>30.0001</v>
      </c>
      <c r="GJ155">
        <v>26.338100000000001</v>
      </c>
      <c r="GK155">
        <v>26.323599999999999</v>
      </c>
      <c r="GL155">
        <v>35.445700000000002</v>
      </c>
      <c r="GM155">
        <v>69.465000000000003</v>
      </c>
      <c r="GN155">
        <v>54.503300000000003</v>
      </c>
      <c r="GO155">
        <v>24.507400000000001</v>
      </c>
      <c r="GP155">
        <v>800</v>
      </c>
      <c r="GQ155">
        <v>5.17652</v>
      </c>
      <c r="GR155">
        <v>99.745699999999999</v>
      </c>
      <c r="GS155">
        <v>99.581800000000001</v>
      </c>
    </row>
    <row r="156" spans="1:201" x14ac:dyDescent="0.25">
      <c r="A156">
        <v>140</v>
      </c>
      <c r="B156">
        <v>1690222445.0999999</v>
      </c>
      <c r="C156">
        <v>1562.599999904633</v>
      </c>
      <c r="D156" t="s">
        <v>611</v>
      </c>
      <c r="E156" t="s">
        <v>612</v>
      </c>
      <c r="F156" t="s">
        <v>330</v>
      </c>
      <c r="H156">
        <v>1690222445.0999999</v>
      </c>
      <c r="I156">
        <f t="shared" si="60"/>
        <v>1.8165424910970406E-3</v>
      </c>
      <c r="J156">
        <f t="shared" si="61"/>
        <v>1.8165424910970407</v>
      </c>
      <c r="K156">
        <f t="shared" si="62"/>
        <v>27.375623153841182</v>
      </c>
      <c r="L156">
        <f t="shared" si="63"/>
        <v>505.94200000000001</v>
      </c>
      <c r="M156">
        <f t="shared" si="64"/>
        <v>146.3821475663006</v>
      </c>
      <c r="N156">
        <f t="shared" si="65"/>
        <v>14.519280725553918</v>
      </c>
      <c r="O156">
        <f t="shared" si="66"/>
        <v>50.183127184420002</v>
      </c>
      <c r="P156">
        <f t="shared" si="67"/>
        <v>0.1278876226185548</v>
      </c>
      <c r="Q156">
        <f t="shared" si="68"/>
        <v>2.2008278553252509</v>
      </c>
      <c r="R156">
        <f t="shared" si="69"/>
        <v>0.12389793185899137</v>
      </c>
      <c r="S156">
        <f t="shared" si="70"/>
        <v>7.7784297191549612E-2</v>
      </c>
      <c r="T156">
        <f t="shared" si="71"/>
        <v>276.11514806399998</v>
      </c>
      <c r="U156">
        <f t="shared" si="72"/>
        <v>27.78000016110591</v>
      </c>
      <c r="V156">
        <f t="shared" si="73"/>
        <v>27.78000016110591</v>
      </c>
      <c r="W156">
        <f t="shared" si="74"/>
        <v>3.7464414055290849</v>
      </c>
      <c r="X156">
        <f t="shared" si="75"/>
        <v>68.138321910474403</v>
      </c>
      <c r="Y156">
        <f t="shared" si="76"/>
        <v>2.336788304343</v>
      </c>
      <c r="Z156">
        <f t="shared" si="77"/>
        <v>3.4294773320265501</v>
      </c>
      <c r="AA156">
        <f t="shared" si="78"/>
        <v>1.4096531011860849</v>
      </c>
      <c r="AB156">
        <f t="shared" si="79"/>
        <v>-80.109523857379486</v>
      </c>
      <c r="AC156">
        <f t="shared" si="80"/>
        <v>-178.61728168904082</v>
      </c>
      <c r="AD156">
        <f t="shared" si="81"/>
        <v>-17.519982348233892</v>
      </c>
      <c r="AE156">
        <f t="shared" si="82"/>
        <v>-0.13163983065422258</v>
      </c>
      <c r="AF156">
        <v>0</v>
      </c>
      <c r="AG156">
        <v>0</v>
      </c>
      <c r="AH156">
        <f t="shared" si="83"/>
        <v>1</v>
      </c>
      <c r="AI156">
        <f t="shared" si="84"/>
        <v>0</v>
      </c>
      <c r="AJ156">
        <f t="shared" si="85"/>
        <v>52788.94849528568</v>
      </c>
      <c r="AK156">
        <f t="shared" si="86"/>
        <v>1800</v>
      </c>
      <c r="AL156">
        <f t="shared" si="87"/>
        <v>1499.1133553999998</v>
      </c>
      <c r="AM156">
        <f t="shared" si="88"/>
        <v>0.83284075299999993</v>
      </c>
      <c r="AN156">
        <f t="shared" si="89"/>
        <v>0.15339730448</v>
      </c>
      <c r="AO156">
        <v>31.2</v>
      </c>
      <c r="AP156">
        <v>0.5</v>
      </c>
      <c r="AQ156" t="s">
        <v>331</v>
      </c>
      <c r="AR156">
        <v>2</v>
      </c>
      <c r="AS156">
        <v>1690222445.0999999</v>
      </c>
      <c r="AT156">
        <v>505.94200000000001</v>
      </c>
      <c r="AU156">
        <v>800.09400000000005</v>
      </c>
      <c r="AV156">
        <v>23.5593</v>
      </c>
      <c r="AW156">
        <v>5.1194100000000002</v>
      </c>
      <c r="AX156">
        <v>506.22699999999998</v>
      </c>
      <c r="AY156">
        <v>23.3965</v>
      </c>
      <c r="AZ156">
        <v>300.11500000000001</v>
      </c>
      <c r="BA156">
        <v>99.087500000000006</v>
      </c>
      <c r="BB156">
        <v>0.10001</v>
      </c>
      <c r="BC156">
        <v>26.2746</v>
      </c>
      <c r="BD156">
        <v>26.9558</v>
      </c>
      <c r="BE156">
        <v>27.5472</v>
      </c>
      <c r="BF156">
        <v>0</v>
      </c>
      <c r="BG156">
        <v>0</v>
      </c>
      <c r="BH156">
        <v>10053.1</v>
      </c>
      <c r="BI156">
        <v>1073.3499999999999</v>
      </c>
      <c r="BJ156">
        <v>1.62592</v>
      </c>
      <c r="BK156">
        <v>-294.15199999999999</v>
      </c>
      <c r="BL156">
        <v>518.149</v>
      </c>
      <c r="BM156">
        <v>804.21100000000001</v>
      </c>
      <c r="BN156">
        <v>18.439800000000002</v>
      </c>
      <c r="BO156">
        <v>800.09400000000005</v>
      </c>
      <c r="BP156">
        <v>5.1194100000000002</v>
      </c>
      <c r="BQ156">
        <v>2.3344299999999998</v>
      </c>
      <c r="BR156">
        <v>0.50727</v>
      </c>
      <c r="BS156">
        <v>19.916</v>
      </c>
      <c r="BT156">
        <v>-2.593</v>
      </c>
      <c r="BU156">
        <v>1800</v>
      </c>
      <c r="BV156">
        <v>0.91000700000000001</v>
      </c>
      <c r="BW156">
        <v>3.3997899999999998E-2</v>
      </c>
      <c r="BX156">
        <v>2.1998899999999998E-2</v>
      </c>
      <c r="BY156">
        <v>3.3996400000000003E-2</v>
      </c>
      <c r="BZ156">
        <v>26</v>
      </c>
      <c r="CA156">
        <v>33528.400000000001</v>
      </c>
      <c r="CB156">
        <v>1690220522.5999999</v>
      </c>
      <c r="CC156" t="s">
        <v>332</v>
      </c>
      <c r="CD156">
        <v>1690220522.5999999</v>
      </c>
      <c r="CE156">
        <v>1690220510.5999999</v>
      </c>
      <c r="CF156">
        <v>10</v>
      </c>
      <c r="CG156">
        <v>-0.22</v>
      </c>
      <c r="CH156">
        <v>-2.7E-2</v>
      </c>
      <c r="CI156">
        <v>-0.49299999999999999</v>
      </c>
      <c r="CJ156">
        <v>0.152</v>
      </c>
      <c r="CK156">
        <v>800</v>
      </c>
      <c r="CL156">
        <v>19</v>
      </c>
      <c r="CM156">
        <v>0.1</v>
      </c>
      <c r="CN156">
        <v>0.03</v>
      </c>
      <c r="CO156">
        <v>-291.7466097560976</v>
      </c>
      <c r="CP156">
        <v>-13.77167247386812</v>
      </c>
      <c r="CQ156">
        <v>1.3596139674159819</v>
      </c>
      <c r="CR156">
        <v>-1</v>
      </c>
      <c r="CS156">
        <v>18.23884146341463</v>
      </c>
      <c r="CT156">
        <v>1.1436480836237011</v>
      </c>
      <c r="CU156">
        <v>0.11294106811143199</v>
      </c>
      <c r="CV156">
        <v>-1</v>
      </c>
      <c r="CW156">
        <v>0</v>
      </c>
      <c r="CX156">
        <v>0</v>
      </c>
      <c r="CY156" t="s">
        <v>333</v>
      </c>
      <c r="CZ156">
        <v>2.36442</v>
      </c>
      <c r="DA156">
        <v>2.7138499999999999</v>
      </c>
      <c r="DB156">
        <v>0.10667699999999999</v>
      </c>
      <c r="DC156">
        <v>0.14610100000000001</v>
      </c>
      <c r="DD156">
        <v>0.11251899999999999</v>
      </c>
      <c r="DE156">
        <v>3.46203E-2</v>
      </c>
      <c r="DF156">
        <v>32621</v>
      </c>
      <c r="DG156">
        <v>27522.3</v>
      </c>
      <c r="DH156">
        <v>31174</v>
      </c>
      <c r="DI156">
        <v>28085.200000000001</v>
      </c>
      <c r="DJ156">
        <v>37558.300000000003</v>
      </c>
      <c r="DK156">
        <v>38558.199999999997</v>
      </c>
      <c r="DL156">
        <v>44364.6</v>
      </c>
      <c r="DM156">
        <v>42568.2</v>
      </c>
      <c r="DN156">
        <v>1.4835</v>
      </c>
      <c r="DO156">
        <v>2.0347499999999998</v>
      </c>
      <c r="DP156">
        <v>0.108875</v>
      </c>
      <c r="DQ156">
        <v>0.155389</v>
      </c>
      <c r="DR156">
        <v>25.172499999999999</v>
      </c>
      <c r="DS156">
        <v>25.003</v>
      </c>
      <c r="DT156">
        <v>43.8</v>
      </c>
      <c r="DU156">
        <v>29.4</v>
      </c>
      <c r="DV156">
        <v>18.1904</v>
      </c>
      <c r="DW156">
        <v>61.468699999999998</v>
      </c>
      <c r="DX156">
        <v>36.558500000000002</v>
      </c>
      <c r="DY156">
        <v>1</v>
      </c>
      <c r="DZ156">
        <v>-9.4928899999999997E-2</v>
      </c>
      <c r="EA156">
        <v>-3.7028899999999997E-2</v>
      </c>
      <c r="EB156">
        <v>20.189699999999998</v>
      </c>
      <c r="EC156">
        <v>5.24125</v>
      </c>
      <c r="ED156">
        <v>12.039899999999999</v>
      </c>
      <c r="EE156">
        <v>5.0172999999999996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1.8689199999999999</v>
      </c>
      <c r="EL156">
        <v>1.8646499999999999</v>
      </c>
      <c r="EM156">
        <v>1.8691899999999999</v>
      </c>
      <c r="EN156">
        <v>1.8672299999999999</v>
      </c>
      <c r="EO156">
        <v>1.8633999999999999</v>
      </c>
      <c r="EP156">
        <v>1.8646</v>
      </c>
      <c r="EQ156">
        <v>1.87019</v>
      </c>
      <c r="ER156">
        <v>1.8694500000000001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-0.28499999999999998</v>
      </c>
      <c r="FG156">
        <v>0.1628</v>
      </c>
      <c r="FH156">
        <v>5.8509882529719233E-2</v>
      </c>
      <c r="FI156">
        <v>-6.1462078757559423E-4</v>
      </c>
      <c r="FJ156">
        <v>-1.8861989874597051E-7</v>
      </c>
      <c r="FK156">
        <v>1.1980462299894961E-10</v>
      </c>
      <c r="FL156">
        <v>0.16277811159127681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32</v>
      </c>
      <c r="FU156">
        <v>32.200000000000003</v>
      </c>
      <c r="FV156">
        <v>1.7724599999999999</v>
      </c>
      <c r="FW156">
        <v>2.5830099999999998</v>
      </c>
      <c r="FX156">
        <v>1.5490699999999999</v>
      </c>
      <c r="FY156">
        <v>2.3278799999999999</v>
      </c>
      <c r="FZ156">
        <v>1.50146</v>
      </c>
      <c r="GA156">
        <v>2.3754900000000001</v>
      </c>
      <c r="GB156">
        <v>33.941299999999998</v>
      </c>
      <c r="GC156">
        <v>23.982399999999998</v>
      </c>
      <c r="GD156">
        <v>19</v>
      </c>
      <c r="GE156">
        <v>285.94299999999998</v>
      </c>
      <c r="GF156">
        <v>581.63</v>
      </c>
      <c r="GG156">
        <v>24.521100000000001</v>
      </c>
      <c r="GH156">
        <v>26.195599999999999</v>
      </c>
      <c r="GI156">
        <v>30</v>
      </c>
      <c r="GJ156">
        <v>26.3371</v>
      </c>
      <c r="GK156">
        <v>26.321400000000001</v>
      </c>
      <c r="GL156">
        <v>35.441099999999999</v>
      </c>
      <c r="GM156">
        <v>70.024799999999999</v>
      </c>
      <c r="GN156">
        <v>53.697299999999998</v>
      </c>
      <c r="GO156">
        <v>24.560400000000001</v>
      </c>
      <c r="GP156">
        <v>800</v>
      </c>
      <c r="GQ156">
        <v>4.9792800000000002</v>
      </c>
      <c r="GR156">
        <v>99.744900000000001</v>
      </c>
      <c r="GS156">
        <v>99.581100000000006</v>
      </c>
    </row>
    <row r="157" spans="1:201" x14ac:dyDescent="0.25">
      <c r="A157">
        <v>141</v>
      </c>
      <c r="B157">
        <v>1690222455.0999999</v>
      </c>
      <c r="C157">
        <v>1572.599999904633</v>
      </c>
      <c r="D157" t="s">
        <v>613</v>
      </c>
      <c r="E157" t="s">
        <v>614</v>
      </c>
      <c r="F157" t="s">
        <v>330</v>
      </c>
      <c r="H157">
        <v>1690222455.0999999</v>
      </c>
      <c r="I157">
        <f t="shared" si="60"/>
        <v>1.8370391473182973E-3</v>
      </c>
      <c r="J157">
        <f t="shared" si="61"/>
        <v>1.8370391473182972</v>
      </c>
      <c r="K157">
        <f t="shared" si="62"/>
        <v>27.584230419957304</v>
      </c>
      <c r="L157">
        <f t="shared" si="63"/>
        <v>503.7</v>
      </c>
      <c r="M157">
        <f t="shared" si="64"/>
        <v>145.51341945002287</v>
      </c>
      <c r="N157">
        <f t="shared" si="65"/>
        <v>14.433113455806501</v>
      </c>
      <c r="O157">
        <f t="shared" si="66"/>
        <v>49.960747779600005</v>
      </c>
      <c r="P157">
        <f t="shared" si="67"/>
        <v>0.12940733226286544</v>
      </c>
      <c r="Q157">
        <f t="shared" si="68"/>
        <v>2.1926264934178148</v>
      </c>
      <c r="R157">
        <f t="shared" si="69"/>
        <v>0.12530913406486696</v>
      </c>
      <c r="S157">
        <f t="shared" si="70"/>
        <v>7.8675604233789442E-2</v>
      </c>
      <c r="T157">
        <f t="shared" si="71"/>
        <v>276.11509545000001</v>
      </c>
      <c r="U157">
        <f t="shared" si="72"/>
        <v>27.783256538371788</v>
      </c>
      <c r="V157">
        <f t="shared" si="73"/>
        <v>27.783256538371788</v>
      </c>
      <c r="W157">
        <f t="shared" si="74"/>
        <v>3.7471538374946163</v>
      </c>
      <c r="X157">
        <f t="shared" si="75"/>
        <v>68.143246951860192</v>
      </c>
      <c r="Y157">
        <f t="shared" si="76"/>
        <v>2.3376611072948004</v>
      </c>
      <c r="Z157">
        <f t="shared" si="77"/>
        <v>3.4305103027248487</v>
      </c>
      <c r="AA157">
        <f t="shared" si="78"/>
        <v>1.4094927301998159</v>
      </c>
      <c r="AB157">
        <f t="shared" si="79"/>
        <v>-81.013426396736904</v>
      </c>
      <c r="AC157">
        <f t="shared" si="80"/>
        <v>-177.7337336855866</v>
      </c>
      <c r="AD157">
        <f t="shared" si="81"/>
        <v>-17.499256893609843</v>
      </c>
      <c r="AE157">
        <f t="shared" si="82"/>
        <v>-0.1313215259333731</v>
      </c>
      <c r="AF157">
        <v>0</v>
      </c>
      <c r="AG157">
        <v>0</v>
      </c>
      <c r="AH157">
        <f t="shared" si="83"/>
        <v>1</v>
      </c>
      <c r="AI157">
        <f t="shared" si="84"/>
        <v>0</v>
      </c>
      <c r="AJ157">
        <f t="shared" si="85"/>
        <v>52451.49129030628</v>
      </c>
      <c r="AK157">
        <f t="shared" si="86"/>
        <v>1800</v>
      </c>
      <c r="AL157">
        <f t="shared" si="87"/>
        <v>1499.1111539999999</v>
      </c>
      <c r="AM157">
        <f t="shared" si="88"/>
        <v>0.83283952999999999</v>
      </c>
      <c r="AN157">
        <f t="shared" si="89"/>
        <v>0.15339727524999999</v>
      </c>
      <c r="AO157">
        <v>31.2</v>
      </c>
      <c r="AP157">
        <v>0.5</v>
      </c>
      <c r="AQ157" t="s">
        <v>331</v>
      </c>
      <c r="AR157">
        <v>2</v>
      </c>
      <c r="AS157">
        <v>1690222455.0999999</v>
      </c>
      <c r="AT157">
        <v>503.7</v>
      </c>
      <c r="AU157">
        <v>800.06</v>
      </c>
      <c r="AV157">
        <v>23.568100000000001</v>
      </c>
      <c r="AW157">
        <v>4.9219299999999997</v>
      </c>
      <c r="AX157">
        <v>503.98399999999998</v>
      </c>
      <c r="AY157">
        <v>23.4053</v>
      </c>
      <c r="AZ157">
        <v>300.14100000000002</v>
      </c>
      <c r="BA157">
        <v>99.087500000000006</v>
      </c>
      <c r="BB157">
        <v>0.100008</v>
      </c>
      <c r="BC157">
        <v>26.279699999999998</v>
      </c>
      <c r="BD157">
        <v>26.961600000000001</v>
      </c>
      <c r="BE157">
        <v>27.5579</v>
      </c>
      <c r="BF157">
        <v>0</v>
      </c>
      <c r="BG157">
        <v>0</v>
      </c>
      <c r="BH157">
        <v>9986.25</v>
      </c>
      <c r="BI157">
        <v>1073.42</v>
      </c>
      <c r="BJ157">
        <v>1.62592</v>
      </c>
      <c r="BK157">
        <v>-296.36</v>
      </c>
      <c r="BL157">
        <v>515.85799999999995</v>
      </c>
      <c r="BM157">
        <v>804.01700000000005</v>
      </c>
      <c r="BN157">
        <v>18.6462</v>
      </c>
      <c r="BO157">
        <v>800.06</v>
      </c>
      <c r="BP157">
        <v>4.9219299999999997</v>
      </c>
      <c r="BQ157">
        <v>2.3353000000000002</v>
      </c>
      <c r="BR157">
        <v>0.487701</v>
      </c>
      <c r="BS157">
        <v>19.922000000000001</v>
      </c>
      <c r="BT157">
        <v>-3.1218699999999999</v>
      </c>
      <c r="BU157">
        <v>1800</v>
      </c>
      <c r="BV157">
        <v>0.91000099999999995</v>
      </c>
      <c r="BW157">
        <v>3.4004600000000003E-2</v>
      </c>
      <c r="BX157">
        <v>2.1998500000000001E-2</v>
      </c>
      <c r="BY157">
        <v>3.3995699999999997E-2</v>
      </c>
      <c r="BZ157">
        <v>26</v>
      </c>
      <c r="CA157">
        <v>33528.300000000003</v>
      </c>
      <c r="CB157">
        <v>1690220522.5999999</v>
      </c>
      <c r="CC157" t="s">
        <v>332</v>
      </c>
      <c r="CD157">
        <v>1690220522.5999999</v>
      </c>
      <c r="CE157">
        <v>1690220510.5999999</v>
      </c>
      <c r="CF157">
        <v>10</v>
      </c>
      <c r="CG157">
        <v>-0.22</v>
      </c>
      <c r="CH157">
        <v>-2.7E-2</v>
      </c>
      <c r="CI157">
        <v>-0.49299999999999999</v>
      </c>
      <c r="CJ157">
        <v>0.152</v>
      </c>
      <c r="CK157">
        <v>800</v>
      </c>
      <c r="CL157">
        <v>19</v>
      </c>
      <c r="CM157">
        <v>0.1</v>
      </c>
      <c r="CN157">
        <v>0.03</v>
      </c>
      <c r="CO157">
        <v>-293.81641463414638</v>
      </c>
      <c r="CP157">
        <v>-13.57651567944232</v>
      </c>
      <c r="CQ157">
        <v>1.3393460904597221</v>
      </c>
      <c r="CR157">
        <v>-1</v>
      </c>
      <c r="CS157">
        <v>18.416980487804882</v>
      </c>
      <c r="CT157">
        <v>1.22656097560975</v>
      </c>
      <c r="CU157">
        <v>0.12111330357232029</v>
      </c>
      <c r="CV157">
        <v>-1</v>
      </c>
      <c r="CW157">
        <v>0</v>
      </c>
      <c r="CX157">
        <v>0</v>
      </c>
      <c r="CY157" t="s">
        <v>333</v>
      </c>
      <c r="CZ157">
        <v>2.3645200000000002</v>
      </c>
      <c r="DA157">
        <v>2.7137899999999999</v>
      </c>
      <c r="DB157">
        <v>0.106333</v>
      </c>
      <c r="DC157">
        <v>0.146093</v>
      </c>
      <c r="DD157">
        <v>0.11255</v>
      </c>
      <c r="DE157">
        <v>3.3504399999999997E-2</v>
      </c>
      <c r="DF157">
        <v>32633.7</v>
      </c>
      <c r="DG157">
        <v>27523</v>
      </c>
      <c r="DH157">
        <v>31174.2</v>
      </c>
      <c r="DI157">
        <v>28085.7</v>
      </c>
      <c r="DJ157">
        <v>37557.199999999997</v>
      </c>
      <c r="DK157">
        <v>38603.4</v>
      </c>
      <c r="DL157">
        <v>44364.9</v>
      </c>
      <c r="DM157">
        <v>42568.7</v>
      </c>
      <c r="DN157">
        <v>1.4836499999999999</v>
      </c>
      <c r="DO157">
        <v>2.03443</v>
      </c>
      <c r="DP157">
        <v>0.108935</v>
      </c>
      <c r="DQ157">
        <v>0.155754</v>
      </c>
      <c r="DR157">
        <v>25.177399999999999</v>
      </c>
      <c r="DS157">
        <v>25.0077</v>
      </c>
      <c r="DT157">
        <v>43.5</v>
      </c>
      <c r="DU157">
        <v>29.4</v>
      </c>
      <c r="DV157">
        <v>18.068300000000001</v>
      </c>
      <c r="DW157">
        <v>61.968699999999998</v>
      </c>
      <c r="DX157">
        <v>37.323700000000002</v>
      </c>
      <c r="DY157">
        <v>1</v>
      </c>
      <c r="DZ157">
        <v>-9.4436000000000006E-2</v>
      </c>
      <c r="EA157">
        <v>-8.1190100000000001E-2</v>
      </c>
      <c r="EB157">
        <v>20.189900000000002</v>
      </c>
      <c r="EC157">
        <v>5.2413999999999996</v>
      </c>
      <c r="ED157">
        <v>12.039899999999999</v>
      </c>
      <c r="EE157">
        <v>5.0172499999999998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1.86893</v>
      </c>
      <c r="EL157">
        <v>1.8646799999999999</v>
      </c>
      <c r="EM157">
        <v>1.8692</v>
      </c>
      <c r="EN157">
        <v>1.8672299999999999</v>
      </c>
      <c r="EO157">
        <v>1.8633999999999999</v>
      </c>
      <c r="EP157">
        <v>1.8646100000000001</v>
      </c>
      <c r="EQ157">
        <v>1.87022</v>
      </c>
      <c r="ER157">
        <v>1.8694500000000001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-0.28399999999999997</v>
      </c>
      <c r="FG157">
        <v>0.1628</v>
      </c>
      <c r="FH157">
        <v>5.8509882529719233E-2</v>
      </c>
      <c r="FI157">
        <v>-6.1462078757559423E-4</v>
      </c>
      <c r="FJ157">
        <v>-1.8861989874597051E-7</v>
      </c>
      <c r="FK157">
        <v>1.1980462299894961E-10</v>
      </c>
      <c r="FL157">
        <v>0.16277811159127681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32.200000000000003</v>
      </c>
      <c r="FU157">
        <v>32.4</v>
      </c>
      <c r="FV157">
        <v>1.7724599999999999</v>
      </c>
      <c r="FW157">
        <v>2.5866699999999998</v>
      </c>
      <c r="FX157">
        <v>1.5490699999999999</v>
      </c>
      <c r="FY157">
        <v>2.3278799999999999</v>
      </c>
      <c r="FZ157">
        <v>1.50146</v>
      </c>
      <c r="GA157">
        <v>2.2839399999999999</v>
      </c>
      <c r="GB157">
        <v>33.941299999999998</v>
      </c>
      <c r="GC157">
        <v>23.982399999999998</v>
      </c>
      <c r="GD157">
        <v>19</v>
      </c>
      <c r="GE157">
        <v>285.99700000000001</v>
      </c>
      <c r="GF157">
        <v>581.33799999999997</v>
      </c>
      <c r="GG157">
        <v>24.581499999999998</v>
      </c>
      <c r="GH157">
        <v>26.1935</v>
      </c>
      <c r="GI157">
        <v>30.0001</v>
      </c>
      <c r="GJ157">
        <v>26.334900000000001</v>
      </c>
      <c r="GK157">
        <v>26.319199999999999</v>
      </c>
      <c r="GL157">
        <v>35.435299999999998</v>
      </c>
      <c r="GM157">
        <v>70.598500000000001</v>
      </c>
      <c r="GN157">
        <v>52.5124</v>
      </c>
      <c r="GO157">
        <v>24.593399999999999</v>
      </c>
      <c r="GP157">
        <v>800</v>
      </c>
      <c r="GQ157">
        <v>4.7766599999999997</v>
      </c>
      <c r="GR157">
        <v>99.745400000000004</v>
      </c>
      <c r="GS157">
        <v>99.582499999999996</v>
      </c>
    </row>
    <row r="158" spans="1:201" x14ac:dyDescent="0.25">
      <c r="A158">
        <v>142</v>
      </c>
      <c r="B158">
        <v>1690222465.0999999</v>
      </c>
      <c r="C158">
        <v>1582.599999904633</v>
      </c>
      <c r="D158" t="s">
        <v>615</v>
      </c>
      <c r="E158" t="s">
        <v>616</v>
      </c>
      <c r="F158" t="s">
        <v>330</v>
      </c>
      <c r="H158">
        <v>1690222465.0999999</v>
      </c>
      <c r="I158">
        <f t="shared" si="60"/>
        <v>1.8575952970915348E-3</v>
      </c>
      <c r="J158">
        <f t="shared" si="61"/>
        <v>1.8575952970915348</v>
      </c>
      <c r="K158">
        <f t="shared" si="62"/>
        <v>27.784109007808606</v>
      </c>
      <c r="L158">
        <f t="shared" si="63"/>
        <v>501.50599999999997</v>
      </c>
      <c r="M158">
        <f t="shared" si="64"/>
        <v>145.04626536702642</v>
      </c>
      <c r="N158">
        <f t="shared" si="65"/>
        <v>14.386717107664772</v>
      </c>
      <c r="O158">
        <f t="shared" si="66"/>
        <v>49.742921208895403</v>
      </c>
      <c r="P158">
        <f t="shared" si="67"/>
        <v>0.13101500278426487</v>
      </c>
      <c r="Q158">
        <f t="shared" si="68"/>
        <v>2.1957740096649023</v>
      </c>
      <c r="R158">
        <f t="shared" si="69"/>
        <v>0.12682193510542827</v>
      </c>
      <c r="S158">
        <f t="shared" si="70"/>
        <v>7.9629260962025578E-2</v>
      </c>
      <c r="T158">
        <f t="shared" si="71"/>
        <v>276.115113468</v>
      </c>
      <c r="U158">
        <f t="shared" si="72"/>
        <v>27.781805989748317</v>
      </c>
      <c r="V158">
        <f t="shared" si="73"/>
        <v>27.781805989748317</v>
      </c>
      <c r="W158">
        <f t="shared" si="74"/>
        <v>3.746836471089249</v>
      </c>
      <c r="X158">
        <f t="shared" si="75"/>
        <v>68.139955760658822</v>
      </c>
      <c r="Y158">
        <f t="shared" si="76"/>
        <v>2.33858363569475</v>
      </c>
      <c r="Z158">
        <f t="shared" si="77"/>
        <v>3.4320298708572849</v>
      </c>
      <c r="AA158">
        <f t="shared" si="78"/>
        <v>1.408252835394499</v>
      </c>
      <c r="AB158">
        <f t="shared" si="79"/>
        <v>-81.919952601736682</v>
      </c>
      <c r="AC158">
        <f t="shared" si="80"/>
        <v>-176.92931740200356</v>
      </c>
      <c r="AD158">
        <f t="shared" si="81"/>
        <v>-17.395610059208369</v>
      </c>
      <c r="AE158">
        <f t="shared" si="82"/>
        <v>-0.12976659494859177</v>
      </c>
      <c r="AF158">
        <v>0</v>
      </c>
      <c r="AG158">
        <v>0</v>
      </c>
      <c r="AH158">
        <f t="shared" si="83"/>
        <v>1</v>
      </c>
      <c r="AI158">
        <f t="shared" si="84"/>
        <v>0</v>
      </c>
      <c r="AJ158">
        <f t="shared" si="85"/>
        <v>52579.174455164502</v>
      </c>
      <c r="AK158">
        <f t="shared" si="86"/>
        <v>1800</v>
      </c>
      <c r="AL158">
        <f t="shared" si="87"/>
        <v>1499.1105888</v>
      </c>
      <c r="AM158">
        <f t="shared" si="88"/>
        <v>0.83283921599999999</v>
      </c>
      <c r="AN158">
        <f t="shared" si="89"/>
        <v>0.15339728525999999</v>
      </c>
      <c r="AO158">
        <v>31.2</v>
      </c>
      <c r="AP158">
        <v>0.5</v>
      </c>
      <c r="AQ158" t="s">
        <v>331</v>
      </c>
      <c r="AR158">
        <v>2</v>
      </c>
      <c r="AS158">
        <v>1690222465.0999999</v>
      </c>
      <c r="AT158">
        <v>501.50599999999997</v>
      </c>
      <c r="AU158">
        <v>800.01400000000001</v>
      </c>
      <c r="AV158">
        <v>23.577500000000001</v>
      </c>
      <c r="AW158">
        <v>4.72255</v>
      </c>
      <c r="AX158">
        <v>501.78800000000001</v>
      </c>
      <c r="AY158">
        <v>23.4148</v>
      </c>
      <c r="AZ158">
        <v>300.13600000000002</v>
      </c>
      <c r="BA158">
        <v>99.087100000000007</v>
      </c>
      <c r="BB158">
        <v>9.9990899999999994E-2</v>
      </c>
      <c r="BC158">
        <v>26.287199999999999</v>
      </c>
      <c r="BD158">
        <v>26.992999999999999</v>
      </c>
      <c r="BE158">
        <v>27.553699999999999</v>
      </c>
      <c r="BF158">
        <v>0</v>
      </c>
      <c r="BG158">
        <v>0</v>
      </c>
      <c r="BH158">
        <v>10011.9</v>
      </c>
      <c r="BI158">
        <v>1073.44</v>
      </c>
      <c r="BJ158">
        <v>1.51379</v>
      </c>
      <c r="BK158">
        <v>-298.50700000000001</v>
      </c>
      <c r="BL158">
        <v>513.61599999999999</v>
      </c>
      <c r="BM158">
        <v>803.81</v>
      </c>
      <c r="BN158">
        <v>18.855</v>
      </c>
      <c r="BO158">
        <v>800.01400000000001</v>
      </c>
      <c r="BP158">
        <v>4.72255</v>
      </c>
      <c r="BQ158">
        <v>2.33623</v>
      </c>
      <c r="BR158">
        <v>0.467943</v>
      </c>
      <c r="BS158">
        <v>19.9284</v>
      </c>
      <c r="BT158">
        <v>-3.6753100000000001</v>
      </c>
      <c r="BU158">
        <v>1800</v>
      </c>
      <c r="BV158">
        <v>0.909999</v>
      </c>
      <c r="BW158">
        <v>3.40086E-2</v>
      </c>
      <c r="BX158">
        <v>2.1997800000000001E-2</v>
      </c>
      <c r="BY158">
        <v>3.39946E-2</v>
      </c>
      <c r="BZ158">
        <v>26</v>
      </c>
      <c r="CA158">
        <v>33528.400000000001</v>
      </c>
      <c r="CB158">
        <v>1690220522.5999999</v>
      </c>
      <c r="CC158" t="s">
        <v>332</v>
      </c>
      <c r="CD158">
        <v>1690220522.5999999</v>
      </c>
      <c r="CE158">
        <v>1690220510.5999999</v>
      </c>
      <c r="CF158">
        <v>10</v>
      </c>
      <c r="CG158">
        <v>-0.22</v>
      </c>
      <c r="CH158">
        <v>-2.7E-2</v>
      </c>
      <c r="CI158">
        <v>-0.49299999999999999</v>
      </c>
      <c r="CJ158">
        <v>0.152</v>
      </c>
      <c r="CK158">
        <v>800</v>
      </c>
      <c r="CL158">
        <v>19</v>
      </c>
      <c r="CM158">
        <v>0.1</v>
      </c>
      <c r="CN158">
        <v>0.03</v>
      </c>
      <c r="CO158">
        <v>-296.07151219512201</v>
      </c>
      <c r="CP158">
        <v>-13.439372822300321</v>
      </c>
      <c r="CQ158">
        <v>1.325465111591549</v>
      </c>
      <c r="CR158">
        <v>-1</v>
      </c>
      <c r="CS158">
        <v>18.621565853658542</v>
      </c>
      <c r="CT158">
        <v>1.2332675958188091</v>
      </c>
      <c r="CU158">
        <v>0.1217690849663392</v>
      </c>
      <c r="CV158">
        <v>-1</v>
      </c>
      <c r="CW158">
        <v>0</v>
      </c>
      <c r="CX158">
        <v>0</v>
      </c>
      <c r="CY158" t="s">
        <v>333</v>
      </c>
      <c r="CZ158">
        <v>2.3644799999999999</v>
      </c>
      <c r="DA158">
        <v>2.7137899999999999</v>
      </c>
      <c r="DB158">
        <v>0.10599500000000001</v>
      </c>
      <c r="DC158">
        <v>0.14608299999999999</v>
      </c>
      <c r="DD158">
        <v>0.112581</v>
      </c>
      <c r="DE158">
        <v>3.2364999999999998E-2</v>
      </c>
      <c r="DF158">
        <v>32646.3</v>
      </c>
      <c r="DG158">
        <v>27523.1</v>
      </c>
      <c r="DH158">
        <v>31174.400000000001</v>
      </c>
      <c r="DI158">
        <v>28085.5</v>
      </c>
      <c r="DJ158">
        <v>37556.1</v>
      </c>
      <c r="DK158">
        <v>38648.800000000003</v>
      </c>
      <c r="DL158">
        <v>44365.3</v>
      </c>
      <c r="DM158">
        <v>42568.4</v>
      </c>
      <c r="DN158">
        <v>1.4837199999999999</v>
      </c>
      <c r="DO158">
        <v>2.03417</v>
      </c>
      <c r="DP158">
        <v>0.110634</v>
      </c>
      <c r="DQ158">
        <v>0.155307</v>
      </c>
      <c r="DR158">
        <v>25.181000000000001</v>
      </c>
      <c r="DS158">
        <v>25.010899999999999</v>
      </c>
      <c r="DT158">
        <v>43</v>
      </c>
      <c r="DU158">
        <v>29.4</v>
      </c>
      <c r="DV158">
        <v>17.858899999999998</v>
      </c>
      <c r="DW158">
        <v>61.628700000000002</v>
      </c>
      <c r="DX158">
        <v>36.5946</v>
      </c>
      <c r="DY158">
        <v>1</v>
      </c>
      <c r="DZ158">
        <v>-9.5035599999999998E-2</v>
      </c>
      <c r="EA158">
        <v>-5.7660700000000002E-2</v>
      </c>
      <c r="EB158">
        <v>20.189699999999998</v>
      </c>
      <c r="EC158">
        <v>5.2411000000000003</v>
      </c>
      <c r="ED158">
        <v>12.039899999999999</v>
      </c>
      <c r="EE158">
        <v>5.0172999999999996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1.8689100000000001</v>
      </c>
      <c r="EL158">
        <v>1.8646499999999999</v>
      </c>
      <c r="EM158">
        <v>1.8691899999999999</v>
      </c>
      <c r="EN158">
        <v>1.8672299999999999</v>
      </c>
      <c r="EO158">
        <v>1.8633999999999999</v>
      </c>
      <c r="EP158">
        <v>1.8646</v>
      </c>
      <c r="EQ158">
        <v>1.87019</v>
      </c>
      <c r="ER158">
        <v>1.8694500000000001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-0.28199999999999997</v>
      </c>
      <c r="FG158">
        <v>0.16270000000000001</v>
      </c>
      <c r="FH158">
        <v>5.8509882529719233E-2</v>
      </c>
      <c r="FI158">
        <v>-6.1462078757559423E-4</v>
      </c>
      <c r="FJ158">
        <v>-1.8861989874597051E-7</v>
      </c>
      <c r="FK158">
        <v>1.1980462299894961E-10</v>
      </c>
      <c r="FL158">
        <v>0.16277811159127681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32.4</v>
      </c>
      <c r="FU158">
        <v>32.6</v>
      </c>
      <c r="FV158">
        <v>1.7724599999999999</v>
      </c>
      <c r="FW158">
        <v>2.5793499999999998</v>
      </c>
      <c r="FX158">
        <v>1.5490699999999999</v>
      </c>
      <c r="FY158">
        <v>2.3278799999999999</v>
      </c>
      <c r="FZ158">
        <v>1.50146</v>
      </c>
      <c r="GA158">
        <v>2.36816</v>
      </c>
      <c r="GB158">
        <v>33.941299999999998</v>
      </c>
      <c r="GC158">
        <v>23.982399999999998</v>
      </c>
      <c r="GD158">
        <v>19</v>
      </c>
      <c r="GE158">
        <v>286.02999999999997</v>
      </c>
      <c r="GF158">
        <v>581.12599999999998</v>
      </c>
      <c r="GG158">
        <v>24.611799999999999</v>
      </c>
      <c r="GH158">
        <v>26.1935</v>
      </c>
      <c r="GI158">
        <v>30</v>
      </c>
      <c r="GJ158">
        <v>26.334900000000001</v>
      </c>
      <c r="GK158">
        <v>26.3187</v>
      </c>
      <c r="GL158">
        <v>35.430900000000001</v>
      </c>
      <c r="GM158">
        <v>71.213200000000001</v>
      </c>
      <c r="GN158">
        <v>51.705399999999997</v>
      </c>
      <c r="GO158">
        <v>24.618200000000002</v>
      </c>
      <c r="GP158">
        <v>800</v>
      </c>
      <c r="GQ158">
        <v>4.5737100000000002</v>
      </c>
      <c r="GR158">
        <v>99.746300000000005</v>
      </c>
      <c r="GS158">
        <v>99.581900000000005</v>
      </c>
    </row>
    <row r="159" spans="1:201" x14ac:dyDescent="0.25">
      <c r="A159">
        <v>143</v>
      </c>
      <c r="B159">
        <v>1690222475.0999999</v>
      </c>
      <c r="C159">
        <v>1592.599999904633</v>
      </c>
      <c r="D159" t="s">
        <v>617</v>
      </c>
      <c r="E159" t="s">
        <v>618</v>
      </c>
      <c r="F159" t="s">
        <v>330</v>
      </c>
      <c r="H159">
        <v>1690222475.0999999</v>
      </c>
      <c r="I159">
        <f t="shared" si="60"/>
        <v>1.8788830858638096E-3</v>
      </c>
      <c r="J159">
        <f t="shared" si="61"/>
        <v>1.8788830858638095</v>
      </c>
      <c r="K159">
        <f t="shared" si="62"/>
        <v>27.996712876745022</v>
      </c>
      <c r="L159">
        <f t="shared" si="63"/>
        <v>499.31099999999998</v>
      </c>
      <c r="M159">
        <f t="shared" si="64"/>
        <v>144.05600001794889</v>
      </c>
      <c r="N159">
        <f t="shared" si="65"/>
        <v>14.288413038788288</v>
      </c>
      <c r="O159">
        <f t="shared" si="66"/>
        <v>49.524919489097996</v>
      </c>
      <c r="P159">
        <f t="shared" si="67"/>
        <v>0.1325079654246375</v>
      </c>
      <c r="Q159">
        <f t="shared" si="68"/>
        <v>2.1930754207065162</v>
      </c>
      <c r="R159">
        <f t="shared" si="69"/>
        <v>0.12821538137996408</v>
      </c>
      <c r="S159">
        <f t="shared" si="70"/>
        <v>8.0508700976364589E-2</v>
      </c>
      <c r="T159">
        <f t="shared" si="71"/>
        <v>276.11517929399997</v>
      </c>
      <c r="U159">
        <f t="shared" si="72"/>
        <v>27.786434940114784</v>
      </c>
      <c r="V159">
        <f t="shared" si="73"/>
        <v>27.786434940114784</v>
      </c>
      <c r="W159">
        <f t="shared" si="74"/>
        <v>3.7478493239298145</v>
      </c>
      <c r="X159">
        <f t="shared" si="75"/>
        <v>68.109801932678465</v>
      </c>
      <c r="Y159">
        <f t="shared" si="76"/>
        <v>2.3389569555652003</v>
      </c>
      <c r="Z159">
        <f t="shared" si="77"/>
        <v>3.4340974267948798</v>
      </c>
      <c r="AA159">
        <f t="shared" si="78"/>
        <v>1.4088923683646142</v>
      </c>
      <c r="AB159">
        <f t="shared" si="79"/>
        <v>-82.858744086594001</v>
      </c>
      <c r="AC159">
        <f t="shared" si="80"/>
        <v>-176.05319029626136</v>
      </c>
      <c r="AD159">
        <f t="shared" si="81"/>
        <v>-17.332053083225567</v>
      </c>
      <c r="AE159">
        <f t="shared" si="82"/>
        <v>-0.12880817208096573</v>
      </c>
      <c r="AF159">
        <v>0</v>
      </c>
      <c r="AG159">
        <v>0</v>
      </c>
      <c r="AH159">
        <f t="shared" si="83"/>
        <v>1</v>
      </c>
      <c r="AI159">
        <f t="shared" si="84"/>
        <v>0</v>
      </c>
      <c r="AJ159">
        <f t="shared" si="85"/>
        <v>52466.755604114573</v>
      </c>
      <c r="AK159">
        <f t="shared" si="86"/>
        <v>1800</v>
      </c>
      <c r="AL159">
        <f t="shared" si="87"/>
        <v>1499.1115553999998</v>
      </c>
      <c r="AM159">
        <f t="shared" si="88"/>
        <v>0.8328397529999999</v>
      </c>
      <c r="AN159">
        <f t="shared" si="89"/>
        <v>0.15339732182999999</v>
      </c>
      <c r="AO159">
        <v>31.2</v>
      </c>
      <c r="AP159">
        <v>0.5</v>
      </c>
      <c r="AQ159" t="s">
        <v>331</v>
      </c>
      <c r="AR159">
        <v>2</v>
      </c>
      <c r="AS159">
        <v>1690222475.0999999</v>
      </c>
      <c r="AT159">
        <v>499.31099999999998</v>
      </c>
      <c r="AU159">
        <v>799.995</v>
      </c>
      <c r="AV159">
        <v>23.581399999999999</v>
      </c>
      <c r="AW159">
        <v>4.5169300000000003</v>
      </c>
      <c r="AX159">
        <v>499.59199999999998</v>
      </c>
      <c r="AY159">
        <v>23.418600000000001</v>
      </c>
      <c r="AZ159">
        <v>300.238</v>
      </c>
      <c r="BA159">
        <v>99.086500000000001</v>
      </c>
      <c r="BB159">
        <v>0.100018</v>
      </c>
      <c r="BC159">
        <v>26.2974</v>
      </c>
      <c r="BD159">
        <v>26.985499999999998</v>
      </c>
      <c r="BE159">
        <v>27.5504</v>
      </c>
      <c r="BF159">
        <v>0</v>
      </c>
      <c r="BG159">
        <v>0</v>
      </c>
      <c r="BH159">
        <v>9990</v>
      </c>
      <c r="BI159">
        <v>1073.52</v>
      </c>
      <c r="BJ159">
        <v>1.1914</v>
      </c>
      <c r="BK159">
        <v>-300.68400000000003</v>
      </c>
      <c r="BL159">
        <v>511.37</v>
      </c>
      <c r="BM159">
        <v>803.625</v>
      </c>
      <c r="BN159">
        <v>19.064399999999999</v>
      </c>
      <c r="BO159">
        <v>799.995</v>
      </c>
      <c r="BP159">
        <v>4.5169300000000003</v>
      </c>
      <c r="BQ159">
        <v>2.3365900000000002</v>
      </c>
      <c r="BR159">
        <v>0.44756699999999999</v>
      </c>
      <c r="BS159">
        <v>19.930900000000001</v>
      </c>
      <c r="BT159">
        <v>-4.2682500000000001</v>
      </c>
      <c r="BU159">
        <v>1800</v>
      </c>
      <c r="BV159">
        <v>0.91000099999999995</v>
      </c>
      <c r="BW159">
        <v>3.4007999999999997E-2</v>
      </c>
      <c r="BX159">
        <v>2.19974E-2</v>
      </c>
      <c r="BY159">
        <v>3.3994099999999999E-2</v>
      </c>
      <c r="BZ159">
        <v>26</v>
      </c>
      <c r="CA159">
        <v>33528.400000000001</v>
      </c>
      <c r="CB159">
        <v>1690220522.5999999</v>
      </c>
      <c r="CC159" t="s">
        <v>332</v>
      </c>
      <c r="CD159">
        <v>1690220522.5999999</v>
      </c>
      <c r="CE159">
        <v>1690220510.5999999</v>
      </c>
      <c r="CF159">
        <v>10</v>
      </c>
      <c r="CG159">
        <v>-0.22</v>
      </c>
      <c r="CH159">
        <v>-2.7E-2</v>
      </c>
      <c r="CI159">
        <v>-0.49299999999999999</v>
      </c>
      <c r="CJ159">
        <v>0.152</v>
      </c>
      <c r="CK159">
        <v>800</v>
      </c>
      <c r="CL159">
        <v>19</v>
      </c>
      <c r="CM159">
        <v>0.1</v>
      </c>
      <c r="CN159">
        <v>0.03</v>
      </c>
      <c r="CO159">
        <v>-298.47578048780491</v>
      </c>
      <c r="CP159">
        <v>-12.98726132404154</v>
      </c>
      <c r="CQ159">
        <v>1.2816573400017091</v>
      </c>
      <c r="CR159">
        <v>-1</v>
      </c>
      <c r="CS159">
        <v>18.845119512195119</v>
      </c>
      <c r="CT159">
        <v>1.2035749128920059</v>
      </c>
      <c r="CU159">
        <v>0.1187541346535903</v>
      </c>
      <c r="CV159">
        <v>-1</v>
      </c>
      <c r="CW159">
        <v>0</v>
      </c>
      <c r="CX159">
        <v>0</v>
      </c>
      <c r="CY159" t="s">
        <v>333</v>
      </c>
      <c r="CZ159">
        <v>2.3647800000000001</v>
      </c>
      <c r="DA159">
        <v>2.7138</v>
      </c>
      <c r="DB159">
        <v>0.105655</v>
      </c>
      <c r="DC159">
        <v>0.14607600000000001</v>
      </c>
      <c r="DD159">
        <v>0.112594</v>
      </c>
      <c r="DE159">
        <v>3.11764E-2</v>
      </c>
      <c r="DF159">
        <v>32658.6</v>
      </c>
      <c r="DG159">
        <v>27523.7</v>
      </c>
      <c r="DH159">
        <v>31174.3</v>
      </c>
      <c r="DI159">
        <v>28085.9</v>
      </c>
      <c r="DJ159">
        <v>37555.599999999999</v>
      </c>
      <c r="DK159">
        <v>38696.9</v>
      </c>
      <c r="DL159">
        <v>44365.3</v>
      </c>
      <c r="DM159">
        <v>42569</v>
      </c>
      <c r="DN159">
        <v>1.4841</v>
      </c>
      <c r="DO159">
        <v>2.0339299999999998</v>
      </c>
      <c r="DP159">
        <v>0.10997800000000001</v>
      </c>
      <c r="DQ159">
        <v>0.154972</v>
      </c>
      <c r="DR159">
        <v>25.184200000000001</v>
      </c>
      <c r="DS159">
        <v>25.013000000000002</v>
      </c>
      <c r="DT159">
        <v>42.6</v>
      </c>
      <c r="DU159">
        <v>29.4</v>
      </c>
      <c r="DV159">
        <v>17.6938</v>
      </c>
      <c r="DW159">
        <v>61.738700000000001</v>
      </c>
      <c r="DX159">
        <v>36.097799999999999</v>
      </c>
      <c r="DY159">
        <v>1</v>
      </c>
      <c r="DZ159">
        <v>-9.5139699999999994E-2</v>
      </c>
      <c r="EA159">
        <v>-1.8063699999999999E-2</v>
      </c>
      <c r="EB159">
        <v>20.189800000000002</v>
      </c>
      <c r="EC159">
        <v>5.2411000000000003</v>
      </c>
      <c r="ED159">
        <v>12.039899999999999</v>
      </c>
      <c r="EE159">
        <v>5.01715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</v>
      </c>
      <c r="EL159">
        <v>1.86467</v>
      </c>
      <c r="EM159">
        <v>1.8692</v>
      </c>
      <c r="EN159">
        <v>1.8672299999999999</v>
      </c>
      <c r="EO159">
        <v>1.8633999999999999</v>
      </c>
      <c r="EP159">
        <v>1.86459</v>
      </c>
      <c r="EQ159">
        <v>1.87018</v>
      </c>
      <c r="ER159">
        <v>1.86944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-0.28100000000000003</v>
      </c>
      <c r="FG159">
        <v>0.1628</v>
      </c>
      <c r="FH159">
        <v>5.8509882529719233E-2</v>
      </c>
      <c r="FI159">
        <v>-6.1462078757559423E-4</v>
      </c>
      <c r="FJ159">
        <v>-1.8861989874597051E-7</v>
      </c>
      <c r="FK159">
        <v>1.1980462299894961E-10</v>
      </c>
      <c r="FL159">
        <v>0.16277811159127681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32.5</v>
      </c>
      <c r="FU159">
        <v>32.700000000000003</v>
      </c>
      <c r="FV159">
        <v>1.7724599999999999</v>
      </c>
      <c r="FW159">
        <v>2.5805699999999998</v>
      </c>
      <c r="FX159">
        <v>1.5490699999999999</v>
      </c>
      <c r="FY159">
        <v>2.3278799999999999</v>
      </c>
      <c r="FZ159">
        <v>1.50146</v>
      </c>
      <c r="GA159">
        <v>2.4157700000000002</v>
      </c>
      <c r="GB159">
        <v>33.941299999999998</v>
      </c>
      <c r="GC159">
        <v>23.991199999999999</v>
      </c>
      <c r="GD159">
        <v>19</v>
      </c>
      <c r="GE159">
        <v>286.18</v>
      </c>
      <c r="GF159">
        <v>580.90099999999995</v>
      </c>
      <c r="GG159">
        <v>24.625499999999999</v>
      </c>
      <c r="GH159">
        <v>26.1935</v>
      </c>
      <c r="GI159">
        <v>30</v>
      </c>
      <c r="GJ159">
        <v>26.332699999999999</v>
      </c>
      <c r="GK159">
        <v>26.3171</v>
      </c>
      <c r="GL159">
        <v>35.427500000000002</v>
      </c>
      <c r="GM159">
        <v>72.074399999999997</v>
      </c>
      <c r="GN159">
        <v>50.910499999999999</v>
      </c>
      <c r="GO159">
        <v>24.624300000000002</v>
      </c>
      <c r="GP159">
        <v>800</v>
      </c>
      <c r="GQ159">
        <v>4.3726000000000003</v>
      </c>
      <c r="GR159">
        <v>99.746200000000002</v>
      </c>
      <c r="GS159">
        <v>99.583200000000005</v>
      </c>
    </row>
    <row r="160" spans="1:201" x14ac:dyDescent="0.25">
      <c r="A160">
        <v>144</v>
      </c>
      <c r="B160">
        <v>1690222485.0999999</v>
      </c>
      <c r="C160">
        <v>1602.599999904633</v>
      </c>
      <c r="D160" t="s">
        <v>619</v>
      </c>
      <c r="E160" t="s">
        <v>620</v>
      </c>
      <c r="F160" t="s">
        <v>330</v>
      </c>
      <c r="H160">
        <v>1690222485.0999999</v>
      </c>
      <c r="I160">
        <f t="shared" si="60"/>
        <v>1.8971057244294071E-3</v>
      </c>
      <c r="J160">
        <f t="shared" si="61"/>
        <v>1.8971057244294072</v>
      </c>
      <c r="K160">
        <f t="shared" si="62"/>
        <v>28.190322097360454</v>
      </c>
      <c r="L160">
        <f t="shared" si="63"/>
        <v>497.24200000000002</v>
      </c>
      <c r="M160">
        <f t="shared" si="64"/>
        <v>143.2021392913752</v>
      </c>
      <c r="N160">
        <f t="shared" si="65"/>
        <v>14.20377618375842</v>
      </c>
      <c r="O160">
        <f t="shared" si="66"/>
        <v>49.319892231454801</v>
      </c>
      <c r="P160">
        <f t="shared" si="67"/>
        <v>0.13391434018038292</v>
      </c>
      <c r="Q160">
        <f t="shared" si="68"/>
        <v>2.1944573173976476</v>
      </c>
      <c r="R160">
        <f t="shared" si="69"/>
        <v>0.1295344381893124</v>
      </c>
      <c r="S160">
        <f t="shared" si="70"/>
        <v>8.1340607131451095E-2</v>
      </c>
      <c r="T160">
        <f t="shared" si="71"/>
        <v>276.11497682999999</v>
      </c>
      <c r="U160">
        <f t="shared" si="72"/>
        <v>27.779690426689761</v>
      </c>
      <c r="V160">
        <f t="shared" si="73"/>
        <v>27.779690426689761</v>
      </c>
      <c r="W160">
        <f t="shared" si="74"/>
        <v>3.746373647823217</v>
      </c>
      <c r="X160">
        <f t="shared" si="75"/>
        <v>68.088928556753743</v>
      </c>
      <c r="Y160">
        <f t="shared" si="76"/>
        <v>2.3382815599053002</v>
      </c>
      <c r="Z160">
        <f t="shared" si="77"/>
        <v>3.4341582537259145</v>
      </c>
      <c r="AA160">
        <f t="shared" si="78"/>
        <v>1.4080920879179168</v>
      </c>
      <c r="AB160">
        <f t="shared" si="79"/>
        <v>-83.662362447336861</v>
      </c>
      <c r="AC160">
        <f t="shared" si="80"/>
        <v>-175.33070525599868</v>
      </c>
      <c r="AD160">
        <f t="shared" si="81"/>
        <v>-17.249499672897418</v>
      </c>
      <c r="AE160">
        <f t="shared" si="82"/>
        <v>-0.12759054623296606</v>
      </c>
      <c r="AF160">
        <v>0</v>
      </c>
      <c r="AG160">
        <v>0</v>
      </c>
      <c r="AH160">
        <f t="shared" si="83"/>
        <v>1</v>
      </c>
      <c r="AI160">
        <f t="shared" si="84"/>
        <v>0</v>
      </c>
      <c r="AJ160">
        <f t="shared" si="85"/>
        <v>52523.337323605163</v>
      </c>
      <c r="AK160">
        <f t="shared" si="86"/>
        <v>1800</v>
      </c>
      <c r="AL160">
        <f t="shared" si="87"/>
        <v>1499.110326</v>
      </c>
      <c r="AM160">
        <f t="shared" si="88"/>
        <v>0.83283907000000001</v>
      </c>
      <c r="AN160">
        <f t="shared" si="89"/>
        <v>0.15339720934999998</v>
      </c>
      <c r="AO160">
        <v>31.2</v>
      </c>
      <c r="AP160">
        <v>0.5</v>
      </c>
      <c r="AQ160" t="s">
        <v>331</v>
      </c>
      <c r="AR160">
        <v>2</v>
      </c>
      <c r="AS160">
        <v>1690222485.0999999</v>
      </c>
      <c r="AT160">
        <v>497.24200000000002</v>
      </c>
      <c r="AU160">
        <v>800.02700000000004</v>
      </c>
      <c r="AV160">
        <v>23.5745</v>
      </c>
      <c r="AW160">
        <v>4.3227500000000001</v>
      </c>
      <c r="AX160">
        <v>497.52199999999999</v>
      </c>
      <c r="AY160">
        <v>23.4117</v>
      </c>
      <c r="AZ160">
        <v>300.20299999999997</v>
      </c>
      <c r="BA160">
        <v>99.0869</v>
      </c>
      <c r="BB160">
        <v>9.9999400000000002E-2</v>
      </c>
      <c r="BC160">
        <v>26.297699999999999</v>
      </c>
      <c r="BD160">
        <v>26.9696</v>
      </c>
      <c r="BE160">
        <v>27.549499999999998</v>
      </c>
      <c r="BF160">
        <v>0</v>
      </c>
      <c r="BG160">
        <v>0</v>
      </c>
      <c r="BH160">
        <v>10001.200000000001</v>
      </c>
      <c r="BI160">
        <v>1073.53</v>
      </c>
      <c r="BJ160">
        <v>1.5838699999999999</v>
      </c>
      <c r="BK160">
        <v>-302.78500000000003</v>
      </c>
      <c r="BL160">
        <v>509.24799999999999</v>
      </c>
      <c r="BM160">
        <v>803.50099999999998</v>
      </c>
      <c r="BN160">
        <v>19.2517</v>
      </c>
      <c r="BO160">
        <v>800.02700000000004</v>
      </c>
      <c r="BP160">
        <v>4.3227500000000001</v>
      </c>
      <c r="BQ160">
        <v>2.3359200000000002</v>
      </c>
      <c r="BR160">
        <v>0.42832799999999999</v>
      </c>
      <c r="BS160">
        <v>19.926300000000001</v>
      </c>
      <c r="BT160">
        <v>-4.8504800000000001</v>
      </c>
      <c r="BU160">
        <v>1800</v>
      </c>
      <c r="BV160">
        <v>0.91</v>
      </c>
      <c r="BW160">
        <v>3.4008099999999999E-2</v>
      </c>
      <c r="BX160">
        <v>2.19975E-2</v>
      </c>
      <c r="BY160">
        <v>3.3994099999999999E-2</v>
      </c>
      <c r="BZ160">
        <v>26</v>
      </c>
      <c r="CA160">
        <v>33528.300000000003</v>
      </c>
      <c r="CB160">
        <v>1690220522.5999999</v>
      </c>
      <c r="CC160" t="s">
        <v>332</v>
      </c>
      <c r="CD160">
        <v>1690220522.5999999</v>
      </c>
      <c r="CE160">
        <v>1690220510.5999999</v>
      </c>
      <c r="CF160">
        <v>10</v>
      </c>
      <c r="CG160">
        <v>-0.22</v>
      </c>
      <c r="CH160">
        <v>-2.7E-2</v>
      </c>
      <c r="CI160">
        <v>-0.49299999999999999</v>
      </c>
      <c r="CJ160">
        <v>0.152</v>
      </c>
      <c r="CK160">
        <v>800</v>
      </c>
      <c r="CL160">
        <v>19</v>
      </c>
      <c r="CM160">
        <v>0.1</v>
      </c>
      <c r="CN160">
        <v>0.03</v>
      </c>
      <c r="CO160">
        <v>-300.59717073170731</v>
      </c>
      <c r="CP160">
        <v>-12.71600696864177</v>
      </c>
      <c r="CQ160">
        <v>1.2547784160120501</v>
      </c>
      <c r="CR160">
        <v>-1</v>
      </c>
      <c r="CS160">
        <v>19.047224390243901</v>
      </c>
      <c r="CT160">
        <v>1.206271777003507</v>
      </c>
      <c r="CU160">
        <v>0.1190115935743908</v>
      </c>
      <c r="CV160">
        <v>-1</v>
      </c>
      <c r="CW160">
        <v>0</v>
      </c>
      <c r="CX160">
        <v>0</v>
      </c>
      <c r="CY160" t="s">
        <v>333</v>
      </c>
      <c r="CZ160">
        <v>2.3646600000000002</v>
      </c>
      <c r="DA160">
        <v>2.7137899999999999</v>
      </c>
      <c r="DB160">
        <v>0.105335</v>
      </c>
      <c r="DC160">
        <v>0.14607800000000001</v>
      </c>
      <c r="DD160">
        <v>0.112571</v>
      </c>
      <c r="DE160">
        <v>3.0041200000000001E-2</v>
      </c>
      <c r="DF160">
        <v>32670.1</v>
      </c>
      <c r="DG160">
        <v>27524</v>
      </c>
      <c r="DH160">
        <v>31174.1</v>
      </c>
      <c r="DI160">
        <v>28086.2</v>
      </c>
      <c r="DJ160">
        <v>37556.1</v>
      </c>
      <c r="DK160">
        <v>38742.699999999997</v>
      </c>
      <c r="DL160">
        <v>44364.9</v>
      </c>
      <c r="DM160">
        <v>42569.4</v>
      </c>
      <c r="DN160">
        <v>1.4842500000000001</v>
      </c>
      <c r="DO160">
        <v>2.03342</v>
      </c>
      <c r="DP160">
        <v>0.108875</v>
      </c>
      <c r="DQ160">
        <v>0.154756</v>
      </c>
      <c r="DR160">
        <v>25.186299999999999</v>
      </c>
      <c r="DS160">
        <v>25.015599999999999</v>
      </c>
      <c r="DT160">
        <v>42.1</v>
      </c>
      <c r="DU160">
        <v>29.5</v>
      </c>
      <c r="DV160">
        <v>17.590699999999998</v>
      </c>
      <c r="DW160">
        <v>61.8187</v>
      </c>
      <c r="DX160">
        <v>36.706699999999998</v>
      </c>
      <c r="DY160">
        <v>1</v>
      </c>
      <c r="DZ160">
        <v>-9.4855200000000001E-2</v>
      </c>
      <c r="EA160">
        <v>-3.9104E-2</v>
      </c>
      <c r="EB160">
        <v>20.189699999999998</v>
      </c>
      <c r="EC160">
        <v>5.24125</v>
      </c>
      <c r="ED160">
        <v>12.039899999999999</v>
      </c>
      <c r="EE160">
        <v>5.0172499999999998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1.8689100000000001</v>
      </c>
      <c r="EL160">
        <v>1.8646400000000001</v>
      </c>
      <c r="EM160">
        <v>1.8692</v>
      </c>
      <c r="EN160">
        <v>1.8672299999999999</v>
      </c>
      <c r="EO160">
        <v>1.8633999999999999</v>
      </c>
      <c r="EP160">
        <v>1.8645799999999999</v>
      </c>
      <c r="EQ160">
        <v>1.8702000000000001</v>
      </c>
      <c r="ER160">
        <v>1.8694500000000001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-0.28000000000000003</v>
      </c>
      <c r="FG160">
        <v>0.1628</v>
      </c>
      <c r="FH160">
        <v>5.8509882529719233E-2</v>
      </c>
      <c r="FI160">
        <v>-6.1462078757559423E-4</v>
      </c>
      <c r="FJ160">
        <v>-1.8861989874597051E-7</v>
      </c>
      <c r="FK160">
        <v>1.1980462299894961E-10</v>
      </c>
      <c r="FL160">
        <v>0.16277811159127681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32.700000000000003</v>
      </c>
      <c r="FU160">
        <v>32.9</v>
      </c>
      <c r="FV160">
        <v>1.7724599999999999</v>
      </c>
      <c r="FW160">
        <v>2.5817899999999998</v>
      </c>
      <c r="FX160">
        <v>1.5490699999999999</v>
      </c>
      <c r="FY160">
        <v>2.3278799999999999</v>
      </c>
      <c r="FZ160">
        <v>1.50146</v>
      </c>
      <c r="GA160">
        <v>2.35107</v>
      </c>
      <c r="GB160">
        <v>33.941299999999998</v>
      </c>
      <c r="GC160">
        <v>23.982399999999998</v>
      </c>
      <c r="GD160">
        <v>19</v>
      </c>
      <c r="GE160">
        <v>286.245</v>
      </c>
      <c r="GF160">
        <v>580.47199999999998</v>
      </c>
      <c r="GG160">
        <v>24.634699999999999</v>
      </c>
      <c r="GH160">
        <v>26.191199999999998</v>
      </c>
      <c r="GI160">
        <v>30.0002</v>
      </c>
      <c r="GJ160">
        <v>26.332699999999999</v>
      </c>
      <c r="GK160">
        <v>26.3154</v>
      </c>
      <c r="GL160">
        <v>35.422699999999999</v>
      </c>
      <c r="GM160">
        <v>72.934700000000007</v>
      </c>
      <c r="GN160">
        <v>50.144100000000002</v>
      </c>
      <c r="GO160">
        <v>24.646899999999999</v>
      </c>
      <c r="GP160">
        <v>800</v>
      </c>
      <c r="GQ160">
        <v>4.1746499999999997</v>
      </c>
      <c r="GR160">
        <v>99.745400000000004</v>
      </c>
      <c r="GS160">
        <v>99.584199999999996</v>
      </c>
    </row>
    <row r="161" spans="1:201" x14ac:dyDescent="0.25">
      <c r="A161">
        <v>145</v>
      </c>
      <c r="B161">
        <v>1690222495.0999999</v>
      </c>
      <c r="C161">
        <v>1612.599999904633</v>
      </c>
      <c r="D161" t="s">
        <v>621</v>
      </c>
      <c r="E161" t="s">
        <v>622</v>
      </c>
      <c r="F161" t="s">
        <v>330</v>
      </c>
      <c r="H161">
        <v>1690222495.0999999</v>
      </c>
      <c r="I161">
        <f t="shared" si="60"/>
        <v>1.9158283231623637E-3</v>
      </c>
      <c r="J161">
        <f t="shared" si="61"/>
        <v>1.9158283231623636</v>
      </c>
      <c r="K161">
        <f t="shared" si="62"/>
        <v>28.383217859092511</v>
      </c>
      <c r="L161">
        <f t="shared" si="63"/>
        <v>495.18299999999999</v>
      </c>
      <c r="M161">
        <f t="shared" si="64"/>
        <v>142.39126719114611</v>
      </c>
      <c r="N161">
        <f t="shared" si="65"/>
        <v>14.123201531647636</v>
      </c>
      <c r="O161">
        <f t="shared" si="66"/>
        <v>49.115156020472099</v>
      </c>
      <c r="P161">
        <f t="shared" si="67"/>
        <v>0.13534788726680563</v>
      </c>
      <c r="Q161">
        <f t="shared" si="68"/>
        <v>2.1922990175613219</v>
      </c>
      <c r="R161">
        <f t="shared" si="69"/>
        <v>0.13087114891777513</v>
      </c>
      <c r="S161">
        <f t="shared" si="70"/>
        <v>8.2184350091910677E-2</v>
      </c>
      <c r="T161">
        <f t="shared" si="71"/>
        <v>276.11505289799999</v>
      </c>
      <c r="U161">
        <f t="shared" si="72"/>
        <v>27.776753545235039</v>
      </c>
      <c r="V161">
        <f t="shared" si="73"/>
        <v>27.776753545235039</v>
      </c>
      <c r="W161">
        <f t="shared" si="74"/>
        <v>3.7457312268278398</v>
      </c>
      <c r="X161">
        <f t="shared" si="75"/>
        <v>68.080357101389637</v>
      </c>
      <c r="Y161">
        <f t="shared" si="76"/>
        <v>2.3382770988418899</v>
      </c>
      <c r="Z161">
        <f t="shared" si="77"/>
        <v>3.434584068587621</v>
      </c>
      <c r="AA161">
        <f t="shared" si="78"/>
        <v>1.4074541279859498</v>
      </c>
      <c r="AB161">
        <f t="shared" si="79"/>
        <v>-84.488029051460245</v>
      </c>
      <c r="AC161">
        <f t="shared" si="80"/>
        <v>-174.56294823998834</v>
      </c>
      <c r="AD161">
        <f t="shared" si="81"/>
        <v>-17.190800690445819</v>
      </c>
      <c r="AE161">
        <f t="shared" si="82"/>
        <v>-0.12672508389442783</v>
      </c>
      <c r="AF161">
        <v>0</v>
      </c>
      <c r="AG161">
        <v>0</v>
      </c>
      <c r="AH161">
        <f t="shared" si="83"/>
        <v>1</v>
      </c>
      <c r="AI161">
        <f t="shared" si="84"/>
        <v>0</v>
      </c>
      <c r="AJ161">
        <f t="shared" si="85"/>
        <v>52434.523931198819</v>
      </c>
      <c r="AK161">
        <f t="shared" si="86"/>
        <v>1800</v>
      </c>
      <c r="AL161">
        <f t="shared" si="87"/>
        <v>1499.1110027999998</v>
      </c>
      <c r="AM161">
        <f t="shared" si="88"/>
        <v>0.83283944599999993</v>
      </c>
      <c r="AN161">
        <f t="shared" si="89"/>
        <v>0.15339725160999998</v>
      </c>
      <c r="AO161">
        <v>31.2</v>
      </c>
      <c r="AP161">
        <v>0.5</v>
      </c>
      <c r="AQ161" t="s">
        <v>331</v>
      </c>
      <c r="AR161">
        <v>2</v>
      </c>
      <c r="AS161">
        <v>1690222495.0999999</v>
      </c>
      <c r="AT161">
        <v>495.18299999999999</v>
      </c>
      <c r="AU161">
        <v>800.06</v>
      </c>
      <c r="AV161">
        <v>23.5747</v>
      </c>
      <c r="AW161">
        <v>4.1309500000000003</v>
      </c>
      <c r="AX161">
        <v>495.46100000000001</v>
      </c>
      <c r="AY161">
        <v>23.411899999999999</v>
      </c>
      <c r="AZ161">
        <v>300.17200000000003</v>
      </c>
      <c r="BA161">
        <v>99.085899999999995</v>
      </c>
      <c r="BB161">
        <v>9.9968699999999994E-2</v>
      </c>
      <c r="BC161">
        <v>26.299800000000001</v>
      </c>
      <c r="BD161">
        <v>26.982500000000002</v>
      </c>
      <c r="BE161">
        <v>27.573</v>
      </c>
      <c r="BF161">
        <v>0</v>
      </c>
      <c r="BG161">
        <v>0</v>
      </c>
      <c r="BH161">
        <v>9983.75</v>
      </c>
      <c r="BI161">
        <v>1073.6099999999999</v>
      </c>
      <c r="BJ161">
        <v>1.6119000000000001</v>
      </c>
      <c r="BK161">
        <v>-304.87700000000001</v>
      </c>
      <c r="BL161">
        <v>507.13900000000001</v>
      </c>
      <c r="BM161">
        <v>803.37900000000002</v>
      </c>
      <c r="BN161">
        <v>19.4438</v>
      </c>
      <c r="BO161">
        <v>800.06</v>
      </c>
      <c r="BP161">
        <v>4.1309500000000003</v>
      </c>
      <c r="BQ161">
        <v>2.3359200000000002</v>
      </c>
      <c r="BR161">
        <v>0.40931899999999999</v>
      </c>
      <c r="BS161">
        <v>19.926300000000001</v>
      </c>
      <c r="BT161">
        <v>-5.4490800000000004</v>
      </c>
      <c r="BU161">
        <v>1800</v>
      </c>
      <c r="BV161">
        <v>0.91000099999999995</v>
      </c>
      <c r="BW161">
        <v>3.4007900000000001E-2</v>
      </c>
      <c r="BX161">
        <v>2.1997300000000001E-2</v>
      </c>
      <c r="BY161">
        <v>3.3993900000000001E-2</v>
      </c>
      <c r="BZ161">
        <v>26</v>
      </c>
      <c r="CA161">
        <v>33528.400000000001</v>
      </c>
      <c r="CB161">
        <v>1690220522.5999999</v>
      </c>
      <c r="CC161" t="s">
        <v>332</v>
      </c>
      <c r="CD161">
        <v>1690220522.5999999</v>
      </c>
      <c r="CE161">
        <v>1690220510.5999999</v>
      </c>
      <c r="CF161">
        <v>10</v>
      </c>
      <c r="CG161">
        <v>-0.22</v>
      </c>
      <c r="CH161">
        <v>-2.7E-2</v>
      </c>
      <c r="CI161">
        <v>-0.49299999999999999</v>
      </c>
      <c r="CJ161">
        <v>0.152</v>
      </c>
      <c r="CK161">
        <v>800</v>
      </c>
      <c r="CL161">
        <v>19</v>
      </c>
      <c r="CM161">
        <v>0.1</v>
      </c>
      <c r="CN161">
        <v>0.03</v>
      </c>
      <c r="CO161">
        <v>-302.73470731707317</v>
      </c>
      <c r="CP161">
        <v>-12.84549825784034</v>
      </c>
      <c r="CQ161">
        <v>1.267694685945997</v>
      </c>
      <c r="CR161">
        <v>-1</v>
      </c>
      <c r="CS161">
        <v>19.2441268292683</v>
      </c>
      <c r="CT161">
        <v>1.1473797909407659</v>
      </c>
      <c r="CU161">
        <v>0.113196470737861</v>
      </c>
      <c r="CV161">
        <v>-1</v>
      </c>
      <c r="CW161">
        <v>0</v>
      </c>
      <c r="CX161">
        <v>0</v>
      </c>
      <c r="CY161" t="s">
        <v>333</v>
      </c>
      <c r="CZ161">
        <v>2.3645200000000002</v>
      </c>
      <c r="DA161">
        <v>2.7137500000000001</v>
      </c>
      <c r="DB161">
        <v>0.105015</v>
      </c>
      <c r="DC161">
        <v>0.14607600000000001</v>
      </c>
      <c r="DD161">
        <v>0.11257200000000001</v>
      </c>
      <c r="DE161">
        <v>2.8906100000000001E-2</v>
      </c>
      <c r="DF161">
        <v>32682</v>
      </c>
      <c r="DG161">
        <v>27524.2</v>
      </c>
      <c r="DH161">
        <v>31174.3</v>
      </c>
      <c r="DI161">
        <v>28086.400000000001</v>
      </c>
      <c r="DJ161">
        <v>37556.199999999997</v>
      </c>
      <c r="DK161">
        <v>38788.5</v>
      </c>
      <c r="DL161">
        <v>44365</v>
      </c>
      <c r="DM161">
        <v>42569.8</v>
      </c>
      <c r="DN161">
        <v>1.48407</v>
      </c>
      <c r="DO161">
        <v>2.0331999999999999</v>
      </c>
      <c r="DP161">
        <v>0.109538</v>
      </c>
      <c r="DQ161">
        <v>0.15597</v>
      </c>
      <c r="DR161">
        <v>25.188500000000001</v>
      </c>
      <c r="DS161">
        <v>25.019300000000001</v>
      </c>
      <c r="DT161">
        <v>41.7</v>
      </c>
      <c r="DU161">
        <v>29.4</v>
      </c>
      <c r="DV161">
        <v>17.3215</v>
      </c>
      <c r="DW161">
        <v>61.598700000000001</v>
      </c>
      <c r="DX161">
        <v>37.439900000000002</v>
      </c>
      <c r="DY161">
        <v>1</v>
      </c>
      <c r="DZ161">
        <v>-9.5073699999999997E-2</v>
      </c>
      <c r="EA161">
        <v>-3.6713000000000003E-2</v>
      </c>
      <c r="EB161">
        <v>20.189699999999998</v>
      </c>
      <c r="EC161">
        <v>5.2418500000000003</v>
      </c>
      <c r="ED161">
        <v>12.039899999999999</v>
      </c>
      <c r="EE161">
        <v>5.0173500000000004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1.8689499999999999</v>
      </c>
      <c r="EL161">
        <v>1.86466</v>
      </c>
      <c r="EM161">
        <v>1.8692</v>
      </c>
      <c r="EN161">
        <v>1.86724</v>
      </c>
      <c r="EO161">
        <v>1.8633999999999999</v>
      </c>
      <c r="EP161">
        <v>1.8646</v>
      </c>
      <c r="EQ161">
        <v>1.87018</v>
      </c>
      <c r="ER161">
        <v>1.86948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-0.27800000000000002</v>
      </c>
      <c r="FG161">
        <v>0.1628</v>
      </c>
      <c r="FH161">
        <v>5.8509882529719233E-2</v>
      </c>
      <c r="FI161">
        <v>-6.1462078757559423E-4</v>
      </c>
      <c r="FJ161">
        <v>-1.8861989874597051E-7</v>
      </c>
      <c r="FK161">
        <v>1.1980462299894961E-10</v>
      </c>
      <c r="FL161">
        <v>0.16277811159127681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32.9</v>
      </c>
      <c r="FU161">
        <v>33.1</v>
      </c>
      <c r="FV161">
        <v>1.7712399999999999</v>
      </c>
      <c r="FW161">
        <v>2.5878899999999998</v>
      </c>
      <c r="FX161">
        <v>1.5490699999999999</v>
      </c>
      <c r="FY161">
        <v>2.3278799999999999</v>
      </c>
      <c r="FZ161">
        <v>1.50146</v>
      </c>
      <c r="GA161">
        <v>2.2802699999999998</v>
      </c>
      <c r="GB161">
        <v>33.941299999999998</v>
      </c>
      <c r="GC161">
        <v>23.982399999999998</v>
      </c>
      <c r="GD161">
        <v>19</v>
      </c>
      <c r="GE161">
        <v>286.16000000000003</v>
      </c>
      <c r="GF161">
        <v>580.28</v>
      </c>
      <c r="GG161">
        <v>24.653600000000001</v>
      </c>
      <c r="GH161">
        <v>26.191199999999998</v>
      </c>
      <c r="GI161">
        <v>30</v>
      </c>
      <c r="GJ161">
        <v>26.330500000000001</v>
      </c>
      <c r="GK161">
        <v>26.314800000000002</v>
      </c>
      <c r="GL161">
        <v>35.413899999999998</v>
      </c>
      <c r="GM161">
        <v>73.496099999999998</v>
      </c>
      <c r="GN161">
        <v>49.356099999999998</v>
      </c>
      <c r="GO161">
        <v>24.6584</v>
      </c>
      <c r="GP161">
        <v>800</v>
      </c>
      <c r="GQ161">
        <v>3.98041</v>
      </c>
      <c r="GR161">
        <v>99.745900000000006</v>
      </c>
      <c r="GS161">
        <v>99.585099999999997</v>
      </c>
    </row>
    <row r="162" spans="1:201" x14ac:dyDescent="0.25">
      <c r="A162">
        <v>146</v>
      </c>
      <c r="B162">
        <v>1690222505.0999999</v>
      </c>
      <c r="C162">
        <v>1622.599999904633</v>
      </c>
      <c r="D162" t="s">
        <v>623</v>
      </c>
      <c r="E162" t="s">
        <v>624</v>
      </c>
      <c r="F162" t="s">
        <v>330</v>
      </c>
      <c r="H162">
        <v>1690222505.0999999</v>
      </c>
      <c r="I162">
        <f t="shared" si="60"/>
        <v>1.9341428629433171E-3</v>
      </c>
      <c r="J162">
        <f t="shared" si="61"/>
        <v>1.9341428629433171</v>
      </c>
      <c r="K162">
        <f t="shared" si="62"/>
        <v>28.579753308003951</v>
      </c>
      <c r="L162">
        <f t="shared" si="63"/>
        <v>493.154</v>
      </c>
      <c r="M162">
        <f t="shared" si="64"/>
        <v>141.11626236849071</v>
      </c>
      <c r="N162">
        <f t="shared" si="65"/>
        <v>13.996981466119742</v>
      </c>
      <c r="O162">
        <f t="shared" si="66"/>
        <v>48.914754983505595</v>
      </c>
      <c r="P162">
        <f t="shared" si="67"/>
        <v>0.13660443632403668</v>
      </c>
      <c r="Q162">
        <f t="shared" si="68"/>
        <v>2.1929353024091096</v>
      </c>
      <c r="R162">
        <f t="shared" si="69"/>
        <v>0.13204697114403535</v>
      </c>
      <c r="S162">
        <f t="shared" si="70"/>
        <v>8.2926160572961288E-2</v>
      </c>
      <c r="T162">
        <f t="shared" si="71"/>
        <v>276.11485893000003</v>
      </c>
      <c r="U162">
        <f t="shared" si="72"/>
        <v>27.779126420813398</v>
      </c>
      <c r="V162">
        <f t="shared" si="73"/>
        <v>27.779126420813398</v>
      </c>
      <c r="W162">
        <f t="shared" si="74"/>
        <v>3.7462502682707237</v>
      </c>
      <c r="X162">
        <f t="shared" si="75"/>
        <v>68.035268456656738</v>
      </c>
      <c r="Y162">
        <f t="shared" si="76"/>
        <v>2.33797043655168</v>
      </c>
      <c r="Z162">
        <f t="shared" si="77"/>
        <v>3.4364095116948525</v>
      </c>
      <c r="AA162">
        <f t="shared" si="78"/>
        <v>1.4082798317190437</v>
      </c>
      <c r="AB162">
        <f t="shared" si="79"/>
        <v>-85.295700255800284</v>
      </c>
      <c r="AC162">
        <f t="shared" si="80"/>
        <v>-173.83011746753715</v>
      </c>
      <c r="AD162">
        <f t="shared" si="81"/>
        <v>-17.114637293591237</v>
      </c>
      <c r="AE162">
        <f t="shared" si="82"/>
        <v>-0.12559608692862412</v>
      </c>
      <c r="AF162">
        <v>0</v>
      </c>
      <c r="AG162">
        <v>0</v>
      </c>
      <c r="AH162">
        <f t="shared" si="83"/>
        <v>1</v>
      </c>
      <c r="AI162">
        <f t="shared" si="84"/>
        <v>0</v>
      </c>
      <c r="AJ162">
        <f t="shared" si="85"/>
        <v>52459.041585801511</v>
      </c>
      <c r="AK162">
        <f t="shared" si="86"/>
        <v>1800</v>
      </c>
      <c r="AL162">
        <f t="shared" si="87"/>
        <v>1499.1104789999999</v>
      </c>
      <c r="AM162">
        <f t="shared" si="88"/>
        <v>0.83283915499999994</v>
      </c>
      <c r="AN162">
        <f t="shared" si="89"/>
        <v>0.15339714385</v>
      </c>
      <c r="AO162">
        <v>31.2</v>
      </c>
      <c r="AP162">
        <v>0.5</v>
      </c>
      <c r="AQ162" t="s">
        <v>331</v>
      </c>
      <c r="AR162">
        <v>2</v>
      </c>
      <c r="AS162">
        <v>1690222505.0999999</v>
      </c>
      <c r="AT162">
        <v>493.154</v>
      </c>
      <c r="AU162">
        <v>800.11500000000001</v>
      </c>
      <c r="AV162">
        <v>23.571200000000001</v>
      </c>
      <c r="AW162">
        <v>3.9422899999999998</v>
      </c>
      <c r="AX162">
        <v>493.43099999999998</v>
      </c>
      <c r="AY162">
        <v>23.4085</v>
      </c>
      <c r="AZ162">
        <v>300.18400000000003</v>
      </c>
      <c r="BA162">
        <v>99.087599999999995</v>
      </c>
      <c r="BB162">
        <v>9.9986400000000003E-2</v>
      </c>
      <c r="BC162">
        <v>26.308800000000002</v>
      </c>
      <c r="BD162">
        <v>27.0092</v>
      </c>
      <c r="BE162">
        <v>27.572600000000001</v>
      </c>
      <c r="BF162">
        <v>0</v>
      </c>
      <c r="BG162">
        <v>0</v>
      </c>
      <c r="BH162">
        <v>9988.75</v>
      </c>
      <c r="BI162">
        <v>1073.71</v>
      </c>
      <c r="BJ162">
        <v>1.56985</v>
      </c>
      <c r="BK162">
        <v>-306.96100000000001</v>
      </c>
      <c r="BL162">
        <v>505.05900000000003</v>
      </c>
      <c r="BM162">
        <v>803.28200000000004</v>
      </c>
      <c r="BN162">
        <v>19.628900000000002</v>
      </c>
      <c r="BO162">
        <v>800.11500000000001</v>
      </c>
      <c r="BP162">
        <v>3.9422899999999998</v>
      </c>
      <c r="BQ162">
        <v>2.33562</v>
      </c>
      <c r="BR162">
        <v>0.39063199999999998</v>
      </c>
      <c r="BS162">
        <v>19.924199999999999</v>
      </c>
      <c r="BT162">
        <v>-6.0620599999999998</v>
      </c>
      <c r="BU162">
        <v>1800</v>
      </c>
      <c r="BV162">
        <v>0.91000199999999998</v>
      </c>
      <c r="BW162">
        <v>3.4007299999999997E-2</v>
      </c>
      <c r="BX162">
        <v>2.1996999999999999E-2</v>
      </c>
      <c r="BY162">
        <v>3.3993299999999997E-2</v>
      </c>
      <c r="BZ162">
        <v>26</v>
      </c>
      <c r="CA162">
        <v>33528.5</v>
      </c>
      <c r="CB162">
        <v>1690220522.5999999</v>
      </c>
      <c r="CC162" t="s">
        <v>332</v>
      </c>
      <c r="CD162">
        <v>1690220522.5999999</v>
      </c>
      <c r="CE162">
        <v>1690220510.5999999</v>
      </c>
      <c r="CF162">
        <v>10</v>
      </c>
      <c r="CG162">
        <v>-0.22</v>
      </c>
      <c r="CH162">
        <v>-2.7E-2</v>
      </c>
      <c r="CI162">
        <v>-0.49299999999999999</v>
      </c>
      <c r="CJ162">
        <v>0.152</v>
      </c>
      <c r="CK162">
        <v>800</v>
      </c>
      <c r="CL162">
        <v>19</v>
      </c>
      <c r="CM162">
        <v>0.1</v>
      </c>
      <c r="CN162">
        <v>0.03</v>
      </c>
      <c r="CO162">
        <v>-304.79580487804873</v>
      </c>
      <c r="CP162">
        <v>-11.89812543553977</v>
      </c>
      <c r="CQ162">
        <v>1.174378137870381</v>
      </c>
      <c r="CR162">
        <v>-1</v>
      </c>
      <c r="CS162">
        <v>19.433363414634151</v>
      </c>
      <c r="CT162">
        <v>1.132559581881555</v>
      </c>
      <c r="CU162">
        <v>0.1117826871627083</v>
      </c>
      <c r="CV162">
        <v>-1</v>
      </c>
      <c r="CW162">
        <v>0</v>
      </c>
      <c r="CX162">
        <v>0</v>
      </c>
      <c r="CY162" t="s">
        <v>333</v>
      </c>
      <c r="CZ162">
        <v>2.3645499999999999</v>
      </c>
      <c r="DA162">
        <v>2.7137699999999998</v>
      </c>
      <c r="DB162">
        <v>0.104702</v>
      </c>
      <c r="DC162">
        <v>0.14608299999999999</v>
      </c>
      <c r="DD162">
        <v>0.112562</v>
      </c>
      <c r="DE162">
        <v>2.77775E-2</v>
      </c>
      <c r="DF162">
        <v>32694.1</v>
      </c>
      <c r="DG162">
        <v>27524.1</v>
      </c>
      <c r="DH162">
        <v>31175</v>
      </c>
      <c r="DI162">
        <v>28086.5</v>
      </c>
      <c r="DJ162">
        <v>37557.5</v>
      </c>
      <c r="DK162">
        <v>38833.800000000003</v>
      </c>
      <c r="DL162">
        <v>44366</v>
      </c>
      <c r="DM162">
        <v>42569.8</v>
      </c>
      <c r="DN162">
        <v>1.4843</v>
      </c>
      <c r="DO162">
        <v>2.0329999999999999</v>
      </c>
      <c r="DP162">
        <v>0.11117</v>
      </c>
      <c r="DQ162">
        <v>0.15582099999999999</v>
      </c>
      <c r="DR162">
        <v>25.188500000000001</v>
      </c>
      <c r="DS162">
        <v>25.0214</v>
      </c>
      <c r="DT162">
        <v>41.2</v>
      </c>
      <c r="DU162">
        <v>29.5</v>
      </c>
      <c r="DV162">
        <v>17.212800000000001</v>
      </c>
      <c r="DW162">
        <v>61.648699999999998</v>
      </c>
      <c r="DX162">
        <v>36.566499999999998</v>
      </c>
      <c r="DY162">
        <v>1</v>
      </c>
      <c r="DZ162">
        <v>-9.4804399999999997E-2</v>
      </c>
      <c r="EA162">
        <v>-5.0158000000000001E-2</v>
      </c>
      <c r="EB162">
        <v>20.189800000000002</v>
      </c>
      <c r="EC162">
        <v>5.2409499999999998</v>
      </c>
      <c r="ED162">
        <v>12.039899999999999</v>
      </c>
      <c r="EE162">
        <v>5.0168499999999998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1.86893</v>
      </c>
      <c r="EL162">
        <v>1.86467</v>
      </c>
      <c r="EM162">
        <v>1.8692</v>
      </c>
      <c r="EN162">
        <v>1.8672299999999999</v>
      </c>
      <c r="EO162">
        <v>1.8633999999999999</v>
      </c>
      <c r="EP162">
        <v>1.86459</v>
      </c>
      <c r="EQ162">
        <v>1.8702000000000001</v>
      </c>
      <c r="ER162">
        <v>1.8694999999999999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-0.27700000000000002</v>
      </c>
      <c r="FG162">
        <v>0.16270000000000001</v>
      </c>
      <c r="FH162">
        <v>5.8509882529719233E-2</v>
      </c>
      <c r="FI162">
        <v>-6.1462078757559423E-4</v>
      </c>
      <c r="FJ162">
        <v>-1.8861989874597051E-7</v>
      </c>
      <c r="FK162">
        <v>1.1980462299894961E-10</v>
      </c>
      <c r="FL162">
        <v>0.16277811159127681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33</v>
      </c>
      <c r="FU162">
        <v>33.200000000000003</v>
      </c>
      <c r="FV162">
        <v>1.7712399999999999</v>
      </c>
      <c r="FW162">
        <v>2.5781200000000002</v>
      </c>
      <c r="FX162">
        <v>1.5490699999999999</v>
      </c>
      <c r="FY162">
        <v>2.3278799999999999</v>
      </c>
      <c r="FZ162">
        <v>1.50146</v>
      </c>
      <c r="GA162">
        <v>2.3803700000000001</v>
      </c>
      <c r="GB162">
        <v>33.941299999999998</v>
      </c>
      <c r="GC162">
        <v>23.991199999999999</v>
      </c>
      <c r="GD162">
        <v>19</v>
      </c>
      <c r="GE162">
        <v>286.25700000000001</v>
      </c>
      <c r="GF162">
        <v>580.09100000000001</v>
      </c>
      <c r="GG162">
        <v>24.666799999999999</v>
      </c>
      <c r="GH162">
        <v>26.191199999999998</v>
      </c>
      <c r="GI162">
        <v>30.000299999999999</v>
      </c>
      <c r="GJ162">
        <v>26.330500000000001</v>
      </c>
      <c r="GK162">
        <v>26.3127</v>
      </c>
      <c r="GL162">
        <v>35.411099999999998</v>
      </c>
      <c r="GM162">
        <v>74.383700000000005</v>
      </c>
      <c r="GN162">
        <v>48.548900000000003</v>
      </c>
      <c r="GO162">
        <v>24.668399999999998</v>
      </c>
      <c r="GP162">
        <v>800</v>
      </c>
      <c r="GQ162">
        <v>3.7831199999999998</v>
      </c>
      <c r="GR162">
        <v>99.748099999999994</v>
      </c>
      <c r="GS162">
        <v>99.585300000000004</v>
      </c>
    </row>
    <row r="163" spans="1:201" x14ac:dyDescent="0.25">
      <c r="A163">
        <v>147</v>
      </c>
      <c r="B163">
        <v>1690222515.0999999</v>
      </c>
      <c r="C163">
        <v>1632.599999904633</v>
      </c>
      <c r="D163" t="s">
        <v>625</v>
      </c>
      <c r="E163" t="s">
        <v>626</v>
      </c>
      <c r="F163" t="s">
        <v>330</v>
      </c>
      <c r="H163">
        <v>1690222515.0999999</v>
      </c>
      <c r="I163">
        <f t="shared" si="60"/>
        <v>1.9532766597853014E-3</v>
      </c>
      <c r="J163">
        <f t="shared" si="61"/>
        <v>1.9532766597853015</v>
      </c>
      <c r="K163">
        <f t="shared" si="62"/>
        <v>28.765893002584068</v>
      </c>
      <c r="L163">
        <f t="shared" si="63"/>
        <v>491.17599999999999</v>
      </c>
      <c r="M163">
        <f t="shared" si="64"/>
        <v>140.82564313478537</v>
      </c>
      <c r="N163">
        <f t="shared" si="65"/>
        <v>13.968602710853785</v>
      </c>
      <c r="O163">
        <f t="shared" si="66"/>
        <v>48.720121224935994</v>
      </c>
      <c r="P163">
        <f t="shared" si="67"/>
        <v>0.13820001160854978</v>
      </c>
      <c r="Q163">
        <f t="shared" si="68"/>
        <v>2.1939747399320746</v>
      </c>
      <c r="R163">
        <f t="shared" si="69"/>
        <v>0.1335395440050656</v>
      </c>
      <c r="S163">
        <f t="shared" si="70"/>
        <v>8.3867846731290177E-2</v>
      </c>
      <c r="T163">
        <f t="shared" si="71"/>
        <v>276.11338228824297</v>
      </c>
      <c r="U163">
        <f t="shared" si="72"/>
        <v>27.769684484100658</v>
      </c>
      <c r="V163">
        <f t="shared" si="73"/>
        <v>27.769684484100658</v>
      </c>
      <c r="W163">
        <f t="shared" si="74"/>
        <v>3.7441853163462282</v>
      </c>
      <c r="X163">
        <f t="shared" si="75"/>
        <v>68.039756659779073</v>
      </c>
      <c r="Y163">
        <f t="shared" si="76"/>
        <v>2.3378072078568</v>
      </c>
      <c r="Z163">
        <f t="shared" si="77"/>
        <v>3.4359429289945829</v>
      </c>
      <c r="AA163">
        <f t="shared" si="78"/>
        <v>1.4063781084894282</v>
      </c>
      <c r="AB163">
        <f t="shared" si="79"/>
        <v>-86.139500696531783</v>
      </c>
      <c r="AC163">
        <f t="shared" si="80"/>
        <v>-173.06775238855698</v>
      </c>
      <c r="AD163">
        <f t="shared" si="81"/>
        <v>-17.030504231800819</v>
      </c>
      <c r="AE163">
        <f t="shared" si="82"/>
        <v>-0.1243750286466252</v>
      </c>
      <c r="AF163">
        <v>0</v>
      </c>
      <c r="AG163">
        <v>0</v>
      </c>
      <c r="AH163">
        <f t="shared" si="83"/>
        <v>1</v>
      </c>
      <c r="AI163">
        <f t="shared" si="84"/>
        <v>0</v>
      </c>
      <c r="AJ163">
        <f t="shared" si="85"/>
        <v>52502.099296557783</v>
      </c>
      <c r="AK163">
        <f t="shared" si="86"/>
        <v>1799.99</v>
      </c>
      <c r="AL163">
        <f t="shared" si="87"/>
        <v>1499.102411607</v>
      </c>
      <c r="AM163">
        <f t="shared" si="88"/>
        <v>0.83283929999999995</v>
      </c>
      <c r="AN163">
        <f t="shared" si="89"/>
        <v>0.1533971757</v>
      </c>
      <c r="AO163">
        <v>31.2</v>
      </c>
      <c r="AP163">
        <v>0.5</v>
      </c>
      <c r="AQ163" t="s">
        <v>331</v>
      </c>
      <c r="AR163">
        <v>2</v>
      </c>
      <c r="AS163">
        <v>1690222515.0999999</v>
      </c>
      <c r="AT163">
        <v>491.17599999999999</v>
      </c>
      <c r="AU163">
        <v>800.10900000000004</v>
      </c>
      <c r="AV163">
        <v>23.5688</v>
      </c>
      <c r="AW163">
        <v>3.7469800000000002</v>
      </c>
      <c r="AX163">
        <v>491.45100000000002</v>
      </c>
      <c r="AY163">
        <v>23.405999999999999</v>
      </c>
      <c r="AZ163">
        <v>300.20400000000001</v>
      </c>
      <c r="BA163">
        <v>99.090800000000002</v>
      </c>
      <c r="BB163">
        <v>9.9960999999999994E-2</v>
      </c>
      <c r="BC163">
        <v>26.3065</v>
      </c>
      <c r="BD163">
        <v>27.0121</v>
      </c>
      <c r="BE163">
        <v>27.5733</v>
      </c>
      <c r="BF163">
        <v>0</v>
      </c>
      <c r="BG163">
        <v>0</v>
      </c>
      <c r="BH163">
        <v>9996.8799999999992</v>
      </c>
      <c r="BI163">
        <v>1073.96</v>
      </c>
      <c r="BJ163">
        <v>1.5137799999999999</v>
      </c>
      <c r="BK163">
        <v>-308.93299999999999</v>
      </c>
      <c r="BL163">
        <v>503.03100000000001</v>
      </c>
      <c r="BM163">
        <v>803.11800000000005</v>
      </c>
      <c r="BN163">
        <v>19.8218</v>
      </c>
      <c r="BO163">
        <v>800.10900000000004</v>
      </c>
      <c r="BP163">
        <v>3.7469800000000002</v>
      </c>
      <c r="BQ163">
        <v>2.3354499999999998</v>
      </c>
      <c r="BR163">
        <v>0.37129099999999998</v>
      </c>
      <c r="BS163">
        <v>19.922999999999998</v>
      </c>
      <c r="BT163">
        <v>-6.7246100000000002</v>
      </c>
      <c r="BU163">
        <v>1799.99</v>
      </c>
      <c r="BV163">
        <v>0.91000199999999998</v>
      </c>
      <c r="BW163">
        <v>3.40074E-2</v>
      </c>
      <c r="BX163">
        <v>2.1996999999999999E-2</v>
      </c>
      <c r="BY163">
        <v>3.39934E-2</v>
      </c>
      <c r="BZ163">
        <v>26</v>
      </c>
      <c r="CA163">
        <v>33528.300000000003</v>
      </c>
      <c r="CB163">
        <v>1690220522.5999999</v>
      </c>
      <c r="CC163" t="s">
        <v>332</v>
      </c>
      <c r="CD163">
        <v>1690220522.5999999</v>
      </c>
      <c r="CE163">
        <v>1690220510.5999999</v>
      </c>
      <c r="CF163">
        <v>10</v>
      </c>
      <c r="CG163">
        <v>-0.22</v>
      </c>
      <c r="CH163">
        <v>-2.7E-2</v>
      </c>
      <c r="CI163">
        <v>-0.49299999999999999</v>
      </c>
      <c r="CJ163">
        <v>0.152</v>
      </c>
      <c r="CK163">
        <v>800</v>
      </c>
      <c r="CL163">
        <v>19</v>
      </c>
      <c r="CM163">
        <v>0.1</v>
      </c>
      <c r="CN163">
        <v>0.03</v>
      </c>
      <c r="CO163">
        <v>-306.57958536585369</v>
      </c>
      <c r="CP163">
        <v>-12.05433449477348</v>
      </c>
      <c r="CQ163">
        <v>1.188936704208897</v>
      </c>
      <c r="CR163">
        <v>-1</v>
      </c>
      <c r="CS163">
        <v>19.604121951219511</v>
      </c>
      <c r="CT163">
        <v>1.13673658536583</v>
      </c>
      <c r="CU163">
        <v>0.1121831310135246</v>
      </c>
      <c r="CV163">
        <v>-1</v>
      </c>
      <c r="CW163">
        <v>0</v>
      </c>
      <c r="CX163">
        <v>0</v>
      </c>
      <c r="CY163" t="s">
        <v>333</v>
      </c>
      <c r="CZ163">
        <v>2.3645999999999998</v>
      </c>
      <c r="DA163">
        <v>2.7137500000000001</v>
      </c>
      <c r="DB163">
        <v>0.104397</v>
      </c>
      <c r="DC163">
        <v>0.14608199999999999</v>
      </c>
      <c r="DD163">
        <v>0.11255800000000001</v>
      </c>
      <c r="DE163">
        <v>2.6595199999999999E-2</v>
      </c>
      <c r="DF163">
        <v>32705.1</v>
      </c>
      <c r="DG163">
        <v>27524.3</v>
      </c>
      <c r="DH163">
        <v>31174.799999999999</v>
      </c>
      <c r="DI163">
        <v>28086.799999999999</v>
      </c>
      <c r="DJ163">
        <v>37557.699999999997</v>
      </c>
      <c r="DK163">
        <v>38881.599999999999</v>
      </c>
      <c r="DL163">
        <v>44366.1</v>
      </c>
      <c r="DM163">
        <v>42570.3</v>
      </c>
      <c r="DN163">
        <v>1.4846200000000001</v>
      </c>
      <c r="DO163">
        <v>2.0330699999999999</v>
      </c>
      <c r="DP163">
        <v>0.111222</v>
      </c>
      <c r="DQ163">
        <v>0.15579899999999999</v>
      </c>
      <c r="DR163">
        <v>25.1906</v>
      </c>
      <c r="DS163">
        <v>25.022400000000001</v>
      </c>
      <c r="DT163">
        <v>40.799999999999997</v>
      </c>
      <c r="DU163">
        <v>29.5</v>
      </c>
      <c r="DV163">
        <v>17.043700000000001</v>
      </c>
      <c r="DW163">
        <v>62.088700000000003</v>
      </c>
      <c r="DX163">
        <v>36.173900000000003</v>
      </c>
      <c r="DY163">
        <v>1</v>
      </c>
      <c r="DZ163">
        <v>-9.4397900000000007E-2</v>
      </c>
      <c r="EA163">
        <v>0.265926</v>
      </c>
      <c r="EB163">
        <v>20.189299999999999</v>
      </c>
      <c r="EC163">
        <v>5.2415500000000002</v>
      </c>
      <c r="ED163">
        <v>12.039899999999999</v>
      </c>
      <c r="EE163">
        <v>5.0173500000000004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1.8689199999999999</v>
      </c>
      <c r="EL163">
        <v>1.86467</v>
      </c>
      <c r="EM163">
        <v>1.8691899999999999</v>
      </c>
      <c r="EN163">
        <v>1.86724</v>
      </c>
      <c r="EO163">
        <v>1.8633999999999999</v>
      </c>
      <c r="EP163">
        <v>1.86456</v>
      </c>
      <c r="EQ163">
        <v>1.8702000000000001</v>
      </c>
      <c r="ER163">
        <v>1.8694900000000001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-0.27500000000000002</v>
      </c>
      <c r="FG163">
        <v>0.1628</v>
      </c>
      <c r="FH163">
        <v>5.8509882529719233E-2</v>
      </c>
      <c r="FI163">
        <v>-6.1462078757559423E-4</v>
      </c>
      <c r="FJ163">
        <v>-1.8861989874597051E-7</v>
      </c>
      <c r="FK163">
        <v>1.1980462299894961E-10</v>
      </c>
      <c r="FL163">
        <v>0.16277811159127681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33.200000000000003</v>
      </c>
      <c r="FU163">
        <v>33.4</v>
      </c>
      <c r="FV163">
        <v>1.7712399999999999</v>
      </c>
      <c r="FW163">
        <v>2.5793499999999998</v>
      </c>
      <c r="FX163">
        <v>1.5490699999999999</v>
      </c>
      <c r="FY163">
        <v>2.3278799999999999</v>
      </c>
      <c r="FZ163">
        <v>1.50146</v>
      </c>
      <c r="GA163">
        <v>2.3962400000000001</v>
      </c>
      <c r="GB163">
        <v>33.941299999999998</v>
      </c>
      <c r="GC163">
        <v>23.991199999999999</v>
      </c>
      <c r="GD163">
        <v>19</v>
      </c>
      <c r="GE163">
        <v>286.39</v>
      </c>
      <c r="GF163">
        <v>580.15300000000002</v>
      </c>
      <c r="GG163">
        <v>24.6203</v>
      </c>
      <c r="GH163">
        <v>26.191099999999999</v>
      </c>
      <c r="GI163">
        <v>30.000599999999999</v>
      </c>
      <c r="GJ163">
        <v>26.328700000000001</v>
      </c>
      <c r="GK163">
        <v>26.3127</v>
      </c>
      <c r="GL163">
        <v>35.406300000000002</v>
      </c>
      <c r="GM163">
        <v>75.303700000000006</v>
      </c>
      <c r="GN163">
        <v>47.803199999999997</v>
      </c>
      <c r="GO163">
        <v>24.574300000000001</v>
      </c>
      <c r="GP163">
        <v>800</v>
      </c>
      <c r="GQ163">
        <v>3.5831300000000001</v>
      </c>
      <c r="GR163">
        <v>99.747900000000001</v>
      </c>
      <c r="GS163">
        <v>99.586299999999994</v>
      </c>
    </row>
    <row r="164" spans="1:201" x14ac:dyDescent="0.25">
      <c r="A164">
        <v>148</v>
      </c>
      <c r="B164">
        <v>1690222525.0999999</v>
      </c>
      <c r="C164">
        <v>1642.599999904633</v>
      </c>
      <c r="D164" t="s">
        <v>627</v>
      </c>
      <c r="E164" t="s">
        <v>628</v>
      </c>
      <c r="F164" t="s">
        <v>330</v>
      </c>
      <c r="H164">
        <v>1690222525.0999999</v>
      </c>
      <c r="I164">
        <f t="shared" si="60"/>
        <v>1.9702222117707201E-3</v>
      </c>
      <c r="J164">
        <f t="shared" si="61"/>
        <v>1.9702222117707202</v>
      </c>
      <c r="K164">
        <f t="shared" si="62"/>
        <v>28.952950316766604</v>
      </c>
      <c r="L164">
        <f t="shared" si="63"/>
        <v>489.18900000000002</v>
      </c>
      <c r="M164">
        <f t="shared" si="64"/>
        <v>139.84112428598286</v>
      </c>
      <c r="N164">
        <f t="shared" si="65"/>
        <v>13.870327201794888</v>
      </c>
      <c r="O164">
        <f t="shared" si="66"/>
        <v>48.520859140425003</v>
      </c>
      <c r="P164">
        <f t="shared" si="67"/>
        <v>0.13953285940607985</v>
      </c>
      <c r="Q164">
        <f t="shared" si="68"/>
        <v>2.1920738225983158</v>
      </c>
      <c r="R164">
        <f t="shared" si="69"/>
        <v>0.13477975878669676</v>
      </c>
      <c r="S164">
        <f t="shared" si="70"/>
        <v>8.4650907974450892E-2</v>
      </c>
      <c r="T164">
        <f t="shared" si="71"/>
        <v>276.11503304400003</v>
      </c>
      <c r="U164">
        <f t="shared" si="72"/>
        <v>27.757802283726832</v>
      </c>
      <c r="V164">
        <f t="shared" si="73"/>
        <v>27.757802283726832</v>
      </c>
      <c r="W164">
        <f t="shared" si="74"/>
        <v>3.7415880900613891</v>
      </c>
      <c r="X164">
        <f t="shared" si="75"/>
        <v>68.01925787565915</v>
      </c>
      <c r="Y164">
        <f t="shared" si="76"/>
        <v>2.3360958381949999</v>
      </c>
      <c r="Z164">
        <f t="shared" si="77"/>
        <v>3.4344624024940695</v>
      </c>
      <c r="AA164">
        <f t="shared" si="78"/>
        <v>1.4054922518663893</v>
      </c>
      <c r="AB164">
        <f t="shared" si="79"/>
        <v>-86.886799539088756</v>
      </c>
      <c r="AC164">
        <f t="shared" si="80"/>
        <v>-172.37628170017538</v>
      </c>
      <c r="AD164">
        <f t="shared" si="81"/>
        <v>-16.975541772360806</v>
      </c>
      <c r="AE164">
        <f t="shared" si="82"/>
        <v>-0.12358996762495167</v>
      </c>
      <c r="AF164">
        <v>0</v>
      </c>
      <c r="AG164">
        <v>0</v>
      </c>
      <c r="AH164">
        <f t="shared" si="83"/>
        <v>1</v>
      </c>
      <c r="AI164">
        <f t="shared" si="84"/>
        <v>0</v>
      </c>
      <c r="AJ164">
        <f t="shared" si="85"/>
        <v>52425.416762822351</v>
      </c>
      <c r="AK164">
        <f t="shared" si="86"/>
        <v>1800</v>
      </c>
      <c r="AL164">
        <f t="shared" si="87"/>
        <v>1499.1115734000002</v>
      </c>
      <c r="AM164">
        <f t="shared" si="88"/>
        <v>0.83283976300000007</v>
      </c>
      <c r="AN164">
        <f t="shared" si="89"/>
        <v>0.15339724058000001</v>
      </c>
      <c r="AO164">
        <v>31.2</v>
      </c>
      <c r="AP164">
        <v>0.5</v>
      </c>
      <c r="AQ164" t="s">
        <v>331</v>
      </c>
      <c r="AR164">
        <v>2</v>
      </c>
      <c r="AS164">
        <v>1690222525.0999999</v>
      </c>
      <c r="AT164">
        <v>489.18900000000002</v>
      </c>
      <c r="AU164">
        <v>800.08600000000001</v>
      </c>
      <c r="AV164">
        <v>23.552600000000002</v>
      </c>
      <c r="AW164">
        <v>3.5601500000000001</v>
      </c>
      <c r="AX164">
        <v>489.46199999999999</v>
      </c>
      <c r="AY164">
        <v>23.389800000000001</v>
      </c>
      <c r="AZ164">
        <v>300.22899999999998</v>
      </c>
      <c r="BA164">
        <v>99.086299999999994</v>
      </c>
      <c r="BB164">
        <v>0.100025</v>
      </c>
      <c r="BC164">
        <v>26.299199999999999</v>
      </c>
      <c r="BD164">
        <v>26.986499999999999</v>
      </c>
      <c r="BE164">
        <v>27.550699999999999</v>
      </c>
      <c r="BF164">
        <v>0</v>
      </c>
      <c r="BG164">
        <v>0</v>
      </c>
      <c r="BH164">
        <v>9981.8799999999992</v>
      </c>
      <c r="BI164">
        <v>1074.0899999999999</v>
      </c>
      <c r="BJ164">
        <v>1.5838699999999999</v>
      </c>
      <c r="BK164">
        <v>-310.89800000000002</v>
      </c>
      <c r="BL164">
        <v>500.988</v>
      </c>
      <c r="BM164">
        <v>802.94500000000005</v>
      </c>
      <c r="BN164">
        <v>19.9924</v>
      </c>
      <c r="BO164">
        <v>800.08600000000001</v>
      </c>
      <c r="BP164">
        <v>3.5601500000000001</v>
      </c>
      <c r="BQ164">
        <v>2.3337400000000001</v>
      </c>
      <c r="BR164">
        <v>0.35276200000000002</v>
      </c>
      <c r="BS164">
        <v>19.911200000000001</v>
      </c>
      <c r="BT164">
        <v>-7.3887499999999999</v>
      </c>
      <c r="BU164">
        <v>1800</v>
      </c>
      <c r="BV164">
        <v>0.91000300000000001</v>
      </c>
      <c r="BW164">
        <v>3.4007200000000001E-2</v>
      </c>
      <c r="BX164">
        <v>2.19969E-2</v>
      </c>
      <c r="BY164">
        <v>3.3993200000000001E-2</v>
      </c>
      <c r="BZ164">
        <v>26</v>
      </c>
      <c r="CA164">
        <v>33528.400000000001</v>
      </c>
      <c r="CB164">
        <v>1690220522.5999999</v>
      </c>
      <c r="CC164" t="s">
        <v>332</v>
      </c>
      <c r="CD164">
        <v>1690220522.5999999</v>
      </c>
      <c r="CE164">
        <v>1690220510.5999999</v>
      </c>
      <c r="CF164">
        <v>10</v>
      </c>
      <c r="CG164">
        <v>-0.22</v>
      </c>
      <c r="CH164">
        <v>-2.7E-2</v>
      </c>
      <c r="CI164">
        <v>-0.49299999999999999</v>
      </c>
      <c r="CJ164">
        <v>0.152</v>
      </c>
      <c r="CK164">
        <v>800</v>
      </c>
      <c r="CL164">
        <v>19</v>
      </c>
      <c r="CM164">
        <v>0.1</v>
      </c>
      <c r="CN164">
        <v>0.03</v>
      </c>
      <c r="CO164">
        <v>-308.72882499999997</v>
      </c>
      <c r="CP164">
        <v>-11.74537711069388</v>
      </c>
      <c r="CQ164">
        <v>1.130767303371921</v>
      </c>
      <c r="CR164">
        <v>-1</v>
      </c>
      <c r="CS164">
        <v>19.8053575</v>
      </c>
      <c r="CT164">
        <v>1.1093437148216361</v>
      </c>
      <c r="CU164">
        <v>0.1068243040873659</v>
      </c>
      <c r="CV164">
        <v>-1</v>
      </c>
      <c r="CW164">
        <v>0</v>
      </c>
      <c r="CX164">
        <v>0</v>
      </c>
      <c r="CY164" t="s">
        <v>333</v>
      </c>
      <c r="CZ164">
        <v>2.3646600000000002</v>
      </c>
      <c r="DA164">
        <v>2.7138</v>
      </c>
      <c r="DB164">
        <v>0.10408299999999999</v>
      </c>
      <c r="DC164">
        <v>0.14607000000000001</v>
      </c>
      <c r="DD164">
        <v>0.112498</v>
      </c>
      <c r="DE164">
        <v>2.5448399999999999E-2</v>
      </c>
      <c r="DF164">
        <v>32716.400000000001</v>
      </c>
      <c r="DG164">
        <v>27524.6</v>
      </c>
      <c r="DH164">
        <v>31174.6</v>
      </c>
      <c r="DI164">
        <v>28086.7</v>
      </c>
      <c r="DJ164">
        <v>37559.699999999997</v>
      </c>
      <c r="DK164">
        <v>38927.300000000003</v>
      </c>
      <c r="DL164">
        <v>44365.5</v>
      </c>
      <c r="DM164">
        <v>42570.1</v>
      </c>
      <c r="DN164">
        <v>1.4847999999999999</v>
      </c>
      <c r="DO164">
        <v>2.0322499999999999</v>
      </c>
      <c r="DP164">
        <v>0.10965800000000001</v>
      </c>
      <c r="DQ164">
        <v>0.15435399999999999</v>
      </c>
      <c r="DR164">
        <v>25.1906</v>
      </c>
      <c r="DS164">
        <v>25.023499999999999</v>
      </c>
      <c r="DT164">
        <v>40.4</v>
      </c>
      <c r="DU164">
        <v>29.5</v>
      </c>
      <c r="DV164">
        <v>16.876899999999999</v>
      </c>
      <c r="DW164">
        <v>61.9587</v>
      </c>
      <c r="DX164">
        <v>36.983199999999997</v>
      </c>
      <c r="DY164">
        <v>1</v>
      </c>
      <c r="DZ164">
        <v>-9.4824699999999998E-2</v>
      </c>
      <c r="EA164">
        <v>0.12609500000000001</v>
      </c>
      <c r="EB164">
        <v>20.189599999999999</v>
      </c>
      <c r="EC164">
        <v>5.2413999999999996</v>
      </c>
      <c r="ED164">
        <v>12.039899999999999</v>
      </c>
      <c r="EE164">
        <v>5.0174000000000003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1.86893</v>
      </c>
      <c r="EL164">
        <v>1.8646400000000001</v>
      </c>
      <c r="EM164">
        <v>1.8691899999999999</v>
      </c>
      <c r="EN164">
        <v>1.8672299999999999</v>
      </c>
      <c r="EO164">
        <v>1.8633999999999999</v>
      </c>
      <c r="EP164">
        <v>1.86453</v>
      </c>
      <c r="EQ164">
        <v>1.8702000000000001</v>
      </c>
      <c r="ER164">
        <v>1.86948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-0.27300000000000002</v>
      </c>
      <c r="FG164">
        <v>0.1628</v>
      </c>
      <c r="FH164">
        <v>5.8509882529719233E-2</v>
      </c>
      <c r="FI164">
        <v>-6.1462078757559423E-4</v>
      </c>
      <c r="FJ164">
        <v>-1.8861989874597051E-7</v>
      </c>
      <c r="FK164">
        <v>1.1980462299894961E-10</v>
      </c>
      <c r="FL164">
        <v>0.16277811159127681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33.4</v>
      </c>
      <c r="FU164">
        <v>33.6</v>
      </c>
      <c r="FV164">
        <v>1.7712399999999999</v>
      </c>
      <c r="FW164">
        <v>2.5878899999999998</v>
      </c>
      <c r="FX164">
        <v>1.5490699999999999</v>
      </c>
      <c r="FY164">
        <v>2.3278799999999999</v>
      </c>
      <c r="FZ164">
        <v>1.50146</v>
      </c>
      <c r="GA164">
        <v>2.34375</v>
      </c>
      <c r="GB164">
        <v>33.941299999999998</v>
      </c>
      <c r="GC164">
        <v>23.982399999999998</v>
      </c>
      <c r="GD164">
        <v>19</v>
      </c>
      <c r="GE164">
        <v>286.46199999999999</v>
      </c>
      <c r="GF164">
        <v>579.45000000000005</v>
      </c>
      <c r="GG164">
        <v>24.557200000000002</v>
      </c>
      <c r="GH164">
        <v>26.189</v>
      </c>
      <c r="GI164">
        <v>29.9999</v>
      </c>
      <c r="GJ164">
        <v>26.328299999999999</v>
      </c>
      <c r="GK164">
        <v>26.310400000000001</v>
      </c>
      <c r="GL164">
        <v>35.401800000000001</v>
      </c>
      <c r="GM164">
        <v>76.170299999999997</v>
      </c>
      <c r="GN164">
        <v>47.022799999999997</v>
      </c>
      <c r="GO164">
        <v>24.5731</v>
      </c>
      <c r="GP164">
        <v>800</v>
      </c>
      <c r="GQ164">
        <v>3.4045100000000001</v>
      </c>
      <c r="GR164">
        <v>99.746899999999997</v>
      </c>
      <c r="GS164">
        <v>99.585899999999995</v>
      </c>
    </row>
    <row r="165" spans="1:201" x14ac:dyDescent="0.25">
      <c r="A165">
        <v>149</v>
      </c>
      <c r="B165">
        <v>1690222535.0999999</v>
      </c>
      <c r="C165">
        <v>1652.599999904633</v>
      </c>
      <c r="D165" t="s">
        <v>629</v>
      </c>
      <c r="E165" t="s">
        <v>630</v>
      </c>
      <c r="F165" t="s">
        <v>330</v>
      </c>
      <c r="H165">
        <v>1690222535.0999999</v>
      </c>
      <c r="I165">
        <f t="shared" si="60"/>
        <v>1.9882354859924144E-3</v>
      </c>
      <c r="J165">
        <f t="shared" si="61"/>
        <v>1.9882354859924145</v>
      </c>
      <c r="K165">
        <f t="shared" si="62"/>
        <v>29.119360381242426</v>
      </c>
      <c r="L165">
        <f t="shared" si="63"/>
        <v>487.36200000000002</v>
      </c>
      <c r="M165">
        <f t="shared" si="64"/>
        <v>139.62482249703496</v>
      </c>
      <c r="N165">
        <f t="shared" si="65"/>
        <v>13.848870927885882</v>
      </c>
      <c r="O165">
        <f t="shared" si="66"/>
        <v>48.339638414219998</v>
      </c>
      <c r="P165">
        <f t="shared" si="67"/>
        <v>0.14101431443262266</v>
      </c>
      <c r="Q165">
        <f t="shared" si="68"/>
        <v>2.1998217788669496</v>
      </c>
      <c r="R165">
        <f t="shared" si="69"/>
        <v>0.13617809765984581</v>
      </c>
      <c r="S165">
        <f t="shared" si="70"/>
        <v>8.5532008166880391E-2</v>
      </c>
      <c r="T165">
        <f t="shared" si="71"/>
        <v>276.11485568999996</v>
      </c>
      <c r="U165">
        <f t="shared" si="72"/>
        <v>27.744818876968875</v>
      </c>
      <c r="V165">
        <f t="shared" si="73"/>
        <v>27.744818876968875</v>
      </c>
      <c r="W165">
        <f t="shared" si="74"/>
        <v>3.7387519581445883</v>
      </c>
      <c r="X165">
        <f t="shared" si="75"/>
        <v>67.994578425457178</v>
      </c>
      <c r="Y165">
        <f t="shared" si="76"/>
        <v>2.3349449237099997</v>
      </c>
      <c r="Z165">
        <f t="shared" si="77"/>
        <v>3.4340163256836904</v>
      </c>
      <c r="AA165">
        <f t="shared" si="78"/>
        <v>1.4038070344345885</v>
      </c>
      <c r="AB165">
        <f t="shared" si="79"/>
        <v>-87.681184932265467</v>
      </c>
      <c r="AC165">
        <f t="shared" si="80"/>
        <v>-171.70667383241204</v>
      </c>
      <c r="AD165">
        <f t="shared" si="81"/>
        <v>-16.848761543791149</v>
      </c>
      <c r="AE165">
        <f t="shared" si="82"/>
        <v>-0.12176461846871689</v>
      </c>
      <c r="AF165">
        <v>0</v>
      </c>
      <c r="AG165">
        <v>0</v>
      </c>
      <c r="AH165">
        <f t="shared" si="83"/>
        <v>1</v>
      </c>
      <c r="AI165">
        <f t="shared" si="84"/>
        <v>0</v>
      </c>
      <c r="AJ165">
        <f t="shared" si="85"/>
        <v>52743.616594482934</v>
      </c>
      <c r="AK165">
        <f t="shared" si="86"/>
        <v>1800</v>
      </c>
      <c r="AL165">
        <f t="shared" si="87"/>
        <v>1499.1111539999999</v>
      </c>
      <c r="AM165">
        <f t="shared" si="88"/>
        <v>0.83283952999999999</v>
      </c>
      <c r="AN165">
        <f t="shared" si="89"/>
        <v>0.15339714204999999</v>
      </c>
      <c r="AO165">
        <v>31.2</v>
      </c>
      <c r="AP165">
        <v>0.5</v>
      </c>
      <c r="AQ165" t="s">
        <v>331</v>
      </c>
      <c r="AR165">
        <v>2</v>
      </c>
      <c r="AS165">
        <v>1690222535.0999999</v>
      </c>
      <c r="AT165">
        <v>487.36200000000002</v>
      </c>
      <c r="AU165">
        <v>800.06299999999999</v>
      </c>
      <c r="AV165">
        <v>23.541</v>
      </c>
      <c r="AW165">
        <v>3.3641800000000002</v>
      </c>
      <c r="AX165">
        <v>487.63400000000001</v>
      </c>
      <c r="AY165">
        <v>23.378299999999999</v>
      </c>
      <c r="AZ165">
        <v>300.209</v>
      </c>
      <c r="BA165">
        <v>99.086299999999994</v>
      </c>
      <c r="BB165">
        <v>0.10001</v>
      </c>
      <c r="BC165">
        <v>26.297000000000001</v>
      </c>
      <c r="BD165">
        <v>27.000399999999999</v>
      </c>
      <c r="BE165">
        <v>27.514399999999998</v>
      </c>
      <c r="BF165">
        <v>0</v>
      </c>
      <c r="BG165">
        <v>0</v>
      </c>
      <c r="BH165">
        <v>10045</v>
      </c>
      <c r="BI165">
        <v>1074.1600000000001</v>
      </c>
      <c r="BJ165">
        <v>1.5137799999999999</v>
      </c>
      <c r="BK165">
        <v>-312.70100000000002</v>
      </c>
      <c r="BL165">
        <v>499.11099999999999</v>
      </c>
      <c r="BM165">
        <v>802.76400000000001</v>
      </c>
      <c r="BN165">
        <v>20.1769</v>
      </c>
      <c r="BO165">
        <v>800.06299999999999</v>
      </c>
      <c r="BP165">
        <v>3.3641800000000002</v>
      </c>
      <c r="BQ165">
        <v>2.3325900000000002</v>
      </c>
      <c r="BR165">
        <v>0.33334399999999997</v>
      </c>
      <c r="BS165">
        <v>19.903300000000002</v>
      </c>
      <c r="BT165">
        <v>-8.1189099999999996</v>
      </c>
      <c r="BU165">
        <v>1800</v>
      </c>
      <c r="BV165">
        <v>0.91000400000000004</v>
      </c>
      <c r="BW165">
        <v>3.4006700000000001E-2</v>
      </c>
      <c r="BX165">
        <v>2.1996499999999999E-2</v>
      </c>
      <c r="BY165">
        <v>3.3992700000000001E-2</v>
      </c>
      <c r="BZ165">
        <v>26</v>
      </c>
      <c r="CA165">
        <v>33528.400000000001</v>
      </c>
      <c r="CB165">
        <v>1690220522.5999999</v>
      </c>
      <c r="CC165" t="s">
        <v>332</v>
      </c>
      <c r="CD165">
        <v>1690220522.5999999</v>
      </c>
      <c r="CE165">
        <v>1690220510.5999999</v>
      </c>
      <c r="CF165">
        <v>10</v>
      </c>
      <c r="CG165">
        <v>-0.22</v>
      </c>
      <c r="CH165">
        <v>-2.7E-2</v>
      </c>
      <c r="CI165">
        <v>-0.49299999999999999</v>
      </c>
      <c r="CJ165">
        <v>0.152</v>
      </c>
      <c r="CK165">
        <v>800</v>
      </c>
      <c r="CL165">
        <v>19</v>
      </c>
      <c r="CM165">
        <v>0.1</v>
      </c>
      <c r="CN165">
        <v>0.03</v>
      </c>
      <c r="CO165">
        <v>-310.75234146341472</v>
      </c>
      <c r="CP165">
        <v>-11.645832752612771</v>
      </c>
      <c r="CQ165">
        <v>1.149280402851429</v>
      </c>
      <c r="CR165">
        <v>-1</v>
      </c>
      <c r="CS165">
        <v>19.98860975609756</v>
      </c>
      <c r="CT165">
        <v>1.049623693379846</v>
      </c>
      <c r="CU165">
        <v>0.1035335336388428</v>
      </c>
      <c r="CV165">
        <v>-1</v>
      </c>
      <c r="CW165">
        <v>0</v>
      </c>
      <c r="CX165">
        <v>0</v>
      </c>
      <c r="CY165" t="s">
        <v>333</v>
      </c>
      <c r="CZ165">
        <v>2.3646099999999999</v>
      </c>
      <c r="DA165">
        <v>2.7138399999999998</v>
      </c>
      <c r="DB165">
        <v>0.103797</v>
      </c>
      <c r="DC165">
        <v>0.146063</v>
      </c>
      <c r="DD165">
        <v>0.112459</v>
      </c>
      <c r="DE165">
        <v>2.4231300000000001E-2</v>
      </c>
      <c r="DF165">
        <v>32726.9</v>
      </c>
      <c r="DG165">
        <v>27524.799999999999</v>
      </c>
      <c r="DH165">
        <v>31174.799999999999</v>
      </c>
      <c r="DI165">
        <v>28086.6</v>
      </c>
      <c r="DJ165">
        <v>37561.699999999997</v>
      </c>
      <c r="DK165">
        <v>38975.800000000003</v>
      </c>
      <c r="DL165">
        <v>44365.9</v>
      </c>
      <c r="DM165">
        <v>42569.8</v>
      </c>
      <c r="DN165">
        <v>1.48485</v>
      </c>
      <c r="DO165">
        <v>2.0323000000000002</v>
      </c>
      <c r="DP165">
        <v>0.110634</v>
      </c>
      <c r="DQ165">
        <v>0.15226000000000001</v>
      </c>
      <c r="DR165">
        <v>25.188500000000001</v>
      </c>
      <c r="DS165">
        <v>25.0214</v>
      </c>
      <c r="DT165">
        <v>40</v>
      </c>
      <c r="DU165">
        <v>29.5</v>
      </c>
      <c r="DV165">
        <v>16.7133</v>
      </c>
      <c r="DW165">
        <v>61.288699999999999</v>
      </c>
      <c r="DX165">
        <v>37.3157</v>
      </c>
      <c r="DY165">
        <v>1</v>
      </c>
      <c r="DZ165">
        <v>-9.5279500000000003E-2</v>
      </c>
      <c r="EA165">
        <v>3.5212400000000001E-3</v>
      </c>
      <c r="EB165">
        <v>20.189699999999998</v>
      </c>
      <c r="EC165">
        <v>5.2416999999999998</v>
      </c>
      <c r="ED165">
        <v>12.039899999999999</v>
      </c>
      <c r="EE165">
        <v>5.0171999999999999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1.8689100000000001</v>
      </c>
      <c r="EL165">
        <v>1.8646400000000001</v>
      </c>
      <c r="EM165">
        <v>1.8692</v>
      </c>
      <c r="EN165">
        <v>1.8672200000000001</v>
      </c>
      <c r="EO165">
        <v>1.8633999999999999</v>
      </c>
      <c r="EP165">
        <v>1.8645400000000001</v>
      </c>
      <c r="EQ165">
        <v>1.87018</v>
      </c>
      <c r="ER165">
        <v>1.8694900000000001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-0.27200000000000002</v>
      </c>
      <c r="FG165">
        <v>0.16270000000000001</v>
      </c>
      <c r="FH165">
        <v>5.8509882529719233E-2</v>
      </c>
      <c r="FI165">
        <v>-6.1462078757559423E-4</v>
      </c>
      <c r="FJ165">
        <v>-1.8861989874597051E-7</v>
      </c>
      <c r="FK165">
        <v>1.1980462299894961E-10</v>
      </c>
      <c r="FL165">
        <v>0.16277811159127681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33.5</v>
      </c>
      <c r="FU165">
        <v>33.700000000000003</v>
      </c>
      <c r="FV165">
        <v>1.7700199999999999</v>
      </c>
      <c r="FW165">
        <v>2.5793499999999998</v>
      </c>
      <c r="FX165">
        <v>1.5490699999999999</v>
      </c>
      <c r="FY165">
        <v>2.3278799999999999</v>
      </c>
      <c r="FZ165">
        <v>1.50146</v>
      </c>
      <c r="GA165">
        <v>2.2863799999999999</v>
      </c>
      <c r="GB165">
        <v>33.941299999999998</v>
      </c>
      <c r="GC165">
        <v>23.982399999999998</v>
      </c>
      <c r="GD165">
        <v>19</v>
      </c>
      <c r="GE165">
        <v>286.47399999999999</v>
      </c>
      <c r="GF165">
        <v>579.47299999999996</v>
      </c>
      <c r="GG165">
        <v>24.572099999999999</v>
      </c>
      <c r="GH165">
        <v>26.189</v>
      </c>
      <c r="GI165">
        <v>29.9998</v>
      </c>
      <c r="GJ165">
        <v>26.3261</v>
      </c>
      <c r="GK165">
        <v>26.308800000000002</v>
      </c>
      <c r="GL165">
        <v>35.398200000000003</v>
      </c>
      <c r="GM165">
        <v>77.024100000000004</v>
      </c>
      <c r="GN165">
        <v>46.273699999999998</v>
      </c>
      <c r="GO165">
        <v>24.582999999999998</v>
      </c>
      <c r="GP165">
        <v>800</v>
      </c>
      <c r="GQ165">
        <v>3.21827</v>
      </c>
      <c r="GR165">
        <v>99.747699999999995</v>
      </c>
      <c r="GS165">
        <v>99.585400000000007</v>
      </c>
    </row>
    <row r="166" spans="1:201" x14ac:dyDescent="0.25">
      <c r="A166">
        <v>150</v>
      </c>
      <c r="B166">
        <v>1690222545.0999999</v>
      </c>
      <c r="C166">
        <v>1662.599999904633</v>
      </c>
      <c r="D166" t="s">
        <v>631</v>
      </c>
      <c r="E166" t="s">
        <v>632</v>
      </c>
      <c r="F166" t="s">
        <v>330</v>
      </c>
      <c r="H166">
        <v>1690222545.0999999</v>
      </c>
      <c r="I166">
        <f t="shared" si="60"/>
        <v>2.0059281405504052E-3</v>
      </c>
      <c r="J166">
        <f t="shared" si="61"/>
        <v>2.005928140550405</v>
      </c>
      <c r="K166">
        <f t="shared" si="62"/>
        <v>29.294073574204276</v>
      </c>
      <c r="L166">
        <f t="shared" si="63"/>
        <v>485.428</v>
      </c>
      <c r="M166">
        <f t="shared" si="64"/>
        <v>138.92495242888958</v>
      </c>
      <c r="N166">
        <f t="shared" si="65"/>
        <v>13.779463512083632</v>
      </c>
      <c r="O166">
        <f t="shared" si="66"/>
        <v>48.1478474298384</v>
      </c>
      <c r="P166">
        <f t="shared" si="67"/>
        <v>0.14242085006154281</v>
      </c>
      <c r="Q166">
        <f t="shared" si="68"/>
        <v>2.1908436515633549</v>
      </c>
      <c r="R166">
        <f t="shared" si="69"/>
        <v>0.13747003750144274</v>
      </c>
      <c r="S166">
        <f t="shared" si="70"/>
        <v>8.6349246745139691E-2</v>
      </c>
      <c r="T166">
        <f t="shared" si="71"/>
        <v>276.11491514399995</v>
      </c>
      <c r="U166">
        <f t="shared" si="72"/>
        <v>27.738513897114142</v>
      </c>
      <c r="V166">
        <f t="shared" si="73"/>
        <v>27.738513897114142</v>
      </c>
      <c r="W166">
        <f t="shared" si="74"/>
        <v>3.7373753573870201</v>
      </c>
      <c r="X166">
        <f t="shared" si="75"/>
        <v>68.000757420940189</v>
      </c>
      <c r="Y166">
        <f t="shared" si="76"/>
        <v>2.3343713564745601</v>
      </c>
      <c r="Z166">
        <f t="shared" si="77"/>
        <v>3.4328608165704235</v>
      </c>
      <c r="AA166">
        <f t="shared" si="78"/>
        <v>1.40300400091246</v>
      </c>
      <c r="AB166">
        <f t="shared" si="79"/>
        <v>-88.461430998272874</v>
      </c>
      <c r="AC166">
        <f t="shared" si="80"/>
        <v>-170.93443195777888</v>
      </c>
      <c r="AD166">
        <f t="shared" si="81"/>
        <v>-16.840710277166156</v>
      </c>
      <c r="AE166">
        <f t="shared" si="82"/>
        <v>-0.12165808921798771</v>
      </c>
      <c r="AF166">
        <v>0</v>
      </c>
      <c r="AG166">
        <v>0</v>
      </c>
      <c r="AH166">
        <f t="shared" si="83"/>
        <v>1</v>
      </c>
      <c r="AI166">
        <f t="shared" si="84"/>
        <v>0</v>
      </c>
      <c r="AJ166">
        <f t="shared" si="85"/>
        <v>52376.447873381498</v>
      </c>
      <c r="AK166">
        <f t="shared" si="86"/>
        <v>1800</v>
      </c>
      <c r="AL166">
        <f t="shared" si="87"/>
        <v>1499.1117264</v>
      </c>
      <c r="AM166">
        <f t="shared" si="88"/>
        <v>0.83283984799999999</v>
      </c>
      <c r="AN166">
        <f t="shared" si="89"/>
        <v>0.15339717507999998</v>
      </c>
      <c r="AO166">
        <v>31.2</v>
      </c>
      <c r="AP166">
        <v>0.5</v>
      </c>
      <c r="AQ166" t="s">
        <v>331</v>
      </c>
      <c r="AR166">
        <v>2</v>
      </c>
      <c r="AS166">
        <v>1690222545.0999999</v>
      </c>
      <c r="AT166">
        <v>485.428</v>
      </c>
      <c r="AU166">
        <v>799.99300000000005</v>
      </c>
      <c r="AV166">
        <v>23.5352</v>
      </c>
      <c r="AW166">
        <v>3.1787800000000002</v>
      </c>
      <c r="AX166">
        <v>485.69900000000001</v>
      </c>
      <c r="AY166">
        <v>23.372399999999999</v>
      </c>
      <c r="AZ166">
        <v>300.20999999999998</v>
      </c>
      <c r="BA166">
        <v>99.086399999999998</v>
      </c>
      <c r="BB166">
        <v>9.9982799999999997E-2</v>
      </c>
      <c r="BC166">
        <v>26.2913</v>
      </c>
      <c r="BD166">
        <v>26.998999999999999</v>
      </c>
      <c r="BE166">
        <v>27.527699999999999</v>
      </c>
      <c r="BF166">
        <v>0</v>
      </c>
      <c r="BG166">
        <v>0</v>
      </c>
      <c r="BH166">
        <v>9971.8799999999992</v>
      </c>
      <c r="BI166">
        <v>1074.1600000000001</v>
      </c>
      <c r="BJ166">
        <v>1.54182</v>
      </c>
      <c r="BK166">
        <v>-314.565</v>
      </c>
      <c r="BL166">
        <v>497.12799999999999</v>
      </c>
      <c r="BM166">
        <v>802.54399999999998</v>
      </c>
      <c r="BN166">
        <v>20.356400000000001</v>
      </c>
      <c r="BO166">
        <v>799.99300000000005</v>
      </c>
      <c r="BP166">
        <v>3.1787800000000002</v>
      </c>
      <c r="BQ166">
        <v>2.33202</v>
      </c>
      <c r="BR166">
        <v>0.31497399999999998</v>
      </c>
      <c r="BS166">
        <v>19.8993</v>
      </c>
      <c r="BT166">
        <v>-8.8453900000000001</v>
      </c>
      <c r="BU166">
        <v>1800</v>
      </c>
      <c r="BV166">
        <v>0.91000499999999995</v>
      </c>
      <c r="BW166">
        <v>3.4006399999999999E-2</v>
      </c>
      <c r="BX166">
        <v>2.1996399999999999E-2</v>
      </c>
      <c r="BY166">
        <v>3.3992399999999999E-2</v>
      </c>
      <c r="BZ166">
        <v>26</v>
      </c>
      <c r="CA166">
        <v>33528.400000000001</v>
      </c>
      <c r="CB166">
        <v>1690220522.5999999</v>
      </c>
      <c r="CC166" t="s">
        <v>332</v>
      </c>
      <c r="CD166">
        <v>1690220522.5999999</v>
      </c>
      <c r="CE166">
        <v>1690220510.5999999</v>
      </c>
      <c r="CF166">
        <v>10</v>
      </c>
      <c r="CG166">
        <v>-0.22</v>
      </c>
      <c r="CH166">
        <v>-2.7E-2</v>
      </c>
      <c r="CI166">
        <v>-0.49299999999999999</v>
      </c>
      <c r="CJ166">
        <v>0.152</v>
      </c>
      <c r="CK166">
        <v>800</v>
      </c>
      <c r="CL166">
        <v>19</v>
      </c>
      <c r="CM166">
        <v>0.1</v>
      </c>
      <c r="CN166">
        <v>0.03</v>
      </c>
      <c r="CO166">
        <v>-312.46597560975607</v>
      </c>
      <c r="CP166">
        <v>-11.04838327526126</v>
      </c>
      <c r="CQ166">
        <v>1.089770539459298</v>
      </c>
      <c r="CR166">
        <v>-1</v>
      </c>
      <c r="CS166">
        <v>20.150248780487811</v>
      </c>
      <c r="CT166">
        <v>1.1163303135888729</v>
      </c>
      <c r="CU166">
        <v>0.1101365895248775</v>
      </c>
      <c r="CV166">
        <v>-1</v>
      </c>
      <c r="CW166">
        <v>0</v>
      </c>
      <c r="CX166">
        <v>0</v>
      </c>
      <c r="CY166" t="s">
        <v>333</v>
      </c>
      <c r="CZ166">
        <v>2.36463</v>
      </c>
      <c r="DA166">
        <v>2.7137500000000001</v>
      </c>
      <c r="DB166">
        <v>0.103495</v>
      </c>
      <c r="DC166">
        <v>0.14605199999999999</v>
      </c>
      <c r="DD166">
        <v>0.11244</v>
      </c>
      <c r="DE166">
        <v>2.3064999999999999E-2</v>
      </c>
      <c r="DF166">
        <v>32738.400000000001</v>
      </c>
      <c r="DG166">
        <v>27525.4</v>
      </c>
      <c r="DH166">
        <v>31175.200000000001</v>
      </c>
      <c r="DI166">
        <v>28087</v>
      </c>
      <c r="DJ166">
        <v>37563</v>
      </c>
      <c r="DK166">
        <v>39023.1</v>
      </c>
      <c r="DL166">
        <v>44366.5</v>
      </c>
      <c r="DM166">
        <v>42570.5</v>
      </c>
      <c r="DN166">
        <v>1.48468</v>
      </c>
      <c r="DO166">
        <v>2.0317699999999999</v>
      </c>
      <c r="DP166">
        <v>0.110805</v>
      </c>
      <c r="DQ166">
        <v>0.153169</v>
      </c>
      <c r="DR166">
        <v>25.184200000000001</v>
      </c>
      <c r="DS166">
        <v>25.0198</v>
      </c>
      <c r="DT166">
        <v>39.6</v>
      </c>
      <c r="DU166">
        <v>29.5</v>
      </c>
      <c r="DV166">
        <v>16.5456</v>
      </c>
      <c r="DW166">
        <v>62.148699999999998</v>
      </c>
      <c r="DX166">
        <v>36.326099999999997</v>
      </c>
      <c r="DY166">
        <v>1</v>
      </c>
      <c r="DZ166">
        <v>-9.5487799999999998E-2</v>
      </c>
      <c r="EA166">
        <v>4.8736399999999999E-2</v>
      </c>
      <c r="EB166">
        <v>20.189499999999999</v>
      </c>
      <c r="EC166">
        <v>5.2413999999999996</v>
      </c>
      <c r="ED166">
        <v>12.039899999999999</v>
      </c>
      <c r="EE166">
        <v>5.0164499999999999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1.86893</v>
      </c>
      <c r="EL166">
        <v>1.86463</v>
      </c>
      <c r="EM166">
        <v>1.8692</v>
      </c>
      <c r="EN166">
        <v>1.8672299999999999</v>
      </c>
      <c r="EO166">
        <v>1.8633999999999999</v>
      </c>
      <c r="EP166">
        <v>1.8645499999999999</v>
      </c>
      <c r="EQ166">
        <v>1.87019</v>
      </c>
      <c r="ER166">
        <v>1.8694299999999999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-0.27100000000000002</v>
      </c>
      <c r="FG166">
        <v>0.1628</v>
      </c>
      <c r="FH166">
        <v>5.8509882529719233E-2</v>
      </c>
      <c r="FI166">
        <v>-6.1462078757559423E-4</v>
      </c>
      <c r="FJ166">
        <v>-1.8861989874597051E-7</v>
      </c>
      <c r="FK166">
        <v>1.1980462299894961E-10</v>
      </c>
      <c r="FL166">
        <v>0.16277811159127681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33.700000000000003</v>
      </c>
      <c r="FU166">
        <v>33.9</v>
      </c>
      <c r="FV166">
        <v>1.7700199999999999</v>
      </c>
      <c r="FW166">
        <v>2.5781200000000002</v>
      </c>
      <c r="FX166">
        <v>1.5490699999999999</v>
      </c>
      <c r="FY166">
        <v>2.3278799999999999</v>
      </c>
      <c r="FZ166">
        <v>1.50146</v>
      </c>
      <c r="GA166">
        <v>2.3864700000000001</v>
      </c>
      <c r="GB166">
        <v>33.941299999999998</v>
      </c>
      <c r="GC166">
        <v>23.991199999999999</v>
      </c>
      <c r="GD166">
        <v>19</v>
      </c>
      <c r="GE166">
        <v>286.399</v>
      </c>
      <c r="GF166">
        <v>579.03499999999997</v>
      </c>
      <c r="GG166">
        <v>24.5806</v>
      </c>
      <c r="GH166">
        <v>26.189</v>
      </c>
      <c r="GI166">
        <v>30.0001</v>
      </c>
      <c r="GJ166">
        <v>26.3261</v>
      </c>
      <c r="GK166">
        <v>26.308199999999999</v>
      </c>
      <c r="GL166">
        <v>35.390500000000003</v>
      </c>
      <c r="GM166">
        <v>77.602599999999995</v>
      </c>
      <c r="GN166">
        <v>45.160499999999999</v>
      </c>
      <c r="GO166">
        <v>24.578800000000001</v>
      </c>
      <c r="GP166">
        <v>800</v>
      </c>
      <c r="GQ166">
        <v>3.0298099999999999</v>
      </c>
      <c r="GR166">
        <v>99.748900000000006</v>
      </c>
      <c r="GS166">
        <v>99.586799999999997</v>
      </c>
    </row>
    <row r="167" spans="1:201" x14ac:dyDescent="0.25">
      <c r="A167">
        <v>151</v>
      </c>
      <c r="B167">
        <v>1690222555.0999999</v>
      </c>
      <c r="C167">
        <v>1672.599999904633</v>
      </c>
      <c r="D167" t="s">
        <v>633</v>
      </c>
      <c r="E167" t="s">
        <v>634</v>
      </c>
      <c r="F167" t="s">
        <v>330</v>
      </c>
      <c r="H167">
        <v>1690222555.0999999</v>
      </c>
      <c r="I167">
        <f t="shared" si="60"/>
        <v>2.0235708942989441E-3</v>
      </c>
      <c r="J167">
        <f t="shared" si="61"/>
        <v>2.0235708942989441</v>
      </c>
      <c r="K167">
        <f t="shared" si="62"/>
        <v>29.472178812341966</v>
      </c>
      <c r="L167">
        <f t="shared" si="63"/>
        <v>483.62200000000001</v>
      </c>
      <c r="M167">
        <f t="shared" si="64"/>
        <v>138.19470564590486</v>
      </c>
      <c r="N167">
        <f t="shared" si="65"/>
        <v>13.707093670242759</v>
      </c>
      <c r="O167">
        <f t="shared" si="66"/>
        <v>47.968929229283994</v>
      </c>
      <c r="P167">
        <f t="shared" si="67"/>
        <v>0.14375869601229599</v>
      </c>
      <c r="Q167">
        <f t="shared" si="68"/>
        <v>2.1961508120634434</v>
      </c>
      <c r="R167">
        <f t="shared" si="69"/>
        <v>0.13872793298876648</v>
      </c>
      <c r="S167">
        <f t="shared" si="70"/>
        <v>8.7142285505245165E-2</v>
      </c>
      <c r="T167">
        <f t="shared" si="71"/>
        <v>276.11468046000005</v>
      </c>
      <c r="U167">
        <f t="shared" si="72"/>
        <v>27.73213491059828</v>
      </c>
      <c r="V167">
        <f t="shared" si="73"/>
        <v>27.73213491059828</v>
      </c>
      <c r="W167">
        <f t="shared" si="74"/>
        <v>3.7359830484620167</v>
      </c>
      <c r="X167">
        <f t="shared" si="75"/>
        <v>67.962662101983739</v>
      </c>
      <c r="Y167">
        <f t="shared" si="76"/>
        <v>2.3334493370075999</v>
      </c>
      <c r="Z167">
        <f t="shared" si="77"/>
        <v>3.4334283926460403</v>
      </c>
      <c r="AA167">
        <f t="shared" si="78"/>
        <v>1.4025337114544167</v>
      </c>
      <c r="AB167">
        <f t="shared" si="79"/>
        <v>-89.239476438583438</v>
      </c>
      <c r="AC167">
        <f t="shared" si="80"/>
        <v>-170.26172652581525</v>
      </c>
      <c r="AD167">
        <f t="shared" si="81"/>
        <v>-16.73359703046582</v>
      </c>
      <c r="AE167">
        <f t="shared" si="82"/>
        <v>-0.12011953486447169</v>
      </c>
      <c r="AF167">
        <v>0</v>
      </c>
      <c r="AG167">
        <v>0</v>
      </c>
      <c r="AH167">
        <f t="shared" si="83"/>
        <v>1</v>
      </c>
      <c r="AI167">
        <f t="shared" si="84"/>
        <v>0</v>
      </c>
      <c r="AJ167">
        <f t="shared" si="85"/>
        <v>52593.412076047731</v>
      </c>
      <c r="AK167">
        <f t="shared" si="86"/>
        <v>1800</v>
      </c>
      <c r="AL167">
        <f t="shared" si="87"/>
        <v>1499.111046</v>
      </c>
      <c r="AM167">
        <f t="shared" si="88"/>
        <v>0.83283947000000003</v>
      </c>
      <c r="AN167">
        <f t="shared" si="89"/>
        <v>0.15339704470000001</v>
      </c>
      <c r="AO167">
        <v>31.2</v>
      </c>
      <c r="AP167">
        <v>0.5</v>
      </c>
      <c r="AQ167" t="s">
        <v>331</v>
      </c>
      <c r="AR167">
        <v>2</v>
      </c>
      <c r="AS167">
        <v>1690222555.0999999</v>
      </c>
      <c r="AT167">
        <v>483.62200000000001</v>
      </c>
      <c r="AU167">
        <v>800.10799999999995</v>
      </c>
      <c r="AV167">
        <v>23.5258</v>
      </c>
      <c r="AW167">
        <v>2.9889100000000002</v>
      </c>
      <c r="AX167">
        <v>483.89100000000002</v>
      </c>
      <c r="AY167">
        <v>23.363099999999999</v>
      </c>
      <c r="AZ167">
        <v>300.19200000000001</v>
      </c>
      <c r="BA167">
        <v>99.086799999999997</v>
      </c>
      <c r="BB167">
        <v>0.100022</v>
      </c>
      <c r="BC167">
        <v>26.2941</v>
      </c>
      <c r="BD167">
        <v>26.985399999999998</v>
      </c>
      <c r="BE167">
        <v>27.528500000000001</v>
      </c>
      <c r="BF167">
        <v>0</v>
      </c>
      <c r="BG167">
        <v>0</v>
      </c>
      <c r="BH167">
        <v>10015</v>
      </c>
      <c r="BI167">
        <v>1074.2</v>
      </c>
      <c r="BJ167">
        <v>1.5137799999999999</v>
      </c>
      <c r="BK167">
        <v>-316.48700000000002</v>
      </c>
      <c r="BL167">
        <v>495.27300000000002</v>
      </c>
      <c r="BM167">
        <v>802.50699999999995</v>
      </c>
      <c r="BN167">
        <v>20.536899999999999</v>
      </c>
      <c r="BO167">
        <v>800.10799999999995</v>
      </c>
      <c r="BP167">
        <v>2.9889100000000002</v>
      </c>
      <c r="BQ167">
        <v>2.3311000000000002</v>
      </c>
      <c r="BR167">
        <v>0.29616100000000001</v>
      </c>
      <c r="BS167">
        <v>19.892900000000001</v>
      </c>
      <c r="BT167">
        <v>-9.6295500000000001</v>
      </c>
      <c r="BU167">
        <v>1800</v>
      </c>
      <c r="BV167">
        <v>0.91000599999999998</v>
      </c>
      <c r="BW167">
        <v>3.4005800000000003E-2</v>
      </c>
      <c r="BX167">
        <v>2.1996000000000002E-2</v>
      </c>
      <c r="BY167">
        <v>3.3991800000000003E-2</v>
      </c>
      <c r="BZ167">
        <v>26</v>
      </c>
      <c r="CA167">
        <v>33528.5</v>
      </c>
      <c r="CB167">
        <v>1690220522.5999999</v>
      </c>
      <c r="CC167" t="s">
        <v>332</v>
      </c>
      <c r="CD167">
        <v>1690220522.5999999</v>
      </c>
      <c r="CE167">
        <v>1690220510.5999999</v>
      </c>
      <c r="CF167">
        <v>10</v>
      </c>
      <c r="CG167">
        <v>-0.22</v>
      </c>
      <c r="CH167">
        <v>-2.7E-2</v>
      </c>
      <c r="CI167">
        <v>-0.49299999999999999</v>
      </c>
      <c r="CJ167">
        <v>0.152</v>
      </c>
      <c r="CK167">
        <v>800</v>
      </c>
      <c r="CL167">
        <v>19</v>
      </c>
      <c r="CM167">
        <v>0.1</v>
      </c>
      <c r="CN167">
        <v>0.03</v>
      </c>
      <c r="CO167">
        <v>-314.3482195121951</v>
      </c>
      <c r="CP167">
        <v>-11.67967944250805</v>
      </c>
      <c r="CQ167">
        <v>1.152679053594224</v>
      </c>
      <c r="CR167">
        <v>-1</v>
      </c>
      <c r="CS167">
        <v>20.33237317073171</v>
      </c>
      <c r="CT167">
        <v>1.080896864111464</v>
      </c>
      <c r="CU167">
        <v>0.10668124626465809</v>
      </c>
      <c r="CV167">
        <v>-1</v>
      </c>
      <c r="CW167">
        <v>0</v>
      </c>
      <c r="CX167">
        <v>0</v>
      </c>
      <c r="CY167" t="s">
        <v>333</v>
      </c>
      <c r="CZ167">
        <v>2.3645499999999999</v>
      </c>
      <c r="DA167">
        <v>2.7138300000000002</v>
      </c>
      <c r="DB167">
        <v>0.103212</v>
      </c>
      <c r="DC167">
        <v>0.146063</v>
      </c>
      <c r="DD167">
        <v>0.112409</v>
      </c>
      <c r="DE167">
        <v>2.1854800000000001E-2</v>
      </c>
      <c r="DF167">
        <v>32748.400000000001</v>
      </c>
      <c r="DG167">
        <v>27524.9</v>
      </c>
      <c r="DH167">
        <v>31174.799999999999</v>
      </c>
      <c r="DI167">
        <v>28086.799999999999</v>
      </c>
      <c r="DJ167">
        <v>37563.9</v>
      </c>
      <c r="DK167">
        <v>39071.1</v>
      </c>
      <c r="DL167">
        <v>44366.1</v>
      </c>
      <c r="DM167">
        <v>42569.9</v>
      </c>
      <c r="DN167">
        <v>1.48482</v>
      </c>
      <c r="DO167">
        <v>2.0313699999999999</v>
      </c>
      <c r="DP167">
        <v>0.11029799999999999</v>
      </c>
      <c r="DQ167">
        <v>0.15337799999999999</v>
      </c>
      <c r="DR167">
        <v>25.178899999999999</v>
      </c>
      <c r="DS167">
        <v>25.017199999999999</v>
      </c>
      <c r="DT167">
        <v>39.1</v>
      </c>
      <c r="DU167">
        <v>29.5</v>
      </c>
      <c r="DV167">
        <v>16.336600000000001</v>
      </c>
      <c r="DW167">
        <v>61.5687</v>
      </c>
      <c r="DX167">
        <v>36.350200000000001</v>
      </c>
      <c r="DY167">
        <v>1</v>
      </c>
      <c r="DZ167">
        <v>-9.5294699999999996E-2</v>
      </c>
      <c r="EA167">
        <v>2.01117E-2</v>
      </c>
      <c r="EB167">
        <v>20.189599999999999</v>
      </c>
      <c r="EC167">
        <v>5.24125</v>
      </c>
      <c r="ED167">
        <v>12.039899999999999</v>
      </c>
      <c r="EE167">
        <v>5.0177500000000004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1.8689100000000001</v>
      </c>
      <c r="EL167">
        <v>1.8646400000000001</v>
      </c>
      <c r="EM167">
        <v>1.8692</v>
      </c>
      <c r="EN167">
        <v>1.86724</v>
      </c>
      <c r="EO167">
        <v>1.8633999999999999</v>
      </c>
      <c r="EP167">
        <v>1.8645499999999999</v>
      </c>
      <c r="EQ167">
        <v>1.87018</v>
      </c>
      <c r="ER167">
        <v>1.86944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-0.26900000000000002</v>
      </c>
      <c r="FG167">
        <v>0.16270000000000001</v>
      </c>
      <c r="FH167">
        <v>5.8509882529719233E-2</v>
      </c>
      <c r="FI167">
        <v>-6.1462078757559423E-4</v>
      </c>
      <c r="FJ167">
        <v>-1.8861989874597051E-7</v>
      </c>
      <c r="FK167">
        <v>1.1980462299894961E-10</v>
      </c>
      <c r="FL167">
        <v>0.16277811159127681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33.9</v>
      </c>
      <c r="FU167">
        <v>34.1</v>
      </c>
      <c r="FV167">
        <v>1.7700199999999999</v>
      </c>
      <c r="FW167">
        <v>2.5830099999999998</v>
      </c>
      <c r="FX167">
        <v>1.5490699999999999</v>
      </c>
      <c r="FY167">
        <v>2.3278799999999999</v>
      </c>
      <c r="FZ167">
        <v>1.50146</v>
      </c>
      <c r="GA167">
        <v>2.3828100000000001</v>
      </c>
      <c r="GB167">
        <v>33.941299999999998</v>
      </c>
      <c r="GC167">
        <v>23.982399999999998</v>
      </c>
      <c r="GD167">
        <v>19</v>
      </c>
      <c r="GE167">
        <v>286.45299999999997</v>
      </c>
      <c r="GF167">
        <v>578.68200000000002</v>
      </c>
      <c r="GG167">
        <v>24.582699999999999</v>
      </c>
      <c r="GH167">
        <v>26.186800000000002</v>
      </c>
      <c r="GI167">
        <v>30.0002</v>
      </c>
      <c r="GJ167">
        <v>26.323899999999998</v>
      </c>
      <c r="GK167">
        <v>26.306000000000001</v>
      </c>
      <c r="GL167">
        <v>35.386099999999999</v>
      </c>
      <c r="GM167">
        <v>78.438800000000001</v>
      </c>
      <c r="GN167">
        <v>44.418700000000001</v>
      </c>
      <c r="GO167">
        <v>24.5916</v>
      </c>
      <c r="GP167">
        <v>800</v>
      </c>
      <c r="GQ167">
        <v>2.8485299999999998</v>
      </c>
      <c r="GR167">
        <v>99.747900000000001</v>
      </c>
      <c r="GS167">
        <v>99.585800000000006</v>
      </c>
    </row>
    <row r="168" spans="1:201" x14ac:dyDescent="0.25">
      <c r="A168">
        <v>152</v>
      </c>
      <c r="B168">
        <v>1690222565.0999999</v>
      </c>
      <c r="C168">
        <v>1682.599999904633</v>
      </c>
      <c r="D168" t="s">
        <v>635</v>
      </c>
      <c r="E168" t="s">
        <v>636</v>
      </c>
      <c r="F168" t="s">
        <v>330</v>
      </c>
      <c r="H168">
        <v>1690222565.0999999</v>
      </c>
      <c r="I168">
        <f t="shared" si="60"/>
        <v>2.0392616763632966E-3</v>
      </c>
      <c r="J168">
        <f t="shared" si="61"/>
        <v>2.0392616763632967</v>
      </c>
      <c r="K168">
        <f t="shared" si="62"/>
        <v>29.625460811744563</v>
      </c>
      <c r="L168">
        <f t="shared" si="63"/>
        <v>481.86700000000002</v>
      </c>
      <c r="M168">
        <f t="shared" si="64"/>
        <v>137.63791808413245</v>
      </c>
      <c r="N168">
        <f t="shared" si="65"/>
        <v>13.652462414905466</v>
      </c>
      <c r="O168">
        <f t="shared" si="66"/>
        <v>47.796938503981004</v>
      </c>
      <c r="P168">
        <f t="shared" si="67"/>
        <v>0.14504607654241125</v>
      </c>
      <c r="Q168">
        <f t="shared" si="68"/>
        <v>2.1955166760530007</v>
      </c>
      <c r="R168">
        <f t="shared" si="69"/>
        <v>0.13992511131809746</v>
      </c>
      <c r="S168">
        <f t="shared" si="70"/>
        <v>8.7898230336109232E-2</v>
      </c>
      <c r="T168">
        <f t="shared" si="71"/>
        <v>276.11485457399999</v>
      </c>
      <c r="U168">
        <f t="shared" si="72"/>
        <v>27.722993859422978</v>
      </c>
      <c r="V168">
        <f t="shared" si="73"/>
        <v>27.722993859422978</v>
      </c>
      <c r="W168">
        <f t="shared" si="74"/>
        <v>3.7339886667211362</v>
      </c>
      <c r="X168">
        <f t="shared" si="75"/>
        <v>67.954449314119216</v>
      </c>
      <c r="Y168">
        <f t="shared" si="76"/>
        <v>2.3325888379022999</v>
      </c>
      <c r="Z168">
        <f t="shared" si="77"/>
        <v>3.4325770592590867</v>
      </c>
      <c r="AA168">
        <f t="shared" si="78"/>
        <v>1.4013998288188363</v>
      </c>
      <c r="AB168">
        <f t="shared" si="79"/>
        <v>-89.931439927621383</v>
      </c>
      <c r="AC168">
        <f t="shared" si="80"/>
        <v>-169.62771763339376</v>
      </c>
      <c r="AD168">
        <f t="shared" si="81"/>
        <v>-16.674987856010052</v>
      </c>
      <c r="AE168">
        <f t="shared" si="82"/>
        <v>-0.11929084302519755</v>
      </c>
      <c r="AF168">
        <v>0</v>
      </c>
      <c r="AG168">
        <v>0</v>
      </c>
      <c r="AH168">
        <f t="shared" si="83"/>
        <v>1</v>
      </c>
      <c r="AI168">
        <f t="shared" si="84"/>
        <v>0</v>
      </c>
      <c r="AJ168">
        <f t="shared" si="85"/>
        <v>52568.233004554742</v>
      </c>
      <c r="AK168">
        <f t="shared" si="86"/>
        <v>1800</v>
      </c>
      <c r="AL168">
        <f t="shared" si="87"/>
        <v>1499.1121404</v>
      </c>
      <c r="AM168">
        <f t="shared" si="88"/>
        <v>0.83284007800000004</v>
      </c>
      <c r="AN168">
        <f t="shared" si="89"/>
        <v>0.15339714142999999</v>
      </c>
      <c r="AO168">
        <v>31.2</v>
      </c>
      <c r="AP168">
        <v>0.5</v>
      </c>
      <c r="AQ168" t="s">
        <v>331</v>
      </c>
      <c r="AR168">
        <v>2</v>
      </c>
      <c r="AS168">
        <v>1690222565.0999999</v>
      </c>
      <c r="AT168">
        <v>481.86700000000002</v>
      </c>
      <c r="AU168">
        <v>800.02700000000004</v>
      </c>
      <c r="AV168">
        <v>23.516100000000002</v>
      </c>
      <c r="AW168">
        <v>2.8172100000000002</v>
      </c>
      <c r="AX168">
        <v>482.13499999999999</v>
      </c>
      <c r="AY168">
        <v>23.353300000000001</v>
      </c>
      <c r="AZ168">
        <v>300.15499999999997</v>
      </c>
      <c r="BA168">
        <v>99.091099999999997</v>
      </c>
      <c r="BB168">
        <v>0.10004300000000001</v>
      </c>
      <c r="BC168">
        <v>26.289899999999999</v>
      </c>
      <c r="BD168">
        <v>26.9819</v>
      </c>
      <c r="BE168">
        <v>27.512899999999998</v>
      </c>
      <c r="BF168">
        <v>0</v>
      </c>
      <c r="BG168">
        <v>0</v>
      </c>
      <c r="BH168">
        <v>10009.4</v>
      </c>
      <c r="BI168">
        <v>1074.32</v>
      </c>
      <c r="BJ168">
        <v>1.4857499999999999</v>
      </c>
      <c r="BK168">
        <v>-318.16000000000003</v>
      </c>
      <c r="BL168">
        <v>493.47199999999998</v>
      </c>
      <c r="BM168">
        <v>802.28700000000003</v>
      </c>
      <c r="BN168">
        <v>20.698899999999998</v>
      </c>
      <c r="BO168">
        <v>800.02700000000004</v>
      </c>
      <c r="BP168">
        <v>2.8172100000000002</v>
      </c>
      <c r="BQ168">
        <v>2.3302399999999999</v>
      </c>
      <c r="BR168">
        <v>0.27916000000000002</v>
      </c>
      <c r="BS168">
        <v>19.887</v>
      </c>
      <c r="BT168">
        <v>-10.3773</v>
      </c>
      <c r="BU168">
        <v>1800</v>
      </c>
      <c r="BV168">
        <v>0.91000700000000001</v>
      </c>
      <c r="BW168">
        <v>3.40057E-2</v>
      </c>
      <c r="BX168">
        <v>2.1995899999999999E-2</v>
      </c>
      <c r="BY168">
        <v>3.39917E-2</v>
      </c>
      <c r="BZ168">
        <v>26</v>
      </c>
      <c r="CA168">
        <v>33528.5</v>
      </c>
      <c r="CB168">
        <v>1690220522.5999999</v>
      </c>
      <c r="CC168" t="s">
        <v>332</v>
      </c>
      <c r="CD168">
        <v>1690220522.5999999</v>
      </c>
      <c r="CE168">
        <v>1690220510.5999999</v>
      </c>
      <c r="CF168">
        <v>10</v>
      </c>
      <c r="CG168">
        <v>-0.22</v>
      </c>
      <c r="CH168">
        <v>-2.7E-2</v>
      </c>
      <c r="CI168">
        <v>-0.49299999999999999</v>
      </c>
      <c r="CJ168">
        <v>0.152</v>
      </c>
      <c r="CK168">
        <v>800</v>
      </c>
      <c r="CL168">
        <v>19</v>
      </c>
      <c r="CM168">
        <v>0.1</v>
      </c>
      <c r="CN168">
        <v>0.03</v>
      </c>
      <c r="CO168">
        <v>-316.31245000000001</v>
      </c>
      <c r="CP168">
        <v>-10.337988742963621</v>
      </c>
      <c r="CQ168">
        <v>0.99704317734991132</v>
      </c>
      <c r="CR168">
        <v>-1</v>
      </c>
      <c r="CS168">
        <v>20.517659999999999</v>
      </c>
      <c r="CT168">
        <v>0.98791069418382349</v>
      </c>
      <c r="CU168">
        <v>9.5155811173043961E-2</v>
      </c>
      <c r="CV168">
        <v>-1</v>
      </c>
      <c r="CW168">
        <v>0</v>
      </c>
      <c r="CX168">
        <v>0</v>
      </c>
      <c r="CY168" t="s">
        <v>333</v>
      </c>
      <c r="CZ168">
        <v>2.3644799999999999</v>
      </c>
      <c r="DA168">
        <v>2.7138399999999998</v>
      </c>
      <c r="DB168">
        <v>0.102941</v>
      </c>
      <c r="DC168">
        <v>0.14605699999999999</v>
      </c>
      <c r="DD168">
        <v>0.11238099999999999</v>
      </c>
      <c r="DE168">
        <v>2.07472E-2</v>
      </c>
      <c r="DF168">
        <v>32758.3</v>
      </c>
      <c r="DG168">
        <v>27525.1</v>
      </c>
      <c r="DH168">
        <v>31174.9</v>
      </c>
      <c r="DI168">
        <v>28086.799999999999</v>
      </c>
      <c r="DJ168">
        <v>37565.1</v>
      </c>
      <c r="DK168">
        <v>39115.300000000003</v>
      </c>
      <c r="DL168">
        <v>44366.2</v>
      </c>
      <c r="DM168">
        <v>42569.7</v>
      </c>
      <c r="DN168">
        <v>1.4850699999999999</v>
      </c>
      <c r="DO168">
        <v>2.0312999999999999</v>
      </c>
      <c r="DP168">
        <v>0.110306</v>
      </c>
      <c r="DQ168">
        <v>0.15267700000000001</v>
      </c>
      <c r="DR168">
        <v>25.1752</v>
      </c>
      <c r="DS168">
        <v>25.013000000000002</v>
      </c>
      <c r="DT168">
        <v>38.700000000000003</v>
      </c>
      <c r="DU168">
        <v>29.5</v>
      </c>
      <c r="DV168">
        <v>16.166599999999999</v>
      </c>
      <c r="DW168">
        <v>61.348700000000001</v>
      </c>
      <c r="DX168">
        <v>37.339700000000001</v>
      </c>
      <c r="DY168">
        <v>1</v>
      </c>
      <c r="DZ168">
        <v>-9.5416699999999993E-2</v>
      </c>
      <c r="EA168">
        <v>-7.2709700000000002E-2</v>
      </c>
      <c r="EB168">
        <v>20.189599999999999</v>
      </c>
      <c r="EC168">
        <v>5.2413999999999996</v>
      </c>
      <c r="ED168">
        <v>12.039899999999999</v>
      </c>
      <c r="EE168">
        <v>5.0172999999999996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1.8689100000000001</v>
      </c>
      <c r="EL168">
        <v>1.86463</v>
      </c>
      <c r="EM168">
        <v>1.8691899999999999</v>
      </c>
      <c r="EN168">
        <v>1.8672299999999999</v>
      </c>
      <c r="EO168">
        <v>1.8633999999999999</v>
      </c>
      <c r="EP168">
        <v>1.8645499999999999</v>
      </c>
      <c r="EQ168">
        <v>1.8701700000000001</v>
      </c>
      <c r="ER168">
        <v>1.8694299999999999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-0.26800000000000002</v>
      </c>
      <c r="FG168">
        <v>0.1628</v>
      </c>
      <c r="FH168">
        <v>5.8509882529719233E-2</v>
      </c>
      <c r="FI168">
        <v>-6.1462078757559423E-4</v>
      </c>
      <c r="FJ168">
        <v>-1.8861989874597051E-7</v>
      </c>
      <c r="FK168">
        <v>1.1980462299894961E-10</v>
      </c>
      <c r="FL168">
        <v>0.16277811159127681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34</v>
      </c>
      <c r="FU168">
        <v>34.200000000000003</v>
      </c>
      <c r="FV168">
        <v>1.7700199999999999</v>
      </c>
      <c r="FW168">
        <v>2.5866699999999998</v>
      </c>
      <c r="FX168">
        <v>1.5490699999999999</v>
      </c>
      <c r="FY168">
        <v>2.32666</v>
      </c>
      <c r="FZ168">
        <v>1.50146</v>
      </c>
      <c r="GA168">
        <v>2.3168899999999999</v>
      </c>
      <c r="GB168">
        <v>33.941299999999998</v>
      </c>
      <c r="GC168">
        <v>23.982399999999998</v>
      </c>
      <c r="GD168">
        <v>19</v>
      </c>
      <c r="GE168">
        <v>286.56099999999998</v>
      </c>
      <c r="GF168">
        <v>578.61500000000001</v>
      </c>
      <c r="GG168">
        <v>24.609000000000002</v>
      </c>
      <c r="GH168">
        <v>26.186800000000002</v>
      </c>
      <c r="GI168">
        <v>30.0002</v>
      </c>
      <c r="GJ168">
        <v>26.323899999999998</v>
      </c>
      <c r="GK168">
        <v>26.305499999999999</v>
      </c>
      <c r="GL168">
        <v>35.386000000000003</v>
      </c>
      <c r="GM168">
        <v>79.286600000000007</v>
      </c>
      <c r="GN168">
        <v>43.6357</v>
      </c>
      <c r="GO168">
        <v>24.631699999999999</v>
      </c>
      <c r="GP168">
        <v>800</v>
      </c>
      <c r="GQ168">
        <v>2.6663700000000001</v>
      </c>
      <c r="GR168">
        <v>99.748099999999994</v>
      </c>
      <c r="GS168">
        <v>99.585499999999996</v>
      </c>
    </row>
    <row r="169" spans="1:201" x14ac:dyDescent="0.25">
      <c r="A169">
        <v>153</v>
      </c>
      <c r="B169">
        <v>1690222575.0999999</v>
      </c>
      <c r="C169">
        <v>1692.599999904633</v>
      </c>
      <c r="D169" t="s">
        <v>637</v>
      </c>
      <c r="E169" t="s">
        <v>638</v>
      </c>
      <c r="F169" t="s">
        <v>330</v>
      </c>
      <c r="H169">
        <v>1690222575.0999999</v>
      </c>
      <c r="I169">
        <f t="shared" si="60"/>
        <v>2.0554471317341806E-3</v>
      </c>
      <c r="J169">
        <f t="shared" si="61"/>
        <v>2.0554471317341805</v>
      </c>
      <c r="K169">
        <f t="shared" si="62"/>
        <v>29.771924592010841</v>
      </c>
      <c r="L169">
        <f t="shared" si="63"/>
        <v>480.315</v>
      </c>
      <c r="M169">
        <f t="shared" si="64"/>
        <v>137.00893766273256</v>
      </c>
      <c r="N169">
        <f t="shared" si="65"/>
        <v>13.589575895145625</v>
      </c>
      <c r="O169">
        <f t="shared" si="66"/>
        <v>47.641250690846995</v>
      </c>
      <c r="P169">
        <f t="shared" si="67"/>
        <v>0.14618708059451019</v>
      </c>
      <c r="Q169">
        <f t="shared" si="68"/>
        <v>2.1960870942205029</v>
      </c>
      <c r="R169">
        <f t="shared" si="69"/>
        <v>0.14098808339147839</v>
      </c>
      <c r="S169">
        <f t="shared" si="70"/>
        <v>8.8569257249670033E-2</v>
      </c>
      <c r="T169">
        <f t="shared" si="71"/>
        <v>276.11473778999999</v>
      </c>
      <c r="U169">
        <f t="shared" si="72"/>
        <v>27.720756430554228</v>
      </c>
      <c r="V169">
        <f t="shared" si="73"/>
        <v>27.720756430554228</v>
      </c>
      <c r="W169">
        <f t="shared" si="74"/>
        <v>3.7335006491717704</v>
      </c>
      <c r="X169">
        <f t="shared" si="75"/>
        <v>67.913253303125558</v>
      </c>
      <c r="Y169">
        <f t="shared" si="76"/>
        <v>2.3316703181562599</v>
      </c>
      <c r="Z169">
        <f t="shared" si="77"/>
        <v>3.4333067623031246</v>
      </c>
      <c r="AA169">
        <f t="shared" si="78"/>
        <v>1.4018303310155105</v>
      </c>
      <c r="AB169">
        <f t="shared" si="79"/>
        <v>-90.64521850947736</v>
      </c>
      <c r="AC169">
        <f t="shared" si="80"/>
        <v>-168.98066368370047</v>
      </c>
      <c r="AD169">
        <f t="shared" si="81"/>
        <v>-16.607177907672348</v>
      </c>
      <c r="AE169">
        <f t="shared" si="82"/>
        <v>-0.11832231085017497</v>
      </c>
      <c r="AF169">
        <v>0</v>
      </c>
      <c r="AG169">
        <v>0</v>
      </c>
      <c r="AH169">
        <f t="shared" si="83"/>
        <v>1</v>
      </c>
      <c r="AI169">
        <f t="shared" si="84"/>
        <v>0</v>
      </c>
      <c r="AJ169">
        <f t="shared" si="85"/>
        <v>52590.921123617147</v>
      </c>
      <c r="AK169">
        <f t="shared" si="86"/>
        <v>1800</v>
      </c>
      <c r="AL169">
        <f t="shared" si="87"/>
        <v>1499.1113070000001</v>
      </c>
      <c r="AM169">
        <f t="shared" si="88"/>
        <v>0.83283961500000003</v>
      </c>
      <c r="AN169">
        <f t="shared" si="89"/>
        <v>0.15339707655000001</v>
      </c>
      <c r="AO169">
        <v>31.2</v>
      </c>
      <c r="AP169">
        <v>0.5</v>
      </c>
      <c r="AQ169" t="s">
        <v>331</v>
      </c>
      <c r="AR169">
        <v>2</v>
      </c>
      <c r="AS169">
        <v>1690222575.0999999</v>
      </c>
      <c r="AT169">
        <v>480.315</v>
      </c>
      <c r="AU169">
        <v>800.05600000000004</v>
      </c>
      <c r="AV169">
        <v>23.5077</v>
      </c>
      <c r="AW169">
        <v>2.6436500000000001</v>
      </c>
      <c r="AX169">
        <v>480.58199999999999</v>
      </c>
      <c r="AY169">
        <v>23.344899999999999</v>
      </c>
      <c r="AZ169">
        <v>300.14499999999998</v>
      </c>
      <c r="BA169">
        <v>99.087599999999995</v>
      </c>
      <c r="BB169">
        <v>9.9913799999999997E-2</v>
      </c>
      <c r="BC169">
        <v>26.293500000000002</v>
      </c>
      <c r="BD169">
        <v>27.018699999999999</v>
      </c>
      <c r="BE169">
        <v>27.497900000000001</v>
      </c>
      <c r="BF169">
        <v>0</v>
      </c>
      <c r="BG169">
        <v>0</v>
      </c>
      <c r="BH169">
        <v>10014.4</v>
      </c>
      <c r="BI169">
        <v>1074.44</v>
      </c>
      <c r="BJ169">
        <v>1.4577199999999999</v>
      </c>
      <c r="BK169">
        <v>-319.74099999999999</v>
      </c>
      <c r="BL169">
        <v>491.87799999999999</v>
      </c>
      <c r="BM169">
        <v>802.17700000000002</v>
      </c>
      <c r="BN169">
        <v>20.864100000000001</v>
      </c>
      <c r="BO169">
        <v>800.05600000000004</v>
      </c>
      <c r="BP169">
        <v>2.6436500000000001</v>
      </c>
      <c r="BQ169">
        <v>2.3293200000000001</v>
      </c>
      <c r="BR169">
        <v>0.26195299999999999</v>
      </c>
      <c r="BS169">
        <v>19.880600000000001</v>
      </c>
      <c r="BT169">
        <v>-11.176600000000001</v>
      </c>
      <c r="BU169">
        <v>1800</v>
      </c>
      <c r="BV169">
        <v>0.91000599999999998</v>
      </c>
      <c r="BW169">
        <v>3.4005899999999999E-2</v>
      </c>
      <c r="BX169">
        <v>2.1996000000000002E-2</v>
      </c>
      <c r="BY169">
        <v>3.3991899999999999E-2</v>
      </c>
      <c r="BZ169">
        <v>26</v>
      </c>
      <c r="CA169">
        <v>33528.400000000001</v>
      </c>
      <c r="CB169">
        <v>1690220522.5999999</v>
      </c>
      <c r="CC169" t="s">
        <v>332</v>
      </c>
      <c r="CD169">
        <v>1690220522.5999999</v>
      </c>
      <c r="CE169">
        <v>1690220510.5999999</v>
      </c>
      <c r="CF169">
        <v>10</v>
      </c>
      <c r="CG169">
        <v>-0.22</v>
      </c>
      <c r="CH169">
        <v>-2.7E-2</v>
      </c>
      <c r="CI169">
        <v>-0.49299999999999999</v>
      </c>
      <c r="CJ169">
        <v>0.152</v>
      </c>
      <c r="CK169">
        <v>800</v>
      </c>
      <c r="CL169">
        <v>19</v>
      </c>
      <c r="CM169">
        <v>0.1</v>
      </c>
      <c r="CN169">
        <v>0.03</v>
      </c>
      <c r="CO169">
        <v>-317.89626829268292</v>
      </c>
      <c r="CP169">
        <v>-10.216118466898831</v>
      </c>
      <c r="CQ169">
        <v>1.007881308933293</v>
      </c>
      <c r="CR169">
        <v>-1</v>
      </c>
      <c r="CS169">
        <v>20.674439024390239</v>
      </c>
      <c r="CT169">
        <v>1.020957491289187</v>
      </c>
      <c r="CU169">
        <v>0.1008232959870005</v>
      </c>
      <c r="CV169">
        <v>-1</v>
      </c>
      <c r="CW169">
        <v>0</v>
      </c>
      <c r="CX169">
        <v>0</v>
      </c>
      <c r="CY169" t="s">
        <v>333</v>
      </c>
      <c r="CZ169">
        <v>2.3644500000000002</v>
      </c>
      <c r="DA169">
        <v>2.7137199999999999</v>
      </c>
      <c r="DB169">
        <v>0.10269300000000001</v>
      </c>
      <c r="DC169">
        <v>0.14605199999999999</v>
      </c>
      <c r="DD169">
        <v>0.112349</v>
      </c>
      <c r="DE169">
        <v>1.96116E-2</v>
      </c>
      <c r="DF169">
        <v>32768.1</v>
      </c>
      <c r="DG169">
        <v>27525.3</v>
      </c>
      <c r="DH169">
        <v>31175.5</v>
      </c>
      <c r="DI169">
        <v>28086.9</v>
      </c>
      <c r="DJ169">
        <v>37567.4</v>
      </c>
      <c r="DK169">
        <v>39161</v>
      </c>
      <c r="DL169">
        <v>44367.199999999997</v>
      </c>
      <c r="DM169">
        <v>42570</v>
      </c>
      <c r="DN169">
        <v>1.4847699999999999</v>
      </c>
      <c r="DO169">
        <v>2.0309300000000001</v>
      </c>
      <c r="DP169">
        <v>0.112854</v>
      </c>
      <c r="DQ169">
        <v>0.15205099999999999</v>
      </c>
      <c r="DR169">
        <v>25.170400000000001</v>
      </c>
      <c r="DS169">
        <v>25.008299999999998</v>
      </c>
      <c r="DT169">
        <v>38.299999999999997</v>
      </c>
      <c r="DU169">
        <v>29.5</v>
      </c>
      <c r="DV169">
        <v>16.000599999999999</v>
      </c>
      <c r="DW169">
        <v>61.488700000000001</v>
      </c>
      <c r="DX169">
        <v>37.552100000000003</v>
      </c>
      <c r="DY169">
        <v>1</v>
      </c>
      <c r="DZ169">
        <v>-9.5602099999999995E-2</v>
      </c>
      <c r="EA169">
        <v>-5.1742900000000001E-2</v>
      </c>
      <c r="EB169">
        <v>20.189499999999999</v>
      </c>
      <c r="EC169">
        <v>5.2408000000000001</v>
      </c>
      <c r="ED169">
        <v>12.039899999999999</v>
      </c>
      <c r="EE169">
        <v>5.0172499999999998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1.8689100000000001</v>
      </c>
      <c r="EL169">
        <v>1.8646499999999999</v>
      </c>
      <c r="EM169">
        <v>1.8691800000000001</v>
      </c>
      <c r="EN169">
        <v>1.8672299999999999</v>
      </c>
      <c r="EO169">
        <v>1.8633999999999999</v>
      </c>
      <c r="EP169">
        <v>1.86453</v>
      </c>
      <c r="EQ169">
        <v>1.8701700000000001</v>
      </c>
      <c r="ER169">
        <v>1.86947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-0.26700000000000002</v>
      </c>
      <c r="FG169">
        <v>0.1628</v>
      </c>
      <c r="FH169">
        <v>5.8509882529719233E-2</v>
      </c>
      <c r="FI169">
        <v>-6.1462078757559423E-4</v>
      </c>
      <c r="FJ169">
        <v>-1.8861989874597051E-7</v>
      </c>
      <c r="FK169">
        <v>1.1980462299894961E-10</v>
      </c>
      <c r="FL169">
        <v>0.16277811159127681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34.200000000000003</v>
      </c>
      <c r="FU169">
        <v>34.4</v>
      </c>
      <c r="FV169">
        <v>1.7687999999999999</v>
      </c>
      <c r="FW169">
        <v>2.5817899999999998</v>
      </c>
      <c r="FX169">
        <v>1.5490699999999999</v>
      </c>
      <c r="FY169">
        <v>2.3278799999999999</v>
      </c>
      <c r="FZ169">
        <v>1.50146</v>
      </c>
      <c r="GA169">
        <v>2.3034699999999999</v>
      </c>
      <c r="GB169">
        <v>33.941299999999998</v>
      </c>
      <c r="GC169">
        <v>23.982399999999998</v>
      </c>
      <c r="GD169">
        <v>19</v>
      </c>
      <c r="GE169">
        <v>286.42200000000003</v>
      </c>
      <c r="GF169">
        <v>578.28899999999999</v>
      </c>
      <c r="GG169">
        <v>24.644300000000001</v>
      </c>
      <c r="GH169">
        <v>26.186199999999999</v>
      </c>
      <c r="GI169">
        <v>30.0001</v>
      </c>
      <c r="GJ169">
        <v>26.3217</v>
      </c>
      <c r="GK169">
        <v>26.303899999999999</v>
      </c>
      <c r="GL169">
        <v>35.377099999999999</v>
      </c>
      <c r="GM169">
        <v>80.134100000000004</v>
      </c>
      <c r="GN169">
        <v>42.8934</v>
      </c>
      <c r="GO169">
        <v>24.611599999999999</v>
      </c>
      <c r="GP169">
        <v>800</v>
      </c>
      <c r="GQ169">
        <v>2.48488</v>
      </c>
      <c r="GR169">
        <v>99.750399999999999</v>
      </c>
      <c r="GS169">
        <v>99.585999999999999</v>
      </c>
    </row>
    <row r="170" spans="1:201" x14ac:dyDescent="0.25">
      <c r="A170">
        <v>154</v>
      </c>
      <c r="B170">
        <v>1690222585.0999999</v>
      </c>
      <c r="C170">
        <v>1702.599999904633</v>
      </c>
      <c r="D170" t="s">
        <v>639</v>
      </c>
      <c r="E170" t="s">
        <v>640</v>
      </c>
      <c r="F170" t="s">
        <v>330</v>
      </c>
      <c r="H170">
        <v>1690222585.0999999</v>
      </c>
      <c r="I170">
        <f t="shared" si="60"/>
        <v>2.0728394227421325E-3</v>
      </c>
      <c r="J170">
        <f t="shared" si="61"/>
        <v>2.0728394227421325</v>
      </c>
      <c r="K170">
        <f t="shared" si="62"/>
        <v>29.951114267819499</v>
      </c>
      <c r="L170">
        <f t="shared" si="63"/>
        <v>478.517</v>
      </c>
      <c r="M170">
        <f t="shared" si="64"/>
        <v>136.16753307197118</v>
      </c>
      <c r="N170">
        <f t="shared" si="65"/>
        <v>13.506453384215297</v>
      </c>
      <c r="O170">
        <f t="shared" si="66"/>
        <v>47.464086395973005</v>
      </c>
      <c r="P170">
        <f t="shared" si="67"/>
        <v>0.14751887542078451</v>
      </c>
      <c r="Q170">
        <f t="shared" si="68"/>
        <v>2.1933488069450457</v>
      </c>
      <c r="R170">
        <f t="shared" si="69"/>
        <v>0.14222021176413152</v>
      </c>
      <c r="S170">
        <f t="shared" si="70"/>
        <v>8.9347840113916929E-2</v>
      </c>
      <c r="T170">
        <f t="shared" si="71"/>
        <v>276.11481709799995</v>
      </c>
      <c r="U170">
        <f t="shared" si="72"/>
        <v>27.715971880490237</v>
      </c>
      <c r="V170">
        <f t="shared" si="73"/>
        <v>27.715971880490237</v>
      </c>
      <c r="W170">
        <f t="shared" si="74"/>
        <v>3.7324572521801609</v>
      </c>
      <c r="X170">
        <f t="shared" si="75"/>
        <v>67.894693019160599</v>
      </c>
      <c r="Y170">
        <f t="shared" si="76"/>
        <v>2.3309642715000001</v>
      </c>
      <c r="Z170">
        <f t="shared" si="77"/>
        <v>3.4332054065583262</v>
      </c>
      <c r="AA170">
        <f t="shared" si="78"/>
        <v>1.4014929806801608</v>
      </c>
      <c r="AB170">
        <f t="shared" si="79"/>
        <v>-91.412218542928045</v>
      </c>
      <c r="AC170">
        <f t="shared" si="80"/>
        <v>-168.26332404151671</v>
      </c>
      <c r="AD170">
        <f t="shared" si="81"/>
        <v>-16.556885981854872</v>
      </c>
      <c r="AE170">
        <f t="shared" si="82"/>
        <v>-0.11761146829965696</v>
      </c>
      <c r="AF170">
        <v>0</v>
      </c>
      <c r="AG170">
        <v>0</v>
      </c>
      <c r="AH170">
        <f t="shared" si="83"/>
        <v>1</v>
      </c>
      <c r="AI170">
        <f t="shared" si="84"/>
        <v>0</v>
      </c>
      <c r="AJ170">
        <f t="shared" si="85"/>
        <v>52478.799921310776</v>
      </c>
      <c r="AK170">
        <f t="shared" si="86"/>
        <v>1800</v>
      </c>
      <c r="AL170">
        <f t="shared" si="87"/>
        <v>1499.1113088</v>
      </c>
      <c r="AM170">
        <f t="shared" si="88"/>
        <v>0.832839616</v>
      </c>
      <c r="AN170">
        <f t="shared" si="89"/>
        <v>0.15339712060999997</v>
      </c>
      <c r="AO170">
        <v>31.2</v>
      </c>
      <c r="AP170">
        <v>0.5</v>
      </c>
      <c r="AQ170" t="s">
        <v>331</v>
      </c>
      <c r="AR170">
        <v>2</v>
      </c>
      <c r="AS170">
        <v>1690222585.0999999</v>
      </c>
      <c r="AT170">
        <v>478.517</v>
      </c>
      <c r="AU170">
        <v>800.05200000000002</v>
      </c>
      <c r="AV170">
        <v>23.5</v>
      </c>
      <c r="AW170">
        <v>2.4668800000000002</v>
      </c>
      <c r="AX170">
        <v>478.78300000000002</v>
      </c>
      <c r="AY170">
        <v>23.337199999999999</v>
      </c>
      <c r="AZ170">
        <v>300.25400000000002</v>
      </c>
      <c r="BA170">
        <v>99.0899</v>
      </c>
      <c r="BB170">
        <v>0.10006900000000001</v>
      </c>
      <c r="BC170">
        <v>26.292999999999999</v>
      </c>
      <c r="BD170">
        <v>26.989100000000001</v>
      </c>
      <c r="BE170">
        <v>27.5063</v>
      </c>
      <c r="BF170">
        <v>0</v>
      </c>
      <c r="BG170">
        <v>0</v>
      </c>
      <c r="BH170">
        <v>9991.8799999999992</v>
      </c>
      <c r="BI170">
        <v>1074.53</v>
      </c>
      <c r="BJ170">
        <v>1.4577199999999999</v>
      </c>
      <c r="BK170">
        <v>-321.53500000000003</v>
      </c>
      <c r="BL170">
        <v>490.03300000000002</v>
      </c>
      <c r="BM170">
        <v>802.03099999999995</v>
      </c>
      <c r="BN170">
        <v>21.033100000000001</v>
      </c>
      <c r="BO170">
        <v>800.05200000000002</v>
      </c>
      <c r="BP170">
        <v>2.4668800000000002</v>
      </c>
      <c r="BQ170">
        <v>2.3286099999999998</v>
      </c>
      <c r="BR170">
        <v>0.24444299999999999</v>
      </c>
      <c r="BS170">
        <v>19.875699999999998</v>
      </c>
      <c r="BT170">
        <v>-12.0396</v>
      </c>
      <c r="BU170">
        <v>1800</v>
      </c>
      <c r="BV170">
        <v>0.91000499999999995</v>
      </c>
      <c r="BW170">
        <v>3.4006300000000003E-2</v>
      </c>
      <c r="BX170">
        <v>2.19963E-2</v>
      </c>
      <c r="BY170">
        <v>3.3992300000000003E-2</v>
      </c>
      <c r="BZ170">
        <v>26</v>
      </c>
      <c r="CA170">
        <v>33528.5</v>
      </c>
      <c r="CB170">
        <v>1690220522.5999999</v>
      </c>
      <c r="CC170" t="s">
        <v>332</v>
      </c>
      <c r="CD170">
        <v>1690220522.5999999</v>
      </c>
      <c r="CE170">
        <v>1690220510.5999999</v>
      </c>
      <c r="CF170">
        <v>10</v>
      </c>
      <c r="CG170">
        <v>-0.22</v>
      </c>
      <c r="CH170">
        <v>-2.7E-2</v>
      </c>
      <c r="CI170">
        <v>-0.49299999999999999</v>
      </c>
      <c r="CJ170">
        <v>0.152</v>
      </c>
      <c r="CK170">
        <v>800</v>
      </c>
      <c r="CL170">
        <v>19</v>
      </c>
      <c r="CM170">
        <v>0.1</v>
      </c>
      <c r="CN170">
        <v>0.03</v>
      </c>
      <c r="CO170">
        <v>-319.71170000000001</v>
      </c>
      <c r="CP170">
        <v>-10.03927204502793</v>
      </c>
      <c r="CQ170">
        <v>0.96667544191418975</v>
      </c>
      <c r="CR170">
        <v>-1</v>
      </c>
      <c r="CS170">
        <v>20.856525000000001</v>
      </c>
      <c r="CT170">
        <v>1.009913696059983</v>
      </c>
      <c r="CU170">
        <v>9.7216229997876796E-2</v>
      </c>
      <c r="CV170">
        <v>-1</v>
      </c>
      <c r="CW170">
        <v>0</v>
      </c>
      <c r="CX170">
        <v>0</v>
      </c>
      <c r="CY170" t="s">
        <v>333</v>
      </c>
      <c r="CZ170">
        <v>2.3647999999999998</v>
      </c>
      <c r="DA170">
        <v>2.7138499999999999</v>
      </c>
      <c r="DB170">
        <v>0.102412</v>
      </c>
      <c r="DC170">
        <v>0.14605199999999999</v>
      </c>
      <c r="DD170">
        <v>0.112326</v>
      </c>
      <c r="DE170">
        <v>1.8440700000000001E-2</v>
      </c>
      <c r="DF170">
        <v>32778.400000000001</v>
      </c>
      <c r="DG170">
        <v>27525.3</v>
      </c>
      <c r="DH170">
        <v>31175.599999999999</v>
      </c>
      <c r="DI170">
        <v>28086.9</v>
      </c>
      <c r="DJ170">
        <v>37568.5</v>
      </c>
      <c r="DK170">
        <v>39208.1</v>
      </c>
      <c r="DL170">
        <v>44367.4</v>
      </c>
      <c r="DM170">
        <v>42570.1</v>
      </c>
      <c r="DN170">
        <v>1.4855</v>
      </c>
      <c r="DO170">
        <v>2.0306700000000002</v>
      </c>
      <c r="DP170">
        <v>0.11139400000000001</v>
      </c>
      <c r="DQ170">
        <v>0.15278900000000001</v>
      </c>
      <c r="DR170">
        <v>25.1646</v>
      </c>
      <c r="DS170">
        <v>25.0046</v>
      </c>
      <c r="DT170">
        <v>37.799999999999997</v>
      </c>
      <c r="DU170">
        <v>29.5</v>
      </c>
      <c r="DV170">
        <v>15.792400000000001</v>
      </c>
      <c r="DW170">
        <v>61.5687</v>
      </c>
      <c r="DX170">
        <v>36.470399999999998</v>
      </c>
      <c r="DY170">
        <v>1</v>
      </c>
      <c r="DZ170">
        <v>-9.5665600000000003E-2</v>
      </c>
      <c r="EA170">
        <v>2.3823500000000001E-2</v>
      </c>
      <c r="EB170">
        <v>20.189399999999999</v>
      </c>
      <c r="EC170">
        <v>5.2411000000000003</v>
      </c>
      <c r="ED170">
        <v>12.039899999999999</v>
      </c>
      <c r="EE170">
        <v>5.01715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1.8689100000000001</v>
      </c>
      <c r="EL170">
        <v>1.8646499999999999</v>
      </c>
      <c r="EM170">
        <v>1.8692</v>
      </c>
      <c r="EN170">
        <v>1.86724</v>
      </c>
      <c r="EO170">
        <v>1.8633999999999999</v>
      </c>
      <c r="EP170">
        <v>1.8645499999999999</v>
      </c>
      <c r="EQ170">
        <v>1.87019</v>
      </c>
      <c r="ER170">
        <v>1.8694599999999999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-0.26600000000000001</v>
      </c>
      <c r="FG170">
        <v>0.1628</v>
      </c>
      <c r="FH170">
        <v>5.8509882529719233E-2</v>
      </c>
      <c r="FI170">
        <v>-6.1462078757559423E-4</v>
      </c>
      <c r="FJ170">
        <v>-1.8861989874597051E-7</v>
      </c>
      <c r="FK170">
        <v>1.1980462299894961E-10</v>
      </c>
      <c r="FL170">
        <v>0.16277811159127681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34.4</v>
      </c>
      <c r="FU170">
        <v>34.6</v>
      </c>
      <c r="FV170">
        <v>1.7700199999999999</v>
      </c>
      <c r="FW170">
        <v>2.5781200000000002</v>
      </c>
      <c r="FX170">
        <v>1.5490699999999999</v>
      </c>
      <c r="FY170">
        <v>2.3278799999999999</v>
      </c>
      <c r="FZ170">
        <v>1.50146</v>
      </c>
      <c r="GA170">
        <v>2.3742700000000001</v>
      </c>
      <c r="GB170">
        <v>33.941299999999998</v>
      </c>
      <c r="GC170">
        <v>23.982399999999998</v>
      </c>
      <c r="GD170">
        <v>19</v>
      </c>
      <c r="GE170">
        <v>286.733</v>
      </c>
      <c r="GF170">
        <v>578.05899999999997</v>
      </c>
      <c r="GG170">
        <v>24.617899999999999</v>
      </c>
      <c r="GH170">
        <v>26.1846</v>
      </c>
      <c r="GI170">
        <v>30</v>
      </c>
      <c r="GJ170">
        <v>26.3217</v>
      </c>
      <c r="GK170">
        <v>26.301600000000001</v>
      </c>
      <c r="GL170">
        <v>35.373899999999999</v>
      </c>
      <c r="GM170">
        <v>81.352099999999993</v>
      </c>
      <c r="GN170">
        <v>42.109099999999998</v>
      </c>
      <c r="GO170">
        <v>24.6374</v>
      </c>
      <c r="GP170">
        <v>800</v>
      </c>
      <c r="GQ170">
        <v>2.3084500000000001</v>
      </c>
      <c r="GR170">
        <v>99.750699999999995</v>
      </c>
      <c r="GS170">
        <v>99.586200000000005</v>
      </c>
    </row>
    <row r="171" spans="1:201" x14ac:dyDescent="0.25">
      <c r="A171">
        <v>155</v>
      </c>
      <c r="B171">
        <v>1690222595.0999999</v>
      </c>
      <c r="C171">
        <v>1712.599999904633</v>
      </c>
      <c r="D171" t="s">
        <v>641</v>
      </c>
      <c r="E171" t="s">
        <v>642</v>
      </c>
      <c r="F171" t="s">
        <v>330</v>
      </c>
      <c r="H171">
        <v>1690222595.0999999</v>
      </c>
      <c r="I171">
        <f t="shared" si="60"/>
        <v>2.0885233905063045E-3</v>
      </c>
      <c r="J171">
        <f t="shared" si="61"/>
        <v>2.0885233905063045</v>
      </c>
      <c r="K171">
        <f t="shared" si="62"/>
        <v>30.105387318661716</v>
      </c>
      <c r="L171">
        <f t="shared" si="63"/>
        <v>476.84500000000003</v>
      </c>
      <c r="M171">
        <f t="shared" si="64"/>
        <v>135.32248441207344</v>
      </c>
      <c r="N171">
        <f t="shared" si="65"/>
        <v>13.422413013009141</v>
      </c>
      <c r="O171">
        <f t="shared" si="66"/>
        <v>47.297465465519501</v>
      </c>
      <c r="P171">
        <f t="shared" si="67"/>
        <v>0.14865860556931768</v>
      </c>
      <c r="Q171">
        <f t="shared" si="68"/>
        <v>2.1977775466904994</v>
      </c>
      <c r="R171">
        <f t="shared" si="69"/>
        <v>0.1432897752822313</v>
      </c>
      <c r="S171">
        <f t="shared" si="70"/>
        <v>9.0022323479276939E-2</v>
      </c>
      <c r="T171">
        <f t="shared" si="71"/>
        <v>276.11473778999999</v>
      </c>
      <c r="U171">
        <f t="shared" si="72"/>
        <v>27.712933536625542</v>
      </c>
      <c r="V171">
        <f t="shared" si="73"/>
        <v>27.712933536625542</v>
      </c>
      <c r="W171">
        <f t="shared" si="74"/>
        <v>3.7317947934833122</v>
      </c>
      <c r="X171">
        <f t="shared" si="75"/>
        <v>67.854300640968447</v>
      </c>
      <c r="Y171">
        <f t="shared" si="76"/>
        <v>2.3302515821169201</v>
      </c>
      <c r="Z171">
        <f t="shared" si="77"/>
        <v>3.4341988055359636</v>
      </c>
      <c r="AA171">
        <f t="shared" si="78"/>
        <v>1.4015432113663921</v>
      </c>
      <c r="AB171">
        <f t="shared" si="79"/>
        <v>-92.103881521328034</v>
      </c>
      <c r="AC171">
        <f t="shared" si="80"/>
        <v>-167.66248872267641</v>
      </c>
      <c r="AD171">
        <f t="shared" si="81"/>
        <v>-16.464672181938397</v>
      </c>
      <c r="AE171">
        <f t="shared" si="82"/>
        <v>-0.11630463594286766</v>
      </c>
      <c r="AF171">
        <v>0</v>
      </c>
      <c r="AG171">
        <v>0</v>
      </c>
      <c r="AH171">
        <f t="shared" si="83"/>
        <v>1</v>
      </c>
      <c r="AI171">
        <f t="shared" si="84"/>
        <v>0</v>
      </c>
      <c r="AJ171">
        <f t="shared" si="85"/>
        <v>52659.538740557698</v>
      </c>
      <c r="AK171">
        <f t="shared" si="86"/>
        <v>1800</v>
      </c>
      <c r="AL171">
        <f t="shared" si="87"/>
        <v>1499.1113070000001</v>
      </c>
      <c r="AM171">
        <f t="shared" si="88"/>
        <v>0.83283961500000003</v>
      </c>
      <c r="AN171">
        <f t="shared" si="89"/>
        <v>0.15339707655000001</v>
      </c>
      <c r="AO171">
        <v>31.2</v>
      </c>
      <c r="AP171">
        <v>0.5</v>
      </c>
      <c r="AQ171" t="s">
        <v>331</v>
      </c>
      <c r="AR171">
        <v>2</v>
      </c>
      <c r="AS171">
        <v>1690222595.0999999</v>
      </c>
      <c r="AT171">
        <v>476.84500000000003</v>
      </c>
      <c r="AU171">
        <v>800.05600000000004</v>
      </c>
      <c r="AV171">
        <v>23.493200000000002</v>
      </c>
      <c r="AW171">
        <v>2.29874</v>
      </c>
      <c r="AX171">
        <v>477.11</v>
      </c>
      <c r="AY171">
        <v>23.330500000000001</v>
      </c>
      <c r="AZ171">
        <v>300.22500000000002</v>
      </c>
      <c r="BA171">
        <v>99.088399999999993</v>
      </c>
      <c r="BB171">
        <v>9.9943100000000007E-2</v>
      </c>
      <c r="BC171">
        <v>26.297899999999998</v>
      </c>
      <c r="BD171">
        <v>26.961500000000001</v>
      </c>
      <c r="BE171">
        <v>27.497499999999999</v>
      </c>
      <c r="BF171">
        <v>0</v>
      </c>
      <c r="BG171">
        <v>0</v>
      </c>
      <c r="BH171">
        <v>10028.1</v>
      </c>
      <c r="BI171">
        <v>1074.6600000000001</v>
      </c>
      <c r="BJ171">
        <v>1.4577199999999999</v>
      </c>
      <c r="BK171">
        <v>-323.21100000000001</v>
      </c>
      <c r="BL171">
        <v>488.31700000000001</v>
      </c>
      <c r="BM171">
        <v>801.899</v>
      </c>
      <c r="BN171">
        <v>21.194500000000001</v>
      </c>
      <c r="BO171">
        <v>800.05600000000004</v>
      </c>
      <c r="BP171">
        <v>2.29874</v>
      </c>
      <c r="BQ171">
        <v>2.3279100000000001</v>
      </c>
      <c r="BR171">
        <v>0.22777800000000001</v>
      </c>
      <c r="BS171">
        <v>19.870799999999999</v>
      </c>
      <c r="BT171">
        <v>-12.9137</v>
      </c>
      <c r="BU171">
        <v>1800</v>
      </c>
      <c r="BV171">
        <v>0.91000599999999998</v>
      </c>
      <c r="BW171">
        <v>3.4005899999999999E-2</v>
      </c>
      <c r="BX171">
        <v>2.1996000000000002E-2</v>
      </c>
      <c r="BY171">
        <v>3.3991899999999999E-2</v>
      </c>
      <c r="BZ171">
        <v>26</v>
      </c>
      <c r="CA171">
        <v>33528.5</v>
      </c>
      <c r="CB171">
        <v>1690220522.5999999</v>
      </c>
      <c r="CC171" t="s">
        <v>332</v>
      </c>
      <c r="CD171">
        <v>1690220522.5999999</v>
      </c>
      <c r="CE171">
        <v>1690220510.5999999</v>
      </c>
      <c r="CF171">
        <v>10</v>
      </c>
      <c r="CG171">
        <v>-0.22</v>
      </c>
      <c r="CH171">
        <v>-2.7E-2</v>
      </c>
      <c r="CI171">
        <v>-0.49299999999999999</v>
      </c>
      <c r="CJ171">
        <v>0.152</v>
      </c>
      <c r="CK171">
        <v>800</v>
      </c>
      <c r="CL171">
        <v>19</v>
      </c>
      <c r="CM171">
        <v>0.1</v>
      </c>
      <c r="CN171">
        <v>0.03</v>
      </c>
      <c r="CO171">
        <v>-321.26543902439022</v>
      </c>
      <c r="CP171">
        <v>-10.31019512195172</v>
      </c>
      <c r="CQ171">
        <v>1.0174005865926441</v>
      </c>
      <c r="CR171">
        <v>-1</v>
      </c>
      <c r="CS171">
        <v>21.005929268292679</v>
      </c>
      <c r="CT171">
        <v>0.95471498257842635</v>
      </c>
      <c r="CU171">
        <v>9.421427120911452E-2</v>
      </c>
      <c r="CV171">
        <v>-1</v>
      </c>
      <c r="CW171">
        <v>0</v>
      </c>
      <c r="CX171">
        <v>0</v>
      </c>
      <c r="CY171" t="s">
        <v>333</v>
      </c>
      <c r="CZ171">
        <v>2.3647300000000002</v>
      </c>
      <c r="DA171">
        <v>2.7137600000000002</v>
      </c>
      <c r="DB171">
        <v>0.102147</v>
      </c>
      <c r="DC171">
        <v>0.14604700000000001</v>
      </c>
      <c r="DD171">
        <v>0.112302</v>
      </c>
      <c r="DE171">
        <v>1.7311199999999999E-2</v>
      </c>
      <c r="DF171">
        <v>32787.800000000003</v>
      </c>
      <c r="DG171">
        <v>27525.599999999999</v>
      </c>
      <c r="DH171">
        <v>31175.3</v>
      </c>
      <c r="DI171">
        <v>28087.1</v>
      </c>
      <c r="DJ171">
        <v>37568.9</v>
      </c>
      <c r="DK171">
        <v>39253.4</v>
      </c>
      <c r="DL171">
        <v>44366.7</v>
      </c>
      <c r="DM171">
        <v>42570.2</v>
      </c>
      <c r="DN171">
        <v>1.4854499999999999</v>
      </c>
      <c r="DO171">
        <v>2.0302699999999998</v>
      </c>
      <c r="DP171">
        <v>0.109933</v>
      </c>
      <c r="DQ171">
        <v>0.15237899999999999</v>
      </c>
      <c r="DR171">
        <v>25.160900000000002</v>
      </c>
      <c r="DS171">
        <v>25.002400000000002</v>
      </c>
      <c r="DT171">
        <v>37.4</v>
      </c>
      <c r="DU171">
        <v>29.5</v>
      </c>
      <c r="DV171">
        <v>15.624499999999999</v>
      </c>
      <c r="DW171">
        <v>61.858699999999999</v>
      </c>
      <c r="DX171">
        <v>36.446300000000001</v>
      </c>
      <c r="DY171">
        <v>1</v>
      </c>
      <c r="DZ171">
        <v>-9.57012E-2</v>
      </c>
      <c r="EA171">
        <v>-4.4703199999999998E-2</v>
      </c>
      <c r="EB171">
        <v>20.189699999999998</v>
      </c>
      <c r="EC171">
        <v>5.24125</v>
      </c>
      <c r="ED171">
        <v>12.039899999999999</v>
      </c>
      <c r="EE171">
        <v>5.0174000000000003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</v>
      </c>
      <c r="EL171">
        <v>1.86463</v>
      </c>
      <c r="EM171">
        <v>1.8691899999999999</v>
      </c>
      <c r="EN171">
        <v>1.8672299999999999</v>
      </c>
      <c r="EO171">
        <v>1.8633999999999999</v>
      </c>
      <c r="EP171">
        <v>1.8645499999999999</v>
      </c>
      <c r="EQ171">
        <v>1.87016</v>
      </c>
      <c r="ER171">
        <v>1.8694299999999999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-0.26500000000000001</v>
      </c>
      <c r="FG171">
        <v>0.16270000000000001</v>
      </c>
      <c r="FH171">
        <v>5.8509882529719233E-2</v>
      </c>
      <c r="FI171">
        <v>-6.1462078757559423E-4</v>
      </c>
      <c r="FJ171">
        <v>-1.8861989874597051E-7</v>
      </c>
      <c r="FK171">
        <v>1.1980462299894961E-10</v>
      </c>
      <c r="FL171">
        <v>0.16277811159127681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34.5</v>
      </c>
      <c r="FU171">
        <v>34.700000000000003</v>
      </c>
      <c r="FV171">
        <v>1.7687999999999999</v>
      </c>
      <c r="FW171">
        <v>2.5842299999999998</v>
      </c>
      <c r="FX171">
        <v>1.5490699999999999</v>
      </c>
      <c r="FY171">
        <v>2.3278799999999999</v>
      </c>
      <c r="FZ171">
        <v>1.50146</v>
      </c>
      <c r="GA171">
        <v>2.3120099999999999</v>
      </c>
      <c r="GB171">
        <v>33.941299999999998</v>
      </c>
      <c r="GC171">
        <v>23.973700000000001</v>
      </c>
      <c r="GD171">
        <v>19</v>
      </c>
      <c r="GE171">
        <v>286.702</v>
      </c>
      <c r="GF171">
        <v>577.73099999999999</v>
      </c>
      <c r="GG171">
        <v>24.643599999999999</v>
      </c>
      <c r="GH171">
        <v>26.1846</v>
      </c>
      <c r="GI171">
        <v>30</v>
      </c>
      <c r="GJ171">
        <v>26.319500000000001</v>
      </c>
      <c r="GK171">
        <v>26.301600000000001</v>
      </c>
      <c r="GL171">
        <v>35.368299999999998</v>
      </c>
      <c r="GM171">
        <v>82.200500000000005</v>
      </c>
      <c r="GN171">
        <v>41.3264</v>
      </c>
      <c r="GO171">
        <v>24.666799999999999</v>
      </c>
      <c r="GP171">
        <v>800</v>
      </c>
      <c r="GQ171">
        <v>2.1256499999999998</v>
      </c>
      <c r="GR171">
        <v>99.749399999999994</v>
      </c>
      <c r="GS171">
        <v>99.586600000000004</v>
      </c>
    </row>
    <row r="172" spans="1:201" x14ac:dyDescent="0.25">
      <c r="A172">
        <v>156</v>
      </c>
      <c r="B172">
        <v>1690222605.0999999</v>
      </c>
      <c r="C172">
        <v>1722.599999904633</v>
      </c>
      <c r="D172" t="s">
        <v>643</v>
      </c>
      <c r="E172" t="s">
        <v>644</v>
      </c>
      <c r="F172" t="s">
        <v>330</v>
      </c>
      <c r="H172">
        <v>1690222605.0999999</v>
      </c>
      <c r="I172">
        <f t="shared" si="60"/>
        <v>2.1050710887888231E-3</v>
      </c>
      <c r="J172">
        <f t="shared" si="61"/>
        <v>2.1050710887888231</v>
      </c>
      <c r="K172">
        <f t="shared" si="62"/>
        <v>30.24420260161045</v>
      </c>
      <c r="L172">
        <f t="shared" si="63"/>
        <v>475.28399999999999</v>
      </c>
      <c r="M172">
        <f t="shared" si="64"/>
        <v>134.87448311214132</v>
      </c>
      <c r="N172">
        <f t="shared" si="65"/>
        <v>13.378364661637177</v>
      </c>
      <c r="O172">
        <f t="shared" si="66"/>
        <v>47.144000281764001</v>
      </c>
      <c r="P172">
        <f t="shared" si="67"/>
        <v>0.14988373339555583</v>
      </c>
      <c r="Q172">
        <f t="shared" si="68"/>
        <v>2.1916716921702712</v>
      </c>
      <c r="R172">
        <f t="shared" si="69"/>
        <v>0.14441319101071645</v>
      </c>
      <c r="S172">
        <f t="shared" si="70"/>
        <v>9.0733115734172282E-2</v>
      </c>
      <c r="T172">
        <f t="shared" si="71"/>
        <v>276.11471905199994</v>
      </c>
      <c r="U172">
        <f t="shared" si="72"/>
        <v>27.712296679690724</v>
      </c>
      <c r="V172">
        <f t="shared" si="73"/>
        <v>27.712296679690724</v>
      </c>
      <c r="W172">
        <f t="shared" si="74"/>
        <v>3.7316559507734688</v>
      </c>
      <c r="X172">
        <f t="shared" si="75"/>
        <v>67.839974832459788</v>
      </c>
      <c r="Y172">
        <f t="shared" si="76"/>
        <v>2.3299521856794998</v>
      </c>
      <c r="Z172">
        <f t="shared" si="77"/>
        <v>3.4344826799149613</v>
      </c>
      <c r="AA172">
        <f t="shared" si="78"/>
        <v>1.401703765093969</v>
      </c>
      <c r="AB172">
        <f t="shared" si="79"/>
        <v>-92.833635015587106</v>
      </c>
      <c r="AC172">
        <f t="shared" si="80"/>
        <v>-166.95601991195949</v>
      </c>
      <c r="AD172">
        <f t="shared" si="81"/>
        <v>-16.441034731595273</v>
      </c>
      <c r="AE172">
        <f t="shared" si="82"/>
        <v>-0.11597060714191798</v>
      </c>
      <c r="AF172">
        <v>0</v>
      </c>
      <c r="AG172">
        <v>0</v>
      </c>
      <c r="AH172">
        <f t="shared" si="83"/>
        <v>1</v>
      </c>
      <c r="AI172">
        <f t="shared" si="84"/>
        <v>0</v>
      </c>
      <c r="AJ172">
        <f t="shared" si="85"/>
        <v>52409.04058716906</v>
      </c>
      <c r="AK172">
        <f t="shared" si="86"/>
        <v>1800</v>
      </c>
      <c r="AL172">
        <f t="shared" si="87"/>
        <v>1499.1108911999997</v>
      </c>
      <c r="AM172">
        <f t="shared" si="88"/>
        <v>0.8328393839999999</v>
      </c>
      <c r="AN172">
        <f t="shared" si="89"/>
        <v>0.15339706613999998</v>
      </c>
      <c r="AO172">
        <v>31.2</v>
      </c>
      <c r="AP172">
        <v>0.5</v>
      </c>
      <c r="AQ172" t="s">
        <v>331</v>
      </c>
      <c r="AR172">
        <v>2</v>
      </c>
      <c r="AS172">
        <v>1690222605.0999999</v>
      </c>
      <c r="AT172">
        <v>475.28399999999999</v>
      </c>
      <c r="AU172">
        <v>800.00599999999997</v>
      </c>
      <c r="AV172">
        <v>23.4895</v>
      </c>
      <c r="AW172">
        <v>2.12568</v>
      </c>
      <c r="AX172">
        <v>475.54700000000003</v>
      </c>
      <c r="AY172">
        <v>23.326699999999999</v>
      </c>
      <c r="AZ172">
        <v>300.20600000000002</v>
      </c>
      <c r="BA172">
        <v>99.091200000000001</v>
      </c>
      <c r="BB172">
        <v>0.100021</v>
      </c>
      <c r="BC172">
        <v>26.299299999999999</v>
      </c>
      <c r="BD172">
        <v>27.015999999999998</v>
      </c>
      <c r="BE172">
        <v>27.4846</v>
      </c>
      <c r="BF172">
        <v>0</v>
      </c>
      <c r="BG172">
        <v>0</v>
      </c>
      <c r="BH172">
        <v>9978.1200000000008</v>
      </c>
      <c r="BI172">
        <v>1074.83</v>
      </c>
      <c r="BJ172">
        <v>1.4577199999999999</v>
      </c>
      <c r="BK172">
        <v>-324.72199999999998</v>
      </c>
      <c r="BL172">
        <v>486.71699999999998</v>
      </c>
      <c r="BM172">
        <v>801.71</v>
      </c>
      <c r="BN172">
        <v>21.363800000000001</v>
      </c>
      <c r="BO172">
        <v>800.00599999999997</v>
      </c>
      <c r="BP172">
        <v>2.12568</v>
      </c>
      <c r="BQ172">
        <v>2.3275999999999999</v>
      </c>
      <c r="BR172">
        <v>0.21063599999999999</v>
      </c>
      <c r="BS172">
        <v>19.8687</v>
      </c>
      <c r="BT172">
        <v>-13.874499999999999</v>
      </c>
      <c r="BU172">
        <v>1800</v>
      </c>
      <c r="BV172">
        <v>0.91000499999999995</v>
      </c>
      <c r="BW172">
        <v>3.40062E-2</v>
      </c>
      <c r="BX172">
        <v>2.19962E-2</v>
      </c>
      <c r="BY172">
        <v>3.39922E-2</v>
      </c>
      <c r="BZ172">
        <v>26</v>
      </c>
      <c r="CA172">
        <v>33528.5</v>
      </c>
      <c r="CB172">
        <v>1690220522.5999999</v>
      </c>
      <c r="CC172" t="s">
        <v>332</v>
      </c>
      <c r="CD172">
        <v>1690220522.5999999</v>
      </c>
      <c r="CE172">
        <v>1690220510.5999999</v>
      </c>
      <c r="CF172">
        <v>10</v>
      </c>
      <c r="CG172">
        <v>-0.22</v>
      </c>
      <c r="CH172">
        <v>-2.7E-2</v>
      </c>
      <c r="CI172">
        <v>-0.49299999999999999</v>
      </c>
      <c r="CJ172">
        <v>0.152</v>
      </c>
      <c r="CK172">
        <v>800</v>
      </c>
      <c r="CL172">
        <v>19</v>
      </c>
      <c r="CM172">
        <v>0.1</v>
      </c>
      <c r="CN172">
        <v>0.03</v>
      </c>
      <c r="CO172">
        <v>-322.928</v>
      </c>
      <c r="CP172">
        <v>-9.7019372822299488</v>
      </c>
      <c r="CQ172">
        <v>0.95930795686138293</v>
      </c>
      <c r="CR172">
        <v>-1</v>
      </c>
      <c r="CS172">
        <v>21.17111219512195</v>
      </c>
      <c r="CT172">
        <v>1.0211728222996701</v>
      </c>
      <c r="CU172">
        <v>0.1007808566682741</v>
      </c>
      <c r="CV172">
        <v>-1</v>
      </c>
      <c r="CW172">
        <v>0</v>
      </c>
      <c r="CX172">
        <v>0</v>
      </c>
      <c r="CY172" t="s">
        <v>333</v>
      </c>
      <c r="CZ172">
        <v>2.3646500000000001</v>
      </c>
      <c r="DA172">
        <v>2.7137899999999999</v>
      </c>
      <c r="DB172">
        <v>0.10190200000000001</v>
      </c>
      <c r="DC172">
        <v>0.14604200000000001</v>
      </c>
      <c r="DD172">
        <v>0.112292</v>
      </c>
      <c r="DE172">
        <v>1.6133700000000001E-2</v>
      </c>
      <c r="DF172">
        <v>32797.1</v>
      </c>
      <c r="DG172">
        <v>27525.9</v>
      </c>
      <c r="DH172">
        <v>31175.7</v>
      </c>
      <c r="DI172">
        <v>28087.1</v>
      </c>
      <c r="DJ172">
        <v>37569.800000000003</v>
      </c>
      <c r="DK172">
        <v>39300.6</v>
      </c>
      <c r="DL172">
        <v>44367.3</v>
      </c>
      <c r="DM172">
        <v>42570.3</v>
      </c>
      <c r="DN172">
        <v>1.4858</v>
      </c>
      <c r="DO172">
        <v>2.0299200000000002</v>
      </c>
      <c r="DP172">
        <v>0.113137</v>
      </c>
      <c r="DQ172">
        <v>0.15159</v>
      </c>
      <c r="DR172">
        <v>25.163</v>
      </c>
      <c r="DS172">
        <v>25.002400000000002</v>
      </c>
      <c r="DT172">
        <v>37</v>
      </c>
      <c r="DU172">
        <v>29.5</v>
      </c>
      <c r="DV172">
        <v>15.4559</v>
      </c>
      <c r="DW172">
        <v>61.908700000000003</v>
      </c>
      <c r="DX172">
        <v>37.2316</v>
      </c>
      <c r="DY172">
        <v>1</v>
      </c>
      <c r="DZ172">
        <v>-9.5531000000000005E-2</v>
      </c>
      <c r="EA172">
        <v>-0.16279099999999999</v>
      </c>
      <c r="EB172">
        <v>20.189599999999999</v>
      </c>
      <c r="EC172">
        <v>5.2409499999999998</v>
      </c>
      <c r="ED172">
        <v>12.039899999999999</v>
      </c>
      <c r="EE172">
        <v>5.0172499999999998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</v>
      </c>
      <c r="EL172">
        <v>1.86463</v>
      </c>
      <c r="EM172">
        <v>1.8692</v>
      </c>
      <c r="EN172">
        <v>1.8672299999999999</v>
      </c>
      <c r="EO172">
        <v>1.8633999999999999</v>
      </c>
      <c r="EP172">
        <v>1.86459</v>
      </c>
      <c r="EQ172">
        <v>1.87016</v>
      </c>
      <c r="ER172">
        <v>1.86944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-0.26300000000000001</v>
      </c>
      <c r="FG172">
        <v>0.1628</v>
      </c>
      <c r="FH172">
        <v>5.8509882529719233E-2</v>
      </c>
      <c r="FI172">
        <v>-6.1462078757559423E-4</v>
      </c>
      <c r="FJ172">
        <v>-1.8861989874597051E-7</v>
      </c>
      <c r="FK172">
        <v>1.1980462299894961E-10</v>
      </c>
      <c r="FL172">
        <v>0.16277811159127681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34.700000000000003</v>
      </c>
      <c r="FU172">
        <v>34.9</v>
      </c>
      <c r="FV172">
        <v>1.7687999999999999</v>
      </c>
      <c r="FW172">
        <v>2.5830099999999998</v>
      </c>
      <c r="FX172">
        <v>1.5490699999999999</v>
      </c>
      <c r="FY172">
        <v>2.3278799999999999</v>
      </c>
      <c r="FZ172">
        <v>1.50146</v>
      </c>
      <c r="GA172">
        <v>2.34131</v>
      </c>
      <c r="GB172">
        <v>33.941299999999998</v>
      </c>
      <c r="GC172">
        <v>23.982399999999998</v>
      </c>
      <c r="GD172">
        <v>19</v>
      </c>
      <c r="GE172">
        <v>286.85300000000001</v>
      </c>
      <c r="GF172">
        <v>577.41899999999998</v>
      </c>
      <c r="GG172">
        <v>24.6936</v>
      </c>
      <c r="GH172">
        <v>26.182400000000001</v>
      </c>
      <c r="GI172">
        <v>30.0002</v>
      </c>
      <c r="GJ172">
        <v>26.319500000000001</v>
      </c>
      <c r="GK172">
        <v>26.299399999999999</v>
      </c>
      <c r="GL172">
        <v>35.3675</v>
      </c>
      <c r="GM172">
        <v>83.439700000000002</v>
      </c>
      <c r="GN172">
        <v>40.542099999999998</v>
      </c>
      <c r="GO172">
        <v>24.708300000000001</v>
      </c>
      <c r="GP172">
        <v>800</v>
      </c>
      <c r="GQ172">
        <v>1.95001</v>
      </c>
      <c r="GR172">
        <v>99.750799999999998</v>
      </c>
      <c r="GS172">
        <v>99.586799999999997</v>
      </c>
    </row>
    <row r="173" spans="1:201" x14ac:dyDescent="0.25">
      <c r="A173">
        <v>157</v>
      </c>
      <c r="B173">
        <v>1690222615.0999999</v>
      </c>
      <c r="C173">
        <v>1732.599999904633</v>
      </c>
      <c r="D173" t="s">
        <v>645</v>
      </c>
      <c r="E173" t="s">
        <v>646</v>
      </c>
      <c r="F173" t="s">
        <v>330</v>
      </c>
      <c r="H173">
        <v>1690222615.0999999</v>
      </c>
      <c r="I173">
        <f t="shared" si="60"/>
        <v>2.1210515334448912E-3</v>
      </c>
      <c r="J173">
        <f t="shared" si="61"/>
        <v>2.1210515334448914</v>
      </c>
      <c r="K173">
        <f t="shared" si="62"/>
        <v>30.365886804177546</v>
      </c>
      <c r="L173">
        <f t="shared" si="63"/>
        <v>473.77699999999999</v>
      </c>
      <c r="M173">
        <f t="shared" si="64"/>
        <v>134.66739400274142</v>
      </c>
      <c r="N173">
        <f t="shared" si="65"/>
        <v>13.357954567662629</v>
      </c>
      <c r="O173">
        <f t="shared" si="66"/>
        <v>46.994981139047397</v>
      </c>
      <c r="P173">
        <f t="shared" si="67"/>
        <v>0.15109673109202634</v>
      </c>
      <c r="Q173">
        <f t="shared" si="68"/>
        <v>2.1951385652712303</v>
      </c>
      <c r="R173">
        <f t="shared" si="69"/>
        <v>0.14554748175666102</v>
      </c>
      <c r="S173">
        <f t="shared" si="70"/>
        <v>9.1448774122564885E-2</v>
      </c>
      <c r="T173">
        <f t="shared" si="71"/>
        <v>276.11473778999999</v>
      </c>
      <c r="U173">
        <f t="shared" si="72"/>
        <v>27.707435124486068</v>
      </c>
      <c r="V173">
        <f t="shared" si="73"/>
        <v>27.707435124486068</v>
      </c>
      <c r="W173">
        <f t="shared" si="74"/>
        <v>3.730596219976626</v>
      </c>
      <c r="X173">
        <f t="shared" si="75"/>
        <v>67.808571123112998</v>
      </c>
      <c r="Y173">
        <f t="shared" si="76"/>
        <v>2.3292311511683996</v>
      </c>
      <c r="Z173">
        <f t="shared" si="77"/>
        <v>3.4350099295551528</v>
      </c>
      <c r="AA173">
        <f t="shared" si="78"/>
        <v>1.4013650688082264</v>
      </c>
      <c r="AB173">
        <f t="shared" si="79"/>
        <v>-93.538372624919703</v>
      </c>
      <c r="AC173">
        <f t="shared" si="80"/>
        <v>-166.33708495316301</v>
      </c>
      <c r="AD173">
        <f t="shared" si="81"/>
        <v>-16.354029335101611</v>
      </c>
      <c r="AE173">
        <f t="shared" si="82"/>
        <v>-0.11474912318431052</v>
      </c>
      <c r="AF173">
        <v>0</v>
      </c>
      <c r="AG173">
        <v>0</v>
      </c>
      <c r="AH173">
        <f t="shared" si="83"/>
        <v>1</v>
      </c>
      <c r="AI173">
        <f t="shared" si="84"/>
        <v>0</v>
      </c>
      <c r="AJ173">
        <f t="shared" si="85"/>
        <v>52550.646321620246</v>
      </c>
      <c r="AK173">
        <f t="shared" si="86"/>
        <v>1800</v>
      </c>
      <c r="AL173">
        <f t="shared" si="87"/>
        <v>1499.1113070000001</v>
      </c>
      <c r="AM173">
        <f t="shared" si="88"/>
        <v>0.83283961500000003</v>
      </c>
      <c r="AN173">
        <f t="shared" si="89"/>
        <v>0.15339707655000001</v>
      </c>
      <c r="AO173">
        <v>31.2</v>
      </c>
      <c r="AP173">
        <v>0.5</v>
      </c>
      <c r="AQ173" t="s">
        <v>331</v>
      </c>
      <c r="AR173">
        <v>2</v>
      </c>
      <c r="AS173">
        <v>1690222615.0999999</v>
      </c>
      <c r="AT173">
        <v>473.77699999999999</v>
      </c>
      <c r="AU173">
        <v>799.94299999999998</v>
      </c>
      <c r="AV173">
        <v>23.481999999999999</v>
      </c>
      <c r="AW173">
        <v>1.9470099999999999</v>
      </c>
      <c r="AX173">
        <v>474.04</v>
      </c>
      <c r="AY173">
        <v>23.319199999999999</v>
      </c>
      <c r="AZ173">
        <v>300.08300000000003</v>
      </c>
      <c r="BA173">
        <v>99.092299999999994</v>
      </c>
      <c r="BB173">
        <v>9.9896200000000004E-2</v>
      </c>
      <c r="BC173">
        <v>26.3019</v>
      </c>
      <c r="BD173">
        <v>27.006799999999998</v>
      </c>
      <c r="BE173">
        <v>27.500499999999999</v>
      </c>
      <c r="BF173">
        <v>0</v>
      </c>
      <c r="BG173">
        <v>0</v>
      </c>
      <c r="BH173">
        <v>10006.200000000001</v>
      </c>
      <c r="BI173">
        <v>1074.8399999999999</v>
      </c>
      <c r="BJ173">
        <v>1.4577199999999999</v>
      </c>
      <c r="BK173">
        <v>-326.166</v>
      </c>
      <c r="BL173">
        <v>485.17</v>
      </c>
      <c r="BM173">
        <v>801.50400000000002</v>
      </c>
      <c r="BN173">
        <v>21.535</v>
      </c>
      <c r="BO173">
        <v>799.94299999999998</v>
      </c>
      <c r="BP173">
        <v>1.9470099999999999</v>
      </c>
      <c r="BQ173">
        <v>2.3268900000000001</v>
      </c>
      <c r="BR173">
        <v>0.19293399999999999</v>
      </c>
      <c r="BS173">
        <v>19.863800000000001</v>
      </c>
      <c r="BT173">
        <v>-14.9429</v>
      </c>
      <c r="BU173">
        <v>1800</v>
      </c>
      <c r="BV173">
        <v>0.91000599999999998</v>
      </c>
      <c r="BW173">
        <v>3.4005899999999999E-2</v>
      </c>
      <c r="BX173">
        <v>2.1996000000000002E-2</v>
      </c>
      <c r="BY173">
        <v>3.3991899999999999E-2</v>
      </c>
      <c r="BZ173">
        <v>26</v>
      </c>
      <c r="CA173">
        <v>33528.5</v>
      </c>
      <c r="CB173">
        <v>1690220522.5999999</v>
      </c>
      <c r="CC173" t="s">
        <v>332</v>
      </c>
      <c r="CD173">
        <v>1690220522.5999999</v>
      </c>
      <c r="CE173">
        <v>1690220510.5999999</v>
      </c>
      <c r="CF173">
        <v>10</v>
      </c>
      <c r="CG173">
        <v>-0.22</v>
      </c>
      <c r="CH173">
        <v>-2.7E-2</v>
      </c>
      <c r="CI173">
        <v>-0.49299999999999999</v>
      </c>
      <c r="CJ173">
        <v>0.152</v>
      </c>
      <c r="CK173">
        <v>800</v>
      </c>
      <c r="CL173">
        <v>19</v>
      </c>
      <c r="CM173">
        <v>0.1</v>
      </c>
      <c r="CN173">
        <v>0.03</v>
      </c>
      <c r="CO173">
        <v>-324.62807500000002</v>
      </c>
      <c r="CP173">
        <v>-9.2797711069415438</v>
      </c>
      <c r="CQ173">
        <v>0.89558735999063366</v>
      </c>
      <c r="CR173">
        <v>-1</v>
      </c>
      <c r="CS173">
        <v>21.354702499999998</v>
      </c>
      <c r="CT173">
        <v>1.0130915572232431</v>
      </c>
      <c r="CU173">
        <v>9.7478965647723334E-2</v>
      </c>
      <c r="CV173">
        <v>-1</v>
      </c>
      <c r="CW173">
        <v>0</v>
      </c>
      <c r="CX173">
        <v>0</v>
      </c>
      <c r="CY173" t="s">
        <v>333</v>
      </c>
      <c r="CZ173">
        <v>2.3642799999999999</v>
      </c>
      <c r="DA173">
        <v>2.7136900000000002</v>
      </c>
      <c r="DB173">
        <v>0.10166500000000001</v>
      </c>
      <c r="DC173">
        <v>0.146032</v>
      </c>
      <c r="DD173">
        <v>0.11226899999999999</v>
      </c>
      <c r="DE173">
        <v>1.4899900000000001E-2</v>
      </c>
      <c r="DF173">
        <v>32805.699999999997</v>
      </c>
      <c r="DG173">
        <v>27526.6</v>
      </c>
      <c r="DH173">
        <v>31175.599999999999</v>
      </c>
      <c r="DI173">
        <v>28087.599999999999</v>
      </c>
      <c r="DJ173">
        <v>37570.800000000003</v>
      </c>
      <c r="DK173">
        <v>39350.699999999997</v>
      </c>
      <c r="DL173">
        <v>44367.3</v>
      </c>
      <c r="DM173">
        <v>42571</v>
      </c>
      <c r="DN173">
        <v>1.4851000000000001</v>
      </c>
      <c r="DO173">
        <v>2.0299499999999999</v>
      </c>
      <c r="DP173">
        <v>0.112705</v>
      </c>
      <c r="DQ173">
        <v>0.15265500000000001</v>
      </c>
      <c r="DR173">
        <v>25.160900000000002</v>
      </c>
      <c r="DS173">
        <v>25.000900000000001</v>
      </c>
      <c r="DT173">
        <v>36.5</v>
      </c>
      <c r="DU173">
        <v>29.5</v>
      </c>
      <c r="DV173">
        <v>15.2477</v>
      </c>
      <c r="DW173">
        <v>61.778700000000001</v>
      </c>
      <c r="DX173">
        <v>37.267600000000002</v>
      </c>
      <c r="DY173">
        <v>1</v>
      </c>
      <c r="DZ173">
        <v>-9.5604700000000001E-2</v>
      </c>
      <c r="EA173">
        <v>-9.3115500000000004E-2</v>
      </c>
      <c r="EB173">
        <v>20.189699999999998</v>
      </c>
      <c r="EC173">
        <v>5.2408000000000001</v>
      </c>
      <c r="ED173">
        <v>12.039899999999999</v>
      </c>
      <c r="EE173">
        <v>5.0171999999999999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1.8689100000000001</v>
      </c>
      <c r="EL173">
        <v>1.86463</v>
      </c>
      <c r="EM173">
        <v>1.8691899999999999</v>
      </c>
      <c r="EN173">
        <v>1.8672299999999999</v>
      </c>
      <c r="EO173">
        <v>1.8633999999999999</v>
      </c>
      <c r="EP173">
        <v>1.86456</v>
      </c>
      <c r="EQ173">
        <v>1.87016</v>
      </c>
      <c r="ER173">
        <v>1.8694599999999999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-0.26300000000000001</v>
      </c>
      <c r="FG173">
        <v>0.1628</v>
      </c>
      <c r="FH173">
        <v>5.8509882529719233E-2</v>
      </c>
      <c r="FI173">
        <v>-6.1462078757559423E-4</v>
      </c>
      <c r="FJ173">
        <v>-1.8861989874597051E-7</v>
      </c>
      <c r="FK173">
        <v>1.1980462299894961E-10</v>
      </c>
      <c r="FL173">
        <v>0.16277811159127681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34.9</v>
      </c>
      <c r="FU173">
        <v>35.1</v>
      </c>
      <c r="FV173">
        <v>1.7687999999999999</v>
      </c>
      <c r="FW173">
        <v>2.5817899999999998</v>
      </c>
      <c r="FX173">
        <v>1.5490699999999999</v>
      </c>
      <c r="FY173">
        <v>2.3278799999999999</v>
      </c>
      <c r="FZ173">
        <v>1.50146</v>
      </c>
      <c r="GA173">
        <v>2.2900399999999999</v>
      </c>
      <c r="GB173">
        <v>33.941299999999998</v>
      </c>
      <c r="GC173">
        <v>23.982399999999998</v>
      </c>
      <c r="GD173">
        <v>19</v>
      </c>
      <c r="GE173">
        <v>286.54199999999997</v>
      </c>
      <c r="GF173">
        <v>577.43499999999995</v>
      </c>
      <c r="GG173">
        <v>24.7241</v>
      </c>
      <c r="GH173">
        <v>26.182400000000001</v>
      </c>
      <c r="GI173">
        <v>30.0001</v>
      </c>
      <c r="GJ173">
        <v>26.3172</v>
      </c>
      <c r="GK173">
        <v>26.2989</v>
      </c>
      <c r="GL173">
        <v>35.364899999999999</v>
      </c>
      <c r="GM173">
        <v>84.6554</v>
      </c>
      <c r="GN173">
        <v>39.725900000000003</v>
      </c>
      <c r="GO173">
        <v>24.737300000000001</v>
      </c>
      <c r="GP173">
        <v>800</v>
      </c>
      <c r="GQ173">
        <v>1.7716000000000001</v>
      </c>
      <c r="GR173">
        <v>99.750600000000006</v>
      </c>
      <c r="GS173">
        <v>99.588399999999993</v>
      </c>
    </row>
    <row r="174" spans="1:201" x14ac:dyDescent="0.25">
      <c r="A174">
        <v>158</v>
      </c>
      <c r="B174">
        <v>1690222625.0999999</v>
      </c>
      <c r="C174">
        <v>1742.599999904633</v>
      </c>
      <c r="D174" t="s">
        <v>647</v>
      </c>
      <c r="E174" t="s">
        <v>648</v>
      </c>
      <c r="F174" t="s">
        <v>330</v>
      </c>
      <c r="H174">
        <v>1690222625.0999999</v>
      </c>
      <c r="I174">
        <f t="shared" si="60"/>
        <v>2.1381687233152391E-3</v>
      </c>
      <c r="J174">
        <f t="shared" si="61"/>
        <v>2.1381687233152391</v>
      </c>
      <c r="K174">
        <f t="shared" si="62"/>
        <v>30.523506672408615</v>
      </c>
      <c r="L174">
        <f t="shared" si="63"/>
        <v>472.178</v>
      </c>
      <c r="M174">
        <f t="shared" si="64"/>
        <v>133.78022123865651</v>
      </c>
      <c r="N174">
        <f t="shared" si="65"/>
        <v>13.269779503375728</v>
      </c>
      <c r="O174">
        <f t="shared" si="66"/>
        <v>46.835757097211598</v>
      </c>
      <c r="P174">
        <f t="shared" si="67"/>
        <v>0.15224043931626824</v>
      </c>
      <c r="Q174">
        <f t="shared" si="68"/>
        <v>2.1917455414554432</v>
      </c>
      <c r="R174">
        <f t="shared" si="69"/>
        <v>0.1466001763477548</v>
      </c>
      <c r="S174">
        <f t="shared" si="70"/>
        <v>9.2114455492736683E-2</v>
      </c>
      <c r="T174">
        <f t="shared" si="71"/>
        <v>276.114933882</v>
      </c>
      <c r="U174">
        <f t="shared" si="72"/>
        <v>27.709691664860568</v>
      </c>
      <c r="V174">
        <f t="shared" si="73"/>
        <v>27.709691664860568</v>
      </c>
      <c r="W174">
        <f t="shared" si="74"/>
        <v>3.7310880721606452</v>
      </c>
      <c r="X174">
        <f t="shared" si="75"/>
        <v>67.7650786393625</v>
      </c>
      <c r="Y174">
        <f t="shared" si="76"/>
        <v>2.3285756280195402</v>
      </c>
      <c r="Z174">
        <f t="shared" si="77"/>
        <v>3.4362472157848978</v>
      </c>
      <c r="AA174">
        <f t="shared" si="78"/>
        <v>1.402512444141105</v>
      </c>
      <c r="AB174">
        <f t="shared" si="79"/>
        <v>-94.293240698202041</v>
      </c>
      <c r="AC174">
        <f t="shared" si="80"/>
        <v>-165.62582934727209</v>
      </c>
      <c r="AD174">
        <f t="shared" si="81"/>
        <v>-16.30998991923823</v>
      </c>
      <c r="AE174">
        <f t="shared" si="82"/>
        <v>-0.11412608271234603</v>
      </c>
      <c r="AF174">
        <v>0</v>
      </c>
      <c r="AG174">
        <v>0</v>
      </c>
      <c r="AH174">
        <f t="shared" si="83"/>
        <v>1</v>
      </c>
      <c r="AI174">
        <f t="shared" si="84"/>
        <v>0</v>
      </c>
      <c r="AJ174">
        <f t="shared" si="85"/>
        <v>52410.533922493887</v>
      </c>
      <c r="AK174">
        <f t="shared" si="86"/>
        <v>1800</v>
      </c>
      <c r="AL174">
        <f t="shared" si="87"/>
        <v>1499.1121421999999</v>
      </c>
      <c r="AM174">
        <f t="shared" si="88"/>
        <v>0.8328400789999999</v>
      </c>
      <c r="AN174">
        <f t="shared" si="89"/>
        <v>0.15339718549</v>
      </c>
      <c r="AO174">
        <v>31.2</v>
      </c>
      <c r="AP174">
        <v>0.5</v>
      </c>
      <c r="AQ174" t="s">
        <v>331</v>
      </c>
      <c r="AR174">
        <v>2</v>
      </c>
      <c r="AS174">
        <v>1690222625.0999999</v>
      </c>
      <c r="AT174">
        <v>472.178</v>
      </c>
      <c r="AU174">
        <v>799.94200000000001</v>
      </c>
      <c r="AV174">
        <v>23.4757</v>
      </c>
      <c r="AW174">
        <v>1.77271</v>
      </c>
      <c r="AX174">
        <v>472.43900000000002</v>
      </c>
      <c r="AY174">
        <v>23.312899999999999</v>
      </c>
      <c r="AZ174">
        <v>300.16500000000002</v>
      </c>
      <c r="BA174">
        <v>99.090900000000005</v>
      </c>
      <c r="BB174">
        <v>9.9992200000000003E-2</v>
      </c>
      <c r="BC174">
        <v>26.308</v>
      </c>
      <c r="BD174">
        <v>26.969100000000001</v>
      </c>
      <c r="BE174">
        <v>27.5031</v>
      </c>
      <c r="BF174">
        <v>0</v>
      </c>
      <c r="BG174">
        <v>0</v>
      </c>
      <c r="BH174">
        <v>9978.75</v>
      </c>
      <c r="BI174">
        <v>1074.95</v>
      </c>
      <c r="BJ174">
        <v>1.4577199999999999</v>
      </c>
      <c r="BK174">
        <v>-327.76400000000001</v>
      </c>
      <c r="BL174">
        <v>483.529</v>
      </c>
      <c r="BM174">
        <v>801.36199999999997</v>
      </c>
      <c r="BN174">
        <v>21.702999999999999</v>
      </c>
      <c r="BO174">
        <v>799.94200000000001</v>
      </c>
      <c r="BP174">
        <v>1.77271</v>
      </c>
      <c r="BQ174">
        <v>2.3262299999999998</v>
      </c>
      <c r="BR174">
        <v>0.17565900000000001</v>
      </c>
      <c r="BS174">
        <v>19.859200000000001</v>
      </c>
      <c r="BT174">
        <v>-16.073499999999999</v>
      </c>
      <c r="BU174">
        <v>1800</v>
      </c>
      <c r="BV174">
        <v>0.91000599999999998</v>
      </c>
      <c r="BW174">
        <v>3.4006099999999997E-2</v>
      </c>
      <c r="BX174">
        <v>2.19962E-2</v>
      </c>
      <c r="BY174">
        <v>3.3992099999999997E-2</v>
      </c>
      <c r="BZ174">
        <v>26</v>
      </c>
      <c r="CA174">
        <v>33528.300000000003</v>
      </c>
      <c r="CB174">
        <v>1690220522.5999999</v>
      </c>
      <c r="CC174" t="s">
        <v>332</v>
      </c>
      <c r="CD174">
        <v>1690220522.5999999</v>
      </c>
      <c r="CE174">
        <v>1690220510.5999999</v>
      </c>
      <c r="CF174">
        <v>10</v>
      </c>
      <c r="CG174">
        <v>-0.22</v>
      </c>
      <c r="CH174">
        <v>-2.7E-2</v>
      </c>
      <c r="CI174">
        <v>-0.49299999999999999</v>
      </c>
      <c r="CJ174">
        <v>0.152</v>
      </c>
      <c r="CK174">
        <v>800</v>
      </c>
      <c r="CL174">
        <v>19</v>
      </c>
      <c r="CM174">
        <v>0.1</v>
      </c>
      <c r="CN174">
        <v>0.03</v>
      </c>
      <c r="CO174">
        <v>-326.20292682926822</v>
      </c>
      <c r="CP174">
        <v>-9.1905783972130823</v>
      </c>
      <c r="CQ174">
        <v>0.90943805727047344</v>
      </c>
      <c r="CR174">
        <v>-1</v>
      </c>
      <c r="CS174">
        <v>21.526221951219512</v>
      </c>
      <c r="CT174">
        <v>1.0004926829267959</v>
      </c>
      <c r="CU174">
        <v>9.8666023292166186E-2</v>
      </c>
      <c r="CV174">
        <v>-1</v>
      </c>
      <c r="CW174">
        <v>0</v>
      </c>
      <c r="CX174">
        <v>0</v>
      </c>
      <c r="CY174" t="s">
        <v>333</v>
      </c>
      <c r="CZ174">
        <v>2.36456</v>
      </c>
      <c r="DA174">
        <v>2.7137600000000002</v>
      </c>
      <c r="DB174">
        <v>0.101411</v>
      </c>
      <c r="DC174">
        <v>0.14602899999999999</v>
      </c>
      <c r="DD174">
        <v>0.112248</v>
      </c>
      <c r="DE174">
        <v>1.36781E-2</v>
      </c>
      <c r="DF174">
        <v>32815.199999999997</v>
      </c>
      <c r="DG174">
        <v>27526.5</v>
      </c>
      <c r="DH174">
        <v>31175.8</v>
      </c>
      <c r="DI174">
        <v>28087.4</v>
      </c>
      <c r="DJ174">
        <v>37571.9</v>
      </c>
      <c r="DK174">
        <v>39399.199999999997</v>
      </c>
      <c r="DL174">
        <v>44367.6</v>
      </c>
      <c r="DM174">
        <v>42570.5</v>
      </c>
      <c r="DN174">
        <v>1.4854499999999999</v>
      </c>
      <c r="DO174">
        <v>2.0295999999999998</v>
      </c>
      <c r="DP174">
        <v>0.110336</v>
      </c>
      <c r="DQ174">
        <v>0.152722</v>
      </c>
      <c r="DR174">
        <v>25.161899999999999</v>
      </c>
      <c r="DS174">
        <v>25.002400000000002</v>
      </c>
      <c r="DT174">
        <v>36.1</v>
      </c>
      <c r="DU174">
        <v>29.5</v>
      </c>
      <c r="DV174">
        <v>15.081899999999999</v>
      </c>
      <c r="DW174">
        <v>61.948700000000002</v>
      </c>
      <c r="DX174">
        <v>36.394199999999998</v>
      </c>
      <c r="DY174">
        <v>1</v>
      </c>
      <c r="DZ174">
        <v>-9.53074E-2</v>
      </c>
      <c r="EA174">
        <v>0.14720900000000001</v>
      </c>
      <c r="EB174">
        <v>20.189499999999999</v>
      </c>
      <c r="EC174">
        <v>5.2411000000000003</v>
      </c>
      <c r="ED174">
        <v>12.039899999999999</v>
      </c>
      <c r="EE174">
        <v>5.0164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1.86893</v>
      </c>
      <c r="EL174">
        <v>1.86463</v>
      </c>
      <c r="EM174">
        <v>1.8691899999999999</v>
      </c>
      <c r="EN174">
        <v>1.8672299999999999</v>
      </c>
      <c r="EO174">
        <v>1.8633999999999999</v>
      </c>
      <c r="EP174">
        <v>1.8645799999999999</v>
      </c>
      <c r="EQ174">
        <v>1.87018</v>
      </c>
      <c r="ER174">
        <v>1.86947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-0.26100000000000001</v>
      </c>
      <c r="FG174">
        <v>0.1628</v>
      </c>
      <c r="FH174">
        <v>5.8509882529719233E-2</v>
      </c>
      <c r="FI174">
        <v>-6.1462078757559423E-4</v>
      </c>
      <c r="FJ174">
        <v>-1.8861989874597051E-7</v>
      </c>
      <c r="FK174">
        <v>1.1980462299894961E-10</v>
      </c>
      <c r="FL174">
        <v>0.16277811159127681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35</v>
      </c>
      <c r="FU174">
        <v>35.200000000000003</v>
      </c>
      <c r="FV174">
        <v>1.7687999999999999</v>
      </c>
      <c r="FW174">
        <v>2.5793499999999998</v>
      </c>
      <c r="FX174">
        <v>1.5490699999999999</v>
      </c>
      <c r="FY174">
        <v>2.3278799999999999</v>
      </c>
      <c r="FZ174">
        <v>1.50146</v>
      </c>
      <c r="GA174">
        <v>2.3877000000000002</v>
      </c>
      <c r="GB174">
        <v>33.941299999999998</v>
      </c>
      <c r="GC174">
        <v>23.991199999999999</v>
      </c>
      <c r="GD174">
        <v>19</v>
      </c>
      <c r="GE174">
        <v>286.69299999999998</v>
      </c>
      <c r="GF174">
        <v>577.12900000000002</v>
      </c>
      <c r="GG174">
        <v>24.706</v>
      </c>
      <c r="GH174">
        <v>26.180199999999999</v>
      </c>
      <c r="GI174">
        <v>30.0002</v>
      </c>
      <c r="GJ174">
        <v>26.3172</v>
      </c>
      <c r="GK174">
        <v>26.2973</v>
      </c>
      <c r="GL174">
        <v>35.359499999999997</v>
      </c>
      <c r="GM174">
        <v>86.0779</v>
      </c>
      <c r="GN174">
        <v>38.532499999999999</v>
      </c>
      <c r="GO174">
        <v>24.6922</v>
      </c>
      <c r="GP174">
        <v>800</v>
      </c>
      <c r="GQ174">
        <v>1.5952599999999999</v>
      </c>
      <c r="GR174">
        <v>99.751199999999997</v>
      </c>
      <c r="GS174">
        <v>99.587500000000006</v>
      </c>
    </row>
    <row r="175" spans="1:201" x14ac:dyDescent="0.25">
      <c r="A175">
        <v>159</v>
      </c>
      <c r="B175">
        <v>1690222635.0999999</v>
      </c>
      <c r="C175">
        <v>1752.599999904633</v>
      </c>
      <c r="D175" t="s">
        <v>649</v>
      </c>
      <c r="E175" t="s">
        <v>650</v>
      </c>
      <c r="F175" t="s">
        <v>330</v>
      </c>
      <c r="H175">
        <v>1690222635.0999999</v>
      </c>
      <c r="I175">
        <f t="shared" si="60"/>
        <v>2.1511648148978733E-3</v>
      </c>
      <c r="J175">
        <f t="shared" si="61"/>
        <v>2.1511648148978733</v>
      </c>
      <c r="K175">
        <f t="shared" si="62"/>
        <v>30.657715188393372</v>
      </c>
      <c r="L175">
        <f t="shared" si="63"/>
        <v>470.80200000000002</v>
      </c>
      <c r="M175">
        <f t="shared" si="64"/>
        <v>132.49632774676488</v>
      </c>
      <c r="N175">
        <f t="shared" si="65"/>
        <v>13.142120219482306</v>
      </c>
      <c r="O175">
        <f t="shared" si="66"/>
        <v>46.698173366723999</v>
      </c>
      <c r="P175">
        <f t="shared" si="67"/>
        <v>0.15295705482361241</v>
      </c>
      <c r="Q175">
        <f t="shared" si="68"/>
        <v>2.1956317703760568</v>
      </c>
      <c r="R175">
        <f t="shared" si="69"/>
        <v>0.14727430867151992</v>
      </c>
      <c r="S175">
        <f t="shared" si="70"/>
        <v>9.2539424620486171E-2</v>
      </c>
      <c r="T175">
        <f t="shared" si="71"/>
        <v>276.11497247399996</v>
      </c>
      <c r="U175">
        <f t="shared" si="72"/>
        <v>27.705916818808454</v>
      </c>
      <c r="V175">
        <f t="shared" si="73"/>
        <v>27.705916818808454</v>
      </c>
      <c r="W175">
        <f t="shared" si="74"/>
        <v>3.7302653107140369</v>
      </c>
      <c r="X175">
        <f t="shared" si="75"/>
        <v>67.669633980160754</v>
      </c>
      <c r="Y175">
        <f t="shared" si="76"/>
        <v>2.3256940509263995</v>
      </c>
      <c r="Z175">
        <f t="shared" si="77"/>
        <v>3.4368355703065303</v>
      </c>
      <c r="AA175">
        <f t="shared" si="78"/>
        <v>1.4045712597876374</v>
      </c>
      <c r="AB175">
        <f t="shared" si="79"/>
        <v>-94.866368336996217</v>
      </c>
      <c r="AC175">
        <f t="shared" si="80"/>
        <v>-165.12939636379073</v>
      </c>
      <c r="AD175">
        <f t="shared" si="81"/>
        <v>-16.232250016478933</v>
      </c>
      <c r="AE175">
        <f t="shared" si="82"/>
        <v>-0.11304224326593726</v>
      </c>
      <c r="AF175">
        <v>0</v>
      </c>
      <c r="AG175">
        <v>0</v>
      </c>
      <c r="AH175">
        <f t="shared" si="83"/>
        <v>1</v>
      </c>
      <c r="AI175">
        <f t="shared" si="84"/>
        <v>0</v>
      </c>
      <c r="AJ175">
        <f t="shared" si="85"/>
        <v>52569.208101712102</v>
      </c>
      <c r="AK175">
        <f t="shared" si="86"/>
        <v>1800</v>
      </c>
      <c r="AL175">
        <f t="shared" si="87"/>
        <v>1499.1119874000001</v>
      </c>
      <c r="AM175">
        <f t="shared" si="88"/>
        <v>0.832839993</v>
      </c>
      <c r="AN175">
        <f t="shared" si="89"/>
        <v>0.15339720692999997</v>
      </c>
      <c r="AO175">
        <v>31.2</v>
      </c>
      <c r="AP175">
        <v>0.5</v>
      </c>
      <c r="AQ175" t="s">
        <v>331</v>
      </c>
      <c r="AR175">
        <v>2</v>
      </c>
      <c r="AS175">
        <v>1690222635.0999999</v>
      </c>
      <c r="AT175">
        <v>470.80200000000002</v>
      </c>
      <c r="AU175">
        <v>800.07299999999998</v>
      </c>
      <c r="AV175">
        <v>23.447199999999999</v>
      </c>
      <c r="AW175">
        <v>1.60642</v>
      </c>
      <c r="AX175">
        <v>471.06200000000001</v>
      </c>
      <c r="AY175">
        <v>23.284500000000001</v>
      </c>
      <c r="AZ175">
        <v>300.09300000000002</v>
      </c>
      <c r="BA175">
        <v>99.088499999999996</v>
      </c>
      <c r="BB175">
        <v>0.100062</v>
      </c>
      <c r="BC175">
        <v>26.3109</v>
      </c>
      <c r="BD175">
        <v>26.976400000000002</v>
      </c>
      <c r="BE175">
        <v>27.503399999999999</v>
      </c>
      <c r="BF175">
        <v>0</v>
      </c>
      <c r="BG175">
        <v>0</v>
      </c>
      <c r="BH175">
        <v>10010.6</v>
      </c>
      <c r="BI175">
        <v>1075.01</v>
      </c>
      <c r="BJ175">
        <v>1.4577199999999999</v>
      </c>
      <c r="BK175">
        <v>-329.27100000000002</v>
      </c>
      <c r="BL175">
        <v>482.10599999999999</v>
      </c>
      <c r="BM175">
        <v>801.36</v>
      </c>
      <c r="BN175">
        <v>21.840800000000002</v>
      </c>
      <c r="BO175">
        <v>800.07299999999998</v>
      </c>
      <c r="BP175">
        <v>1.60642</v>
      </c>
      <c r="BQ175">
        <v>2.32335</v>
      </c>
      <c r="BR175">
        <v>0.15917799999999999</v>
      </c>
      <c r="BS175">
        <v>19.839200000000002</v>
      </c>
      <c r="BT175">
        <v>-17.248899999999999</v>
      </c>
      <c r="BU175">
        <v>1800</v>
      </c>
      <c r="BV175">
        <v>0.91000499999999995</v>
      </c>
      <c r="BW175">
        <v>3.4006500000000002E-2</v>
      </c>
      <c r="BX175">
        <v>2.1996399999999999E-2</v>
      </c>
      <c r="BY175">
        <v>3.3992500000000002E-2</v>
      </c>
      <c r="BZ175">
        <v>26</v>
      </c>
      <c r="CA175">
        <v>33528.400000000001</v>
      </c>
      <c r="CB175">
        <v>1690220522.5999999</v>
      </c>
      <c r="CC175" t="s">
        <v>332</v>
      </c>
      <c r="CD175">
        <v>1690220522.5999999</v>
      </c>
      <c r="CE175">
        <v>1690220510.5999999</v>
      </c>
      <c r="CF175">
        <v>10</v>
      </c>
      <c r="CG175">
        <v>-0.22</v>
      </c>
      <c r="CH175">
        <v>-2.7E-2</v>
      </c>
      <c r="CI175">
        <v>-0.49299999999999999</v>
      </c>
      <c r="CJ175">
        <v>0.152</v>
      </c>
      <c r="CK175">
        <v>800</v>
      </c>
      <c r="CL175">
        <v>19</v>
      </c>
      <c r="CM175">
        <v>0.1</v>
      </c>
      <c r="CN175">
        <v>0.03</v>
      </c>
      <c r="CO175">
        <v>-327.53780487804869</v>
      </c>
      <c r="CP175">
        <v>-8.5341533101047506</v>
      </c>
      <c r="CQ175">
        <v>0.84413081923136257</v>
      </c>
      <c r="CR175">
        <v>-1</v>
      </c>
      <c r="CS175">
        <v>21.671553658536581</v>
      </c>
      <c r="CT175">
        <v>0.94008083623693084</v>
      </c>
      <c r="CU175">
        <v>9.2828331192481073E-2</v>
      </c>
      <c r="CV175">
        <v>-1</v>
      </c>
      <c r="CW175">
        <v>0</v>
      </c>
      <c r="CX175">
        <v>0</v>
      </c>
      <c r="CY175" t="s">
        <v>333</v>
      </c>
      <c r="CZ175">
        <v>2.3643299999999998</v>
      </c>
      <c r="DA175">
        <v>2.7138599999999999</v>
      </c>
      <c r="DB175">
        <v>0.101189</v>
      </c>
      <c r="DC175">
        <v>0.146037</v>
      </c>
      <c r="DD175">
        <v>0.112148</v>
      </c>
      <c r="DE175">
        <v>1.24946E-2</v>
      </c>
      <c r="DF175">
        <v>32823.699999999997</v>
      </c>
      <c r="DG175">
        <v>27526.6</v>
      </c>
      <c r="DH175">
        <v>31176.2</v>
      </c>
      <c r="DI175">
        <v>28087.7</v>
      </c>
      <c r="DJ175">
        <v>37576.699999999997</v>
      </c>
      <c r="DK175">
        <v>39447</v>
      </c>
      <c r="DL175">
        <v>44368.3</v>
      </c>
      <c r="DM175">
        <v>42571</v>
      </c>
      <c r="DN175">
        <v>1.48573</v>
      </c>
      <c r="DO175">
        <v>2.0294699999999999</v>
      </c>
      <c r="DP175">
        <v>0.11071599999999999</v>
      </c>
      <c r="DQ175">
        <v>0.15270700000000001</v>
      </c>
      <c r="DR175">
        <v>25.163</v>
      </c>
      <c r="DS175">
        <v>25.003</v>
      </c>
      <c r="DT175">
        <v>35.700000000000003</v>
      </c>
      <c r="DU175">
        <v>29.5</v>
      </c>
      <c r="DV175">
        <v>14.914999999999999</v>
      </c>
      <c r="DW175">
        <v>61.698700000000002</v>
      </c>
      <c r="DX175">
        <v>36.967100000000002</v>
      </c>
      <c r="DY175">
        <v>1</v>
      </c>
      <c r="DZ175">
        <v>-9.57673E-2</v>
      </c>
      <c r="EA175">
        <v>-6.5166100000000005E-2</v>
      </c>
      <c r="EB175">
        <v>20.189800000000002</v>
      </c>
      <c r="EC175">
        <v>5.2408000000000001</v>
      </c>
      <c r="ED175">
        <v>12.039899999999999</v>
      </c>
      <c r="EE175">
        <v>5.0172499999999998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1.86893</v>
      </c>
      <c r="EL175">
        <v>1.8646400000000001</v>
      </c>
      <c r="EM175">
        <v>1.8692</v>
      </c>
      <c r="EN175">
        <v>1.8672299999999999</v>
      </c>
      <c r="EO175">
        <v>1.8633999999999999</v>
      </c>
      <c r="EP175">
        <v>1.86459</v>
      </c>
      <c r="EQ175">
        <v>1.87019</v>
      </c>
      <c r="ER175">
        <v>1.86947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-0.26</v>
      </c>
      <c r="FG175">
        <v>0.16270000000000001</v>
      </c>
      <c r="FH175">
        <v>5.8509882529719233E-2</v>
      </c>
      <c r="FI175">
        <v>-6.1462078757559423E-4</v>
      </c>
      <c r="FJ175">
        <v>-1.8861989874597051E-7</v>
      </c>
      <c r="FK175">
        <v>1.1980462299894961E-10</v>
      </c>
      <c r="FL175">
        <v>0.16277811159127681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35.200000000000003</v>
      </c>
      <c r="FU175">
        <v>35.4</v>
      </c>
      <c r="FV175">
        <v>1.7687999999999999</v>
      </c>
      <c r="FW175">
        <v>2.5817899999999998</v>
      </c>
      <c r="FX175">
        <v>1.5490699999999999</v>
      </c>
      <c r="FY175">
        <v>2.3278799999999999</v>
      </c>
      <c r="FZ175">
        <v>1.50146</v>
      </c>
      <c r="GA175">
        <v>2.3999000000000001</v>
      </c>
      <c r="GB175">
        <v>33.941299999999998</v>
      </c>
      <c r="GC175">
        <v>23.982399999999998</v>
      </c>
      <c r="GD175">
        <v>19</v>
      </c>
      <c r="GE175">
        <v>286.80099999999999</v>
      </c>
      <c r="GF175">
        <v>577.00900000000001</v>
      </c>
      <c r="GG175">
        <v>24.696899999999999</v>
      </c>
      <c r="GH175">
        <v>26.180199999999999</v>
      </c>
      <c r="GI175">
        <v>29.9999</v>
      </c>
      <c r="GJ175">
        <v>26.315100000000001</v>
      </c>
      <c r="GK175">
        <v>26.2956</v>
      </c>
      <c r="GL175">
        <v>35.351999999999997</v>
      </c>
      <c r="GM175">
        <v>87.284499999999994</v>
      </c>
      <c r="GN175">
        <v>37.712800000000001</v>
      </c>
      <c r="GO175">
        <v>24.728000000000002</v>
      </c>
      <c r="GP175">
        <v>800</v>
      </c>
      <c r="GQ175">
        <v>1.4368099999999999</v>
      </c>
      <c r="GR175">
        <v>99.752600000000001</v>
      </c>
      <c r="GS175">
        <v>99.5886</v>
      </c>
    </row>
    <row r="176" spans="1:201" x14ac:dyDescent="0.25">
      <c r="A176">
        <v>160</v>
      </c>
      <c r="B176">
        <v>1690222645.0999999</v>
      </c>
      <c r="C176">
        <v>1762.599999904633</v>
      </c>
      <c r="D176" t="s">
        <v>651</v>
      </c>
      <c r="E176" t="s">
        <v>652</v>
      </c>
      <c r="F176" t="s">
        <v>330</v>
      </c>
      <c r="H176">
        <v>1690222645.0999999</v>
      </c>
      <c r="I176">
        <f t="shared" si="60"/>
        <v>2.1672469264159186E-3</v>
      </c>
      <c r="J176">
        <f t="shared" si="61"/>
        <v>2.1672469264159187</v>
      </c>
      <c r="K176">
        <f t="shared" si="62"/>
        <v>30.787943081915635</v>
      </c>
      <c r="L176">
        <f t="shared" si="63"/>
        <v>469.35899999999998</v>
      </c>
      <c r="M176">
        <f t="shared" si="64"/>
        <v>132.36339323504944</v>
      </c>
      <c r="N176">
        <f t="shared" si="65"/>
        <v>13.129242738695515</v>
      </c>
      <c r="O176">
        <f t="shared" si="66"/>
        <v>46.556136798702298</v>
      </c>
      <c r="P176">
        <f t="shared" si="67"/>
        <v>0.15424799103645634</v>
      </c>
      <c r="Q176">
        <f t="shared" si="68"/>
        <v>2.1953545545851334</v>
      </c>
      <c r="R176">
        <f t="shared" si="69"/>
        <v>0.14847016544545155</v>
      </c>
      <c r="S176">
        <f t="shared" si="70"/>
        <v>9.329493605977987E-2</v>
      </c>
      <c r="T176">
        <f t="shared" si="71"/>
        <v>276.11473778999999</v>
      </c>
      <c r="U176">
        <f t="shared" si="72"/>
        <v>27.700616205620772</v>
      </c>
      <c r="V176">
        <f t="shared" si="73"/>
        <v>27.700616205620772</v>
      </c>
      <c r="W176">
        <f t="shared" si="74"/>
        <v>3.7291102619123748</v>
      </c>
      <c r="X176">
        <f t="shared" si="75"/>
        <v>67.660832012499185</v>
      </c>
      <c r="Y176">
        <f t="shared" si="76"/>
        <v>2.3253915417709199</v>
      </c>
      <c r="Z176">
        <f t="shared" si="77"/>
        <v>3.4368355703065303</v>
      </c>
      <c r="AA176">
        <f t="shared" si="78"/>
        <v>1.4037187201414549</v>
      </c>
      <c r="AB176">
        <f t="shared" si="79"/>
        <v>-95.575589454942019</v>
      </c>
      <c r="AC176">
        <f t="shared" si="80"/>
        <v>-164.48118834333795</v>
      </c>
      <c r="AD176">
        <f t="shared" si="81"/>
        <v>-16.170143495588782</v>
      </c>
      <c r="AE176">
        <f t="shared" si="82"/>
        <v>-0.11218350386874931</v>
      </c>
      <c r="AF176">
        <v>0</v>
      </c>
      <c r="AG176">
        <v>0</v>
      </c>
      <c r="AH176">
        <f t="shared" si="83"/>
        <v>1</v>
      </c>
      <c r="AI176">
        <f t="shared" si="84"/>
        <v>0</v>
      </c>
      <c r="AJ176">
        <f t="shared" si="85"/>
        <v>52557.89215976269</v>
      </c>
      <c r="AK176">
        <f t="shared" si="86"/>
        <v>1800</v>
      </c>
      <c r="AL176">
        <f t="shared" si="87"/>
        <v>1499.1113070000001</v>
      </c>
      <c r="AM176">
        <f t="shared" si="88"/>
        <v>0.83283961500000003</v>
      </c>
      <c r="AN176">
        <f t="shared" si="89"/>
        <v>0.15339707655000001</v>
      </c>
      <c r="AO176">
        <v>31.2</v>
      </c>
      <c r="AP176">
        <v>0.5</v>
      </c>
      <c r="AQ176" t="s">
        <v>331</v>
      </c>
      <c r="AR176">
        <v>2</v>
      </c>
      <c r="AS176">
        <v>1690222645.0999999</v>
      </c>
      <c r="AT176">
        <v>469.35899999999998</v>
      </c>
      <c r="AU176">
        <v>799.99599999999998</v>
      </c>
      <c r="AV176">
        <v>23.4436</v>
      </c>
      <c r="AW176">
        <v>1.44173</v>
      </c>
      <c r="AX176">
        <v>469.61799999999999</v>
      </c>
      <c r="AY176">
        <v>23.280799999999999</v>
      </c>
      <c r="AZ176">
        <v>300.12400000000002</v>
      </c>
      <c r="BA176">
        <v>99.090900000000005</v>
      </c>
      <c r="BB176">
        <v>9.9989700000000001E-2</v>
      </c>
      <c r="BC176">
        <v>26.3109</v>
      </c>
      <c r="BD176">
        <v>26.976700000000001</v>
      </c>
      <c r="BE176">
        <v>27.497699999999998</v>
      </c>
      <c r="BF176">
        <v>0</v>
      </c>
      <c r="BG176">
        <v>0</v>
      </c>
      <c r="BH176">
        <v>10008.1</v>
      </c>
      <c r="BI176">
        <v>1075.1199999999999</v>
      </c>
      <c r="BJ176">
        <v>1.4577199999999999</v>
      </c>
      <c r="BK176">
        <v>-330.637</v>
      </c>
      <c r="BL176">
        <v>480.62700000000001</v>
      </c>
      <c r="BM176">
        <v>801.15099999999995</v>
      </c>
      <c r="BN176">
        <v>22.001799999999999</v>
      </c>
      <c r="BO176">
        <v>799.99599999999998</v>
      </c>
      <c r="BP176">
        <v>1.44173</v>
      </c>
      <c r="BQ176">
        <v>2.3230400000000002</v>
      </c>
      <c r="BR176">
        <v>0.14286199999999999</v>
      </c>
      <c r="BS176">
        <v>19.8371</v>
      </c>
      <c r="BT176">
        <v>-18.524999999999999</v>
      </c>
      <c r="BU176">
        <v>1800</v>
      </c>
      <c r="BV176">
        <v>0.91000599999999998</v>
      </c>
      <c r="BW176">
        <v>3.4005899999999999E-2</v>
      </c>
      <c r="BX176">
        <v>2.1996000000000002E-2</v>
      </c>
      <c r="BY176">
        <v>3.3991899999999999E-2</v>
      </c>
      <c r="BZ176">
        <v>26</v>
      </c>
      <c r="CA176">
        <v>33528.5</v>
      </c>
      <c r="CB176">
        <v>1690220522.5999999</v>
      </c>
      <c r="CC176" t="s">
        <v>332</v>
      </c>
      <c r="CD176">
        <v>1690220522.5999999</v>
      </c>
      <c r="CE176">
        <v>1690220510.5999999</v>
      </c>
      <c r="CF176">
        <v>10</v>
      </c>
      <c r="CG176">
        <v>-0.22</v>
      </c>
      <c r="CH176">
        <v>-2.7E-2</v>
      </c>
      <c r="CI176">
        <v>-0.49299999999999999</v>
      </c>
      <c r="CJ176">
        <v>0.152</v>
      </c>
      <c r="CK176">
        <v>800</v>
      </c>
      <c r="CL176">
        <v>19</v>
      </c>
      <c r="CM176">
        <v>0.1</v>
      </c>
      <c r="CN176">
        <v>0.03</v>
      </c>
      <c r="CO176">
        <v>-329.11672499999997</v>
      </c>
      <c r="CP176">
        <v>-8.8217673545965383</v>
      </c>
      <c r="CQ176">
        <v>0.85111482737348998</v>
      </c>
      <c r="CR176">
        <v>-1</v>
      </c>
      <c r="CS176">
        <v>21.833942499999999</v>
      </c>
      <c r="CT176">
        <v>0.86837335834896046</v>
      </c>
      <c r="CU176">
        <v>8.3599601935356121E-2</v>
      </c>
      <c r="CV176">
        <v>-1</v>
      </c>
      <c r="CW176">
        <v>0</v>
      </c>
      <c r="CX176">
        <v>0</v>
      </c>
      <c r="CY176" t="s">
        <v>333</v>
      </c>
      <c r="CZ176">
        <v>2.3644400000000001</v>
      </c>
      <c r="DA176">
        <v>2.7137899999999999</v>
      </c>
      <c r="DB176">
        <v>0.100962</v>
      </c>
      <c r="DC176">
        <v>0.14602799999999999</v>
      </c>
      <c r="DD176">
        <v>0.112138</v>
      </c>
      <c r="DE176">
        <v>1.13055E-2</v>
      </c>
      <c r="DF176">
        <v>32832</v>
      </c>
      <c r="DG176">
        <v>27527</v>
      </c>
      <c r="DH176">
        <v>31176.2</v>
      </c>
      <c r="DI176">
        <v>28087.9</v>
      </c>
      <c r="DJ176">
        <v>37577.1</v>
      </c>
      <c r="DK176">
        <v>39495</v>
      </c>
      <c r="DL176">
        <v>44368.3</v>
      </c>
      <c r="DM176">
        <v>42571.3</v>
      </c>
      <c r="DN176">
        <v>1.4855700000000001</v>
      </c>
      <c r="DO176">
        <v>2.0293299999999999</v>
      </c>
      <c r="DP176">
        <v>0.110738</v>
      </c>
      <c r="DQ176">
        <v>0.15226000000000001</v>
      </c>
      <c r="DR176">
        <v>25.163</v>
      </c>
      <c r="DS176">
        <v>25.0046</v>
      </c>
      <c r="DT176">
        <v>35.200000000000003</v>
      </c>
      <c r="DU176">
        <v>29.5</v>
      </c>
      <c r="DV176">
        <v>14.7052</v>
      </c>
      <c r="DW176">
        <v>61.448700000000002</v>
      </c>
      <c r="DX176">
        <v>37.484000000000002</v>
      </c>
      <c r="DY176">
        <v>1</v>
      </c>
      <c r="DZ176">
        <v>-9.56148E-2</v>
      </c>
      <c r="EA176">
        <v>-0.11024</v>
      </c>
      <c r="EB176">
        <v>20.189800000000002</v>
      </c>
      <c r="EC176">
        <v>5.2409499999999998</v>
      </c>
      <c r="ED176">
        <v>12.039899999999999</v>
      </c>
      <c r="EE176">
        <v>5.0172499999999998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1.8689499999999999</v>
      </c>
      <c r="EL176">
        <v>1.86466</v>
      </c>
      <c r="EM176">
        <v>1.8692</v>
      </c>
      <c r="EN176">
        <v>1.8672299999999999</v>
      </c>
      <c r="EO176">
        <v>1.8633999999999999</v>
      </c>
      <c r="EP176">
        <v>1.8645799999999999</v>
      </c>
      <c r="EQ176">
        <v>1.8702099999999999</v>
      </c>
      <c r="ER176">
        <v>1.86947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-0.25900000000000001</v>
      </c>
      <c r="FG176">
        <v>0.1628</v>
      </c>
      <c r="FH176">
        <v>5.8509882529719233E-2</v>
      </c>
      <c r="FI176">
        <v>-6.1462078757559423E-4</v>
      </c>
      <c r="FJ176">
        <v>-1.8861989874597051E-7</v>
      </c>
      <c r="FK176">
        <v>1.1980462299894961E-10</v>
      </c>
      <c r="FL176">
        <v>0.16277811159127681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35.4</v>
      </c>
      <c r="FU176">
        <v>35.6</v>
      </c>
      <c r="FV176">
        <v>1.7675799999999999</v>
      </c>
      <c r="FW176">
        <v>2.5842299999999998</v>
      </c>
      <c r="FX176">
        <v>1.5490699999999999</v>
      </c>
      <c r="FY176">
        <v>2.3278799999999999</v>
      </c>
      <c r="FZ176">
        <v>1.50146</v>
      </c>
      <c r="GA176">
        <v>2.2766099999999998</v>
      </c>
      <c r="GB176">
        <v>33.941299999999998</v>
      </c>
      <c r="GC176">
        <v>23.982399999999998</v>
      </c>
      <c r="GD176">
        <v>19</v>
      </c>
      <c r="GE176">
        <v>286.73599999999999</v>
      </c>
      <c r="GF176">
        <v>576.87900000000002</v>
      </c>
      <c r="GG176">
        <v>24.7361</v>
      </c>
      <c r="GH176">
        <v>26.1784</v>
      </c>
      <c r="GI176">
        <v>30.0001</v>
      </c>
      <c r="GJ176">
        <v>26.315000000000001</v>
      </c>
      <c r="GK176">
        <v>26.295100000000001</v>
      </c>
      <c r="GL176">
        <v>35.352800000000002</v>
      </c>
      <c r="GM176">
        <v>88.504900000000006</v>
      </c>
      <c r="GN176">
        <v>36.900500000000001</v>
      </c>
      <c r="GO176">
        <v>24.714099999999998</v>
      </c>
      <c r="GP176">
        <v>800</v>
      </c>
      <c r="GQ176">
        <v>1.2660100000000001</v>
      </c>
      <c r="GR176">
        <v>99.752799999999993</v>
      </c>
      <c r="GS176">
        <v>99.589399999999998</v>
      </c>
    </row>
    <row r="177" spans="1:201" x14ac:dyDescent="0.25">
      <c r="A177">
        <v>161</v>
      </c>
      <c r="B177">
        <v>1690222655.0999999</v>
      </c>
      <c r="C177">
        <v>1772.599999904633</v>
      </c>
      <c r="D177" t="s">
        <v>653</v>
      </c>
      <c r="E177" t="s">
        <v>654</v>
      </c>
      <c r="F177" t="s">
        <v>330</v>
      </c>
      <c r="H177">
        <v>1690222655.0999999</v>
      </c>
      <c r="I177">
        <f t="shared" si="60"/>
        <v>2.1808816106124304E-3</v>
      </c>
      <c r="J177">
        <f t="shared" si="61"/>
        <v>2.1808816106124302</v>
      </c>
      <c r="K177">
        <f t="shared" si="62"/>
        <v>30.914011401505427</v>
      </c>
      <c r="L177">
        <f t="shared" si="63"/>
        <v>468.08199999999999</v>
      </c>
      <c r="M177">
        <f t="shared" si="64"/>
        <v>131.41602887245239</v>
      </c>
      <c r="N177">
        <f t="shared" si="65"/>
        <v>13.035066146710832</v>
      </c>
      <c r="O177">
        <f t="shared" si="66"/>
        <v>46.428733879993999</v>
      </c>
      <c r="P177">
        <f t="shared" si="67"/>
        <v>0.15505259994000881</v>
      </c>
      <c r="Q177">
        <f t="shared" si="68"/>
        <v>2.1952597822624029</v>
      </c>
      <c r="R177">
        <f t="shared" si="69"/>
        <v>0.14921532404748014</v>
      </c>
      <c r="S177">
        <f t="shared" si="70"/>
        <v>9.3765723958270181E-2</v>
      </c>
      <c r="T177">
        <f t="shared" si="71"/>
        <v>276.114933882</v>
      </c>
      <c r="U177">
        <f t="shared" si="72"/>
        <v>27.701936426350297</v>
      </c>
      <c r="V177">
        <f t="shared" si="73"/>
        <v>27.701936426350297</v>
      </c>
      <c r="W177">
        <f t="shared" si="74"/>
        <v>3.7293979200752307</v>
      </c>
      <c r="X177">
        <f t="shared" si="75"/>
        <v>67.594363863296962</v>
      </c>
      <c r="Y177">
        <f t="shared" si="76"/>
        <v>2.3239164269246997</v>
      </c>
      <c r="Z177">
        <f t="shared" si="77"/>
        <v>3.4380328389872781</v>
      </c>
      <c r="AA177">
        <f t="shared" si="78"/>
        <v>1.4054814931505311</v>
      </c>
      <c r="AB177">
        <f t="shared" si="79"/>
        <v>-96.176879028008173</v>
      </c>
      <c r="AC177">
        <f t="shared" si="80"/>
        <v>-163.93206702703287</v>
      </c>
      <c r="AD177">
        <f t="shared" si="81"/>
        <v>-16.117436403505941</v>
      </c>
      <c r="AE177">
        <f t="shared" si="82"/>
        <v>-0.11144857654699081</v>
      </c>
      <c r="AF177">
        <v>0</v>
      </c>
      <c r="AG177">
        <v>0</v>
      </c>
      <c r="AH177">
        <f t="shared" si="83"/>
        <v>1</v>
      </c>
      <c r="AI177">
        <f t="shared" si="84"/>
        <v>0</v>
      </c>
      <c r="AJ177">
        <f t="shared" si="85"/>
        <v>52552.933062924058</v>
      </c>
      <c r="AK177">
        <f t="shared" si="86"/>
        <v>1800</v>
      </c>
      <c r="AL177">
        <f t="shared" si="87"/>
        <v>1499.1121421999999</v>
      </c>
      <c r="AM177">
        <f t="shared" si="88"/>
        <v>0.8328400789999999</v>
      </c>
      <c r="AN177">
        <f t="shared" si="89"/>
        <v>0.15339718549</v>
      </c>
      <c r="AO177">
        <v>31.2</v>
      </c>
      <c r="AP177">
        <v>0.5</v>
      </c>
      <c r="AQ177" t="s">
        <v>331</v>
      </c>
      <c r="AR177">
        <v>2</v>
      </c>
      <c r="AS177">
        <v>1690222655.0999999</v>
      </c>
      <c r="AT177">
        <v>468.08199999999999</v>
      </c>
      <c r="AU177">
        <v>800.00300000000004</v>
      </c>
      <c r="AV177">
        <v>23.429099999999998</v>
      </c>
      <c r="AW177">
        <v>1.2927599999999999</v>
      </c>
      <c r="AX177">
        <v>468.34</v>
      </c>
      <c r="AY177">
        <v>23.266300000000001</v>
      </c>
      <c r="AZ177">
        <v>300.18200000000002</v>
      </c>
      <c r="BA177">
        <v>99.089200000000005</v>
      </c>
      <c r="BB177">
        <v>0.100117</v>
      </c>
      <c r="BC177">
        <v>26.316800000000001</v>
      </c>
      <c r="BD177">
        <v>26.9254</v>
      </c>
      <c r="BE177">
        <v>27.5093</v>
      </c>
      <c r="BF177">
        <v>0</v>
      </c>
      <c r="BG177">
        <v>0</v>
      </c>
      <c r="BH177">
        <v>10007.5</v>
      </c>
      <c r="BI177">
        <v>1075.21</v>
      </c>
      <c r="BJ177">
        <v>1.4577199999999999</v>
      </c>
      <c r="BK177">
        <v>-331.92200000000003</v>
      </c>
      <c r="BL177">
        <v>479.31099999999998</v>
      </c>
      <c r="BM177">
        <v>801.03899999999999</v>
      </c>
      <c r="BN177">
        <v>22.136299999999999</v>
      </c>
      <c r="BO177">
        <v>800.00300000000004</v>
      </c>
      <c r="BP177">
        <v>1.2927599999999999</v>
      </c>
      <c r="BQ177">
        <v>2.3215699999999999</v>
      </c>
      <c r="BR177">
        <v>0.12809899999999999</v>
      </c>
      <c r="BS177">
        <v>19.826799999999999</v>
      </c>
      <c r="BT177">
        <v>-19.7974</v>
      </c>
      <c r="BU177">
        <v>1800</v>
      </c>
      <c r="BV177">
        <v>0.91000599999999998</v>
      </c>
      <c r="BW177">
        <v>3.4006099999999997E-2</v>
      </c>
      <c r="BX177">
        <v>2.19962E-2</v>
      </c>
      <c r="BY177">
        <v>3.3992099999999997E-2</v>
      </c>
      <c r="BZ177">
        <v>26</v>
      </c>
      <c r="CA177">
        <v>33528.5</v>
      </c>
      <c r="CB177">
        <v>1690220522.5999999</v>
      </c>
      <c r="CC177" t="s">
        <v>332</v>
      </c>
      <c r="CD177">
        <v>1690220522.5999999</v>
      </c>
      <c r="CE177">
        <v>1690220510.5999999</v>
      </c>
      <c r="CF177">
        <v>10</v>
      </c>
      <c r="CG177">
        <v>-0.22</v>
      </c>
      <c r="CH177">
        <v>-2.7E-2</v>
      </c>
      <c r="CI177">
        <v>-0.49299999999999999</v>
      </c>
      <c r="CJ177">
        <v>0.152</v>
      </c>
      <c r="CK177">
        <v>800</v>
      </c>
      <c r="CL177">
        <v>19</v>
      </c>
      <c r="CM177">
        <v>0.1</v>
      </c>
      <c r="CN177">
        <v>0.03</v>
      </c>
      <c r="CO177">
        <v>-330.57531707317071</v>
      </c>
      <c r="CP177">
        <v>-7.9777630662018426</v>
      </c>
      <c r="CQ177">
        <v>0.78787802197636214</v>
      </c>
      <c r="CR177">
        <v>-1</v>
      </c>
      <c r="CS177">
        <v>21.98627317073171</v>
      </c>
      <c r="CT177">
        <v>0.9023247386759784</v>
      </c>
      <c r="CU177">
        <v>8.9048383736281239E-2</v>
      </c>
      <c r="CV177">
        <v>-1</v>
      </c>
      <c r="CW177">
        <v>0</v>
      </c>
      <c r="CX177">
        <v>0</v>
      </c>
      <c r="CY177" t="s">
        <v>333</v>
      </c>
      <c r="CZ177">
        <v>2.3646199999999999</v>
      </c>
      <c r="DA177">
        <v>2.7139099999999998</v>
      </c>
      <c r="DB177">
        <v>0.100757</v>
      </c>
      <c r="DC177">
        <v>0.14602399999999999</v>
      </c>
      <c r="DD177">
        <v>0.11208700000000001</v>
      </c>
      <c r="DE177">
        <v>1.02139E-2</v>
      </c>
      <c r="DF177">
        <v>32839.599999999999</v>
      </c>
      <c r="DG177">
        <v>27526.9</v>
      </c>
      <c r="DH177">
        <v>31176.3</v>
      </c>
      <c r="DI177">
        <v>28087.7</v>
      </c>
      <c r="DJ177">
        <v>37579.1</v>
      </c>
      <c r="DK177">
        <v>39538.300000000003</v>
      </c>
      <c r="DL177">
        <v>44368.1</v>
      </c>
      <c r="DM177">
        <v>42570.9</v>
      </c>
      <c r="DN177">
        <v>1.4857</v>
      </c>
      <c r="DO177">
        <v>2.0289199999999998</v>
      </c>
      <c r="DP177">
        <v>0.10756400000000001</v>
      </c>
      <c r="DQ177">
        <v>0.15296799999999999</v>
      </c>
      <c r="DR177">
        <v>25.163499999999999</v>
      </c>
      <c r="DS177">
        <v>25.0046</v>
      </c>
      <c r="DT177">
        <v>34.799999999999997</v>
      </c>
      <c r="DU177">
        <v>29.5</v>
      </c>
      <c r="DV177">
        <v>14.5367</v>
      </c>
      <c r="DW177">
        <v>61.678699999999999</v>
      </c>
      <c r="DX177">
        <v>36.5304</v>
      </c>
      <c r="DY177">
        <v>1</v>
      </c>
      <c r="DZ177">
        <v>-9.5939999999999998E-2</v>
      </c>
      <c r="EA177">
        <v>-3.5942300000000003E-2</v>
      </c>
      <c r="EB177">
        <v>20.189699999999998</v>
      </c>
      <c r="EC177">
        <v>5.2411000000000003</v>
      </c>
      <c r="ED177">
        <v>12.039899999999999</v>
      </c>
      <c r="EE177">
        <v>5.0172999999999996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1.8689199999999999</v>
      </c>
      <c r="EL177">
        <v>1.86466</v>
      </c>
      <c r="EM177">
        <v>1.8692</v>
      </c>
      <c r="EN177">
        <v>1.8672200000000001</v>
      </c>
      <c r="EO177">
        <v>1.8633999999999999</v>
      </c>
      <c r="EP177">
        <v>1.8645700000000001</v>
      </c>
      <c r="EQ177">
        <v>1.8702000000000001</v>
      </c>
      <c r="ER177">
        <v>1.8694599999999999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-0.25800000000000001</v>
      </c>
      <c r="FG177">
        <v>0.1628</v>
      </c>
      <c r="FH177">
        <v>5.8509882529719233E-2</v>
      </c>
      <c r="FI177">
        <v>-6.1462078757559423E-4</v>
      </c>
      <c r="FJ177">
        <v>-1.8861989874597051E-7</v>
      </c>
      <c r="FK177">
        <v>1.1980462299894961E-10</v>
      </c>
      <c r="FL177">
        <v>0.16277811159127681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35.5</v>
      </c>
      <c r="FU177">
        <v>35.700000000000003</v>
      </c>
      <c r="FV177">
        <v>1.7675799999999999</v>
      </c>
      <c r="FW177">
        <v>2.5769000000000002</v>
      </c>
      <c r="FX177">
        <v>1.5490699999999999</v>
      </c>
      <c r="FY177">
        <v>2.3278799999999999</v>
      </c>
      <c r="FZ177">
        <v>1.50146</v>
      </c>
      <c r="GA177">
        <v>2.4047900000000002</v>
      </c>
      <c r="GB177">
        <v>33.941299999999998</v>
      </c>
      <c r="GC177">
        <v>23.991199999999999</v>
      </c>
      <c r="GD177">
        <v>19</v>
      </c>
      <c r="GE177">
        <v>286.78100000000001</v>
      </c>
      <c r="GF177">
        <v>576.53499999999997</v>
      </c>
      <c r="GG177">
        <v>24.719799999999999</v>
      </c>
      <c r="GH177">
        <v>26.177900000000001</v>
      </c>
      <c r="GI177">
        <v>30.0002</v>
      </c>
      <c r="GJ177">
        <v>26.312799999999999</v>
      </c>
      <c r="GK177">
        <v>26.293399999999998</v>
      </c>
      <c r="GL177">
        <v>35.349499999999999</v>
      </c>
      <c r="GM177">
        <v>89.998000000000005</v>
      </c>
      <c r="GN177">
        <v>36.116700000000002</v>
      </c>
      <c r="GO177">
        <v>24.7456</v>
      </c>
      <c r="GP177">
        <v>800</v>
      </c>
      <c r="GQ177">
        <v>1.1058399999999999</v>
      </c>
      <c r="GR177">
        <v>99.752499999999998</v>
      </c>
      <c r="GS177">
        <v>99.588499999999996</v>
      </c>
    </row>
    <row r="178" spans="1:201" x14ac:dyDescent="0.25">
      <c r="A178">
        <v>162</v>
      </c>
      <c r="B178">
        <v>1690222665.0999999</v>
      </c>
      <c r="C178">
        <v>1782.599999904633</v>
      </c>
      <c r="D178" t="s">
        <v>655</v>
      </c>
      <c r="E178" t="s">
        <v>656</v>
      </c>
      <c r="F178" t="s">
        <v>330</v>
      </c>
      <c r="H178">
        <v>1690222665.0999999</v>
      </c>
      <c r="I178">
        <f t="shared" si="60"/>
        <v>2.1944306301185418E-3</v>
      </c>
      <c r="J178">
        <f t="shared" si="61"/>
        <v>2.1944306301185419</v>
      </c>
      <c r="K178">
        <f t="shared" si="62"/>
        <v>31.041411286111217</v>
      </c>
      <c r="L178">
        <f t="shared" si="63"/>
        <v>466.721</v>
      </c>
      <c r="M178">
        <f t="shared" si="64"/>
        <v>131.16160720906257</v>
      </c>
      <c r="N178">
        <f t="shared" si="65"/>
        <v>13.009155894518047</v>
      </c>
      <c r="O178">
        <f t="shared" si="66"/>
        <v>46.291337666879699</v>
      </c>
      <c r="P178">
        <f t="shared" si="67"/>
        <v>0.15623711888047784</v>
      </c>
      <c r="Q178">
        <f t="shared" si="68"/>
        <v>2.1971981909532703</v>
      </c>
      <c r="R178">
        <f t="shared" si="69"/>
        <v>0.15031716201273651</v>
      </c>
      <c r="S178">
        <f t="shared" si="70"/>
        <v>9.4461421495946357E-2</v>
      </c>
      <c r="T178">
        <f t="shared" si="71"/>
        <v>276.11475652799999</v>
      </c>
      <c r="U178">
        <f t="shared" si="72"/>
        <v>27.691132089023686</v>
      </c>
      <c r="V178">
        <f t="shared" si="73"/>
        <v>27.691132089023686</v>
      </c>
      <c r="W178">
        <f t="shared" si="74"/>
        <v>3.72704437079036</v>
      </c>
      <c r="X178">
        <f t="shared" si="75"/>
        <v>67.595341398376505</v>
      </c>
      <c r="Y178">
        <f t="shared" si="76"/>
        <v>2.3232504579265201</v>
      </c>
      <c r="Z178">
        <f t="shared" si="77"/>
        <v>3.4369978904823157</v>
      </c>
      <c r="AA178">
        <f t="shared" si="78"/>
        <v>1.4037939128638399</v>
      </c>
      <c r="AB178">
        <f t="shared" si="79"/>
        <v>-96.774390788227691</v>
      </c>
      <c r="AC178">
        <f t="shared" si="80"/>
        <v>-163.40110934870177</v>
      </c>
      <c r="AD178">
        <f t="shared" si="81"/>
        <v>-16.049783747632731</v>
      </c>
      <c r="AE178">
        <f t="shared" si="82"/>
        <v>-0.11052735656218715</v>
      </c>
      <c r="AF178">
        <v>0</v>
      </c>
      <c r="AG178">
        <v>0</v>
      </c>
      <c r="AH178">
        <f t="shared" si="83"/>
        <v>1</v>
      </c>
      <c r="AI178">
        <f t="shared" si="84"/>
        <v>0</v>
      </c>
      <c r="AJ178">
        <f t="shared" si="85"/>
        <v>52633.237455857452</v>
      </c>
      <c r="AK178">
        <f t="shared" si="86"/>
        <v>1800</v>
      </c>
      <c r="AL178">
        <f t="shared" si="87"/>
        <v>1499.1117227999998</v>
      </c>
      <c r="AM178">
        <f t="shared" si="88"/>
        <v>0.83283984599999994</v>
      </c>
      <c r="AN178">
        <f t="shared" si="89"/>
        <v>0.15339708695999998</v>
      </c>
      <c r="AO178">
        <v>31.2</v>
      </c>
      <c r="AP178">
        <v>0.5</v>
      </c>
      <c r="AQ178" t="s">
        <v>331</v>
      </c>
      <c r="AR178">
        <v>2</v>
      </c>
      <c r="AS178">
        <v>1690222665.0999999</v>
      </c>
      <c r="AT178">
        <v>466.721</v>
      </c>
      <c r="AU178">
        <v>800.05100000000004</v>
      </c>
      <c r="AV178">
        <v>23.4236</v>
      </c>
      <c r="AW178">
        <v>1.1462699999999999</v>
      </c>
      <c r="AX178">
        <v>466.97800000000001</v>
      </c>
      <c r="AY178">
        <v>23.260899999999999</v>
      </c>
      <c r="AZ178">
        <v>300.137</v>
      </c>
      <c r="BA178">
        <v>99.084199999999996</v>
      </c>
      <c r="BB178">
        <v>9.9975700000000001E-2</v>
      </c>
      <c r="BC178">
        <v>26.311699999999998</v>
      </c>
      <c r="BD178">
        <v>26.961300000000001</v>
      </c>
      <c r="BE178">
        <v>27.5108</v>
      </c>
      <c r="BF178">
        <v>0</v>
      </c>
      <c r="BG178">
        <v>0</v>
      </c>
      <c r="BH178">
        <v>10023.799999999999</v>
      </c>
      <c r="BI178">
        <v>1075.32</v>
      </c>
      <c r="BJ178">
        <v>1.5278</v>
      </c>
      <c r="BK178">
        <v>-333.33</v>
      </c>
      <c r="BL178">
        <v>477.91500000000002</v>
      </c>
      <c r="BM178">
        <v>800.96900000000005</v>
      </c>
      <c r="BN178">
        <v>22.2774</v>
      </c>
      <c r="BO178">
        <v>800.05100000000004</v>
      </c>
      <c r="BP178">
        <v>1.1462699999999999</v>
      </c>
      <c r="BQ178">
        <v>2.32091</v>
      </c>
      <c r="BR178">
        <v>0.113577</v>
      </c>
      <c r="BS178">
        <v>19.822299999999998</v>
      </c>
      <c r="BT178">
        <v>-21.184200000000001</v>
      </c>
      <c r="BU178">
        <v>1800</v>
      </c>
      <c r="BV178">
        <v>0.91000700000000001</v>
      </c>
      <c r="BW178">
        <v>3.4005599999999997E-2</v>
      </c>
      <c r="BX178">
        <v>2.1995799999999999E-2</v>
      </c>
      <c r="BY178">
        <v>3.3991599999999997E-2</v>
      </c>
      <c r="BZ178">
        <v>26</v>
      </c>
      <c r="CA178">
        <v>33528.400000000001</v>
      </c>
      <c r="CB178">
        <v>1690220522.5999999</v>
      </c>
      <c r="CC178" t="s">
        <v>332</v>
      </c>
      <c r="CD178">
        <v>1690220522.5999999</v>
      </c>
      <c r="CE178">
        <v>1690220510.5999999</v>
      </c>
      <c r="CF178">
        <v>10</v>
      </c>
      <c r="CG178">
        <v>-0.22</v>
      </c>
      <c r="CH178">
        <v>-2.7E-2</v>
      </c>
      <c r="CI178">
        <v>-0.49299999999999999</v>
      </c>
      <c r="CJ178">
        <v>0.152</v>
      </c>
      <c r="CK178">
        <v>800</v>
      </c>
      <c r="CL178">
        <v>19</v>
      </c>
      <c r="CM178">
        <v>0.1</v>
      </c>
      <c r="CN178">
        <v>0.03</v>
      </c>
      <c r="CO178">
        <v>-331.78597560975612</v>
      </c>
      <c r="CP178">
        <v>-8.2015191637632334</v>
      </c>
      <c r="CQ178">
        <v>0.80998131528599537</v>
      </c>
      <c r="CR178">
        <v>-1</v>
      </c>
      <c r="CS178">
        <v>22.11663658536585</v>
      </c>
      <c r="CT178">
        <v>0.82178675958195624</v>
      </c>
      <c r="CU178">
        <v>8.1039110570136713E-2</v>
      </c>
      <c r="CV178">
        <v>-1</v>
      </c>
      <c r="CW178">
        <v>0</v>
      </c>
      <c r="CX178">
        <v>0</v>
      </c>
      <c r="CY178" t="s">
        <v>333</v>
      </c>
      <c r="CZ178">
        <v>2.3645100000000001</v>
      </c>
      <c r="DA178">
        <v>2.7137899999999999</v>
      </c>
      <c r="DB178">
        <v>0.100536</v>
      </c>
      <c r="DC178">
        <v>0.14602200000000001</v>
      </c>
      <c r="DD178">
        <v>0.112065</v>
      </c>
      <c r="DE178">
        <v>9.1249599999999997E-3</v>
      </c>
      <c r="DF178">
        <v>32847.5</v>
      </c>
      <c r="DG178">
        <v>27527.1</v>
      </c>
      <c r="DH178">
        <v>31176.1</v>
      </c>
      <c r="DI178">
        <v>28087.8</v>
      </c>
      <c r="DJ178">
        <v>37579.9</v>
      </c>
      <c r="DK178">
        <v>39582.199999999997</v>
      </c>
      <c r="DL178">
        <v>44368</v>
      </c>
      <c r="DM178">
        <v>42571.1</v>
      </c>
      <c r="DN178">
        <v>1.486</v>
      </c>
      <c r="DO178">
        <v>2.02895</v>
      </c>
      <c r="DP178">
        <v>0.109665</v>
      </c>
      <c r="DQ178">
        <v>0.15293799999999999</v>
      </c>
      <c r="DR178">
        <v>25.165099999999999</v>
      </c>
      <c r="DS178">
        <v>25.006699999999999</v>
      </c>
      <c r="DT178">
        <v>34.4</v>
      </c>
      <c r="DU178">
        <v>29.5</v>
      </c>
      <c r="DV178">
        <v>14.3733</v>
      </c>
      <c r="DW178">
        <v>61.6387</v>
      </c>
      <c r="DX178">
        <v>37.0593</v>
      </c>
      <c r="DY178">
        <v>1</v>
      </c>
      <c r="DZ178">
        <v>-9.6039100000000002E-2</v>
      </c>
      <c r="EA178">
        <v>-0.27118999999999999</v>
      </c>
      <c r="EB178">
        <v>20.189399999999999</v>
      </c>
      <c r="EC178">
        <v>5.2416999999999998</v>
      </c>
      <c r="ED178">
        <v>12.039899999999999</v>
      </c>
      <c r="EE178">
        <v>5.0174500000000002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1.86893</v>
      </c>
      <c r="EL178">
        <v>1.8646499999999999</v>
      </c>
      <c r="EM178">
        <v>1.8691899999999999</v>
      </c>
      <c r="EN178">
        <v>1.8672299999999999</v>
      </c>
      <c r="EO178">
        <v>1.8633999999999999</v>
      </c>
      <c r="EP178">
        <v>1.8645700000000001</v>
      </c>
      <c r="EQ178">
        <v>1.8701700000000001</v>
      </c>
      <c r="ER178">
        <v>1.8694500000000001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-0.25700000000000001</v>
      </c>
      <c r="FG178">
        <v>0.16270000000000001</v>
      </c>
      <c r="FH178">
        <v>5.8509882529719233E-2</v>
      </c>
      <c r="FI178">
        <v>-6.1462078757559423E-4</v>
      </c>
      <c r="FJ178">
        <v>-1.8861989874597051E-7</v>
      </c>
      <c r="FK178">
        <v>1.1980462299894961E-10</v>
      </c>
      <c r="FL178">
        <v>0.16277811159127681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35.700000000000003</v>
      </c>
      <c r="FU178">
        <v>35.9</v>
      </c>
      <c r="FV178">
        <v>1.7675799999999999</v>
      </c>
      <c r="FW178">
        <v>2.5842299999999998</v>
      </c>
      <c r="FX178">
        <v>1.5490699999999999</v>
      </c>
      <c r="FY178">
        <v>2.3278799999999999</v>
      </c>
      <c r="FZ178">
        <v>1.50146</v>
      </c>
      <c r="GA178">
        <v>2.3107899999999999</v>
      </c>
      <c r="GB178">
        <v>33.941299999999998</v>
      </c>
      <c r="GC178">
        <v>23.982399999999998</v>
      </c>
      <c r="GD178">
        <v>19</v>
      </c>
      <c r="GE178">
        <v>286.91000000000003</v>
      </c>
      <c r="GF178">
        <v>576.548</v>
      </c>
      <c r="GG178">
        <v>24.782699999999998</v>
      </c>
      <c r="GH178">
        <v>26.177900000000001</v>
      </c>
      <c r="GI178">
        <v>30.0001</v>
      </c>
      <c r="GJ178">
        <v>26.312799999999999</v>
      </c>
      <c r="GK178">
        <v>26.292899999999999</v>
      </c>
      <c r="GL178">
        <v>35.346600000000002</v>
      </c>
      <c r="GM178">
        <v>91.749399999999994</v>
      </c>
      <c r="GN178">
        <v>35.305900000000001</v>
      </c>
      <c r="GO178">
        <v>24.8294</v>
      </c>
      <c r="GP178">
        <v>800</v>
      </c>
      <c r="GQ178">
        <v>0.93846300000000005</v>
      </c>
      <c r="GR178">
        <v>99.752200000000002</v>
      </c>
      <c r="GS178">
        <v>99.588899999999995</v>
      </c>
    </row>
    <row r="179" spans="1:201" x14ac:dyDescent="0.25">
      <c r="A179">
        <v>163</v>
      </c>
      <c r="B179">
        <v>1690222675.0999999</v>
      </c>
      <c r="C179">
        <v>1792.599999904633</v>
      </c>
      <c r="D179" t="s">
        <v>657</v>
      </c>
      <c r="E179" t="s">
        <v>658</v>
      </c>
      <c r="F179" t="s">
        <v>330</v>
      </c>
      <c r="H179">
        <v>1690222675.0999999</v>
      </c>
      <c r="I179">
        <f t="shared" si="60"/>
        <v>2.2096163902557428E-3</v>
      </c>
      <c r="J179">
        <f t="shared" si="61"/>
        <v>2.2096163902557429</v>
      </c>
      <c r="K179">
        <f t="shared" si="62"/>
        <v>31.1787073883782</v>
      </c>
      <c r="L179">
        <f t="shared" si="63"/>
        <v>465.40699999999998</v>
      </c>
      <c r="M179">
        <f t="shared" si="64"/>
        <v>130.30433962848161</v>
      </c>
      <c r="N179">
        <f t="shared" si="65"/>
        <v>12.924501225686434</v>
      </c>
      <c r="O179">
        <f t="shared" si="66"/>
        <v>46.162340863652005</v>
      </c>
      <c r="P179">
        <f t="shared" si="67"/>
        <v>0.15718308050620813</v>
      </c>
      <c r="Q179">
        <f t="shared" si="68"/>
        <v>2.1913117638290416</v>
      </c>
      <c r="R179">
        <f t="shared" si="69"/>
        <v>0.15117726788842709</v>
      </c>
      <c r="S179">
        <f t="shared" si="70"/>
        <v>9.5006270982849778E-2</v>
      </c>
      <c r="T179">
        <f t="shared" si="71"/>
        <v>276.114835836</v>
      </c>
      <c r="U179">
        <f t="shared" si="72"/>
        <v>27.699831477697046</v>
      </c>
      <c r="V179">
        <f t="shared" si="73"/>
        <v>27.699831477697046</v>
      </c>
      <c r="W179">
        <f t="shared" si="74"/>
        <v>3.7289392895319282</v>
      </c>
      <c r="X179">
        <f t="shared" si="75"/>
        <v>67.559153038512463</v>
      </c>
      <c r="Y179">
        <f t="shared" si="76"/>
        <v>2.3234463995964001</v>
      </c>
      <c r="Z179">
        <f t="shared" si="77"/>
        <v>3.4391289634313602</v>
      </c>
      <c r="AA179">
        <f t="shared" si="78"/>
        <v>1.4054928899355281</v>
      </c>
      <c r="AB179">
        <f t="shared" si="79"/>
        <v>-97.44408281027826</v>
      </c>
      <c r="AC179">
        <f t="shared" si="80"/>
        <v>-162.75062725256092</v>
      </c>
      <c r="AD179">
        <f t="shared" si="81"/>
        <v>-16.030372050084338</v>
      </c>
      <c r="AE179">
        <f t="shared" si="82"/>
        <v>-0.11024627692350464</v>
      </c>
      <c r="AF179">
        <v>0</v>
      </c>
      <c r="AG179">
        <v>0</v>
      </c>
      <c r="AH179">
        <f t="shared" si="83"/>
        <v>1</v>
      </c>
      <c r="AI179">
        <f t="shared" si="84"/>
        <v>0</v>
      </c>
      <c r="AJ179">
        <f t="shared" si="85"/>
        <v>52390.209593604413</v>
      </c>
      <c r="AK179">
        <f t="shared" si="86"/>
        <v>1800</v>
      </c>
      <c r="AL179">
        <f t="shared" si="87"/>
        <v>1499.1117246000001</v>
      </c>
      <c r="AM179">
        <f t="shared" si="88"/>
        <v>0.83283984700000002</v>
      </c>
      <c r="AN179">
        <f t="shared" si="89"/>
        <v>0.15339713101999999</v>
      </c>
      <c r="AO179">
        <v>31.2</v>
      </c>
      <c r="AP179">
        <v>0.5</v>
      </c>
      <c r="AQ179" t="s">
        <v>331</v>
      </c>
      <c r="AR179">
        <v>2</v>
      </c>
      <c r="AS179">
        <v>1690222675.0999999</v>
      </c>
      <c r="AT179">
        <v>465.40699999999998</v>
      </c>
      <c r="AU179">
        <v>800.06500000000005</v>
      </c>
      <c r="AV179">
        <v>23.424900000000001</v>
      </c>
      <c r="AW179">
        <v>1.0029999999999999</v>
      </c>
      <c r="AX179">
        <v>465.66300000000001</v>
      </c>
      <c r="AY179">
        <v>23.2621</v>
      </c>
      <c r="AZ179">
        <v>300.26499999999999</v>
      </c>
      <c r="BA179">
        <v>99.087000000000003</v>
      </c>
      <c r="BB179">
        <v>0.100036</v>
      </c>
      <c r="BC179">
        <v>26.322199999999999</v>
      </c>
      <c r="BD179">
        <v>26.966999999999999</v>
      </c>
      <c r="BE179">
        <v>27.515999999999998</v>
      </c>
      <c r="BF179">
        <v>0</v>
      </c>
      <c r="BG179">
        <v>0</v>
      </c>
      <c r="BH179">
        <v>9975.6200000000008</v>
      </c>
      <c r="BI179">
        <v>1075.3800000000001</v>
      </c>
      <c r="BJ179">
        <v>1.4857499999999999</v>
      </c>
      <c r="BK179">
        <v>-334.65899999999999</v>
      </c>
      <c r="BL179">
        <v>476.57</v>
      </c>
      <c r="BM179">
        <v>800.86800000000005</v>
      </c>
      <c r="BN179">
        <v>22.421900000000001</v>
      </c>
      <c r="BO179">
        <v>800.06500000000005</v>
      </c>
      <c r="BP179">
        <v>1.0029999999999999</v>
      </c>
      <c r="BQ179">
        <v>2.3210999999999999</v>
      </c>
      <c r="BR179">
        <v>9.9384399999999998E-2</v>
      </c>
      <c r="BS179">
        <v>19.823599999999999</v>
      </c>
      <c r="BT179">
        <v>-22.7026</v>
      </c>
      <c r="BU179">
        <v>1800</v>
      </c>
      <c r="BV179">
        <v>0.91000599999999998</v>
      </c>
      <c r="BW179">
        <v>3.4006000000000002E-2</v>
      </c>
      <c r="BX179">
        <v>2.1996100000000001E-2</v>
      </c>
      <c r="BY179">
        <v>3.3992000000000001E-2</v>
      </c>
      <c r="BZ179">
        <v>26</v>
      </c>
      <c r="CA179">
        <v>33528.400000000001</v>
      </c>
      <c r="CB179">
        <v>1690220522.5999999</v>
      </c>
      <c r="CC179" t="s">
        <v>332</v>
      </c>
      <c r="CD179">
        <v>1690220522.5999999</v>
      </c>
      <c r="CE179">
        <v>1690220510.5999999</v>
      </c>
      <c r="CF179">
        <v>10</v>
      </c>
      <c r="CG179">
        <v>-0.22</v>
      </c>
      <c r="CH179">
        <v>-2.7E-2</v>
      </c>
      <c r="CI179">
        <v>-0.49299999999999999</v>
      </c>
      <c r="CJ179">
        <v>0.152</v>
      </c>
      <c r="CK179">
        <v>800</v>
      </c>
      <c r="CL179">
        <v>19</v>
      </c>
      <c r="CM179">
        <v>0.1</v>
      </c>
      <c r="CN179">
        <v>0.03</v>
      </c>
      <c r="CO179">
        <v>-333.23520000000002</v>
      </c>
      <c r="CP179">
        <v>-8.3090881801125267</v>
      </c>
      <c r="CQ179">
        <v>0.80253103366785938</v>
      </c>
      <c r="CR179">
        <v>-1</v>
      </c>
      <c r="CS179">
        <v>22.2668</v>
      </c>
      <c r="CT179">
        <v>0.85768255159468443</v>
      </c>
      <c r="CU179">
        <v>8.2513247421247451E-2</v>
      </c>
      <c r="CV179">
        <v>-1</v>
      </c>
      <c r="CW179">
        <v>0</v>
      </c>
      <c r="CX179">
        <v>0</v>
      </c>
      <c r="CY179" t="s">
        <v>333</v>
      </c>
      <c r="CZ179">
        <v>2.3649200000000001</v>
      </c>
      <c r="DA179">
        <v>2.7138100000000001</v>
      </c>
      <c r="DB179">
        <v>0.100327</v>
      </c>
      <c r="DC179">
        <v>0.14602200000000001</v>
      </c>
      <c r="DD179">
        <v>0.11207</v>
      </c>
      <c r="DE179">
        <v>8.0452700000000002E-3</v>
      </c>
      <c r="DF179">
        <v>32854.800000000003</v>
      </c>
      <c r="DG179">
        <v>27527.8</v>
      </c>
      <c r="DH179">
        <v>31175.8</v>
      </c>
      <c r="DI179">
        <v>28088.6</v>
      </c>
      <c r="DJ179">
        <v>37579.4</v>
      </c>
      <c r="DK179">
        <v>39626.5</v>
      </c>
      <c r="DL179">
        <v>44367.6</v>
      </c>
      <c r="DM179">
        <v>42572.3</v>
      </c>
      <c r="DN179">
        <v>1.48617</v>
      </c>
      <c r="DO179">
        <v>2.0289199999999998</v>
      </c>
      <c r="DP179">
        <v>0.110142</v>
      </c>
      <c r="DQ179">
        <v>0.153251</v>
      </c>
      <c r="DR179">
        <v>25.163</v>
      </c>
      <c r="DS179">
        <v>25.006699999999999</v>
      </c>
      <c r="DT179">
        <v>34</v>
      </c>
      <c r="DU179">
        <v>29.5</v>
      </c>
      <c r="DV179">
        <v>14.2044</v>
      </c>
      <c r="DW179">
        <v>61.898699999999998</v>
      </c>
      <c r="DX179">
        <v>36.778799999999997</v>
      </c>
      <c r="DY179">
        <v>1</v>
      </c>
      <c r="DZ179">
        <v>-9.5896800000000004E-2</v>
      </c>
      <c r="EA179">
        <v>-0.19881799999999999</v>
      </c>
      <c r="EB179">
        <v>20.189599999999999</v>
      </c>
      <c r="EC179">
        <v>5.2411000000000003</v>
      </c>
      <c r="ED179">
        <v>12.039899999999999</v>
      </c>
      <c r="EE179">
        <v>5.0174000000000003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1.8689199999999999</v>
      </c>
      <c r="EL179">
        <v>1.8646499999999999</v>
      </c>
      <c r="EM179">
        <v>1.8692</v>
      </c>
      <c r="EN179">
        <v>1.8672299999999999</v>
      </c>
      <c r="EO179">
        <v>1.8633999999999999</v>
      </c>
      <c r="EP179">
        <v>1.86459</v>
      </c>
      <c r="EQ179">
        <v>1.8702000000000001</v>
      </c>
      <c r="ER179">
        <v>1.8694900000000001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-0.25600000000000001</v>
      </c>
      <c r="FG179">
        <v>0.1628</v>
      </c>
      <c r="FH179">
        <v>5.8509882529719233E-2</v>
      </c>
      <c r="FI179">
        <v>-6.1462078757559423E-4</v>
      </c>
      <c r="FJ179">
        <v>-1.8861989874597051E-7</v>
      </c>
      <c r="FK179">
        <v>1.1980462299894961E-10</v>
      </c>
      <c r="FL179">
        <v>0.16277811159127681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35.9</v>
      </c>
      <c r="FU179">
        <v>36.1</v>
      </c>
      <c r="FV179">
        <v>1.7675799999999999</v>
      </c>
      <c r="FW179">
        <v>2.5793499999999998</v>
      </c>
      <c r="FX179">
        <v>1.5490699999999999</v>
      </c>
      <c r="FY179">
        <v>2.3290999999999999</v>
      </c>
      <c r="FZ179">
        <v>1.50146</v>
      </c>
      <c r="GA179">
        <v>2.34497</v>
      </c>
      <c r="GB179">
        <v>33.941299999999998</v>
      </c>
      <c r="GC179">
        <v>23.991199999999999</v>
      </c>
      <c r="GD179">
        <v>19</v>
      </c>
      <c r="GE179">
        <v>286.97500000000002</v>
      </c>
      <c r="GF179">
        <v>576.50300000000004</v>
      </c>
      <c r="GG179">
        <v>24.852</v>
      </c>
      <c r="GH179">
        <v>26.175799999999999</v>
      </c>
      <c r="GI179">
        <v>30.0001</v>
      </c>
      <c r="GJ179">
        <v>26.310600000000001</v>
      </c>
      <c r="GK179">
        <v>26.290700000000001</v>
      </c>
      <c r="GL179">
        <v>35.344499999999996</v>
      </c>
      <c r="GM179">
        <v>94.010900000000007</v>
      </c>
      <c r="GN179">
        <v>34.486600000000003</v>
      </c>
      <c r="GO179">
        <v>24.8674</v>
      </c>
      <c r="GP179">
        <v>800</v>
      </c>
      <c r="GQ179">
        <v>0.76733300000000004</v>
      </c>
      <c r="GR179">
        <v>99.751300000000001</v>
      </c>
      <c r="GS179">
        <v>99.5916</v>
      </c>
    </row>
    <row r="180" spans="1:201" x14ac:dyDescent="0.25">
      <c r="A180">
        <v>164</v>
      </c>
      <c r="B180">
        <v>1690222685.0999999</v>
      </c>
      <c r="C180">
        <v>1802.599999904633</v>
      </c>
      <c r="D180" t="s">
        <v>659</v>
      </c>
      <c r="E180" t="s">
        <v>660</v>
      </c>
      <c r="F180" t="s">
        <v>330</v>
      </c>
      <c r="H180">
        <v>1690222685.0999999</v>
      </c>
      <c r="I180">
        <f t="shared" si="60"/>
        <v>2.2219782897593783E-3</v>
      </c>
      <c r="J180">
        <f t="shared" si="61"/>
        <v>2.2219782897593783</v>
      </c>
      <c r="K180">
        <f t="shared" si="62"/>
        <v>31.282782422432394</v>
      </c>
      <c r="L180">
        <f t="shared" si="63"/>
        <v>464.07600000000002</v>
      </c>
      <c r="M180">
        <f t="shared" si="64"/>
        <v>129.09893754389282</v>
      </c>
      <c r="N180">
        <f t="shared" si="65"/>
        <v>12.805853204640322</v>
      </c>
      <c r="O180">
        <f t="shared" si="66"/>
        <v>46.033602172567207</v>
      </c>
      <c r="P180">
        <f t="shared" si="67"/>
        <v>0.1577763581755455</v>
      </c>
      <c r="Q180">
        <f t="shared" si="68"/>
        <v>2.1927870875486342</v>
      </c>
      <c r="R180">
        <f t="shared" si="69"/>
        <v>0.15172996428371294</v>
      </c>
      <c r="S180">
        <f t="shared" si="70"/>
        <v>9.5355165827940069E-2</v>
      </c>
      <c r="T180">
        <f t="shared" si="71"/>
        <v>276.11468046000005</v>
      </c>
      <c r="U180">
        <f t="shared" si="72"/>
        <v>27.711264873475979</v>
      </c>
      <c r="V180">
        <f t="shared" si="73"/>
        <v>27.711264873475979</v>
      </c>
      <c r="W180">
        <f t="shared" si="74"/>
        <v>3.731431013789885</v>
      </c>
      <c r="X180">
        <f t="shared" si="75"/>
        <v>67.484363293209597</v>
      </c>
      <c r="Y180">
        <f t="shared" si="76"/>
        <v>2.3231357929342202</v>
      </c>
      <c r="Z180">
        <f t="shared" si="77"/>
        <v>3.4424801236406988</v>
      </c>
      <c r="AA180">
        <f t="shared" si="78"/>
        <v>1.4082952208556647</v>
      </c>
      <c r="AB180">
        <f t="shared" si="79"/>
        <v>-97.989242578388584</v>
      </c>
      <c r="AC180">
        <f t="shared" si="80"/>
        <v>-162.26123935180999</v>
      </c>
      <c r="AD180">
        <f t="shared" si="81"/>
        <v>-15.973646191292794</v>
      </c>
      <c r="AE180">
        <f t="shared" si="82"/>
        <v>-0.10944766149134466</v>
      </c>
      <c r="AF180">
        <v>0</v>
      </c>
      <c r="AG180">
        <v>0</v>
      </c>
      <c r="AH180">
        <f t="shared" si="83"/>
        <v>1</v>
      </c>
      <c r="AI180">
        <f t="shared" si="84"/>
        <v>0</v>
      </c>
      <c r="AJ180">
        <f t="shared" si="85"/>
        <v>52447.873357467048</v>
      </c>
      <c r="AK180">
        <f t="shared" si="86"/>
        <v>1800</v>
      </c>
      <c r="AL180">
        <f t="shared" si="87"/>
        <v>1499.111046</v>
      </c>
      <c r="AM180">
        <f t="shared" si="88"/>
        <v>0.83283947000000003</v>
      </c>
      <c r="AN180">
        <f t="shared" si="89"/>
        <v>0.15339704470000001</v>
      </c>
      <c r="AO180">
        <v>31.2</v>
      </c>
      <c r="AP180">
        <v>0.5</v>
      </c>
      <c r="AQ180" t="s">
        <v>331</v>
      </c>
      <c r="AR180">
        <v>2</v>
      </c>
      <c r="AS180">
        <v>1690222685.0999999</v>
      </c>
      <c r="AT180">
        <v>464.07600000000002</v>
      </c>
      <c r="AU180">
        <v>800.04700000000003</v>
      </c>
      <c r="AV180">
        <v>23.420100000000001</v>
      </c>
      <c r="AW180">
        <v>0.85904800000000003</v>
      </c>
      <c r="AX180">
        <v>464.33199999999999</v>
      </c>
      <c r="AY180">
        <v>23.257300000000001</v>
      </c>
      <c r="AZ180">
        <v>300.084</v>
      </c>
      <c r="BA180">
        <v>99.094200000000001</v>
      </c>
      <c r="BB180">
        <v>9.9902199999999997E-2</v>
      </c>
      <c r="BC180">
        <v>26.338699999999999</v>
      </c>
      <c r="BD180">
        <v>27.011199999999999</v>
      </c>
      <c r="BE180">
        <v>27.5123</v>
      </c>
      <c r="BF180">
        <v>0</v>
      </c>
      <c r="BG180">
        <v>0</v>
      </c>
      <c r="BH180">
        <v>9986.8799999999992</v>
      </c>
      <c r="BI180">
        <v>1075.48</v>
      </c>
      <c r="BJ180">
        <v>1.54182</v>
      </c>
      <c r="BK180">
        <v>-335.971</v>
      </c>
      <c r="BL180">
        <v>475.20600000000002</v>
      </c>
      <c r="BM180">
        <v>800.73500000000001</v>
      </c>
      <c r="BN180">
        <v>22.5611</v>
      </c>
      <c r="BO180">
        <v>800.04700000000003</v>
      </c>
      <c r="BP180">
        <v>0.85904800000000003</v>
      </c>
      <c r="BQ180">
        <v>2.3208000000000002</v>
      </c>
      <c r="BR180">
        <v>8.5126599999999997E-2</v>
      </c>
      <c r="BS180">
        <v>19.8215</v>
      </c>
      <c r="BT180">
        <v>-24.437899999999999</v>
      </c>
      <c r="BU180">
        <v>1800</v>
      </c>
      <c r="BV180">
        <v>0.91000599999999998</v>
      </c>
      <c r="BW180">
        <v>3.4005800000000003E-2</v>
      </c>
      <c r="BX180">
        <v>2.1996000000000002E-2</v>
      </c>
      <c r="BY180">
        <v>3.3991800000000003E-2</v>
      </c>
      <c r="BZ180">
        <v>26</v>
      </c>
      <c r="CA180">
        <v>33528.400000000001</v>
      </c>
      <c r="CB180">
        <v>1690220522.5999999</v>
      </c>
      <c r="CC180" t="s">
        <v>332</v>
      </c>
      <c r="CD180">
        <v>1690220522.5999999</v>
      </c>
      <c r="CE180">
        <v>1690220510.5999999</v>
      </c>
      <c r="CF180">
        <v>10</v>
      </c>
      <c r="CG180">
        <v>-0.22</v>
      </c>
      <c r="CH180">
        <v>-2.7E-2</v>
      </c>
      <c r="CI180">
        <v>-0.49299999999999999</v>
      </c>
      <c r="CJ180">
        <v>0.152</v>
      </c>
      <c r="CK180">
        <v>800</v>
      </c>
      <c r="CL180">
        <v>19</v>
      </c>
      <c r="CM180">
        <v>0.1</v>
      </c>
      <c r="CN180">
        <v>0.03</v>
      </c>
      <c r="CO180">
        <v>-334.57114634146342</v>
      </c>
      <c r="CP180">
        <v>-7.9106132404184066</v>
      </c>
      <c r="CQ180">
        <v>0.78455886505125605</v>
      </c>
      <c r="CR180">
        <v>-1</v>
      </c>
      <c r="CS180">
        <v>22.41313902439024</v>
      </c>
      <c r="CT180">
        <v>0.85590522648086953</v>
      </c>
      <c r="CU180">
        <v>8.440112378759633E-2</v>
      </c>
      <c r="CV180">
        <v>-1</v>
      </c>
      <c r="CW180">
        <v>0</v>
      </c>
      <c r="CX180">
        <v>0</v>
      </c>
      <c r="CY180" t="s">
        <v>333</v>
      </c>
      <c r="CZ180">
        <v>2.3643399999999999</v>
      </c>
      <c r="DA180">
        <v>2.7136800000000001</v>
      </c>
      <c r="DB180">
        <v>0.100122</v>
      </c>
      <c r="DC180">
        <v>0.14602799999999999</v>
      </c>
      <c r="DD180">
        <v>0.112063</v>
      </c>
      <c r="DE180">
        <v>6.9450099999999997E-3</v>
      </c>
      <c r="DF180">
        <v>32862.199999999997</v>
      </c>
      <c r="DG180">
        <v>27527.7</v>
      </c>
      <c r="DH180">
        <v>31175.7</v>
      </c>
      <c r="DI180">
        <v>28088.6</v>
      </c>
      <c r="DJ180">
        <v>37579.5</v>
      </c>
      <c r="DK180">
        <v>39670.300000000003</v>
      </c>
      <c r="DL180">
        <v>44367.4</v>
      </c>
      <c r="DM180">
        <v>42572</v>
      </c>
      <c r="DN180">
        <v>1.48573</v>
      </c>
      <c r="DO180">
        <v>2.0284499999999999</v>
      </c>
      <c r="DP180">
        <v>0.11271200000000001</v>
      </c>
      <c r="DQ180">
        <v>0.153027</v>
      </c>
      <c r="DR180">
        <v>25.165099999999999</v>
      </c>
      <c r="DS180">
        <v>25.006699999999999</v>
      </c>
      <c r="DT180">
        <v>33.5</v>
      </c>
      <c r="DU180">
        <v>29.5</v>
      </c>
      <c r="DV180">
        <v>13.995799999999999</v>
      </c>
      <c r="DW180">
        <v>61.948700000000002</v>
      </c>
      <c r="DX180">
        <v>36.871000000000002</v>
      </c>
      <c r="DY180">
        <v>1</v>
      </c>
      <c r="DZ180">
        <v>-9.5607200000000003E-2</v>
      </c>
      <c r="EA180">
        <v>-0.20022100000000001</v>
      </c>
      <c r="EB180">
        <v>20.189699999999998</v>
      </c>
      <c r="EC180">
        <v>5.2413999999999996</v>
      </c>
      <c r="ED180">
        <v>12.039899999999999</v>
      </c>
      <c r="EE180">
        <v>5.0170000000000003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1.8689100000000001</v>
      </c>
      <c r="EL180">
        <v>1.86466</v>
      </c>
      <c r="EM180">
        <v>1.8691899999999999</v>
      </c>
      <c r="EN180">
        <v>1.8672500000000001</v>
      </c>
      <c r="EO180">
        <v>1.8633999999999999</v>
      </c>
      <c r="EP180">
        <v>1.86456</v>
      </c>
      <c r="EQ180">
        <v>1.87018</v>
      </c>
      <c r="ER180">
        <v>1.86944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-0.25600000000000001</v>
      </c>
      <c r="FG180">
        <v>0.1628</v>
      </c>
      <c r="FH180">
        <v>5.8509882529719233E-2</v>
      </c>
      <c r="FI180">
        <v>-6.1462078757559423E-4</v>
      </c>
      <c r="FJ180">
        <v>-1.8861989874597051E-7</v>
      </c>
      <c r="FK180">
        <v>1.1980462299894961E-10</v>
      </c>
      <c r="FL180">
        <v>0.16277811159127681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36</v>
      </c>
      <c r="FU180">
        <v>36.200000000000003</v>
      </c>
      <c r="FV180">
        <v>1.7675799999999999</v>
      </c>
      <c r="FW180">
        <v>2.5781200000000002</v>
      </c>
      <c r="FX180">
        <v>1.5490699999999999</v>
      </c>
      <c r="FY180">
        <v>2.3290999999999999</v>
      </c>
      <c r="FZ180">
        <v>1.50146</v>
      </c>
      <c r="GA180">
        <v>2.3877000000000002</v>
      </c>
      <c r="GB180">
        <v>33.941299999999998</v>
      </c>
      <c r="GC180">
        <v>23.982399999999998</v>
      </c>
      <c r="GD180">
        <v>19</v>
      </c>
      <c r="GE180">
        <v>286.78100000000001</v>
      </c>
      <c r="GF180">
        <v>576.11500000000001</v>
      </c>
      <c r="GG180">
        <v>24.888400000000001</v>
      </c>
      <c r="GH180">
        <v>26.175799999999999</v>
      </c>
      <c r="GI180">
        <v>30.0001</v>
      </c>
      <c r="GJ180">
        <v>26.310600000000001</v>
      </c>
      <c r="GK180">
        <v>26.290700000000001</v>
      </c>
      <c r="GL180">
        <v>35.345700000000001</v>
      </c>
      <c r="GM180">
        <v>96.530900000000003</v>
      </c>
      <c r="GN180">
        <v>33.678800000000003</v>
      </c>
      <c r="GO180">
        <v>24.804600000000001</v>
      </c>
      <c r="GP180">
        <v>800</v>
      </c>
      <c r="GQ180">
        <v>0.600499</v>
      </c>
      <c r="GR180">
        <v>99.750799999999998</v>
      </c>
      <c r="GS180">
        <v>99.591300000000004</v>
      </c>
    </row>
    <row r="181" spans="1:201" x14ac:dyDescent="0.25">
      <c r="A181">
        <v>165</v>
      </c>
      <c r="B181">
        <v>1690222695.0999999</v>
      </c>
      <c r="C181">
        <v>1812.599999904633</v>
      </c>
      <c r="D181" t="s">
        <v>661</v>
      </c>
      <c r="E181" t="s">
        <v>662</v>
      </c>
      <c r="F181" t="s">
        <v>330</v>
      </c>
      <c r="H181">
        <v>1690222695.0999999</v>
      </c>
      <c r="I181">
        <f t="shared" si="60"/>
        <v>2.2314000719258773E-3</v>
      </c>
      <c r="J181">
        <f t="shared" si="61"/>
        <v>2.2314000719258771</v>
      </c>
      <c r="K181">
        <f t="shared" si="62"/>
        <v>31.39175082713685</v>
      </c>
      <c r="L181">
        <f t="shared" si="63"/>
        <v>462.892</v>
      </c>
      <c r="M181">
        <f t="shared" si="64"/>
        <v>127.95428794281969</v>
      </c>
      <c r="N181">
        <f t="shared" si="65"/>
        <v>12.691638059436567</v>
      </c>
      <c r="O181">
        <f t="shared" si="66"/>
        <v>45.913722932318393</v>
      </c>
      <c r="P181">
        <f t="shared" si="67"/>
        <v>0.15834582171964504</v>
      </c>
      <c r="Q181">
        <f t="shared" si="68"/>
        <v>2.195796337540147</v>
      </c>
      <c r="R181">
        <f t="shared" si="69"/>
        <v>0.15226460867549552</v>
      </c>
      <c r="S181">
        <f t="shared" si="70"/>
        <v>9.5692294113394749E-2</v>
      </c>
      <c r="T181">
        <f t="shared" si="71"/>
        <v>276.11636980731021</v>
      </c>
      <c r="U181">
        <f t="shared" si="72"/>
        <v>27.709063171052723</v>
      </c>
      <c r="V181">
        <f t="shared" si="73"/>
        <v>27.709063171052723</v>
      </c>
      <c r="W181">
        <f t="shared" si="74"/>
        <v>3.7309510753296444</v>
      </c>
      <c r="X181">
        <f t="shared" si="75"/>
        <v>67.432294555526866</v>
      </c>
      <c r="Y181">
        <f t="shared" si="76"/>
        <v>2.3217132995963996</v>
      </c>
      <c r="Z181">
        <f t="shared" si="77"/>
        <v>3.4430287667055337</v>
      </c>
      <c r="AA181">
        <f t="shared" si="78"/>
        <v>1.4092377757332448</v>
      </c>
      <c r="AB181">
        <f t="shared" si="79"/>
        <v>-98.404743171931187</v>
      </c>
      <c r="AC181">
        <f t="shared" si="80"/>
        <v>-161.90365456643528</v>
      </c>
      <c r="AD181">
        <f t="shared" si="81"/>
        <v>-15.916640179452177</v>
      </c>
      <c r="AE181">
        <f t="shared" si="82"/>
        <v>-0.10866811050846081</v>
      </c>
      <c r="AF181">
        <v>0</v>
      </c>
      <c r="AG181">
        <v>0</v>
      </c>
      <c r="AH181">
        <f t="shared" si="83"/>
        <v>1</v>
      </c>
      <c r="AI181">
        <f t="shared" si="84"/>
        <v>0</v>
      </c>
      <c r="AJ181">
        <f t="shared" si="85"/>
        <v>52570.609222671257</v>
      </c>
      <c r="AK181">
        <f t="shared" si="86"/>
        <v>1800.01</v>
      </c>
      <c r="AL181">
        <f t="shared" si="87"/>
        <v>1499.1200529984701</v>
      </c>
      <c r="AM181">
        <f t="shared" si="88"/>
        <v>0.83283984700000002</v>
      </c>
      <c r="AN181">
        <f t="shared" si="89"/>
        <v>0.15339713101999999</v>
      </c>
      <c r="AO181">
        <v>31.2</v>
      </c>
      <c r="AP181">
        <v>0.5</v>
      </c>
      <c r="AQ181" t="s">
        <v>331</v>
      </c>
      <c r="AR181">
        <v>2</v>
      </c>
      <c r="AS181">
        <v>1690222695.0999999</v>
      </c>
      <c r="AT181">
        <v>462.892</v>
      </c>
      <c r="AU181">
        <v>799.97799999999995</v>
      </c>
      <c r="AV181">
        <v>23.407</v>
      </c>
      <c r="AW181">
        <v>0.75239500000000004</v>
      </c>
      <c r="AX181">
        <v>463.14699999999999</v>
      </c>
      <c r="AY181">
        <v>23.244199999999999</v>
      </c>
      <c r="AZ181">
        <v>300.11599999999999</v>
      </c>
      <c r="BA181">
        <v>99.088899999999995</v>
      </c>
      <c r="BB181">
        <v>9.9945199999999998E-2</v>
      </c>
      <c r="BC181">
        <v>26.3414</v>
      </c>
      <c r="BD181">
        <v>26.996400000000001</v>
      </c>
      <c r="BE181">
        <v>27.504899999999999</v>
      </c>
      <c r="BF181">
        <v>0</v>
      </c>
      <c r="BG181">
        <v>0</v>
      </c>
      <c r="BH181">
        <v>10011.9</v>
      </c>
      <c r="BI181">
        <v>1075.6300000000001</v>
      </c>
      <c r="BJ181">
        <v>1.62592</v>
      </c>
      <c r="BK181">
        <v>-337.08600000000001</v>
      </c>
      <c r="BL181">
        <v>473.98700000000002</v>
      </c>
      <c r="BM181">
        <v>800.58</v>
      </c>
      <c r="BN181">
        <v>22.654599999999999</v>
      </c>
      <c r="BO181">
        <v>799.97799999999995</v>
      </c>
      <c r="BP181">
        <v>0.75239500000000004</v>
      </c>
      <c r="BQ181">
        <v>2.3193700000000002</v>
      </c>
      <c r="BR181">
        <v>7.4553999999999995E-2</v>
      </c>
      <c r="BS181">
        <v>19.811599999999999</v>
      </c>
      <c r="BT181">
        <v>-25.9023</v>
      </c>
      <c r="BU181">
        <v>1800.01</v>
      </c>
      <c r="BV181">
        <v>0.91000599999999998</v>
      </c>
      <c r="BW181">
        <v>3.4006000000000002E-2</v>
      </c>
      <c r="BX181">
        <v>2.1996100000000001E-2</v>
      </c>
      <c r="BY181">
        <v>3.3992000000000001E-2</v>
      </c>
      <c r="BZ181">
        <v>26</v>
      </c>
      <c r="CA181">
        <v>33528.6</v>
      </c>
      <c r="CB181">
        <v>1690220522.5999999</v>
      </c>
      <c r="CC181" t="s">
        <v>332</v>
      </c>
      <c r="CD181">
        <v>1690220522.5999999</v>
      </c>
      <c r="CE181">
        <v>1690220510.5999999</v>
      </c>
      <c r="CF181">
        <v>10</v>
      </c>
      <c r="CG181">
        <v>-0.22</v>
      </c>
      <c r="CH181">
        <v>-2.7E-2</v>
      </c>
      <c r="CI181">
        <v>-0.49299999999999999</v>
      </c>
      <c r="CJ181">
        <v>0.152</v>
      </c>
      <c r="CK181">
        <v>800</v>
      </c>
      <c r="CL181">
        <v>19</v>
      </c>
      <c r="CM181">
        <v>0.1</v>
      </c>
      <c r="CN181">
        <v>0.03</v>
      </c>
      <c r="CO181">
        <v>-335.7136585365854</v>
      </c>
      <c r="CP181">
        <v>-7.6026271777000849</v>
      </c>
      <c r="CQ181">
        <v>0.75190070081796045</v>
      </c>
      <c r="CR181">
        <v>-1</v>
      </c>
      <c r="CS181">
        <v>22.53435609756097</v>
      </c>
      <c r="CT181">
        <v>0.76404878048782443</v>
      </c>
      <c r="CU181">
        <v>7.5525841317539449E-2</v>
      </c>
      <c r="CV181">
        <v>-1</v>
      </c>
      <c r="CW181">
        <v>0</v>
      </c>
      <c r="CX181">
        <v>0</v>
      </c>
      <c r="CY181" t="s">
        <v>333</v>
      </c>
      <c r="CZ181">
        <v>2.3644400000000001</v>
      </c>
      <c r="DA181">
        <v>2.7137500000000001</v>
      </c>
      <c r="DB181">
        <v>9.9928299999999998E-2</v>
      </c>
      <c r="DC181">
        <v>0.146012</v>
      </c>
      <c r="DD181">
        <v>0.112014</v>
      </c>
      <c r="DE181">
        <v>6.1185299999999996E-3</v>
      </c>
      <c r="DF181">
        <v>32869.300000000003</v>
      </c>
      <c r="DG181">
        <v>27528.6</v>
      </c>
      <c r="DH181">
        <v>31175.7</v>
      </c>
      <c r="DI181">
        <v>28089.1</v>
      </c>
      <c r="DJ181">
        <v>37581.5</v>
      </c>
      <c r="DK181">
        <v>39703.9</v>
      </c>
      <c r="DL181">
        <v>44367.4</v>
      </c>
      <c r="DM181">
        <v>42572.6</v>
      </c>
      <c r="DN181">
        <v>1.4861</v>
      </c>
      <c r="DO181">
        <v>2.0283799999999998</v>
      </c>
      <c r="DP181">
        <v>0.11151999999999999</v>
      </c>
      <c r="DQ181">
        <v>0.152446</v>
      </c>
      <c r="DR181">
        <v>25.169899999999998</v>
      </c>
      <c r="DS181">
        <v>25.008800000000001</v>
      </c>
      <c r="DT181">
        <v>33.1</v>
      </c>
      <c r="DU181">
        <v>29.5</v>
      </c>
      <c r="DV181">
        <v>13.8261</v>
      </c>
      <c r="DW181">
        <v>61.668700000000001</v>
      </c>
      <c r="DX181">
        <v>37.087299999999999</v>
      </c>
      <c r="DY181">
        <v>1</v>
      </c>
      <c r="DZ181">
        <v>-9.6267800000000001E-2</v>
      </c>
      <c r="EA181">
        <v>3.3041899999999999E-2</v>
      </c>
      <c r="EB181">
        <v>20.189699999999998</v>
      </c>
      <c r="EC181">
        <v>5.2409499999999998</v>
      </c>
      <c r="ED181">
        <v>12.039899999999999</v>
      </c>
      <c r="EE181">
        <v>5.0172499999999998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1.86893</v>
      </c>
      <c r="EL181">
        <v>1.8646499999999999</v>
      </c>
      <c r="EM181">
        <v>1.8691899999999999</v>
      </c>
      <c r="EN181">
        <v>1.8672299999999999</v>
      </c>
      <c r="EO181">
        <v>1.8633999999999999</v>
      </c>
      <c r="EP181">
        <v>1.8645400000000001</v>
      </c>
      <c r="EQ181">
        <v>1.87018</v>
      </c>
      <c r="ER181">
        <v>1.8694599999999999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-0.255</v>
      </c>
      <c r="FG181">
        <v>0.1628</v>
      </c>
      <c r="FH181">
        <v>5.8509882529719233E-2</v>
      </c>
      <c r="FI181">
        <v>-6.1462078757559423E-4</v>
      </c>
      <c r="FJ181">
        <v>-1.8861989874597051E-7</v>
      </c>
      <c r="FK181">
        <v>1.1980462299894961E-10</v>
      </c>
      <c r="FL181">
        <v>0.16277811159127681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36.200000000000003</v>
      </c>
      <c r="FU181">
        <v>36.4</v>
      </c>
      <c r="FV181">
        <v>1.7675799999999999</v>
      </c>
      <c r="FW181">
        <v>2.5781200000000002</v>
      </c>
      <c r="FX181">
        <v>1.5490699999999999</v>
      </c>
      <c r="FY181">
        <v>2.3290999999999999</v>
      </c>
      <c r="FZ181">
        <v>1.50146</v>
      </c>
      <c r="GA181">
        <v>2.3730500000000001</v>
      </c>
      <c r="GB181">
        <v>33.941299999999998</v>
      </c>
      <c r="GC181">
        <v>23.991199999999999</v>
      </c>
      <c r="GD181">
        <v>19</v>
      </c>
      <c r="GE181">
        <v>286.93299999999999</v>
      </c>
      <c r="GF181">
        <v>576.02800000000002</v>
      </c>
      <c r="GG181">
        <v>24.799299999999999</v>
      </c>
      <c r="GH181">
        <v>26.175799999999999</v>
      </c>
      <c r="GI181">
        <v>29.999700000000001</v>
      </c>
      <c r="GJ181">
        <v>26.308399999999999</v>
      </c>
      <c r="GK181">
        <v>26.288499999999999</v>
      </c>
      <c r="GL181">
        <v>35.345100000000002</v>
      </c>
      <c r="GM181">
        <v>99.789500000000004</v>
      </c>
      <c r="GN181">
        <v>32.866</v>
      </c>
      <c r="GO181">
        <v>24.8019</v>
      </c>
      <c r="GP181">
        <v>800</v>
      </c>
      <c r="GQ181">
        <v>0.44428200000000001</v>
      </c>
      <c r="GR181">
        <v>99.750900000000001</v>
      </c>
      <c r="GS181">
        <v>99.592699999999994</v>
      </c>
    </row>
    <row r="182" spans="1:201" x14ac:dyDescent="0.25">
      <c r="A182">
        <v>166</v>
      </c>
      <c r="B182">
        <v>1690222705.0999999</v>
      </c>
      <c r="C182">
        <v>1822.599999904633</v>
      </c>
      <c r="D182" t="s">
        <v>663</v>
      </c>
      <c r="E182" t="s">
        <v>664</v>
      </c>
      <c r="F182" t="s">
        <v>330</v>
      </c>
      <c r="H182">
        <v>1690222705.0999999</v>
      </c>
      <c r="I182">
        <f t="shared" si="60"/>
        <v>2.2635667644280285E-3</v>
      </c>
      <c r="J182">
        <f t="shared" si="61"/>
        <v>2.2635667644280284</v>
      </c>
      <c r="K182">
        <f t="shared" si="62"/>
        <v>31.483505136422519</v>
      </c>
      <c r="L182">
        <f t="shared" si="63"/>
        <v>461.779</v>
      </c>
      <c r="M182">
        <f t="shared" si="64"/>
        <v>131.11838068463703</v>
      </c>
      <c r="N182">
        <f t="shared" si="65"/>
        <v>13.005627590965823</v>
      </c>
      <c r="O182">
        <f t="shared" si="66"/>
        <v>45.803842847735005</v>
      </c>
      <c r="P182">
        <f t="shared" si="67"/>
        <v>0.16100196318416191</v>
      </c>
      <c r="Q182">
        <f t="shared" si="68"/>
        <v>2.1955754657445321</v>
      </c>
      <c r="R182">
        <f t="shared" si="69"/>
        <v>0.15471877031260303</v>
      </c>
      <c r="S182">
        <f t="shared" si="70"/>
        <v>9.7243320374273717E-2</v>
      </c>
      <c r="T182">
        <f t="shared" si="71"/>
        <v>276.11468046000005</v>
      </c>
      <c r="U182">
        <f t="shared" si="72"/>
        <v>27.691365734822771</v>
      </c>
      <c r="V182">
        <f t="shared" si="73"/>
        <v>27.691365734822771</v>
      </c>
      <c r="W182">
        <f t="shared" si="74"/>
        <v>3.7270952530164121</v>
      </c>
      <c r="X182">
        <f t="shared" si="75"/>
        <v>67.414699631901939</v>
      </c>
      <c r="Y182">
        <f t="shared" si="76"/>
        <v>2.3201623903115003</v>
      </c>
      <c r="Z182">
        <f t="shared" si="77"/>
        <v>3.4416268306171531</v>
      </c>
      <c r="AA182">
        <f t="shared" si="78"/>
        <v>1.4069328627049118</v>
      </c>
      <c r="AB182">
        <f t="shared" si="79"/>
        <v>-99.823294311276058</v>
      </c>
      <c r="AC182">
        <f t="shared" si="80"/>
        <v>-160.60929945670409</v>
      </c>
      <c r="AD182">
        <f t="shared" si="81"/>
        <v>-15.789038254767467</v>
      </c>
      <c r="AE182">
        <f t="shared" si="82"/>
        <v>-0.10695156274761075</v>
      </c>
      <c r="AF182">
        <v>0</v>
      </c>
      <c r="AG182">
        <v>0</v>
      </c>
      <c r="AH182">
        <f t="shared" si="83"/>
        <v>1</v>
      </c>
      <c r="AI182">
        <f t="shared" si="84"/>
        <v>0</v>
      </c>
      <c r="AJ182">
        <f t="shared" si="85"/>
        <v>52562.785085937685</v>
      </c>
      <c r="AK182">
        <f t="shared" si="86"/>
        <v>1800</v>
      </c>
      <c r="AL182">
        <f t="shared" si="87"/>
        <v>1499.111046</v>
      </c>
      <c r="AM182">
        <f t="shared" si="88"/>
        <v>0.83283947000000003</v>
      </c>
      <c r="AN182">
        <f t="shared" si="89"/>
        <v>0.15339704470000001</v>
      </c>
      <c r="AO182">
        <v>31.2</v>
      </c>
      <c r="AP182">
        <v>0.5</v>
      </c>
      <c r="AQ182" t="s">
        <v>331</v>
      </c>
      <c r="AR182">
        <v>2</v>
      </c>
      <c r="AS182">
        <v>1690222705.0999999</v>
      </c>
      <c r="AT182">
        <v>461.779</v>
      </c>
      <c r="AU182">
        <v>799.96100000000001</v>
      </c>
      <c r="AV182">
        <v>23.391100000000002</v>
      </c>
      <c r="AW182">
        <v>0.40862500000000002</v>
      </c>
      <c r="AX182">
        <v>462.03300000000002</v>
      </c>
      <c r="AY182">
        <v>23.228300000000001</v>
      </c>
      <c r="AZ182">
        <v>300.10399999999998</v>
      </c>
      <c r="BA182">
        <v>99.0899</v>
      </c>
      <c r="BB182">
        <v>0.100065</v>
      </c>
      <c r="BC182">
        <v>26.334499999999998</v>
      </c>
      <c r="BD182">
        <v>26.9755</v>
      </c>
      <c r="BE182">
        <v>27.535599999999999</v>
      </c>
      <c r="BF182">
        <v>0</v>
      </c>
      <c r="BG182">
        <v>0</v>
      </c>
      <c r="BH182">
        <v>10010</v>
      </c>
      <c r="BI182">
        <v>1075.8</v>
      </c>
      <c r="BJ182">
        <v>1.6399300000000001</v>
      </c>
      <c r="BK182">
        <v>-338.18200000000002</v>
      </c>
      <c r="BL182">
        <v>472.84</v>
      </c>
      <c r="BM182">
        <v>800.28800000000001</v>
      </c>
      <c r="BN182">
        <v>22.982500000000002</v>
      </c>
      <c r="BO182">
        <v>799.96100000000001</v>
      </c>
      <c r="BP182">
        <v>0.40862500000000002</v>
      </c>
      <c r="BQ182">
        <v>2.3178200000000002</v>
      </c>
      <c r="BR182">
        <v>4.0490600000000002E-2</v>
      </c>
      <c r="BS182">
        <v>19.800799999999999</v>
      </c>
      <c r="BT182">
        <v>-32.395200000000003</v>
      </c>
      <c r="BU182">
        <v>1800</v>
      </c>
      <c r="BV182">
        <v>0.91000599999999998</v>
      </c>
      <c r="BW182">
        <v>3.4005800000000003E-2</v>
      </c>
      <c r="BX182">
        <v>2.1996000000000002E-2</v>
      </c>
      <c r="BY182">
        <v>3.3991800000000003E-2</v>
      </c>
      <c r="BZ182">
        <v>26</v>
      </c>
      <c r="CA182">
        <v>33528.5</v>
      </c>
      <c r="CB182">
        <v>1690220522.5999999</v>
      </c>
      <c r="CC182" t="s">
        <v>332</v>
      </c>
      <c r="CD182">
        <v>1690220522.5999999</v>
      </c>
      <c r="CE182">
        <v>1690220510.5999999</v>
      </c>
      <c r="CF182">
        <v>10</v>
      </c>
      <c r="CG182">
        <v>-0.22</v>
      </c>
      <c r="CH182">
        <v>-2.7E-2</v>
      </c>
      <c r="CI182">
        <v>-0.49299999999999999</v>
      </c>
      <c r="CJ182">
        <v>0.152</v>
      </c>
      <c r="CK182">
        <v>800</v>
      </c>
      <c r="CL182">
        <v>19</v>
      </c>
      <c r="CM182">
        <v>0.1</v>
      </c>
      <c r="CN182">
        <v>0.03</v>
      </c>
      <c r="CO182">
        <v>-337.03632499999998</v>
      </c>
      <c r="CP182">
        <v>-6.9896397748590129</v>
      </c>
      <c r="CQ182">
        <v>0.68225487860110168</v>
      </c>
      <c r="CR182">
        <v>-1</v>
      </c>
      <c r="CS182">
        <v>22.695427500000001</v>
      </c>
      <c r="CT182">
        <v>1.16751332082549</v>
      </c>
      <c r="CU182">
        <v>0.1220964556969206</v>
      </c>
      <c r="CV182">
        <v>-1</v>
      </c>
      <c r="CW182">
        <v>0</v>
      </c>
      <c r="CX182">
        <v>0</v>
      </c>
      <c r="CY182" t="s">
        <v>333</v>
      </c>
      <c r="CZ182">
        <v>2.3644599999999998</v>
      </c>
      <c r="DA182">
        <v>2.7138599999999999</v>
      </c>
      <c r="DB182">
        <v>9.9750199999999997E-2</v>
      </c>
      <c r="DC182">
        <v>0.14600399999999999</v>
      </c>
      <c r="DD182">
        <v>0.111961</v>
      </c>
      <c r="DE182">
        <v>3.3890299999999999E-3</v>
      </c>
      <c r="DF182">
        <v>32875.599999999999</v>
      </c>
      <c r="DG182">
        <v>27529</v>
      </c>
      <c r="DH182">
        <v>31175.5</v>
      </c>
      <c r="DI182">
        <v>28089.200000000001</v>
      </c>
      <c r="DJ182">
        <v>37583.5</v>
      </c>
      <c r="DK182">
        <v>39813.5</v>
      </c>
      <c r="DL182">
        <v>44367</v>
      </c>
      <c r="DM182">
        <v>42572.800000000003</v>
      </c>
      <c r="DN182">
        <v>1.4859199999999999</v>
      </c>
      <c r="DO182">
        <v>2.0283799999999998</v>
      </c>
      <c r="DP182">
        <v>0.109851</v>
      </c>
      <c r="DQ182">
        <v>0.15387700000000001</v>
      </c>
      <c r="DR182">
        <v>25.176300000000001</v>
      </c>
      <c r="DS182">
        <v>25.016200000000001</v>
      </c>
      <c r="DT182">
        <v>32.6</v>
      </c>
      <c r="DU182">
        <v>29.5</v>
      </c>
      <c r="DV182">
        <v>13.6187</v>
      </c>
      <c r="DW182">
        <v>61.688699999999997</v>
      </c>
      <c r="DX182">
        <v>36.866999999999997</v>
      </c>
      <c r="DY182">
        <v>1</v>
      </c>
      <c r="DZ182">
        <v>-9.6018800000000001E-2</v>
      </c>
      <c r="EA182">
        <v>-0.13338800000000001</v>
      </c>
      <c r="EB182">
        <v>20.189699999999998</v>
      </c>
      <c r="EC182">
        <v>5.24125</v>
      </c>
      <c r="ED182">
        <v>12.039899999999999</v>
      </c>
      <c r="EE182">
        <v>5.0175000000000001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1.8689100000000001</v>
      </c>
      <c r="EL182">
        <v>1.86463</v>
      </c>
      <c r="EM182">
        <v>1.8692</v>
      </c>
      <c r="EN182">
        <v>1.86724</v>
      </c>
      <c r="EO182">
        <v>1.8633999999999999</v>
      </c>
      <c r="EP182">
        <v>1.86452</v>
      </c>
      <c r="EQ182">
        <v>1.8701700000000001</v>
      </c>
      <c r="ER182">
        <v>1.86944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-0.254</v>
      </c>
      <c r="FG182">
        <v>0.1628</v>
      </c>
      <c r="FH182">
        <v>5.8509882529719233E-2</v>
      </c>
      <c r="FI182">
        <v>-6.1462078757559423E-4</v>
      </c>
      <c r="FJ182">
        <v>-1.8861989874597051E-7</v>
      </c>
      <c r="FK182">
        <v>1.1980462299894961E-10</v>
      </c>
      <c r="FL182">
        <v>0.16277811159127681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36.4</v>
      </c>
      <c r="FU182">
        <v>36.6</v>
      </c>
      <c r="FV182">
        <v>1.7675799999999999</v>
      </c>
      <c r="FW182">
        <v>2.5854499999999998</v>
      </c>
      <c r="FX182">
        <v>1.5490699999999999</v>
      </c>
      <c r="FY182">
        <v>2.3290999999999999</v>
      </c>
      <c r="FZ182">
        <v>1.50146</v>
      </c>
      <c r="GA182">
        <v>2.2668499999999998</v>
      </c>
      <c r="GB182">
        <v>33.941299999999998</v>
      </c>
      <c r="GC182">
        <v>23.982399999999998</v>
      </c>
      <c r="GD182">
        <v>19</v>
      </c>
      <c r="GE182">
        <v>286.85700000000003</v>
      </c>
      <c r="GF182">
        <v>575.99900000000002</v>
      </c>
      <c r="GG182">
        <v>24.806899999999999</v>
      </c>
      <c r="GH182">
        <v>26.1736</v>
      </c>
      <c r="GI182">
        <v>30.000299999999999</v>
      </c>
      <c r="GJ182">
        <v>26.308299999999999</v>
      </c>
      <c r="GK182">
        <v>26.285699999999999</v>
      </c>
      <c r="GL182">
        <v>35.3414</v>
      </c>
      <c r="GM182">
        <v>100</v>
      </c>
      <c r="GN182">
        <v>32.089599999999997</v>
      </c>
      <c r="GO182">
        <v>24.8445</v>
      </c>
      <c r="GP182">
        <v>800</v>
      </c>
      <c r="GQ182">
        <v>0.38801799999999997</v>
      </c>
      <c r="GR182">
        <v>99.750200000000007</v>
      </c>
      <c r="GS182">
        <v>99.593299999999999</v>
      </c>
    </row>
    <row r="183" spans="1:201" x14ac:dyDescent="0.25">
      <c r="A183">
        <v>167</v>
      </c>
      <c r="B183">
        <v>1690222715.0999999</v>
      </c>
      <c r="C183">
        <v>1832.599999904633</v>
      </c>
      <c r="D183" t="s">
        <v>665</v>
      </c>
      <c r="E183" t="s">
        <v>666</v>
      </c>
      <c r="F183" t="s">
        <v>330</v>
      </c>
      <c r="H183">
        <v>1690222715.0999999</v>
      </c>
      <c r="I183">
        <f t="shared" si="60"/>
        <v>2.2675148277042602E-3</v>
      </c>
      <c r="J183">
        <f t="shared" si="61"/>
        <v>2.26751482770426</v>
      </c>
      <c r="K183">
        <f t="shared" si="62"/>
        <v>31.608623698690948</v>
      </c>
      <c r="L183">
        <f t="shared" si="63"/>
        <v>460.65199999999999</v>
      </c>
      <c r="M183">
        <f t="shared" si="64"/>
        <v>128.41143332441169</v>
      </c>
      <c r="N183">
        <f t="shared" si="65"/>
        <v>12.737105801687497</v>
      </c>
      <c r="O183">
        <f t="shared" si="66"/>
        <v>45.691984816771999</v>
      </c>
      <c r="P183">
        <f t="shared" si="67"/>
        <v>0.16083523406782119</v>
      </c>
      <c r="Q183">
        <f t="shared" si="68"/>
        <v>2.1968751660651389</v>
      </c>
      <c r="R183">
        <f t="shared" si="69"/>
        <v>0.15456832953121893</v>
      </c>
      <c r="S183">
        <f t="shared" si="70"/>
        <v>9.714791621147098E-2</v>
      </c>
      <c r="T183">
        <f t="shared" si="71"/>
        <v>276.11474628600001</v>
      </c>
      <c r="U183">
        <f t="shared" si="72"/>
        <v>27.695088518578192</v>
      </c>
      <c r="V183">
        <f t="shared" si="73"/>
        <v>27.695088518578192</v>
      </c>
      <c r="W183">
        <f t="shared" si="74"/>
        <v>3.7279060642186392</v>
      </c>
      <c r="X183">
        <f t="shared" si="75"/>
        <v>67.303647457469793</v>
      </c>
      <c r="Y183">
        <f t="shared" si="76"/>
        <v>2.3171334988466001</v>
      </c>
      <c r="Z183">
        <f t="shared" si="77"/>
        <v>3.442805236240476</v>
      </c>
      <c r="AA183">
        <f t="shared" si="78"/>
        <v>1.4107725653720391</v>
      </c>
      <c r="AB183">
        <f t="shared" si="79"/>
        <v>-99.997403901757878</v>
      </c>
      <c r="AC183">
        <f t="shared" si="80"/>
        <v>-160.45835308351636</v>
      </c>
      <c r="AD183">
        <f t="shared" si="81"/>
        <v>-15.765617284196583</v>
      </c>
      <c r="AE183">
        <f t="shared" si="82"/>
        <v>-0.10662798347081548</v>
      </c>
      <c r="AF183">
        <v>0</v>
      </c>
      <c r="AG183">
        <v>0</v>
      </c>
      <c r="AH183">
        <f t="shared" si="83"/>
        <v>1</v>
      </c>
      <c r="AI183">
        <f t="shared" si="84"/>
        <v>0</v>
      </c>
      <c r="AJ183">
        <f t="shared" si="85"/>
        <v>52615.076730730587</v>
      </c>
      <c r="AK183">
        <f t="shared" si="86"/>
        <v>1800</v>
      </c>
      <c r="AL183">
        <f t="shared" si="87"/>
        <v>1499.1120125999998</v>
      </c>
      <c r="AM183">
        <f t="shared" si="88"/>
        <v>0.83284000699999994</v>
      </c>
      <c r="AN183">
        <f t="shared" si="89"/>
        <v>0.15339708127000001</v>
      </c>
      <c r="AO183">
        <v>31.2</v>
      </c>
      <c r="AP183">
        <v>0.5</v>
      </c>
      <c r="AQ183" t="s">
        <v>331</v>
      </c>
      <c r="AR183">
        <v>2</v>
      </c>
      <c r="AS183">
        <v>1690222715.0999999</v>
      </c>
      <c r="AT183">
        <v>460.65199999999999</v>
      </c>
      <c r="AU183">
        <v>800.02200000000005</v>
      </c>
      <c r="AV183">
        <v>23.360600000000002</v>
      </c>
      <c r="AW183">
        <v>0.34445300000000001</v>
      </c>
      <c r="AX183">
        <v>460.90499999999997</v>
      </c>
      <c r="AY183">
        <v>23.197800000000001</v>
      </c>
      <c r="AZ183">
        <v>300.197</v>
      </c>
      <c r="BA183">
        <v>99.089799999999997</v>
      </c>
      <c r="BB183">
        <v>0.100011</v>
      </c>
      <c r="BC183">
        <v>26.340299999999999</v>
      </c>
      <c r="BD183">
        <v>26.947099999999999</v>
      </c>
      <c r="BE183">
        <v>27.5105</v>
      </c>
      <c r="BF183">
        <v>0</v>
      </c>
      <c r="BG183">
        <v>0</v>
      </c>
      <c r="BH183">
        <v>10020.6</v>
      </c>
      <c r="BI183">
        <v>1075.77</v>
      </c>
      <c r="BJ183">
        <v>1.62592</v>
      </c>
      <c r="BK183">
        <v>-339.37099999999998</v>
      </c>
      <c r="BL183">
        <v>471.67</v>
      </c>
      <c r="BM183">
        <v>800.298</v>
      </c>
      <c r="BN183">
        <v>23.016200000000001</v>
      </c>
      <c r="BO183">
        <v>800.02200000000005</v>
      </c>
      <c r="BP183">
        <v>0.34445300000000001</v>
      </c>
      <c r="BQ183">
        <v>2.3148</v>
      </c>
      <c r="BR183">
        <v>3.4131799999999997E-2</v>
      </c>
      <c r="BS183">
        <v>19.779699999999998</v>
      </c>
      <c r="BT183">
        <v>-34.142600000000002</v>
      </c>
      <c r="BU183">
        <v>1800</v>
      </c>
      <c r="BV183">
        <v>0.91000800000000004</v>
      </c>
      <c r="BW183">
        <v>3.4005199999999999E-2</v>
      </c>
      <c r="BX183">
        <v>2.1995600000000001E-2</v>
      </c>
      <c r="BY183">
        <v>3.3991300000000002E-2</v>
      </c>
      <c r="BZ183">
        <v>26</v>
      </c>
      <c r="CA183">
        <v>33528.400000000001</v>
      </c>
      <c r="CB183">
        <v>1690220522.5999999</v>
      </c>
      <c r="CC183" t="s">
        <v>332</v>
      </c>
      <c r="CD183">
        <v>1690220522.5999999</v>
      </c>
      <c r="CE183">
        <v>1690220510.5999999</v>
      </c>
      <c r="CF183">
        <v>10</v>
      </c>
      <c r="CG183">
        <v>-0.22</v>
      </c>
      <c r="CH183">
        <v>-2.7E-2</v>
      </c>
      <c r="CI183">
        <v>-0.49299999999999999</v>
      </c>
      <c r="CJ183">
        <v>0.152</v>
      </c>
      <c r="CK183">
        <v>800</v>
      </c>
      <c r="CL183">
        <v>19</v>
      </c>
      <c r="CM183">
        <v>0.1</v>
      </c>
      <c r="CN183">
        <v>0.03</v>
      </c>
      <c r="CO183">
        <v>-338.19352500000002</v>
      </c>
      <c r="CP183">
        <v>-6.5091219512189094</v>
      </c>
      <c r="CQ183">
        <v>0.63780870907741394</v>
      </c>
      <c r="CR183">
        <v>-1</v>
      </c>
      <c r="CS183">
        <v>22.894152500000001</v>
      </c>
      <c r="CT183">
        <v>1.3084491557223099</v>
      </c>
      <c r="CU183">
        <v>0.1370152546023618</v>
      </c>
      <c r="CV183">
        <v>-1</v>
      </c>
      <c r="CW183">
        <v>0</v>
      </c>
      <c r="CX183">
        <v>0</v>
      </c>
      <c r="CY183" t="s">
        <v>333</v>
      </c>
      <c r="CZ183">
        <v>2.36476</v>
      </c>
      <c r="DA183">
        <v>2.7138200000000001</v>
      </c>
      <c r="DB183">
        <v>9.9568500000000004E-2</v>
      </c>
      <c r="DC183">
        <v>0.146009</v>
      </c>
      <c r="DD183">
        <v>0.111857</v>
      </c>
      <c r="DE183">
        <v>2.8678100000000002E-3</v>
      </c>
      <c r="DF183">
        <v>32883</v>
      </c>
      <c r="DG183">
        <v>27528.799999999999</v>
      </c>
      <c r="DH183">
        <v>31176.3</v>
      </c>
      <c r="DI183">
        <v>28089.200000000001</v>
      </c>
      <c r="DJ183">
        <v>37588.9</v>
      </c>
      <c r="DK183">
        <v>39834.5</v>
      </c>
      <c r="DL183">
        <v>44368.2</v>
      </c>
      <c r="DM183">
        <v>42572.9</v>
      </c>
      <c r="DN183">
        <v>1.4861200000000001</v>
      </c>
      <c r="DO183">
        <v>2.0283000000000002</v>
      </c>
      <c r="DP183">
        <v>0.107698</v>
      </c>
      <c r="DQ183">
        <v>0.15202199999999999</v>
      </c>
      <c r="DR183">
        <v>25.183199999999999</v>
      </c>
      <c r="DS183">
        <v>25.0214</v>
      </c>
      <c r="DT183">
        <v>32.200000000000003</v>
      </c>
      <c r="DU183">
        <v>29.5</v>
      </c>
      <c r="DV183">
        <v>13.451499999999999</v>
      </c>
      <c r="DW183">
        <v>61.828699999999998</v>
      </c>
      <c r="DX183">
        <v>36.838900000000002</v>
      </c>
      <c r="DY183">
        <v>1</v>
      </c>
      <c r="DZ183">
        <v>-9.60366E-2</v>
      </c>
      <c r="EA183">
        <v>-0.14310200000000001</v>
      </c>
      <c r="EB183">
        <v>20.189499999999999</v>
      </c>
      <c r="EC183">
        <v>5.2411000000000003</v>
      </c>
      <c r="ED183">
        <v>12.039899999999999</v>
      </c>
      <c r="EE183">
        <v>5.0174000000000003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1.8689100000000001</v>
      </c>
      <c r="EL183">
        <v>1.8646199999999999</v>
      </c>
      <c r="EM183">
        <v>1.8692</v>
      </c>
      <c r="EN183">
        <v>1.8672200000000001</v>
      </c>
      <c r="EO183">
        <v>1.8633999999999999</v>
      </c>
      <c r="EP183">
        <v>1.86453</v>
      </c>
      <c r="EQ183">
        <v>1.87016</v>
      </c>
      <c r="ER183">
        <v>1.8694900000000001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-0.253</v>
      </c>
      <c r="FG183">
        <v>0.1628</v>
      </c>
      <c r="FH183">
        <v>5.8509882529719233E-2</v>
      </c>
      <c r="FI183">
        <v>-6.1462078757559423E-4</v>
      </c>
      <c r="FJ183">
        <v>-1.8861989874597051E-7</v>
      </c>
      <c r="FK183">
        <v>1.1980462299894961E-10</v>
      </c>
      <c r="FL183">
        <v>0.16277811159127681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36.5</v>
      </c>
      <c r="FU183">
        <v>36.700000000000003</v>
      </c>
      <c r="FV183">
        <v>1.7675799999999999</v>
      </c>
      <c r="FW183">
        <v>2.5793499999999998</v>
      </c>
      <c r="FX183">
        <v>1.5490699999999999</v>
      </c>
      <c r="FY183">
        <v>2.3290999999999999</v>
      </c>
      <c r="FZ183">
        <v>1.50146</v>
      </c>
      <c r="GA183">
        <v>2.36938</v>
      </c>
      <c r="GB183">
        <v>33.941299999999998</v>
      </c>
      <c r="GC183">
        <v>23.991199999999999</v>
      </c>
      <c r="GD183">
        <v>19</v>
      </c>
      <c r="GE183">
        <v>286.93400000000003</v>
      </c>
      <c r="GF183">
        <v>575.94299999999998</v>
      </c>
      <c r="GG183">
        <v>24.849699999999999</v>
      </c>
      <c r="GH183">
        <v>26.1736</v>
      </c>
      <c r="GI183">
        <v>30.0001</v>
      </c>
      <c r="GJ183">
        <v>26.3062</v>
      </c>
      <c r="GK183">
        <v>26.286300000000001</v>
      </c>
      <c r="GL183">
        <v>35.3371</v>
      </c>
      <c r="GM183">
        <v>100</v>
      </c>
      <c r="GN183">
        <v>31.298999999999999</v>
      </c>
      <c r="GO183">
        <v>24.8703</v>
      </c>
      <c r="GP183">
        <v>800</v>
      </c>
      <c r="GQ183">
        <v>0.26454499999999997</v>
      </c>
      <c r="GR183">
        <v>99.752700000000004</v>
      </c>
      <c r="GS183">
        <v>99.593500000000006</v>
      </c>
    </row>
    <row r="184" spans="1:201" x14ac:dyDescent="0.25">
      <c r="A184">
        <v>168</v>
      </c>
      <c r="B184">
        <v>1690222725.0999999</v>
      </c>
      <c r="C184">
        <v>1842.599999904633</v>
      </c>
      <c r="D184" t="s">
        <v>667</v>
      </c>
      <c r="E184" t="s">
        <v>668</v>
      </c>
      <c r="F184" t="s">
        <v>330</v>
      </c>
      <c r="H184">
        <v>1690222725.0999999</v>
      </c>
      <c r="I184">
        <f t="shared" si="60"/>
        <v>2.267653674517328E-3</v>
      </c>
      <c r="J184">
        <f t="shared" si="61"/>
        <v>2.2676536745173279</v>
      </c>
      <c r="K184">
        <f t="shared" si="62"/>
        <v>31.703617806367266</v>
      </c>
      <c r="L184">
        <f t="shared" si="63"/>
        <v>459.42700000000002</v>
      </c>
      <c r="M184">
        <f t="shared" si="64"/>
        <v>125.7972242445706</v>
      </c>
      <c r="N184">
        <f t="shared" si="65"/>
        <v>12.477995203360278</v>
      </c>
      <c r="O184">
        <f t="shared" si="66"/>
        <v>45.571179624351906</v>
      </c>
      <c r="P184">
        <f t="shared" si="67"/>
        <v>0.16060727752993054</v>
      </c>
      <c r="Q184">
        <f t="shared" si="68"/>
        <v>2.1971293161455017</v>
      </c>
      <c r="R184">
        <f t="shared" si="69"/>
        <v>0.15435844639917684</v>
      </c>
      <c r="S184">
        <f t="shared" si="70"/>
        <v>9.7015203946774542E-2</v>
      </c>
      <c r="T184">
        <f t="shared" si="71"/>
        <v>276.11619133631865</v>
      </c>
      <c r="U184">
        <f t="shared" si="72"/>
        <v>27.701302030301807</v>
      </c>
      <c r="V184">
        <f t="shared" si="73"/>
        <v>27.701302030301807</v>
      </c>
      <c r="W184">
        <f t="shared" si="74"/>
        <v>3.7292596913774774</v>
      </c>
      <c r="X184">
        <f t="shared" si="75"/>
        <v>67.258817879073803</v>
      </c>
      <c r="Y184">
        <f t="shared" si="76"/>
        <v>2.3164649516839502</v>
      </c>
      <c r="Z184">
        <f t="shared" si="77"/>
        <v>3.4441059547742516</v>
      </c>
      <c r="AA184">
        <f t="shared" si="78"/>
        <v>1.4127947396935272</v>
      </c>
      <c r="AB184">
        <f t="shared" si="79"/>
        <v>-100.00352704621416</v>
      </c>
      <c r="AC184">
        <f t="shared" si="80"/>
        <v>-160.45482620100259</v>
      </c>
      <c r="AD184">
        <f t="shared" si="81"/>
        <v>-15.764441226819409</v>
      </c>
      <c r="AE184">
        <f t="shared" si="82"/>
        <v>-0.10660313771754204</v>
      </c>
      <c r="AF184">
        <v>0</v>
      </c>
      <c r="AG184">
        <v>0</v>
      </c>
      <c r="AH184">
        <f t="shared" si="83"/>
        <v>1</v>
      </c>
      <c r="AI184">
        <f t="shared" si="84"/>
        <v>0</v>
      </c>
      <c r="AJ184">
        <f t="shared" si="85"/>
        <v>52624.417785918369</v>
      </c>
      <c r="AK184">
        <f t="shared" si="86"/>
        <v>1800.01</v>
      </c>
      <c r="AL184">
        <f t="shared" si="87"/>
        <v>1499.12062000162</v>
      </c>
      <c r="AM184">
        <f t="shared" si="88"/>
        <v>0.83284016199999999</v>
      </c>
      <c r="AN184">
        <f t="shared" si="89"/>
        <v>0.15339703186999998</v>
      </c>
      <c r="AO184">
        <v>31.2</v>
      </c>
      <c r="AP184">
        <v>0.5</v>
      </c>
      <c r="AQ184" t="s">
        <v>331</v>
      </c>
      <c r="AR184">
        <v>2</v>
      </c>
      <c r="AS184">
        <v>1690222725.0999999</v>
      </c>
      <c r="AT184">
        <v>459.42700000000002</v>
      </c>
      <c r="AU184">
        <v>799.95799999999997</v>
      </c>
      <c r="AV184">
        <v>23.3535</v>
      </c>
      <c r="AW184">
        <v>0.32212000000000002</v>
      </c>
      <c r="AX184">
        <v>459.67899999999997</v>
      </c>
      <c r="AY184">
        <v>23.190799999999999</v>
      </c>
      <c r="AZ184">
        <v>300.01900000000001</v>
      </c>
      <c r="BA184">
        <v>99.091499999999996</v>
      </c>
      <c r="BB184">
        <v>9.9839700000000003E-2</v>
      </c>
      <c r="BC184">
        <v>26.346699999999998</v>
      </c>
      <c r="BD184">
        <v>26.982700000000001</v>
      </c>
      <c r="BE184">
        <v>27.5212</v>
      </c>
      <c r="BF184">
        <v>0</v>
      </c>
      <c r="BG184">
        <v>0</v>
      </c>
      <c r="BH184">
        <v>10022.5</v>
      </c>
      <c r="BI184">
        <v>1075.78</v>
      </c>
      <c r="BJ184">
        <v>1.59788</v>
      </c>
      <c r="BK184">
        <v>-340.53100000000001</v>
      </c>
      <c r="BL184">
        <v>470.41300000000001</v>
      </c>
      <c r="BM184">
        <v>800.21600000000001</v>
      </c>
      <c r="BN184">
        <v>23.031400000000001</v>
      </c>
      <c r="BO184">
        <v>799.95799999999997</v>
      </c>
      <c r="BP184">
        <v>0.32212000000000002</v>
      </c>
      <c r="BQ184">
        <v>2.3141400000000001</v>
      </c>
      <c r="BR184">
        <v>3.1919299999999998E-2</v>
      </c>
      <c r="BS184">
        <v>19.775099999999998</v>
      </c>
      <c r="BT184">
        <v>-34.8202</v>
      </c>
      <c r="BU184">
        <v>1800.01</v>
      </c>
      <c r="BV184">
        <v>0.91000999999999999</v>
      </c>
      <c r="BW184">
        <v>3.40045E-2</v>
      </c>
      <c r="BX184">
        <v>2.19951E-2</v>
      </c>
      <c r="BY184">
        <v>3.39905E-2</v>
      </c>
      <c r="BZ184">
        <v>26</v>
      </c>
      <c r="CA184">
        <v>33528.5</v>
      </c>
      <c r="CB184">
        <v>1690220522.5999999</v>
      </c>
      <c r="CC184" t="s">
        <v>332</v>
      </c>
      <c r="CD184">
        <v>1690220522.5999999</v>
      </c>
      <c r="CE184">
        <v>1690220510.5999999</v>
      </c>
      <c r="CF184">
        <v>10</v>
      </c>
      <c r="CG184">
        <v>-0.22</v>
      </c>
      <c r="CH184">
        <v>-2.7E-2</v>
      </c>
      <c r="CI184">
        <v>-0.49299999999999999</v>
      </c>
      <c r="CJ184">
        <v>0.152</v>
      </c>
      <c r="CK184">
        <v>800</v>
      </c>
      <c r="CL184">
        <v>19</v>
      </c>
      <c r="CM184">
        <v>0.1</v>
      </c>
      <c r="CN184">
        <v>0.03</v>
      </c>
      <c r="CO184">
        <v>-339.23436585365852</v>
      </c>
      <c r="CP184">
        <v>-6.9913797909406732</v>
      </c>
      <c r="CQ184">
        <v>0.6934288349051636</v>
      </c>
      <c r="CR184">
        <v>-1</v>
      </c>
      <c r="CS184">
        <v>23.009975609756101</v>
      </c>
      <c r="CT184">
        <v>0.13959721254352661</v>
      </c>
      <c r="CU184">
        <v>1.584662433065721E-2</v>
      </c>
      <c r="CV184">
        <v>-1</v>
      </c>
      <c r="CW184">
        <v>0</v>
      </c>
      <c r="CX184">
        <v>0</v>
      </c>
      <c r="CY184" t="s">
        <v>333</v>
      </c>
      <c r="CZ184">
        <v>2.36415</v>
      </c>
      <c r="DA184">
        <v>2.7136499999999999</v>
      </c>
      <c r="DB184">
        <v>9.9374799999999999E-2</v>
      </c>
      <c r="DC184">
        <v>0.146006</v>
      </c>
      <c r="DD184">
        <v>0.11183700000000001</v>
      </c>
      <c r="DE184">
        <v>2.6855500000000001E-3</v>
      </c>
      <c r="DF184">
        <v>32890.1</v>
      </c>
      <c r="DG184">
        <v>27529.1</v>
      </c>
      <c r="DH184">
        <v>31176.400000000001</v>
      </c>
      <c r="DI184">
        <v>28089.4</v>
      </c>
      <c r="DJ184">
        <v>37589.800000000003</v>
      </c>
      <c r="DK184">
        <v>39841.9</v>
      </c>
      <c r="DL184">
        <v>44368.3</v>
      </c>
      <c r="DM184">
        <v>42573</v>
      </c>
      <c r="DN184">
        <v>1.4862500000000001</v>
      </c>
      <c r="DO184">
        <v>2.0282499999999999</v>
      </c>
      <c r="DP184">
        <v>0.109613</v>
      </c>
      <c r="DQ184">
        <v>0.15251300000000001</v>
      </c>
      <c r="DR184">
        <v>25.1874</v>
      </c>
      <c r="DS184">
        <v>25.024000000000001</v>
      </c>
      <c r="DT184">
        <v>31.8</v>
      </c>
      <c r="DU184">
        <v>29.5</v>
      </c>
      <c r="DV184">
        <v>13.2843</v>
      </c>
      <c r="DW184">
        <v>61.428699999999999</v>
      </c>
      <c r="DX184">
        <v>37.407899999999998</v>
      </c>
      <c r="DY184">
        <v>1</v>
      </c>
      <c r="DZ184">
        <v>-9.6156000000000005E-2</v>
      </c>
      <c r="EA184">
        <v>-0.18080099999999999</v>
      </c>
      <c r="EB184">
        <v>20.189800000000002</v>
      </c>
      <c r="EC184">
        <v>5.24125</v>
      </c>
      <c r="ED184">
        <v>12.039899999999999</v>
      </c>
      <c r="EE184">
        <v>5.0174500000000002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1.8689100000000001</v>
      </c>
      <c r="EL184">
        <v>1.8646400000000001</v>
      </c>
      <c r="EM184">
        <v>1.8692</v>
      </c>
      <c r="EN184">
        <v>1.8672599999999999</v>
      </c>
      <c r="EO184">
        <v>1.8633999999999999</v>
      </c>
      <c r="EP184">
        <v>1.8645700000000001</v>
      </c>
      <c r="EQ184">
        <v>1.87018</v>
      </c>
      <c r="ER184">
        <v>1.8694900000000001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-0.252</v>
      </c>
      <c r="FG184">
        <v>0.16270000000000001</v>
      </c>
      <c r="FH184">
        <v>5.8509882529719233E-2</v>
      </c>
      <c r="FI184">
        <v>-6.1462078757559423E-4</v>
      </c>
      <c r="FJ184">
        <v>-1.8861989874597051E-7</v>
      </c>
      <c r="FK184">
        <v>1.1980462299894961E-10</v>
      </c>
      <c r="FL184">
        <v>0.16277811159127681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36.700000000000003</v>
      </c>
      <c r="FU184">
        <v>36.9</v>
      </c>
      <c r="FV184">
        <v>1.7675799999999999</v>
      </c>
      <c r="FW184">
        <v>2.5793499999999998</v>
      </c>
      <c r="FX184">
        <v>1.5490699999999999</v>
      </c>
      <c r="FY184">
        <v>2.3290999999999999</v>
      </c>
      <c r="FZ184">
        <v>1.50146</v>
      </c>
      <c r="GA184">
        <v>2.32422</v>
      </c>
      <c r="GB184">
        <v>33.941299999999998</v>
      </c>
      <c r="GC184">
        <v>23.982399999999998</v>
      </c>
      <c r="GD184">
        <v>19</v>
      </c>
      <c r="GE184">
        <v>286.98</v>
      </c>
      <c r="GF184">
        <v>575.87800000000004</v>
      </c>
      <c r="GG184">
        <v>24.8841</v>
      </c>
      <c r="GH184">
        <v>26.1736</v>
      </c>
      <c r="GI184">
        <v>30</v>
      </c>
      <c r="GJ184">
        <v>26.304400000000001</v>
      </c>
      <c r="GK184">
        <v>26.284099999999999</v>
      </c>
      <c r="GL184">
        <v>35.337600000000002</v>
      </c>
      <c r="GM184">
        <v>100</v>
      </c>
      <c r="GN184">
        <v>30.508299999999998</v>
      </c>
      <c r="GO184">
        <v>24.892900000000001</v>
      </c>
      <c r="GP184">
        <v>800</v>
      </c>
      <c r="GQ184">
        <v>0.13195100000000001</v>
      </c>
      <c r="GR184">
        <v>99.752899999999997</v>
      </c>
      <c r="GS184">
        <v>99.593800000000002</v>
      </c>
    </row>
    <row r="185" spans="1:201" x14ac:dyDescent="0.25">
      <c r="A185">
        <v>169</v>
      </c>
      <c r="B185">
        <v>1690222735.0999999</v>
      </c>
      <c r="C185">
        <v>1852.599999904633</v>
      </c>
      <c r="D185" t="s">
        <v>669</v>
      </c>
      <c r="E185" t="s">
        <v>670</v>
      </c>
      <c r="F185" t="s">
        <v>330</v>
      </c>
      <c r="H185">
        <v>1690222735.0999999</v>
      </c>
      <c r="I185">
        <f t="shared" si="60"/>
        <v>2.2711558409780428E-3</v>
      </c>
      <c r="J185">
        <f t="shared" si="61"/>
        <v>2.271155840978043</v>
      </c>
      <c r="K185">
        <f t="shared" si="62"/>
        <v>31.825636364492546</v>
      </c>
      <c r="L185">
        <f t="shared" si="63"/>
        <v>458.363</v>
      </c>
      <c r="M185">
        <f t="shared" si="64"/>
        <v>124.16615081949665</v>
      </c>
      <c r="N185">
        <f t="shared" si="65"/>
        <v>12.316469754585871</v>
      </c>
      <c r="O185">
        <f t="shared" si="66"/>
        <v>45.466610576727305</v>
      </c>
      <c r="P185">
        <f t="shared" si="67"/>
        <v>0.1609433119099867</v>
      </c>
      <c r="Q185">
        <f t="shared" si="68"/>
        <v>2.1959270544753062</v>
      </c>
      <c r="R185">
        <f t="shared" si="69"/>
        <v>0.15466556310983556</v>
      </c>
      <c r="S185">
        <f t="shared" si="70"/>
        <v>9.7209604716104681E-2</v>
      </c>
      <c r="T185">
        <f t="shared" si="71"/>
        <v>276.11477414999996</v>
      </c>
      <c r="U185">
        <f t="shared" si="72"/>
        <v>27.704773426609311</v>
      </c>
      <c r="V185">
        <f t="shared" si="73"/>
        <v>27.704773426609311</v>
      </c>
      <c r="W185">
        <f t="shared" si="74"/>
        <v>3.7300161294027072</v>
      </c>
      <c r="X185">
        <f t="shared" si="75"/>
        <v>67.28267316137557</v>
      </c>
      <c r="Y185">
        <f t="shared" si="76"/>
        <v>2.3178336733642801</v>
      </c>
      <c r="Z185">
        <f t="shared" si="77"/>
        <v>3.4449191217551989</v>
      </c>
      <c r="AA185">
        <f t="shared" si="78"/>
        <v>1.4121824560384271</v>
      </c>
      <c r="AB185">
        <f t="shared" si="79"/>
        <v>-100.15797258713168</v>
      </c>
      <c r="AC185">
        <f t="shared" si="80"/>
        <v>-160.30444615735445</v>
      </c>
      <c r="AD185">
        <f t="shared" si="81"/>
        <v>-15.758878077550946</v>
      </c>
      <c r="AE185">
        <f t="shared" si="82"/>
        <v>-0.10652267203710153</v>
      </c>
      <c r="AF185">
        <v>0</v>
      </c>
      <c r="AG185">
        <v>0</v>
      </c>
      <c r="AH185">
        <f t="shared" si="83"/>
        <v>1</v>
      </c>
      <c r="AI185">
        <f t="shared" si="84"/>
        <v>0</v>
      </c>
      <c r="AJ185">
        <f t="shared" si="85"/>
        <v>52574.437242764732</v>
      </c>
      <c r="AK185">
        <f t="shared" si="86"/>
        <v>1800</v>
      </c>
      <c r="AL185">
        <f t="shared" si="87"/>
        <v>1499.1131249999999</v>
      </c>
      <c r="AM185">
        <f t="shared" si="88"/>
        <v>0.83284062499999989</v>
      </c>
      <c r="AN185">
        <f t="shared" si="89"/>
        <v>0.15339709674999999</v>
      </c>
      <c r="AO185">
        <v>31.2</v>
      </c>
      <c r="AP185">
        <v>0.5</v>
      </c>
      <c r="AQ185" t="s">
        <v>331</v>
      </c>
      <c r="AR185">
        <v>2</v>
      </c>
      <c r="AS185">
        <v>1690222735.0999999</v>
      </c>
      <c r="AT185">
        <v>458.363</v>
      </c>
      <c r="AU185">
        <v>800.01900000000001</v>
      </c>
      <c r="AV185">
        <v>23.366800000000001</v>
      </c>
      <c r="AW185">
        <v>0.30930999999999997</v>
      </c>
      <c r="AX185">
        <v>458.61399999999998</v>
      </c>
      <c r="AY185">
        <v>23.2041</v>
      </c>
      <c r="AZ185">
        <v>300.13799999999998</v>
      </c>
      <c r="BA185">
        <v>99.093500000000006</v>
      </c>
      <c r="BB185">
        <v>9.9957099999999993E-2</v>
      </c>
      <c r="BC185">
        <v>26.3507</v>
      </c>
      <c r="BD185">
        <v>26.971599999999999</v>
      </c>
      <c r="BE185">
        <v>27.523800000000001</v>
      </c>
      <c r="BF185">
        <v>0</v>
      </c>
      <c r="BG185">
        <v>0</v>
      </c>
      <c r="BH185">
        <v>10012.5</v>
      </c>
      <c r="BI185">
        <v>1075.8399999999999</v>
      </c>
      <c r="BJ185">
        <v>1.5838699999999999</v>
      </c>
      <c r="BK185">
        <v>-341.65600000000001</v>
      </c>
      <c r="BL185">
        <v>469.32900000000001</v>
      </c>
      <c r="BM185">
        <v>800.26599999999996</v>
      </c>
      <c r="BN185">
        <v>23.057500000000001</v>
      </c>
      <c r="BO185">
        <v>800.01900000000001</v>
      </c>
      <c r="BP185">
        <v>0.30930999999999997</v>
      </c>
      <c r="BQ185">
        <v>2.3155000000000001</v>
      </c>
      <c r="BR185">
        <v>3.0650699999999999E-2</v>
      </c>
      <c r="BS185">
        <v>19.784700000000001</v>
      </c>
      <c r="BT185">
        <v>-35.228099999999998</v>
      </c>
      <c r="BU185">
        <v>1800</v>
      </c>
      <c r="BV185">
        <v>0.91001100000000001</v>
      </c>
      <c r="BW185">
        <v>3.4004300000000001E-2</v>
      </c>
      <c r="BX185">
        <v>2.1995000000000001E-2</v>
      </c>
      <c r="BY185">
        <v>3.3990300000000001E-2</v>
      </c>
      <c r="BZ185">
        <v>26</v>
      </c>
      <c r="CA185">
        <v>33528.5</v>
      </c>
      <c r="CB185">
        <v>1690220522.5999999</v>
      </c>
      <c r="CC185" t="s">
        <v>332</v>
      </c>
      <c r="CD185">
        <v>1690220522.5999999</v>
      </c>
      <c r="CE185">
        <v>1690220510.5999999</v>
      </c>
      <c r="CF185">
        <v>10</v>
      </c>
      <c r="CG185">
        <v>-0.22</v>
      </c>
      <c r="CH185">
        <v>-2.7E-2</v>
      </c>
      <c r="CI185">
        <v>-0.49299999999999999</v>
      </c>
      <c r="CJ185">
        <v>0.152</v>
      </c>
      <c r="CK185">
        <v>800</v>
      </c>
      <c r="CL185">
        <v>19</v>
      </c>
      <c r="CM185">
        <v>0.1</v>
      </c>
      <c r="CN185">
        <v>0.03</v>
      </c>
      <c r="CO185">
        <v>-340.44222500000001</v>
      </c>
      <c r="CP185">
        <v>-6.3949981238268929</v>
      </c>
      <c r="CQ185">
        <v>0.61656996713673762</v>
      </c>
      <c r="CR185">
        <v>-1</v>
      </c>
      <c r="CS185">
        <v>23.031580000000002</v>
      </c>
      <c r="CT185">
        <v>0.1193876172607546</v>
      </c>
      <c r="CU185">
        <v>1.160872947397759E-2</v>
      </c>
      <c r="CV185">
        <v>-1</v>
      </c>
      <c r="CW185">
        <v>0</v>
      </c>
      <c r="CX185">
        <v>0</v>
      </c>
      <c r="CY185" t="s">
        <v>333</v>
      </c>
      <c r="CZ185">
        <v>2.36456</v>
      </c>
      <c r="DA185">
        <v>2.7137600000000002</v>
      </c>
      <c r="DB185">
        <v>9.9206000000000003E-2</v>
      </c>
      <c r="DC185">
        <v>0.14601600000000001</v>
      </c>
      <c r="DD185">
        <v>0.111884</v>
      </c>
      <c r="DE185">
        <v>2.5807999999999998E-3</v>
      </c>
      <c r="DF185">
        <v>32896.400000000001</v>
      </c>
      <c r="DG185">
        <v>27528.9</v>
      </c>
      <c r="DH185">
        <v>31176.5</v>
      </c>
      <c r="DI185">
        <v>28089.5</v>
      </c>
      <c r="DJ185">
        <v>37587.9</v>
      </c>
      <c r="DK185">
        <v>39846.300000000003</v>
      </c>
      <c r="DL185">
        <v>44368.5</v>
      </c>
      <c r="DM185">
        <v>42573.2</v>
      </c>
      <c r="DN185">
        <v>1.48655</v>
      </c>
      <c r="DO185">
        <v>2.0279500000000001</v>
      </c>
      <c r="DP185">
        <v>0.108838</v>
      </c>
      <c r="DQ185">
        <v>0.152446</v>
      </c>
      <c r="DR185">
        <v>25.189</v>
      </c>
      <c r="DS185">
        <v>25.027699999999999</v>
      </c>
      <c r="DT185">
        <v>31.4</v>
      </c>
      <c r="DU185">
        <v>29.5</v>
      </c>
      <c r="DV185">
        <v>13.117900000000001</v>
      </c>
      <c r="DW185">
        <v>61.688699999999997</v>
      </c>
      <c r="DX185">
        <v>36.578499999999998</v>
      </c>
      <c r="DY185">
        <v>1</v>
      </c>
      <c r="DZ185">
        <v>-9.6349099999999993E-2</v>
      </c>
      <c r="EA185">
        <v>-0.187557</v>
      </c>
      <c r="EB185">
        <v>20.189699999999998</v>
      </c>
      <c r="EC185">
        <v>5.2413999999999996</v>
      </c>
      <c r="ED185">
        <v>12.039899999999999</v>
      </c>
      <c r="EE185">
        <v>5.0175000000000001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1.86894</v>
      </c>
      <c r="EL185">
        <v>1.8646400000000001</v>
      </c>
      <c r="EM185">
        <v>1.8692</v>
      </c>
      <c r="EN185">
        <v>1.8672500000000001</v>
      </c>
      <c r="EO185">
        <v>1.8633999999999999</v>
      </c>
      <c r="EP185">
        <v>1.86456</v>
      </c>
      <c r="EQ185">
        <v>1.8702000000000001</v>
      </c>
      <c r="ER185">
        <v>1.8694900000000001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-0.251</v>
      </c>
      <c r="FG185">
        <v>0.16270000000000001</v>
      </c>
      <c r="FH185">
        <v>5.8509882529719233E-2</v>
      </c>
      <c r="FI185">
        <v>-6.1462078757559423E-4</v>
      </c>
      <c r="FJ185">
        <v>-1.8861989874597051E-7</v>
      </c>
      <c r="FK185">
        <v>1.1980462299894961E-10</v>
      </c>
      <c r="FL185">
        <v>0.16277811159127681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36.9</v>
      </c>
      <c r="FU185">
        <v>37.1</v>
      </c>
      <c r="FV185">
        <v>1.7675799999999999</v>
      </c>
      <c r="FW185">
        <v>2.5805699999999998</v>
      </c>
      <c r="FX185">
        <v>1.5490699999999999</v>
      </c>
      <c r="FY185">
        <v>2.3290999999999999</v>
      </c>
      <c r="FZ185">
        <v>1.50146</v>
      </c>
      <c r="GA185">
        <v>2.3767100000000001</v>
      </c>
      <c r="GB185">
        <v>33.941299999999998</v>
      </c>
      <c r="GC185">
        <v>23.982399999999998</v>
      </c>
      <c r="GD185">
        <v>19</v>
      </c>
      <c r="GE185">
        <v>287.10700000000003</v>
      </c>
      <c r="GF185">
        <v>575.63300000000004</v>
      </c>
      <c r="GG185">
        <v>24.906600000000001</v>
      </c>
      <c r="GH185">
        <v>26.171399999999998</v>
      </c>
      <c r="GI185">
        <v>29.9999</v>
      </c>
      <c r="GJ185">
        <v>26.303999999999998</v>
      </c>
      <c r="GK185">
        <v>26.284099999999999</v>
      </c>
      <c r="GL185">
        <v>35.335799999999999</v>
      </c>
      <c r="GM185">
        <v>100</v>
      </c>
      <c r="GN185">
        <v>29.716999999999999</v>
      </c>
      <c r="GO185">
        <v>24.9146</v>
      </c>
      <c r="GP185">
        <v>800</v>
      </c>
      <c r="GQ185">
        <v>0</v>
      </c>
      <c r="GR185">
        <v>99.753399999999999</v>
      </c>
      <c r="GS185">
        <v>99.594300000000004</v>
      </c>
    </row>
    <row r="186" spans="1:201" x14ac:dyDescent="0.25">
      <c r="A186">
        <v>170</v>
      </c>
      <c r="B186">
        <v>1690222745.0999999</v>
      </c>
      <c r="C186">
        <v>1862.599999904633</v>
      </c>
      <c r="D186" t="s">
        <v>671</v>
      </c>
      <c r="E186" t="s">
        <v>672</v>
      </c>
      <c r="F186" t="s">
        <v>330</v>
      </c>
      <c r="H186">
        <v>1690222745.0999999</v>
      </c>
      <c r="I186">
        <f t="shared" si="60"/>
        <v>2.275145610345418E-3</v>
      </c>
      <c r="J186">
        <f t="shared" si="61"/>
        <v>2.275145610345418</v>
      </c>
      <c r="K186">
        <f t="shared" si="62"/>
        <v>31.932745054056568</v>
      </c>
      <c r="L186">
        <f t="shared" si="63"/>
        <v>457.31099999999998</v>
      </c>
      <c r="M186">
        <f t="shared" si="64"/>
        <v>123.03790868013157</v>
      </c>
      <c r="N186">
        <f t="shared" si="65"/>
        <v>12.203937238541439</v>
      </c>
      <c r="O186">
        <f t="shared" si="66"/>
        <v>45.359961026351996</v>
      </c>
      <c r="P186">
        <f t="shared" si="67"/>
        <v>0.16144985502647316</v>
      </c>
      <c r="Q186">
        <f t="shared" si="68"/>
        <v>2.1950164942999169</v>
      </c>
      <c r="R186">
        <f t="shared" si="69"/>
        <v>0.15513085165015403</v>
      </c>
      <c r="S186">
        <f t="shared" si="70"/>
        <v>9.750391232925873E-2</v>
      </c>
      <c r="T186">
        <f t="shared" si="71"/>
        <v>276.11451048600003</v>
      </c>
      <c r="U186">
        <f t="shared" si="72"/>
        <v>27.708123529175378</v>
      </c>
      <c r="V186">
        <f t="shared" si="73"/>
        <v>27.708123529175378</v>
      </c>
      <c r="W186">
        <f t="shared" si="74"/>
        <v>3.7307462637426738</v>
      </c>
      <c r="X186">
        <f t="shared" si="75"/>
        <v>67.341174568945348</v>
      </c>
      <c r="Y186">
        <f t="shared" si="76"/>
        <v>2.3204240970512</v>
      </c>
      <c r="Z186">
        <f t="shared" si="77"/>
        <v>3.445773127517251</v>
      </c>
      <c r="AA186">
        <f t="shared" si="78"/>
        <v>1.4103221666914738</v>
      </c>
      <c r="AB186">
        <f t="shared" si="79"/>
        <v>-100.33392141623294</v>
      </c>
      <c r="AC186">
        <f t="shared" si="80"/>
        <v>-160.1373995976964</v>
      </c>
      <c r="AD186">
        <f t="shared" si="81"/>
        <v>-15.749581245735989</v>
      </c>
      <c r="AE186">
        <f t="shared" si="82"/>
        <v>-0.10639177366533659</v>
      </c>
      <c r="AF186">
        <v>0</v>
      </c>
      <c r="AG186">
        <v>0</v>
      </c>
      <c r="AH186">
        <f t="shared" si="83"/>
        <v>1</v>
      </c>
      <c r="AI186">
        <f t="shared" si="84"/>
        <v>0</v>
      </c>
      <c r="AJ186">
        <f t="shared" si="85"/>
        <v>52536.253290972447</v>
      </c>
      <c r="AK186">
        <f t="shared" si="86"/>
        <v>1800</v>
      </c>
      <c r="AL186">
        <f t="shared" si="87"/>
        <v>1499.1123186</v>
      </c>
      <c r="AM186">
        <f t="shared" si="88"/>
        <v>0.83284017700000001</v>
      </c>
      <c r="AN186">
        <f t="shared" si="89"/>
        <v>0.15339695027000003</v>
      </c>
      <c r="AO186">
        <v>31.2</v>
      </c>
      <c r="AP186">
        <v>0.5</v>
      </c>
      <c r="AQ186" t="s">
        <v>331</v>
      </c>
      <c r="AR186">
        <v>2</v>
      </c>
      <c r="AS186">
        <v>1690222745.0999999</v>
      </c>
      <c r="AT186">
        <v>457.31099999999998</v>
      </c>
      <c r="AU186">
        <v>800.04600000000005</v>
      </c>
      <c r="AV186">
        <v>23.394100000000002</v>
      </c>
      <c r="AW186">
        <v>0.298674</v>
      </c>
      <c r="AX186">
        <v>457.56200000000001</v>
      </c>
      <c r="AY186">
        <v>23.231300000000001</v>
      </c>
      <c r="AZ186">
        <v>300.16300000000001</v>
      </c>
      <c r="BA186">
        <v>99.088399999999993</v>
      </c>
      <c r="BB186">
        <v>0.100032</v>
      </c>
      <c r="BC186">
        <v>26.354900000000001</v>
      </c>
      <c r="BD186">
        <v>27.0045</v>
      </c>
      <c r="BE186">
        <v>27.513500000000001</v>
      </c>
      <c r="BF186">
        <v>0</v>
      </c>
      <c r="BG186">
        <v>0</v>
      </c>
      <c r="BH186">
        <v>10005.6</v>
      </c>
      <c r="BI186">
        <v>1075.97</v>
      </c>
      <c r="BJ186">
        <v>1.5838699999999999</v>
      </c>
      <c r="BK186">
        <v>-342.73500000000001</v>
      </c>
      <c r="BL186">
        <v>468.26600000000002</v>
      </c>
      <c r="BM186">
        <v>800.28499999999997</v>
      </c>
      <c r="BN186">
        <v>23.095500000000001</v>
      </c>
      <c r="BO186">
        <v>800.04600000000005</v>
      </c>
      <c r="BP186">
        <v>0.298674</v>
      </c>
      <c r="BQ186">
        <v>2.3180900000000002</v>
      </c>
      <c r="BR186">
        <v>2.9595099999999999E-2</v>
      </c>
      <c r="BS186">
        <v>19.802600000000002</v>
      </c>
      <c r="BT186">
        <v>-35.5792</v>
      </c>
      <c r="BU186">
        <v>1800</v>
      </c>
      <c r="BV186">
        <v>0.91001200000000004</v>
      </c>
      <c r="BW186">
        <v>3.4003600000000002E-2</v>
      </c>
      <c r="BX186">
        <v>2.19946E-2</v>
      </c>
      <c r="BY186">
        <v>3.3989699999999998E-2</v>
      </c>
      <c r="BZ186">
        <v>26</v>
      </c>
      <c r="CA186">
        <v>33528.400000000001</v>
      </c>
      <c r="CB186">
        <v>1690220522.5999999</v>
      </c>
      <c r="CC186" t="s">
        <v>332</v>
      </c>
      <c r="CD186">
        <v>1690220522.5999999</v>
      </c>
      <c r="CE186">
        <v>1690220510.5999999</v>
      </c>
      <c r="CF186">
        <v>10</v>
      </c>
      <c r="CG186">
        <v>-0.22</v>
      </c>
      <c r="CH186">
        <v>-2.7E-2</v>
      </c>
      <c r="CI186">
        <v>-0.49299999999999999</v>
      </c>
      <c r="CJ186">
        <v>0.152</v>
      </c>
      <c r="CK186">
        <v>800</v>
      </c>
      <c r="CL186">
        <v>19</v>
      </c>
      <c r="CM186">
        <v>0.1</v>
      </c>
      <c r="CN186">
        <v>0.03</v>
      </c>
      <c r="CO186">
        <v>-341.548675</v>
      </c>
      <c r="CP186">
        <v>-6.5517861163224653</v>
      </c>
      <c r="CQ186">
        <v>0.63444118669503302</v>
      </c>
      <c r="CR186">
        <v>-1</v>
      </c>
      <c r="CS186">
        <v>23.058657499999999</v>
      </c>
      <c r="CT186">
        <v>0.19860225140705401</v>
      </c>
      <c r="CU186">
        <v>1.9259178169122228E-2</v>
      </c>
      <c r="CV186">
        <v>-1</v>
      </c>
      <c r="CW186">
        <v>0</v>
      </c>
      <c r="CX186">
        <v>0</v>
      </c>
      <c r="CY186" t="s">
        <v>333</v>
      </c>
      <c r="CZ186">
        <v>2.3646500000000001</v>
      </c>
      <c r="DA186">
        <v>2.7138300000000002</v>
      </c>
      <c r="DB186">
        <v>9.9030900000000005E-2</v>
      </c>
      <c r="DC186">
        <v>0.14601</v>
      </c>
      <c r="DD186">
        <v>0.11197</v>
      </c>
      <c r="DE186">
        <v>2.4935000000000001E-3</v>
      </c>
      <c r="DF186">
        <v>32902.699999999997</v>
      </c>
      <c r="DG186">
        <v>27529</v>
      </c>
      <c r="DH186">
        <v>31176.400000000001</v>
      </c>
      <c r="DI186">
        <v>28089.5</v>
      </c>
      <c r="DJ186">
        <v>37584.300000000003</v>
      </c>
      <c r="DK186">
        <v>39849.300000000003</v>
      </c>
      <c r="DL186">
        <v>44368.6</v>
      </c>
      <c r="DM186">
        <v>42572.7</v>
      </c>
      <c r="DN186">
        <v>1.48682</v>
      </c>
      <c r="DO186">
        <v>2.0280499999999999</v>
      </c>
      <c r="DP186">
        <v>0.110753</v>
      </c>
      <c r="DQ186">
        <v>0.15168599999999999</v>
      </c>
      <c r="DR186">
        <v>25.1906</v>
      </c>
      <c r="DS186">
        <v>25.029800000000002</v>
      </c>
      <c r="DT186">
        <v>31</v>
      </c>
      <c r="DU186">
        <v>29.5</v>
      </c>
      <c r="DV186">
        <v>12.950799999999999</v>
      </c>
      <c r="DW186">
        <v>61.678699999999999</v>
      </c>
      <c r="DX186">
        <v>37.411900000000003</v>
      </c>
      <c r="DY186">
        <v>1</v>
      </c>
      <c r="DZ186">
        <v>-9.672E-2</v>
      </c>
      <c r="EA186">
        <v>-0.178867</v>
      </c>
      <c r="EB186">
        <v>20.189800000000002</v>
      </c>
      <c r="EC186">
        <v>5.2408000000000001</v>
      </c>
      <c r="ED186">
        <v>12.039899999999999</v>
      </c>
      <c r="EE186">
        <v>5.0172499999999998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1.8689499999999999</v>
      </c>
      <c r="EL186">
        <v>1.8646400000000001</v>
      </c>
      <c r="EM186">
        <v>1.8692</v>
      </c>
      <c r="EN186">
        <v>1.86724</v>
      </c>
      <c r="EO186">
        <v>1.8633999999999999</v>
      </c>
      <c r="EP186">
        <v>1.8645499999999999</v>
      </c>
      <c r="EQ186">
        <v>1.87019</v>
      </c>
      <c r="ER186">
        <v>1.86947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-0.251</v>
      </c>
      <c r="FG186">
        <v>0.1628</v>
      </c>
      <c r="FH186">
        <v>5.8509882529719233E-2</v>
      </c>
      <c r="FI186">
        <v>-6.1462078757559423E-4</v>
      </c>
      <c r="FJ186">
        <v>-1.8861989874597051E-7</v>
      </c>
      <c r="FK186">
        <v>1.1980462299894961E-10</v>
      </c>
      <c r="FL186">
        <v>0.16277811159127681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37</v>
      </c>
      <c r="FU186">
        <v>37.200000000000003</v>
      </c>
      <c r="FV186">
        <v>1.7675799999999999</v>
      </c>
      <c r="FW186">
        <v>2.5842299999999998</v>
      </c>
      <c r="FX186">
        <v>1.5490699999999999</v>
      </c>
      <c r="FY186">
        <v>2.3290999999999999</v>
      </c>
      <c r="FZ186">
        <v>1.50146</v>
      </c>
      <c r="GA186">
        <v>2.3327599999999999</v>
      </c>
      <c r="GB186">
        <v>33.941299999999998</v>
      </c>
      <c r="GC186">
        <v>23.973700000000001</v>
      </c>
      <c r="GD186">
        <v>19</v>
      </c>
      <c r="GE186">
        <v>287.22500000000002</v>
      </c>
      <c r="GF186">
        <v>575.71400000000006</v>
      </c>
      <c r="GG186">
        <v>24.925699999999999</v>
      </c>
      <c r="GH186">
        <v>26.171399999999998</v>
      </c>
      <c r="GI186">
        <v>30.0001</v>
      </c>
      <c r="GJ186">
        <v>26.303999999999998</v>
      </c>
      <c r="GK186">
        <v>26.284099999999999</v>
      </c>
      <c r="GL186">
        <v>35.336799999999997</v>
      </c>
      <c r="GM186">
        <v>100</v>
      </c>
      <c r="GN186">
        <v>28.9649</v>
      </c>
      <c r="GO186">
        <v>24.863800000000001</v>
      </c>
      <c r="GP186">
        <v>800</v>
      </c>
      <c r="GQ186">
        <v>0</v>
      </c>
      <c r="GR186">
        <v>99.753299999999996</v>
      </c>
      <c r="GS186">
        <v>99.593500000000006</v>
      </c>
    </row>
    <row r="187" spans="1:201" x14ac:dyDescent="0.25">
      <c r="A187">
        <v>171</v>
      </c>
      <c r="B187">
        <v>1690222755.0999999</v>
      </c>
      <c r="C187">
        <v>1872.599999904633</v>
      </c>
      <c r="D187" t="s">
        <v>673</v>
      </c>
      <c r="E187" t="s">
        <v>674</v>
      </c>
      <c r="F187" t="s">
        <v>330</v>
      </c>
      <c r="H187">
        <v>1690222755.0999999</v>
      </c>
      <c r="I187">
        <f t="shared" si="60"/>
        <v>2.2784999739834323E-3</v>
      </c>
      <c r="J187">
        <f t="shared" si="61"/>
        <v>2.2784999739834322</v>
      </c>
      <c r="K187">
        <f t="shared" si="62"/>
        <v>32.020725033092951</v>
      </c>
      <c r="L187">
        <f t="shared" si="63"/>
        <v>456.44</v>
      </c>
      <c r="M187">
        <f t="shared" si="64"/>
        <v>122.06165432824938</v>
      </c>
      <c r="N187">
        <f t="shared" si="65"/>
        <v>12.107098070299344</v>
      </c>
      <c r="O187">
        <f t="shared" si="66"/>
        <v>45.273545353944002</v>
      </c>
      <c r="P187">
        <f t="shared" si="67"/>
        <v>0.16183621910750035</v>
      </c>
      <c r="Q187">
        <f t="shared" si="68"/>
        <v>2.1973974570112205</v>
      </c>
      <c r="R187">
        <f t="shared" si="69"/>
        <v>0.15549416424565182</v>
      </c>
      <c r="S187">
        <f t="shared" si="70"/>
        <v>9.7732952681516883E-2</v>
      </c>
      <c r="T187">
        <f t="shared" si="71"/>
        <v>276.11438409000004</v>
      </c>
      <c r="U187">
        <f t="shared" si="72"/>
        <v>27.712241028406474</v>
      </c>
      <c r="V187">
        <f t="shared" si="73"/>
        <v>27.712241028406474</v>
      </c>
      <c r="W187">
        <f t="shared" si="74"/>
        <v>3.7316438183174925</v>
      </c>
      <c r="X187">
        <f t="shared" si="75"/>
        <v>67.377069426555963</v>
      </c>
      <c r="Y187">
        <f t="shared" si="76"/>
        <v>2.3225654104468201</v>
      </c>
      <c r="Z187">
        <f t="shared" si="77"/>
        <v>3.4471155100898541</v>
      </c>
      <c r="AA187">
        <f t="shared" si="78"/>
        <v>1.4090784078706724</v>
      </c>
      <c r="AB187">
        <f t="shared" si="79"/>
        <v>-100.48184885266937</v>
      </c>
      <c r="AC187">
        <f t="shared" si="80"/>
        <v>-160.01701053738057</v>
      </c>
      <c r="AD187">
        <f t="shared" si="81"/>
        <v>-15.72153055986891</v>
      </c>
      <c r="AE187">
        <f t="shared" si="82"/>
        <v>-0.10600585991883804</v>
      </c>
      <c r="AF187">
        <v>0</v>
      </c>
      <c r="AG187">
        <v>0</v>
      </c>
      <c r="AH187">
        <f t="shared" si="83"/>
        <v>1</v>
      </c>
      <c r="AI187">
        <f t="shared" si="84"/>
        <v>0</v>
      </c>
      <c r="AJ187">
        <f t="shared" si="85"/>
        <v>52632.751353218453</v>
      </c>
      <c r="AK187">
        <f t="shared" si="86"/>
        <v>1800</v>
      </c>
      <c r="AL187">
        <f t="shared" si="87"/>
        <v>1499.111766</v>
      </c>
      <c r="AM187">
        <f t="shared" si="88"/>
        <v>0.83283987000000004</v>
      </c>
      <c r="AN187">
        <f t="shared" si="89"/>
        <v>0.15339688005000002</v>
      </c>
      <c r="AO187">
        <v>31.2</v>
      </c>
      <c r="AP187">
        <v>0.5</v>
      </c>
      <c r="AQ187" t="s">
        <v>331</v>
      </c>
      <c r="AR187">
        <v>2</v>
      </c>
      <c r="AS187">
        <v>1690222755.0999999</v>
      </c>
      <c r="AT187">
        <v>456.44</v>
      </c>
      <c r="AU187">
        <v>800.02300000000002</v>
      </c>
      <c r="AV187">
        <v>23.415700000000001</v>
      </c>
      <c r="AW187">
        <v>0.29089500000000001</v>
      </c>
      <c r="AX187">
        <v>456.69</v>
      </c>
      <c r="AY187">
        <v>23.2529</v>
      </c>
      <c r="AZ187">
        <v>300.21699999999998</v>
      </c>
      <c r="BA187">
        <v>99.088399999999993</v>
      </c>
      <c r="BB187">
        <v>9.9982600000000005E-2</v>
      </c>
      <c r="BC187">
        <v>26.361499999999999</v>
      </c>
      <c r="BD187">
        <v>27.005500000000001</v>
      </c>
      <c r="BE187">
        <v>27.5031</v>
      </c>
      <c r="BF187">
        <v>0</v>
      </c>
      <c r="BG187">
        <v>0</v>
      </c>
      <c r="BH187">
        <v>10025</v>
      </c>
      <c r="BI187">
        <v>1076</v>
      </c>
      <c r="BJ187">
        <v>1.62592</v>
      </c>
      <c r="BK187">
        <v>-343.58300000000003</v>
      </c>
      <c r="BL187">
        <v>467.38400000000001</v>
      </c>
      <c r="BM187">
        <v>800.25599999999997</v>
      </c>
      <c r="BN187">
        <v>23.1248</v>
      </c>
      <c r="BO187">
        <v>800.02300000000002</v>
      </c>
      <c r="BP187">
        <v>0.29089500000000001</v>
      </c>
      <c r="BQ187">
        <v>2.3202199999999999</v>
      </c>
      <c r="BR187">
        <v>2.8824300000000001E-2</v>
      </c>
      <c r="BS187">
        <v>19.817499999999999</v>
      </c>
      <c r="BT187">
        <v>-35.842799999999997</v>
      </c>
      <c r="BU187">
        <v>1800</v>
      </c>
      <c r="BV187">
        <v>0.91001200000000004</v>
      </c>
      <c r="BW187">
        <v>3.4003499999999999E-2</v>
      </c>
      <c r="BX187">
        <v>2.19945E-2</v>
      </c>
      <c r="BY187">
        <v>3.3989499999999999E-2</v>
      </c>
      <c r="BZ187">
        <v>26</v>
      </c>
      <c r="CA187">
        <v>33528.5</v>
      </c>
      <c r="CB187">
        <v>1690220522.5999999</v>
      </c>
      <c r="CC187" t="s">
        <v>332</v>
      </c>
      <c r="CD187">
        <v>1690220522.5999999</v>
      </c>
      <c r="CE187">
        <v>1690220510.5999999</v>
      </c>
      <c r="CF187">
        <v>10</v>
      </c>
      <c r="CG187">
        <v>-0.22</v>
      </c>
      <c r="CH187">
        <v>-2.7E-2</v>
      </c>
      <c r="CI187">
        <v>-0.49299999999999999</v>
      </c>
      <c r="CJ187">
        <v>0.152</v>
      </c>
      <c r="CK187">
        <v>800</v>
      </c>
      <c r="CL187">
        <v>19</v>
      </c>
      <c r="CM187">
        <v>0.1</v>
      </c>
      <c r="CN187">
        <v>0.03</v>
      </c>
      <c r="CO187">
        <v>-342.48007317073171</v>
      </c>
      <c r="CP187">
        <v>-5.3780069686414826</v>
      </c>
      <c r="CQ187">
        <v>0.53692218586163865</v>
      </c>
      <c r="CR187">
        <v>-1</v>
      </c>
      <c r="CS187">
        <v>23.08920975609756</v>
      </c>
      <c r="CT187">
        <v>0.19982717770032499</v>
      </c>
      <c r="CU187">
        <v>1.9823782278943349E-2</v>
      </c>
      <c r="CV187">
        <v>-1</v>
      </c>
      <c r="CW187">
        <v>0</v>
      </c>
      <c r="CX187">
        <v>0</v>
      </c>
      <c r="CY187" t="s">
        <v>333</v>
      </c>
      <c r="CZ187">
        <v>2.3648099999999999</v>
      </c>
      <c r="DA187">
        <v>2.7138</v>
      </c>
      <c r="DB187">
        <v>9.8891699999999999E-2</v>
      </c>
      <c r="DC187">
        <v>0.146009</v>
      </c>
      <c r="DD187">
        <v>0.112044</v>
      </c>
      <c r="DE187">
        <v>2.4297300000000002E-3</v>
      </c>
      <c r="DF187">
        <v>32907.800000000003</v>
      </c>
      <c r="DG187">
        <v>27528.5</v>
      </c>
      <c r="DH187">
        <v>31176.400000000001</v>
      </c>
      <c r="DI187">
        <v>28088.799999999999</v>
      </c>
      <c r="DJ187">
        <v>37581.1</v>
      </c>
      <c r="DK187">
        <v>39851.4</v>
      </c>
      <c r="DL187">
        <v>44368.6</v>
      </c>
      <c r="DM187">
        <v>42572.2</v>
      </c>
      <c r="DN187">
        <v>1.4860800000000001</v>
      </c>
      <c r="DO187">
        <v>2.02752</v>
      </c>
      <c r="DP187">
        <v>0.110816</v>
      </c>
      <c r="DQ187">
        <v>0.150923</v>
      </c>
      <c r="DR187">
        <v>25.1906</v>
      </c>
      <c r="DS187">
        <v>25.032</v>
      </c>
      <c r="DT187">
        <v>30.6</v>
      </c>
      <c r="DU187">
        <v>29.5</v>
      </c>
      <c r="DV187">
        <v>12.783899999999999</v>
      </c>
      <c r="DW187">
        <v>61.608699999999999</v>
      </c>
      <c r="DX187">
        <v>36.482399999999998</v>
      </c>
      <c r="DY187">
        <v>1</v>
      </c>
      <c r="DZ187">
        <v>-9.6839400000000006E-2</v>
      </c>
      <c r="EA187">
        <v>-7.9248399999999998E-4</v>
      </c>
      <c r="EB187">
        <v>20.189699999999998</v>
      </c>
      <c r="EC187">
        <v>5.2409499999999998</v>
      </c>
      <c r="ED187">
        <v>12.039899999999999</v>
      </c>
      <c r="EE187">
        <v>5.0174000000000003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1.86894</v>
      </c>
      <c r="EL187">
        <v>1.8646400000000001</v>
      </c>
      <c r="EM187">
        <v>1.8691899999999999</v>
      </c>
      <c r="EN187">
        <v>1.8672599999999999</v>
      </c>
      <c r="EO187">
        <v>1.8633999999999999</v>
      </c>
      <c r="EP187">
        <v>1.8645700000000001</v>
      </c>
      <c r="EQ187">
        <v>1.8702000000000001</v>
      </c>
      <c r="ER187">
        <v>1.8694599999999999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-0.25</v>
      </c>
      <c r="FG187">
        <v>0.1628</v>
      </c>
      <c r="FH187">
        <v>5.8509882529719233E-2</v>
      </c>
      <c r="FI187">
        <v>-6.1462078757559423E-4</v>
      </c>
      <c r="FJ187">
        <v>-1.8861989874597051E-7</v>
      </c>
      <c r="FK187">
        <v>1.1980462299894961E-10</v>
      </c>
      <c r="FL187">
        <v>0.16277811159127681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37.200000000000003</v>
      </c>
      <c r="FU187">
        <v>37.4</v>
      </c>
      <c r="FV187">
        <v>1.7675799999999999</v>
      </c>
      <c r="FW187">
        <v>2.5793499999999998</v>
      </c>
      <c r="FX187">
        <v>1.5490699999999999</v>
      </c>
      <c r="FY187">
        <v>2.3290999999999999</v>
      </c>
      <c r="FZ187">
        <v>1.50146</v>
      </c>
      <c r="GA187">
        <v>2.3584000000000001</v>
      </c>
      <c r="GB187">
        <v>33.941299999999998</v>
      </c>
      <c r="GC187">
        <v>23.991199999999999</v>
      </c>
      <c r="GD187">
        <v>19</v>
      </c>
      <c r="GE187">
        <v>286.892</v>
      </c>
      <c r="GF187">
        <v>575.26</v>
      </c>
      <c r="GG187">
        <v>24.855399999999999</v>
      </c>
      <c r="GH187">
        <v>26.1692</v>
      </c>
      <c r="GI187">
        <v>30</v>
      </c>
      <c r="GJ187">
        <v>26.3018</v>
      </c>
      <c r="GK187">
        <v>26.2819</v>
      </c>
      <c r="GL187">
        <v>35.336399999999998</v>
      </c>
      <c r="GM187">
        <v>100</v>
      </c>
      <c r="GN187">
        <v>28.1861</v>
      </c>
      <c r="GO187">
        <v>24.846699999999998</v>
      </c>
      <c r="GP187">
        <v>800</v>
      </c>
      <c r="GQ187">
        <v>0</v>
      </c>
      <c r="GR187">
        <v>99.753399999999999</v>
      </c>
      <c r="GS187">
        <v>99.591899999999995</v>
      </c>
    </row>
    <row r="188" spans="1:201" x14ac:dyDescent="0.25">
      <c r="A188">
        <v>172</v>
      </c>
      <c r="B188">
        <v>1690222765.0999999</v>
      </c>
      <c r="C188">
        <v>1882.599999904633</v>
      </c>
      <c r="D188" t="s">
        <v>675</v>
      </c>
      <c r="E188" t="s">
        <v>676</v>
      </c>
      <c r="F188" t="s">
        <v>330</v>
      </c>
      <c r="H188">
        <v>1690222765.0999999</v>
      </c>
      <c r="I188">
        <f t="shared" si="60"/>
        <v>2.2797868746681359E-3</v>
      </c>
      <c r="J188">
        <f t="shared" si="61"/>
        <v>2.2797868746681358</v>
      </c>
      <c r="K188">
        <f t="shared" si="62"/>
        <v>32.076564184379109</v>
      </c>
      <c r="L188">
        <f t="shared" si="63"/>
        <v>455.57799999999997</v>
      </c>
      <c r="M188">
        <f t="shared" si="64"/>
        <v>121.2673494534924</v>
      </c>
      <c r="N188">
        <f t="shared" si="65"/>
        <v>12.028770814836129</v>
      </c>
      <c r="O188">
        <f t="shared" si="66"/>
        <v>45.189767690792003</v>
      </c>
      <c r="P188">
        <f t="shared" si="67"/>
        <v>0.16215560582329483</v>
      </c>
      <c r="Q188">
        <f t="shared" si="68"/>
        <v>2.1946815475339574</v>
      </c>
      <c r="R188">
        <f t="shared" si="69"/>
        <v>0.15578147794094818</v>
      </c>
      <c r="S188">
        <f t="shared" si="70"/>
        <v>9.7915236499544381E-2</v>
      </c>
      <c r="T188">
        <f t="shared" si="71"/>
        <v>276.11453946600005</v>
      </c>
      <c r="U188">
        <f t="shared" si="72"/>
        <v>27.714226933404252</v>
      </c>
      <c r="V188">
        <f t="shared" si="73"/>
        <v>27.714226933404252</v>
      </c>
      <c r="W188">
        <f t="shared" si="74"/>
        <v>3.7320767838948083</v>
      </c>
      <c r="X188">
        <f t="shared" si="75"/>
        <v>67.437347877619587</v>
      </c>
      <c r="Y188">
        <f t="shared" si="76"/>
        <v>2.3247667476680003</v>
      </c>
      <c r="Z188">
        <f t="shared" si="77"/>
        <v>3.4472985976358661</v>
      </c>
      <c r="AA188">
        <f t="shared" si="78"/>
        <v>1.4073100362268081</v>
      </c>
      <c r="AB188">
        <f t="shared" si="79"/>
        <v>-100.53860117286479</v>
      </c>
      <c r="AC188">
        <f t="shared" si="80"/>
        <v>-159.94771880778742</v>
      </c>
      <c r="AD188">
        <f t="shared" si="81"/>
        <v>-15.734396750980256</v>
      </c>
      <c r="AE188">
        <f t="shared" si="82"/>
        <v>-0.10617726563239671</v>
      </c>
      <c r="AF188">
        <v>0</v>
      </c>
      <c r="AG188">
        <v>0</v>
      </c>
      <c r="AH188">
        <f t="shared" si="83"/>
        <v>1</v>
      </c>
      <c r="AI188">
        <f t="shared" si="84"/>
        <v>0</v>
      </c>
      <c r="AJ188">
        <f t="shared" si="85"/>
        <v>52521.288225473785</v>
      </c>
      <c r="AK188">
        <f t="shared" si="86"/>
        <v>1800</v>
      </c>
      <c r="AL188">
        <f t="shared" si="87"/>
        <v>1499.1124445999999</v>
      </c>
      <c r="AM188">
        <f t="shared" si="88"/>
        <v>0.83284024699999992</v>
      </c>
      <c r="AN188">
        <f t="shared" si="89"/>
        <v>0.15339696637000003</v>
      </c>
      <c r="AO188">
        <v>31.2</v>
      </c>
      <c r="AP188">
        <v>0.5</v>
      </c>
      <c r="AQ188" t="s">
        <v>331</v>
      </c>
      <c r="AR188">
        <v>2</v>
      </c>
      <c r="AS188">
        <v>1690222765.0999999</v>
      </c>
      <c r="AT188">
        <v>455.57799999999997</v>
      </c>
      <c r="AU188">
        <v>799.96100000000001</v>
      </c>
      <c r="AV188">
        <v>23.437000000000001</v>
      </c>
      <c r="AW188">
        <v>0.28390599999999999</v>
      </c>
      <c r="AX188">
        <v>455.82799999999997</v>
      </c>
      <c r="AY188">
        <v>23.2743</v>
      </c>
      <c r="AZ188">
        <v>300.01299999999998</v>
      </c>
      <c r="BA188">
        <v>99.092100000000002</v>
      </c>
      <c r="BB188">
        <v>0.100064</v>
      </c>
      <c r="BC188">
        <v>26.362400000000001</v>
      </c>
      <c r="BD188">
        <v>26.9999</v>
      </c>
      <c r="BE188">
        <v>27.517299999999999</v>
      </c>
      <c r="BF188">
        <v>0</v>
      </c>
      <c r="BG188">
        <v>0</v>
      </c>
      <c r="BH188">
        <v>10002.5</v>
      </c>
      <c r="BI188">
        <v>1076.04</v>
      </c>
      <c r="BJ188">
        <v>1.62592</v>
      </c>
      <c r="BK188">
        <v>-344.38299999999998</v>
      </c>
      <c r="BL188">
        <v>466.512</v>
      </c>
      <c r="BM188">
        <v>800.18799999999999</v>
      </c>
      <c r="BN188">
        <v>23.153099999999998</v>
      </c>
      <c r="BO188">
        <v>799.96100000000001</v>
      </c>
      <c r="BP188">
        <v>0.28390599999999999</v>
      </c>
      <c r="BQ188">
        <v>2.3224300000000002</v>
      </c>
      <c r="BR188">
        <v>2.8132799999999999E-2</v>
      </c>
      <c r="BS188">
        <v>19.832799999999999</v>
      </c>
      <c r="BT188">
        <v>-36.084800000000001</v>
      </c>
      <c r="BU188">
        <v>1800</v>
      </c>
      <c r="BV188">
        <v>0.91001200000000004</v>
      </c>
      <c r="BW188">
        <v>3.4003699999999998E-2</v>
      </c>
      <c r="BX188">
        <v>2.19946E-2</v>
      </c>
      <c r="BY188">
        <v>3.3989699999999998E-2</v>
      </c>
      <c r="BZ188">
        <v>26</v>
      </c>
      <c r="CA188">
        <v>33528.5</v>
      </c>
      <c r="CB188">
        <v>1690220522.5999999</v>
      </c>
      <c r="CC188" t="s">
        <v>332</v>
      </c>
      <c r="CD188">
        <v>1690220522.5999999</v>
      </c>
      <c r="CE188">
        <v>1690220510.5999999</v>
      </c>
      <c r="CF188">
        <v>10</v>
      </c>
      <c r="CG188">
        <v>-0.22</v>
      </c>
      <c r="CH188">
        <v>-2.7E-2</v>
      </c>
      <c r="CI188">
        <v>-0.49299999999999999</v>
      </c>
      <c r="CJ188">
        <v>0.152</v>
      </c>
      <c r="CK188">
        <v>800</v>
      </c>
      <c r="CL188">
        <v>19</v>
      </c>
      <c r="CM188">
        <v>0.1</v>
      </c>
      <c r="CN188">
        <v>0.03</v>
      </c>
      <c r="CO188">
        <v>-343.47615000000002</v>
      </c>
      <c r="CP188">
        <v>-5.6371632270165231</v>
      </c>
      <c r="CQ188">
        <v>0.54651502952800413</v>
      </c>
      <c r="CR188">
        <v>-1</v>
      </c>
      <c r="CS188">
        <v>23.121925000000001</v>
      </c>
      <c r="CT188">
        <v>0.16770281425889719</v>
      </c>
      <c r="CU188">
        <v>1.6178933061237352E-2</v>
      </c>
      <c r="CV188">
        <v>-1</v>
      </c>
      <c r="CW188">
        <v>0</v>
      </c>
      <c r="CX188">
        <v>0</v>
      </c>
      <c r="CY188" t="s">
        <v>333</v>
      </c>
      <c r="CZ188">
        <v>2.3641700000000001</v>
      </c>
      <c r="DA188">
        <v>2.7138499999999999</v>
      </c>
      <c r="DB188">
        <v>9.8756499999999997E-2</v>
      </c>
      <c r="DC188">
        <v>0.146007</v>
      </c>
      <c r="DD188">
        <v>0.112121</v>
      </c>
      <c r="DE188">
        <v>2.37244E-3</v>
      </c>
      <c r="DF188">
        <v>32913.300000000003</v>
      </c>
      <c r="DG188">
        <v>27529.200000000001</v>
      </c>
      <c r="DH188">
        <v>31176.9</v>
      </c>
      <c r="DI188">
        <v>28089.5</v>
      </c>
      <c r="DJ188">
        <v>37578.400000000001</v>
      </c>
      <c r="DK188">
        <v>39854.5</v>
      </c>
      <c r="DL188">
        <v>44369.2</v>
      </c>
      <c r="DM188">
        <v>42573.1</v>
      </c>
      <c r="DN188">
        <v>1.486</v>
      </c>
      <c r="DO188">
        <v>2.0277799999999999</v>
      </c>
      <c r="DP188">
        <v>0.11025</v>
      </c>
      <c r="DQ188">
        <v>0.151508</v>
      </c>
      <c r="DR188">
        <v>25.194199999999999</v>
      </c>
      <c r="DS188">
        <v>25.0366</v>
      </c>
      <c r="DT188">
        <v>30.3</v>
      </c>
      <c r="DU188">
        <v>29.5</v>
      </c>
      <c r="DV188">
        <v>12.658099999999999</v>
      </c>
      <c r="DW188">
        <v>61.9587</v>
      </c>
      <c r="DX188">
        <v>37.6843</v>
      </c>
      <c r="DY188">
        <v>1</v>
      </c>
      <c r="DZ188">
        <v>-9.6900399999999998E-2</v>
      </c>
      <c r="EA188">
        <v>-9.7941200000000006E-2</v>
      </c>
      <c r="EB188">
        <v>20.189800000000002</v>
      </c>
      <c r="EC188">
        <v>5.2406499999999996</v>
      </c>
      <c r="ED188">
        <v>12.039899999999999</v>
      </c>
      <c r="EE188">
        <v>5.01755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1.86893</v>
      </c>
      <c r="EL188">
        <v>1.8646400000000001</v>
      </c>
      <c r="EM188">
        <v>1.8691899999999999</v>
      </c>
      <c r="EN188">
        <v>1.8672500000000001</v>
      </c>
      <c r="EO188">
        <v>1.8633999999999999</v>
      </c>
      <c r="EP188">
        <v>1.86453</v>
      </c>
      <c r="EQ188">
        <v>1.8702000000000001</v>
      </c>
      <c r="ER188">
        <v>1.86947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-0.25</v>
      </c>
      <c r="FG188">
        <v>0.16270000000000001</v>
      </c>
      <c r="FH188">
        <v>5.8509882529719233E-2</v>
      </c>
      <c r="FI188">
        <v>-6.1462078757559423E-4</v>
      </c>
      <c r="FJ188">
        <v>-1.8861989874597051E-7</v>
      </c>
      <c r="FK188">
        <v>1.1980462299894961E-10</v>
      </c>
      <c r="FL188">
        <v>0.16277811159127681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37.4</v>
      </c>
      <c r="FU188">
        <v>37.6</v>
      </c>
      <c r="FV188">
        <v>1.7675799999999999</v>
      </c>
      <c r="FW188">
        <v>2.5854499999999998</v>
      </c>
      <c r="FX188">
        <v>1.5490699999999999</v>
      </c>
      <c r="FY188">
        <v>2.3290999999999999</v>
      </c>
      <c r="FZ188">
        <v>1.50146</v>
      </c>
      <c r="GA188">
        <v>2.2741699999999998</v>
      </c>
      <c r="GB188">
        <v>33.941299999999998</v>
      </c>
      <c r="GC188">
        <v>23.982399999999998</v>
      </c>
      <c r="GD188">
        <v>19</v>
      </c>
      <c r="GE188">
        <v>286.85899999999998</v>
      </c>
      <c r="GF188">
        <v>575.46400000000006</v>
      </c>
      <c r="GG188">
        <v>24.843900000000001</v>
      </c>
      <c r="GH188">
        <v>26.1692</v>
      </c>
      <c r="GI188">
        <v>29.9999</v>
      </c>
      <c r="GJ188">
        <v>26.3018</v>
      </c>
      <c r="GK188">
        <v>26.2819</v>
      </c>
      <c r="GL188">
        <v>35.339399999999998</v>
      </c>
      <c r="GM188">
        <v>100</v>
      </c>
      <c r="GN188">
        <v>27.782800000000002</v>
      </c>
      <c r="GO188">
        <v>24.848299999999998</v>
      </c>
      <c r="GP188">
        <v>800</v>
      </c>
      <c r="GQ188">
        <v>0</v>
      </c>
      <c r="GR188">
        <v>99.754800000000003</v>
      </c>
      <c r="GS188">
        <v>99.594099999999997</v>
      </c>
    </row>
    <row r="189" spans="1:201" x14ac:dyDescent="0.25">
      <c r="A189">
        <v>173</v>
      </c>
      <c r="B189">
        <v>1690222775.0999999</v>
      </c>
      <c r="C189">
        <v>1892.599999904633</v>
      </c>
      <c r="D189" t="s">
        <v>677</v>
      </c>
      <c r="E189" t="s">
        <v>678</v>
      </c>
      <c r="F189" t="s">
        <v>330</v>
      </c>
      <c r="H189">
        <v>1690222775.0999999</v>
      </c>
      <c r="I189">
        <f t="shared" si="60"/>
        <v>2.2842698074593015E-3</v>
      </c>
      <c r="J189">
        <f t="shared" si="61"/>
        <v>2.2842698074593013</v>
      </c>
      <c r="K189">
        <f t="shared" si="62"/>
        <v>32.172324237014223</v>
      </c>
      <c r="L189">
        <f t="shared" si="63"/>
        <v>454.75900000000001</v>
      </c>
      <c r="M189">
        <f t="shared" si="64"/>
        <v>121.00346215593514</v>
      </c>
      <c r="N189">
        <f t="shared" si="65"/>
        <v>12.002022069339079</v>
      </c>
      <c r="O189">
        <f t="shared" si="66"/>
        <v>45.106375115093002</v>
      </c>
      <c r="P189">
        <f t="shared" si="67"/>
        <v>0.16293227989621911</v>
      </c>
      <c r="Q189">
        <f t="shared" si="68"/>
        <v>2.1926252533842652</v>
      </c>
      <c r="R189">
        <f t="shared" si="69"/>
        <v>0.15649247096200275</v>
      </c>
      <c r="S189">
        <f t="shared" si="70"/>
        <v>9.8365177259286174E-2</v>
      </c>
      <c r="T189">
        <f t="shared" si="71"/>
        <v>276.11438409000004</v>
      </c>
      <c r="U189">
        <f t="shared" si="72"/>
        <v>27.70966218682058</v>
      </c>
      <c r="V189">
        <f t="shared" si="73"/>
        <v>27.70966218682058</v>
      </c>
      <c r="W189">
        <f t="shared" si="74"/>
        <v>3.7310816465448755</v>
      </c>
      <c r="X189">
        <f t="shared" si="75"/>
        <v>67.533153309766732</v>
      </c>
      <c r="Y189">
        <f t="shared" si="76"/>
        <v>2.3274924870112002</v>
      </c>
      <c r="Z189">
        <f t="shared" si="77"/>
        <v>3.4464442617321041</v>
      </c>
      <c r="AA189">
        <f t="shared" si="78"/>
        <v>1.4035891595336754</v>
      </c>
      <c r="AB189">
        <f t="shared" si="79"/>
        <v>-100.7362985089552</v>
      </c>
      <c r="AC189">
        <f t="shared" si="80"/>
        <v>-159.75474045955943</v>
      </c>
      <c r="AD189">
        <f t="shared" si="81"/>
        <v>-15.729462038555035</v>
      </c>
      <c r="AE189">
        <f t="shared" si="82"/>
        <v>-0.10611691706961324</v>
      </c>
      <c r="AF189">
        <v>0</v>
      </c>
      <c r="AG189">
        <v>0</v>
      </c>
      <c r="AH189">
        <f t="shared" si="83"/>
        <v>1</v>
      </c>
      <c r="AI189">
        <f t="shared" si="84"/>
        <v>0</v>
      </c>
      <c r="AJ189">
        <f t="shared" si="85"/>
        <v>52437.684137894248</v>
      </c>
      <c r="AK189">
        <f t="shared" si="86"/>
        <v>1800</v>
      </c>
      <c r="AL189">
        <f t="shared" si="87"/>
        <v>1499.111766</v>
      </c>
      <c r="AM189">
        <f t="shared" si="88"/>
        <v>0.83283987000000004</v>
      </c>
      <c r="AN189">
        <f t="shared" si="89"/>
        <v>0.15339688005000002</v>
      </c>
      <c r="AO189">
        <v>31.2</v>
      </c>
      <c r="AP189">
        <v>0.5</v>
      </c>
      <c r="AQ189" t="s">
        <v>331</v>
      </c>
      <c r="AR189">
        <v>2</v>
      </c>
      <c r="AS189">
        <v>1690222775.0999999</v>
      </c>
      <c r="AT189">
        <v>454.75900000000001</v>
      </c>
      <c r="AU189">
        <v>799.98199999999997</v>
      </c>
      <c r="AV189">
        <v>23.465599999999998</v>
      </c>
      <c r="AW189">
        <v>0.27824599999999999</v>
      </c>
      <c r="AX189">
        <v>455.00799999999998</v>
      </c>
      <c r="AY189">
        <v>23.302800000000001</v>
      </c>
      <c r="AZ189">
        <v>300.14999999999998</v>
      </c>
      <c r="BA189">
        <v>99.087400000000002</v>
      </c>
      <c r="BB189">
        <v>0.100027</v>
      </c>
      <c r="BC189">
        <v>26.3582</v>
      </c>
      <c r="BD189">
        <v>27.012599999999999</v>
      </c>
      <c r="BE189">
        <v>27.530999999999999</v>
      </c>
      <c r="BF189">
        <v>0</v>
      </c>
      <c r="BG189">
        <v>0</v>
      </c>
      <c r="BH189">
        <v>9986.25</v>
      </c>
      <c r="BI189">
        <v>1076</v>
      </c>
      <c r="BJ189">
        <v>1.62592</v>
      </c>
      <c r="BK189">
        <v>-345.22300000000001</v>
      </c>
      <c r="BL189">
        <v>465.68599999999998</v>
      </c>
      <c r="BM189">
        <v>800.20399999999995</v>
      </c>
      <c r="BN189">
        <v>23.1874</v>
      </c>
      <c r="BO189">
        <v>799.98199999999997</v>
      </c>
      <c r="BP189">
        <v>0.27824599999999999</v>
      </c>
      <c r="BQ189">
        <v>2.3251499999999998</v>
      </c>
      <c r="BR189">
        <v>2.75707E-2</v>
      </c>
      <c r="BS189">
        <v>19.851700000000001</v>
      </c>
      <c r="BT189">
        <v>-36.285499999999999</v>
      </c>
      <c r="BU189">
        <v>1800</v>
      </c>
      <c r="BV189">
        <v>0.91001200000000004</v>
      </c>
      <c r="BW189">
        <v>3.4003499999999999E-2</v>
      </c>
      <c r="BX189">
        <v>2.19945E-2</v>
      </c>
      <c r="BY189">
        <v>3.3989499999999999E-2</v>
      </c>
      <c r="BZ189">
        <v>26</v>
      </c>
      <c r="CA189">
        <v>33528.5</v>
      </c>
      <c r="CB189">
        <v>1690220522.5999999</v>
      </c>
      <c r="CC189" t="s">
        <v>332</v>
      </c>
      <c r="CD189">
        <v>1690220522.5999999</v>
      </c>
      <c r="CE189">
        <v>1690220510.5999999</v>
      </c>
      <c r="CF189">
        <v>10</v>
      </c>
      <c r="CG189">
        <v>-0.22</v>
      </c>
      <c r="CH189">
        <v>-2.7E-2</v>
      </c>
      <c r="CI189">
        <v>-0.49299999999999999</v>
      </c>
      <c r="CJ189">
        <v>0.152</v>
      </c>
      <c r="CK189">
        <v>800</v>
      </c>
      <c r="CL189">
        <v>19</v>
      </c>
      <c r="CM189">
        <v>0.1</v>
      </c>
      <c r="CN189">
        <v>0.03</v>
      </c>
      <c r="CO189">
        <v>-344.37632500000001</v>
      </c>
      <c r="CP189">
        <v>-5.2166116322696627</v>
      </c>
      <c r="CQ189">
        <v>0.50417776564918193</v>
      </c>
      <c r="CR189">
        <v>-1</v>
      </c>
      <c r="CS189">
        <v>23.151105000000001</v>
      </c>
      <c r="CT189">
        <v>0.18687579737330759</v>
      </c>
      <c r="CU189">
        <v>1.8035214858714829E-2</v>
      </c>
      <c r="CV189">
        <v>-1</v>
      </c>
      <c r="CW189">
        <v>0</v>
      </c>
      <c r="CX189">
        <v>0</v>
      </c>
      <c r="CY189" t="s">
        <v>333</v>
      </c>
      <c r="CZ189">
        <v>2.3645900000000002</v>
      </c>
      <c r="DA189">
        <v>2.7138100000000001</v>
      </c>
      <c r="DB189">
        <v>9.8619899999999996E-2</v>
      </c>
      <c r="DC189">
        <v>0.14600199999999999</v>
      </c>
      <c r="DD189">
        <v>0.11221200000000001</v>
      </c>
      <c r="DE189">
        <v>2.3258300000000001E-3</v>
      </c>
      <c r="DF189">
        <v>32918.1</v>
      </c>
      <c r="DG189">
        <v>27529.4</v>
      </c>
      <c r="DH189">
        <v>31176.7</v>
      </c>
      <c r="DI189">
        <v>28089.5</v>
      </c>
      <c r="DJ189">
        <v>37574.199999999997</v>
      </c>
      <c r="DK189">
        <v>39856.5</v>
      </c>
      <c r="DL189">
        <v>44368.9</v>
      </c>
      <c r="DM189">
        <v>42573.2</v>
      </c>
      <c r="DN189">
        <v>1.4866200000000001</v>
      </c>
      <c r="DO189">
        <v>2.0282</v>
      </c>
      <c r="DP189">
        <v>0.110704</v>
      </c>
      <c r="DQ189">
        <v>0.152059</v>
      </c>
      <c r="DR189">
        <v>25.1995</v>
      </c>
      <c r="DS189">
        <v>25.041399999999999</v>
      </c>
      <c r="DT189">
        <v>29.8</v>
      </c>
      <c r="DU189">
        <v>29.6</v>
      </c>
      <c r="DV189">
        <v>12.5223</v>
      </c>
      <c r="DW189">
        <v>61.768700000000003</v>
      </c>
      <c r="DX189">
        <v>36.554499999999997</v>
      </c>
      <c r="DY189">
        <v>1</v>
      </c>
      <c r="DZ189">
        <v>-9.6892800000000001E-2</v>
      </c>
      <c r="EA189">
        <v>-8.7154099999999998E-2</v>
      </c>
      <c r="EB189">
        <v>20.189800000000002</v>
      </c>
      <c r="EC189">
        <v>5.2408000000000001</v>
      </c>
      <c r="ED189">
        <v>12.039899999999999</v>
      </c>
      <c r="EE189">
        <v>5.01755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1.8689499999999999</v>
      </c>
      <c r="EL189">
        <v>1.86463</v>
      </c>
      <c r="EM189">
        <v>1.8692</v>
      </c>
      <c r="EN189">
        <v>1.8672299999999999</v>
      </c>
      <c r="EO189">
        <v>1.8633999999999999</v>
      </c>
      <c r="EP189">
        <v>1.86452</v>
      </c>
      <c r="EQ189">
        <v>1.8702000000000001</v>
      </c>
      <c r="ER189">
        <v>1.86947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-0.249</v>
      </c>
      <c r="FG189">
        <v>0.1628</v>
      </c>
      <c r="FH189">
        <v>5.8509882529719233E-2</v>
      </c>
      <c r="FI189">
        <v>-6.1462078757559423E-4</v>
      </c>
      <c r="FJ189">
        <v>-1.8861989874597051E-7</v>
      </c>
      <c r="FK189">
        <v>1.1980462299894961E-10</v>
      </c>
      <c r="FL189">
        <v>0.16277811159127681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37.5</v>
      </c>
      <c r="FU189">
        <v>37.700000000000003</v>
      </c>
      <c r="FV189">
        <v>1.7675799999999999</v>
      </c>
      <c r="FW189">
        <v>2.5830099999999998</v>
      </c>
      <c r="FX189">
        <v>1.5490699999999999</v>
      </c>
      <c r="FY189">
        <v>2.3290999999999999</v>
      </c>
      <c r="FZ189">
        <v>1.50146</v>
      </c>
      <c r="GA189">
        <v>2.4218799999999998</v>
      </c>
      <c r="GB189">
        <v>33.941299999999998</v>
      </c>
      <c r="GC189">
        <v>23.982399999999998</v>
      </c>
      <c r="GD189">
        <v>19</v>
      </c>
      <c r="GE189">
        <v>287.12599999999998</v>
      </c>
      <c r="GF189">
        <v>575.81200000000001</v>
      </c>
      <c r="GG189">
        <v>24.8461</v>
      </c>
      <c r="GH189">
        <v>26.167400000000001</v>
      </c>
      <c r="GI189">
        <v>29.9999</v>
      </c>
      <c r="GJ189">
        <v>26.301200000000001</v>
      </c>
      <c r="GK189">
        <v>26.2819</v>
      </c>
      <c r="GL189">
        <v>35.337800000000001</v>
      </c>
      <c r="GM189">
        <v>100</v>
      </c>
      <c r="GN189">
        <v>27.024000000000001</v>
      </c>
      <c r="GO189">
        <v>24.851600000000001</v>
      </c>
      <c r="GP189">
        <v>800</v>
      </c>
      <c r="GQ189">
        <v>0</v>
      </c>
      <c r="GR189">
        <v>99.754099999999994</v>
      </c>
      <c r="GS189">
        <v>99.594300000000004</v>
      </c>
    </row>
    <row r="190" spans="1:201" x14ac:dyDescent="0.25">
      <c r="A190">
        <v>174</v>
      </c>
      <c r="B190">
        <v>1690222785.0999999</v>
      </c>
      <c r="C190">
        <v>1902.599999904633</v>
      </c>
      <c r="D190" t="s">
        <v>679</v>
      </c>
      <c r="E190" t="s">
        <v>680</v>
      </c>
      <c r="F190" t="s">
        <v>330</v>
      </c>
      <c r="H190">
        <v>1690222785.0999999</v>
      </c>
      <c r="I190">
        <f t="shared" si="60"/>
        <v>2.287763208850668E-3</v>
      </c>
      <c r="J190">
        <f t="shared" si="61"/>
        <v>2.2877632088506679</v>
      </c>
      <c r="K190">
        <f t="shared" si="62"/>
        <v>32.250895892624293</v>
      </c>
      <c r="L190">
        <f t="shared" si="63"/>
        <v>453.95</v>
      </c>
      <c r="M190">
        <f t="shared" si="64"/>
        <v>120.31251370925986</v>
      </c>
      <c r="N190">
        <f t="shared" si="65"/>
        <v>11.9333305800807</v>
      </c>
      <c r="O190">
        <f t="shared" si="66"/>
        <v>45.025535996350001</v>
      </c>
      <c r="P190">
        <f t="shared" si="67"/>
        <v>0.16339198613725095</v>
      </c>
      <c r="Q190">
        <f t="shared" si="68"/>
        <v>2.192686646380487</v>
      </c>
      <c r="R190">
        <f t="shared" si="69"/>
        <v>0.15691673683695073</v>
      </c>
      <c r="S190">
        <f t="shared" si="70"/>
        <v>9.8633353775752552E-2</v>
      </c>
      <c r="T190">
        <f t="shared" si="71"/>
        <v>276.11453835000003</v>
      </c>
      <c r="U190">
        <f t="shared" si="72"/>
        <v>27.715533201097227</v>
      </c>
      <c r="V190">
        <f t="shared" si="73"/>
        <v>27.715533201097227</v>
      </c>
      <c r="W190">
        <f t="shared" si="74"/>
        <v>3.7323615993349657</v>
      </c>
      <c r="X190">
        <f t="shared" si="75"/>
        <v>67.591421261001742</v>
      </c>
      <c r="Y190">
        <f t="shared" si="76"/>
        <v>2.3304769110480001</v>
      </c>
      <c r="Z190">
        <f t="shared" si="77"/>
        <v>3.4478886041602097</v>
      </c>
      <c r="AA190">
        <f t="shared" si="78"/>
        <v>1.4018846882869656</v>
      </c>
      <c r="AB190">
        <f t="shared" si="79"/>
        <v>-100.89035751031446</v>
      </c>
      <c r="AC190">
        <f t="shared" si="80"/>
        <v>-159.61393254421512</v>
      </c>
      <c r="AD190">
        <f t="shared" si="81"/>
        <v>-15.716177027478045</v>
      </c>
      <c r="AE190">
        <f t="shared" si="82"/>
        <v>-0.10592873200761233</v>
      </c>
      <c r="AF190">
        <v>0</v>
      </c>
      <c r="AG190">
        <v>0</v>
      </c>
      <c r="AH190">
        <f t="shared" si="83"/>
        <v>1</v>
      </c>
      <c r="AI190">
        <f t="shared" si="84"/>
        <v>0</v>
      </c>
      <c r="AJ190">
        <f t="shared" si="85"/>
        <v>52438.926390395165</v>
      </c>
      <c r="AK190">
        <f t="shared" si="86"/>
        <v>1800</v>
      </c>
      <c r="AL190">
        <f t="shared" si="87"/>
        <v>1499.113431</v>
      </c>
      <c r="AM190">
        <f t="shared" si="88"/>
        <v>0.83284079499999997</v>
      </c>
      <c r="AN190">
        <f t="shared" si="89"/>
        <v>0.15339696575</v>
      </c>
      <c r="AO190">
        <v>31.2</v>
      </c>
      <c r="AP190">
        <v>0.5</v>
      </c>
      <c r="AQ190" t="s">
        <v>331</v>
      </c>
      <c r="AR190">
        <v>2</v>
      </c>
      <c r="AS190">
        <v>1690222785.0999999</v>
      </c>
      <c r="AT190">
        <v>453.95</v>
      </c>
      <c r="AU190">
        <v>800.00199999999995</v>
      </c>
      <c r="AV190">
        <v>23.495999999999999</v>
      </c>
      <c r="AW190">
        <v>0.27290199999999998</v>
      </c>
      <c r="AX190">
        <v>454.19799999999998</v>
      </c>
      <c r="AY190">
        <v>23.333300000000001</v>
      </c>
      <c r="AZ190">
        <v>300.137</v>
      </c>
      <c r="BA190">
        <v>99.086100000000002</v>
      </c>
      <c r="BB190">
        <v>0.100013</v>
      </c>
      <c r="BC190">
        <v>26.365300000000001</v>
      </c>
      <c r="BD190">
        <v>27.014399999999998</v>
      </c>
      <c r="BE190">
        <v>27.5242</v>
      </c>
      <c r="BF190">
        <v>0</v>
      </c>
      <c r="BG190">
        <v>0</v>
      </c>
      <c r="BH190">
        <v>9986.8799999999992</v>
      </c>
      <c r="BI190">
        <v>1076.01</v>
      </c>
      <c r="BJ190">
        <v>1.62592</v>
      </c>
      <c r="BK190">
        <v>-346.05099999999999</v>
      </c>
      <c r="BL190">
        <v>464.87299999999999</v>
      </c>
      <c r="BM190">
        <v>800.22</v>
      </c>
      <c r="BN190">
        <v>23.223099999999999</v>
      </c>
      <c r="BO190">
        <v>800.00199999999995</v>
      </c>
      <c r="BP190">
        <v>0.27290199999999998</v>
      </c>
      <c r="BQ190">
        <v>2.3281299999999998</v>
      </c>
      <c r="BR190">
        <v>2.70408E-2</v>
      </c>
      <c r="BS190">
        <v>19.872399999999999</v>
      </c>
      <c r="BT190">
        <v>-36.478099999999998</v>
      </c>
      <c r="BU190">
        <v>1800</v>
      </c>
      <c r="BV190">
        <v>0.91001500000000002</v>
      </c>
      <c r="BW190">
        <v>3.4002699999999997E-2</v>
      </c>
      <c r="BX190">
        <v>2.1994E-2</v>
      </c>
      <c r="BY190">
        <v>3.3988699999999997E-2</v>
      </c>
      <c r="BZ190">
        <v>26</v>
      </c>
      <c r="CA190">
        <v>33528.400000000001</v>
      </c>
      <c r="CB190">
        <v>1690220522.5999999</v>
      </c>
      <c r="CC190" t="s">
        <v>332</v>
      </c>
      <c r="CD190">
        <v>1690220522.5999999</v>
      </c>
      <c r="CE190">
        <v>1690220510.5999999</v>
      </c>
      <c r="CF190">
        <v>10</v>
      </c>
      <c r="CG190">
        <v>-0.22</v>
      </c>
      <c r="CH190">
        <v>-2.7E-2</v>
      </c>
      <c r="CI190">
        <v>-0.49299999999999999</v>
      </c>
      <c r="CJ190">
        <v>0.152</v>
      </c>
      <c r="CK190">
        <v>800</v>
      </c>
      <c r="CL190">
        <v>19</v>
      </c>
      <c r="CM190">
        <v>0.1</v>
      </c>
      <c r="CN190">
        <v>0.03</v>
      </c>
      <c r="CO190">
        <v>-345.11734146341462</v>
      </c>
      <c r="CP190">
        <v>-4.844885017421209</v>
      </c>
      <c r="CQ190">
        <v>0.48154778957715172</v>
      </c>
      <c r="CR190">
        <v>-1</v>
      </c>
      <c r="CS190">
        <v>23.181251219512191</v>
      </c>
      <c r="CT190">
        <v>0.20550104529616789</v>
      </c>
      <c r="CU190">
        <v>2.0303095065642089E-2</v>
      </c>
      <c r="CV190">
        <v>-1</v>
      </c>
      <c r="CW190">
        <v>0</v>
      </c>
      <c r="CX190">
        <v>0</v>
      </c>
      <c r="CY190" t="s">
        <v>333</v>
      </c>
      <c r="CZ190">
        <v>2.36456</v>
      </c>
      <c r="DA190">
        <v>2.7137899999999999</v>
      </c>
      <c r="DB190">
        <v>9.8488599999999996E-2</v>
      </c>
      <c r="DC190">
        <v>0.14600299999999999</v>
      </c>
      <c r="DD190">
        <v>0.112314</v>
      </c>
      <c r="DE190">
        <v>2.28188E-3</v>
      </c>
      <c r="DF190">
        <v>32923.4</v>
      </c>
      <c r="DG190">
        <v>27529.4</v>
      </c>
      <c r="DH190">
        <v>31177.200000000001</v>
      </c>
      <c r="DI190">
        <v>28089.599999999999</v>
      </c>
      <c r="DJ190">
        <v>37570.5</v>
      </c>
      <c r="DK190">
        <v>39858.400000000001</v>
      </c>
      <c r="DL190">
        <v>44369.8</v>
      </c>
      <c r="DM190">
        <v>42573.3</v>
      </c>
      <c r="DN190">
        <v>1.4866999999999999</v>
      </c>
      <c r="DO190">
        <v>2.0280499999999999</v>
      </c>
      <c r="DP190">
        <v>0.110425</v>
      </c>
      <c r="DQ190">
        <v>0.151254</v>
      </c>
      <c r="DR190">
        <v>25.2059</v>
      </c>
      <c r="DS190">
        <v>25.047699999999999</v>
      </c>
      <c r="DT190">
        <v>29.5</v>
      </c>
      <c r="DU190">
        <v>29.6</v>
      </c>
      <c r="DV190">
        <v>12.3954</v>
      </c>
      <c r="DW190">
        <v>61.968699999999998</v>
      </c>
      <c r="DX190">
        <v>37.636200000000002</v>
      </c>
      <c r="DY190">
        <v>1</v>
      </c>
      <c r="DZ190">
        <v>-9.7202700000000003E-2</v>
      </c>
      <c r="EA190">
        <v>-8.2388299999999998E-2</v>
      </c>
      <c r="EB190">
        <v>20.189699999999998</v>
      </c>
      <c r="EC190">
        <v>5.2408000000000001</v>
      </c>
      <c r="ED190">
        <v>12.039899999999999</v>
      </c>
      <c r="EE190">
        <v>5.0176499999999997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1.86894</v>
      </c>
      <c r="EL190">
        <v>1.86463</v>
      </c>
      <c r="EM190">
        <v>1.8691899999999999</v>
      </c>
      <c r="EN190">
        <v>1.8672500000000001</v>
      </c>
      <c r="EO190">
        <v>1.8633999999999999</v>
      </c>
      <c r="EP190">
        <v>1.8645499999999999</v>
      </c>
      <c r="EQ190">
        <v>1.8701700000000001</v>
      </c>
      <c r="ER190">
        <v>1.86947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-0.248</v>
      </c>
      <c r="FG190">
        <v>0.16270000000000001</v>
      </c>
      <c r="FH190">
        <v>5.8509882529719233E-2</v>
      </c>
      <c r="FI190">
        <v>-6.1462078757559423E-4</v>
      </c>
      <c r="FJ190">
        <v>-1.8861989874597051E-7</v>
      </c>
      <c r="FK190">
        <v>1.1980462299894961E-10</v>
      </c>
      <c r="FL190">
        <v>0.16277811159127681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37.700000000000003</v>
      </c>
      <c r="FU190">
        <v>37.9</v>
      </c>
      <c r="FV190">
        <v>1.7675799999999999</v>
      </c>
      <c r="FW190">
        <v>2.5854499999999998</v>
      </c>
      <c r="FX190">
        <v>1.5490699999999999</v>
      </c>
      <c r="FY190">
        <v>2.3290999999999999</v>
      </c>
      <c r="FZ190">
        <v>1.50146</v>
      </c>
      <c r="GA190">
        <v>2.32056</v>
      </c>
      <c r="GB190">
        <v>33.941299999999998</v>
      </c>
      <c r="GC190">
        <v>23.982399999999998</v>
      </c>
      <c r="GD190">
        <v>19</v>
      </c>
      <c r="GE190">
        <v>287.15100000000001</v>
      </c>
      <c r="GF190">
        <v>575.67200000000003</v>
      </c>
      <c r="GG190">
        <v>24.849900000000002</v>
      </c>
      <c r="GH190">
        <v>26.166899999999998</v>
      </c>
      <c r="GI190">
        <v>29.9999</v>
      </c>
      <c r="GJ190">
        <v>26.299600000000002</v>
      </c>
      <c r="GK190">
        <v>26.2803</v>
      </c>
      <c r="GL190">
        <v>35.337200000000003</v>
      </c>
      <c r="GM190">
        <v>100</v>
      </c>
      <c r="GN190">
        <v>26.277200000000001</v>
      </c>
      <c r="GO190">
        <v>24.820900000000002</v>
      </c>
      <c r="GP190">
        <v>800</v>
      </c>
      <c r="GQ190">
        <v>0</v>
      </c>
      <c r="GR190">
        <v>99.756</v>
      </c>
      <c r="GS190">
        <v>99.594499999999996</v>
      </c>
    </row>
    <row r="191" spans="1:201" x14ac:dyDescent="0.25">
      <c r="A191">
        <v>175</v>
      </c>
      <c r="B191">
        <v>1690222795.0999999</v>
      </c>
      <c r="C191">
        <v>1912.599999904633</v>
      </c>
      <c r="D191" t="s">
        <v>681</v>
      </c>
      <c r="E191" t="s">
        <v>682</v>
      </c>
      <c r="F191" t="s">
        <v>330</v>
      </c>
      <c r="H191">
        <v>1690222795.0999999</v>
      </c>
      <c r="I191">
        <f t="shared" si="60"/>
        <v>2.2911388006721977E-3</v>
      </c>
      <c r="J191">
        <f t="shared" si="61"/>
        <v>2.2911388006721976</v>
      </c>
      <c r="K191">
        <f t="shared" si="62"/>
        <v>32.325365832788798</v>
      </c>
      <c r="L191">
        <f t="shared" si="63"/>
        <v>453.23899999999998</v>
      </c>
      <c r="M191">
        <f t="shared" si="64"/>
        <v>120.22701033593218</v>
      </c>
      <c r="N191">
        <f t="shared" si="65"/>
        <v>11.925368011246485</v>
      </c>
      <c r="O191">
        <f t="shared" si="66"/>
        <v>44.956968130096996</v>
      </c>
      <c r="P191">
        <f t="shared" si="67"/>
        <v>0.1640837097062248</v>
      </c>
      <c r="Q191">
        <f t="shared" si="68"/>
        <v>2.1964286437654987</v>
      </c>
      <c r="R191">
        <f t="shared" si="69"/>
        <v>0.15756534425749003</v>
      </c>
      <c r="S191">
        <f t="shared" si="70"/>
        <v>9.9042412796109827E-2</v>
      </c>
      <c r="T191">
        <f t="shared" si="71"/>
        <v>276.11433201599999</v>
      </c>
      <c r="U191">
        <f t="shared" si="72"/>
        <v>27.710992107583138</v>
      </c>
      <c r="V191">
        <f t="shared" si="73"/>
        <v>27.710992107583138</v>
      </c>
      <c r="W191">
        <f t="shared" si="74"/>
        <v>3.7313715519489761</v>
      </c>
      <c r="X191">
        <f t="shared" si="75"/>
        <v>67.674060105288675</v>
      </c>
      <c r="Y191">
        <f t="shared" si="76"/>
        <v>2.3331472107636997</v>
      </c>
      <c r="Z191">
        <f t="shared" si="77"/>
        <v>3.447624107573481</v>
      </c>
      <c r="AA191">
        <f t="shared" si="78"/>
        <v>1.3982243411852764</v>
      </c>
      <c r="AB191">
        <f t="shared" si="79"/>
        <v>-101.03922110964392</v>
      </c>
      <c r="AC191">
        <f t="shared" si="80"/>
        <v>-159.5025362529438</v>
      </c>
      <c r="AD191">
        <f t="shared" si="81"/>
        <v>-15.677993779572571</v>
      </c>
      <c r="AE191">
        <f t="shared" si="82"/>
        <v>-0.10541912616025684</v>
      </c>
      <c r="AF191">
        <v>0</v>
      </c>
      <c r="AG191">
        <v>0</v>
      </c>
      <c r="AH191">
        <f t="shared" si="83"/>
        <v>1</v>
      </c>
      <c r="AI191">
        <f t="shared" si="84"/>
        <v>0</v>
      </c>
      <c r="AJ191">
        <f t="shared" si="85"/>
        <v>52592.606353807001</v>
      </c>
      <c r="AK191">
        <f t="shared" si="86"/>
        <v>1800</v>
      </c>
      <c r="AL191">
        <f t="shared" si="87"/>
        <v>1499.1128856</v>
      </c>
      <c r="AM191">
        <f t="shared" si="88"/>
        <v>0.83284049199999999</v>
      </c>
      <c r="AN191">
        <f t="shared" si="89"/>
        <v>0.15339685112000001</v>
      </c>
      <c r="AO191">
        <v>31.2</v>
      </c>
      <c r="AP191">
        <v>0.5</v>
      </c>
      <c r="AQ191" t="s">
        <v>331</v>
      </c>
      <c r="AR191">
        <v>2</v>
      </c>
      <c r="AS191">
        <v>1690222795.0999999</v>
      </c>
      <c r="AT191">
        <v>453.23899999999998</v>
      </c>
      <c r="AU191">
        <v>800.02599999999995</v>
      </c>
      <c r="AV191">
        <v>23.521899999999999</v>
      </c>
      <c r="AW191">
        <v>0.26771</v>
      </c>
      <c r="AX191">
        <v>453.48700000000002</v>
      </c>
      <c r="AY191">
        <v>23.359100000000002</v>
      </c>
      <c r="AZ191">
        <v>300.17</v>
      </c>
      <c r="BA191">
        <v>99.090400000000002</v>
      </c>
      <c r="BB191">
        <v>0.100023</v>
      </c>
      <c r="BC191">
        <v>26.364000000000001</v>
      </c>
      <c r="BD191">
        <v>27.043600000000001</v>
      </c>
      <c r="BE191">
        <v>27.526199999999999</v>
      </c>
      <c r="BF191">
        <v>0</v>
      </c>
      <c r="BG191">
        <v>0</v>
      </c>
      <c r="BH191">
        <v>10016.9</v>
      </c>
      <c r="BI191">
        <v>1075.99</v>
      </c>
      <c r="BJ191">
        <v>1.62592</v>
      </c>
      <c r="BK191">
        <v>-346.78699999999998</v>
      </c>
      <c r="BL191">
        <v>464.15699999999998</v>
      </c>
      <c r="BM191">
        <v>800.24</v>
      </c>
      <c r="BN191">
        <v>23.254200000000001</v>
      </c>
      <c r="BO191">
        <v>800.02599999999995</v>
      </c>
      <c r="BP191">
        <v>0.26771</v>
      </c>
      <c r="BQ191">
        <v>2.3307899999999999</v>
      </c>
      <c r="BR191">
        <v>2.6527499999999999E-2</v>
      </c>
      <c r="BS191">
        <v>19.890799999999999</v>
      </c>
      <c r="BT191">
        <v>-36.667900000000003</v>
      </c>
      <c r="BU191">
        <v>1800</v>
      </c>
      <c r="BV191">
        <v>0.91001600000000005</v>
      </c>
      <c r="BW191">
        <v>3.40021E-2</v>
      </c>
      <c r="BX191">
        <v>2.1993599999999999E-2</v>
      </c>
      <c r="BY191">
        <v>3.3988200000000003E-2</v>
      </c>
      <c r="BZ191">
        <v>26</v>
      </c>
      <c r="CA191">
        <v>33528.5</v>
      </c>
      <c r="CB191">
        <v>1690220522.5999999</v>
      </c>
      <c r="CC191" t="s">
        <v>332</v>
      </c>
      <c r="CD191">
        <v>1690220522.5999999</v>
      </c>
      <c r="CE191">
        <v>1690220510.5999999</v>
      </c>
      <c r="CF191">
        <v>10</v>
      </c>
      <c r="CG191">
        <v>-0.22</v>
      </c>
      <c r="CH191">
        <v>-2.7E-2</v>
      </c>
      <c r="CI191">
        <v>-0.49299999999999999</v>
      </c>
      <c r="CJ191">
        <v>0.152</v>
      </c>
      <c r="CK191">
        <v>800</v>
      </c>
      <c r="CL191">
        <v>19</v>
      </c>
      <c r="CM191">
        <v>0.1</v>
      </c>
      <c r="CN191">
        <v>0.03</v>
      </c>
      <c r="CO191">
        <v>-345.954475</v>
      </c>
      <c r="CP191">
        <v>-4.786165103190438</v>
      </c>
      <c r="CQ191">
        <v>0.46376357055616568</v>
      </c>
      <c r="CR191">
        <v>-1</v>
      </c>
      <c r="CS191">
        <v>23.219335000000001</v>
      </c>
      <c r="CT191">
        <v>0.21546191369601969</v>
      </c>
      <c r="CU191">
        <v>2.0779864653071869E-2</v>
      </c>
      <c r="CV191">
        <v>-1</v>
      </c>
      <c r="CW191">
        <v>0</v>
      </c>
      <c r="CX191">
        <v>0</v>
      </c>
      <c r="CY191" t="s">
        <v>333</v>
      </c>
      <c r="CZ191">
        <v>2.3647</v>
      </c>
      <c r="DA191">
        <v>2.7138300000000002</v>
      </c>
      <c r="DB191">
        <v>9.8377999999999993E-2</v>
      </c>
      <c r="DC191">
        <v>0.146012</v>
      </c>
      <c r="DD191">
        <v>0.11240600000000001</v>
      </c>
      <c r="DE191">
        <v>2.2392699999999998E-3</v>
      </c>
      <c r="DF191">
        <v>32927.4</v>
      </c>
      <c r="DG191">
        <v>27529</v>
      </c>
      <c r="DH191">
        <v>31177.1</v>
      </c>
      <c r="DI191">
        <v>28089.5</v>
      </c>
      <c r="DJ191">
        <v>37566.199999999997</v>
      </c>
      <c r="DK191">
        <v>39859.599999999999</v>
      </c>
      <c r="DL191">
        <v>44369.4</v>
      </c>
      <c r="DM191">
        <v>42572.800000000003</v>
      </c>
      <c r="DN191">
        <v>1.4864999999999999</v>
      </c>
      <c r="DO191">
        <v>2.0278499999999999</v>
      </c>
      <c r="DP191">
        <v>0.11185199999999999</v>
      </c>
      <c r="DQ191">
        <v>0.15096000000000001</v>
      </c>
      <c r="DR191">
        <v>25.2118</v>
      </c>
      <c r="DS191">
        <v>25.054600000000001</v>
      </c>
      <c r="DT191">
        <v>29.1</v>
      </c>
      <c r="DU191">
        <v>29.6</v>
      </c>
      <c r="DV191">
        <v>12.2264</v>
      </c>
      <c r="DW191">
        <v>61.358699999999999</v>
      </c>
      <c r="DX191">
        <v>36.538499999999999</v>
      </c>
      <c r="DY191">
        <v>1</v>
      </c>
      <c r="DZ191">
        <v>-9.7385700000000006E-2</v>
      </c>
      <c r="EA191">
        <v>2.1960799999999999E-2</v>
      </c>
      <c r="EB191">
        <v>20.189800000000002</v>
      </c>
      <c r="EC191">
        <v>5.2401999999999997</v>
      </c>
      <c r="ED191">
        <v>12.039899999999999</v>
      </c>
      <c r="EE191">
        <v>5.0174500000000002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1.86894</v>
      </c>
      <c r="EL191">
        <v>1.8646400000000001</v>
      </c>
      <c r="EM191">
        <v>1.8692</v>
      </c>
      <c r="EN191">
        <v>1.8672299999999999</v>
      </c>
      <c r="EO191">
        <v>1.8633999999999999</v>
      </c>
      <c r="EP191">
        <v>1.86456</v>
      </c>
      <c r="EQ191">
        <v>1.87019</v>
      </c>
      <c r="ER191">
        <v>1.8694599999999999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-0.248</v>
      </c>
      <c r="FG191">
        <v>0.1628</v>
      </c>
      <c r="FH191">
        <v>5.8509882529719233E-2</v>
      </c>
      <c r="FI191">
        <v>-6.1462078757559423E-4</v>
      </c>
      <c r="FJ191">
        <v>-1.8861989874597051E-7</v>
      </c>
      <c r="FK191">
        <v>1.1980462299894961E-10</v>
      </c>
      <c r="FL191">
        <v>0.16277811159127681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37.9</v>
      </c>
      <c r="FU191">
        <v>38.1</v>
      </c>
      <c r="FV191">
        <v>1.7675799999999999</v>
      </c>
      <c r="FW191">
        <v>2.5805699999999998</v>
      </c>
      <c r="FX191">
        <v>1.5490699999999999</v>
      </c>
      <c r="FY191">
        <v>2.3290999999999999</v>
      </c>
      <c r="FZ191">
        <v>1.50146</v>
      </c>
      <c r="GA191">
        <v>2.33521</v>
      </c>
      <c r="GB191">
        <v>33.941299999999998</v>
      </c>
      <c r="GC191">
        <v>23.982399999999998</v>
      </c>
      <c r="GD191">
        <v>19</v>
      </c>
      <c r="GE191">
        <v>287.065</v>
      </c>
      <c r="GF191">
        <v>575.50099999999998</v>
      </c>
      <c r="GG191">
        <v>24.8094</v>
      </c>
      <c r="GH191">
        <v>26.166899999999998</v>
      </c>
      <c r="GI191">
        <v>30</v>
      </c>
      <c r="GJ191">
        <v>26.299600000000002</v>
      </c>
      <c r="GK191">
        <v>26.279699999999998</v>
      </c>
      <c r="GL191">
        <v>35.339300000000001</v>
      </c>
      <c r="GM191">
        <v>100</v>
      </c>
      <c r="GN191">
        <v>25.492899999999999</v>
      </c>
      <c r="GO191">
        <v>24.778300000000002</v>
      </c>
      <c r="GP191">
        <v>800</v>
      </c>
      <c r="GQ191">
        <v>0</v>
      </c>
      <c r="GR191">
        <v>99.755300000000005</v>
      </c>
      <c r="GS191">
        <v>99.593599999999995</v>
      </c>
    </row>
    <row r="192" spans="1:201" x14ac:dyDescent="0.25">
      <c r="A192">
        <v>176</v>
      </c>
      <c r="B192">
        <v>1690222805.0999999</v>
      </c>
      <c r="C192">
        <v>1922.599999904633</v>
      </c>
      <c r="D192" t="s">
        <v>683</v>
      </c>
      <c r="E192" t="s">
        <v>684</v>
      </c>
      <c r="F192" t="s">
        <v>330</v>
      </c>
      <c r="H192">
        <v>1690222805.0999999</v>
      </c>
      <c r="I192">
        <f t="shared" si="60"/>
        <v>2.2929338059274012E-3</v>
      </c>
      <c r="J192">
        <f t="shared" si="61"/>
        <v>2.2929338059274014</v>
      </c>
      <c r="K192">
        <f t="shared" si="62"/>
        <v>32.393145285376136</v>
      </c>
      <c r="L192">
        <f t="shared" si="63"/>
        <v>452.53399999999999</v>
      </c>
      <c r="M192">
        <f t="shared" si="64"/>
        <v>119.66814310557744</v>
      </c>
      <c r="N192">
        <f t="shared" si="65"/>
        <v>11.870134537410891</v>
      </c>
      <c r="O192">
        <f t="shared" si="66"/>
        <v>44.887798233933999</v>
      </c>
      <c r="P192">
        <f t="shared" si="67"/>
        <v>0.16450884881565944</v>
      </c>
      <c r="Q192">
        <f t="shared" si="68"/>
        <v>2.1941432843552056</v>
      </c>
      <c r="R192">
        <f t="shared" si="69"/>
        <v>0.15795085549086871</v>
      </c>
      <c r="S192">
        <f t="shared" si="70"/>
        <v>9.9286710906892492E-2</v>
      </c>
      <c r="T192">
        <f t="shared" si="71"/>
        <v>276.11432240400001</v>
      </c>
      <c r="U192">
        <f t="shared" si="72"/>
        <v>27.708564222798916</v>
      </c>
      <c r="V192">
        <f t="shared" si="73"/>
        <v>27.708564222798916</v>
      </c>
      <c r="W192">
        <f t="shared" si="74"/>
        <v>3.730842319500367</v>
      </c>
      <c r="X192">
        <f t="shared" si="75"/>
        <v>67.737945307523361</v>
      </c>
      <c r="Y192">
        <f t="shared" si="76"/>
        <v>2.3349225422794002</v>
      </c>
      <c r="Z192">
        <f t="shared" si="77"/>
        <v>3.4469934564431943</v>
      </c>
      <c r="AA192">
        <f t="shared" si="78"/>
        <v>1.3959197772209668</v>
      </c>
      <c r="AB192">
        <f t="shared" si="79"/>
        <v>-101.11838084139839</v>
      </c>
      <c r="AC192">
        <f t="shared" si="80"/>
        <v>-159.41608059752721</v>
      </c>
      <c r="AD192">
        <f t="shared" si="81"/>
        <v>-15.685383296112597</v>
      </c>
      <c r="AE192">
        <f t="shared" si="82"/>
        <v>-0.10552233103820186</v>
      </c>
      <c r="AF192">
        <v>0</v>
      </c>
      <c r="AG192">
        <v>0</v>
      </c>
      <c r="AH192">
        <f t="shared" si="83"/>
        <v>1</v>
      </c>
      <c r="AI192">
        <f t="shared" si="84"/>
        <v>0</v>
      </c>
      <c r="AJ192">
        <f t="shared" si="85"/>
        <v>52499.492695743262</v>
      </c>
      <c r="AK192">
        <f t="shared" si="86"/>
        <v>1800</v>
      </c>
      <c r="AL192">
        <f t="shared" si="87"/>
        <v>1499.1131663999997</v>
      </c>
      <c r="AM192">
        <f t="shared" si="88"/>
        <v>0.83284064799999991</v>
      </c>
      <c r="AN192">
        <f t="shared" si="89"/>
        <v>0.15339684578000001</v>
      </c>
      <c r="AO192">
        <v>31.2</v>
      </c>
      <c r="AP192">
        <v>0.5</v>
      </c>
      <c r="AQ192" t="s">
        <v>331</v>
      </c>
      <c r="AR192">
        <v>2</v>
      </c>
      <c r="AS192">
        <v>1690222805.0999999</v>
      </c>
      <c r="AT192">
        <v>452.53399999999999</v>
      </c>
      <c r="AU192">
        <v>800.08199999999999</v>
      </c>
      <c r="AV192">
        <v>23.539400000000001</v>
      </c>
      <c r="AW192">
        <v>0.26306600000000002</v>
      </c>
      <c r="AX192">
        <v>452.78199999999998</v>
      </c>
      <c r="AY192">
        <v>23.3766</v>
      </c>
      <c r="AZ192">
        <v>300.11399999999998</v>
      </c>
      <c r="BA192">
        <v>99.092100000000002</v>
      </c>
      <c r="BB192">
        <v>0.10000100000000001</v>
      </c>
      <c r="BC192">
        <v>26.360900000000001</v>
      </c>
      <c r="BD192">
        <v>27.008099999999999</v>
      </c>
      <c r="BE192">
        <v>27.525700000000001</v>
      </c>
      <c r="BF192">
        <v>0</v>
      </c>
      <c r="BG192">
        <v>0</v>
      </c>
      <c r="BH192">
        <v>9998.1200000000008</v>
      </c>
      <c r="BI192">
        <v>1076</v>
      </c>
      <c r="BJ192">
        <v>1.62592</v>
      </c>
      <c r="BK192">
        <v>-347.548</v>
      </c>
      <c r="BL192">
        <v>463.44400000000002</v>
      </c>
      <c r="BM192">
        <v>800.29300000000001</v>
      </c>
      <c r="BN192">
        <v>23.276299999999999</v>
      </c>
      <c r="BO192">
        <v>800.08199999999999</v>
      </c>
      <c r="BP192">
        <v>0.26306600000000002</v>
      </c>
      <c r="BQ192">
        <v>2.33257</v>
      </c>
      <c r="BR192">
        <v>2.6067699999999999E-2</v>
      </c>
      <c r="BS192">
        <v>19.903099999999998</v>
      </c>
      <c r="BT192">
        <v>-36.840800000000002</v>
      </c>
      <c r="BU192">
        <v>1800</v>
      </c>
      <c r="BV192">
        <v>0.91001699999999996</v>
      </c>
      <c r="BW192">
        <v>3.4001799999999999E-2</v>
      </c>
      <c r="BX192">
        <v>2.19934E-2</v>
      </c>
      <c r="BY192">
        <v>3.3987799999999999E-2</v>
      </c>
      <c r="BZ192">
        <v>26</v>
      </c>
      <c r="CA192">
        <v>33528.5</v>
      </c>
      <c r="CB192">
        <v>1690220522.5999999</v>
      </c>
      <c r="CC192" t="s">
        <v>332</v>
      </c>
      <c r="CD192">
        <v>1690220522.5999999</v>
      </c>
      <c r="CE192">
        <v>1690220510.5999999</v>
      </c>
      <c r="CF192">
        <v>10</v>
      </c>
      <c r="CG192">
        <v>-0.22</v>
      </c>
      <c r="CH192">
        <v>-2.7E-2</v>
      </c>
      <c r="CI192">
        <v>-0.49299999999999999</v>
      </c>
      <c r="CJ192">
        <v>0.152</v>
      </c>
      <c r="CK192">
        <v>800</v>
      </c>
      <c r="CL192">
        <v>19</v>
      </c>
      <c r="CM192">
        <v>0.1</v>
      </c>
      <c r="CN192">
        <v>0.03</v>
      </c>
      <c r="CO192">
        <v>-346.71227499999998</v>
      </c>
      <c r="CP192">
        <v>-4.3431557223253252</v>
      </c>
      <c r="CQ192">
        <v>0.42055974530974383</v>
      </c>
      <c r="CR192">
        <v>-1</v>
      </c>
      <c r="CS192">
        <v>23.2511425</v>
      </c>
      <c r="CT192">
        <v>0.1609272045027271</v>
      </c>
      <c r="CU192">
        <v>1.556352928323146E-2</v>
      </c>
      <c r="CV192">
        <v>-1</v>
      </c>
      <c r="CW192">
        <v>0</v>
      </c>
      <c r="CX192">
        <v>0</v>
      </c>
      <c r="CY192" t="s">
        <v>333</v>
      </c>
      <c r="CZ192">
        <v>2.3645</v>
      </c>
      <c r="DA192">
        <v>2.7137899999999999</v>
      </c>
      <c r="DB192">
        <v>9.8266000000000006E-2</v>
      </c>
      <c r="DC192">
        <v>0.14602200000000001</v>
      </c>
      <c r="DD192">
        <v>0.112468</v>
      </c>
      <c r="DE192">
        <v>2.2010799999999998E-3</v>
      </c>
      <c r="DF192">
        <v>32931.599999999999</v>
      </c>
      <c r="DG192">
        <v>27528.7</v>
      </c>
      <c r="DH192">
        <v>31177.200000000001</v>
      </c>
      <c r="DI192">
        <v>28089.5</v>
      </c>
      <c r="DJ192">
        <v>37564</v>
      </c>
      <c r="DK192">
        <v>39861.199999999997</v>
      </c>
      <c r="DL192">
        <v>44369.8</v>
      </c>
      <c r="DM192">
        <v>42572.9</v>
      </c>
      <c r="DN192">
        <v>1.4862299999999999</v>
      </c>
      <c r="DO192">
        <v>2.02772</v>
      </c>
      <c r="DP192">
        <v>0.10954999999999999</v>
      </c>
      <c r="DQ192">
        <v>0.15076600000000001</v>
      </c>
      <c r="DR192">
        <v>25.213899999999999</v>
      </c>
      <c r="DS192">
        <v>25.057300000000001</v>
      </c>
      <c r="DT192">
        <v>28.7</v>
      </c>
      <c r="DU192">
        <v>29.6</v>
      </c>
      <c r="DV192">
        <v>12.057499999999999</v>
      </c>
      <c r="DW192">
        <v>61.828699999999998</v>
      </c>
      <c r="DX192">
        <v>37.267600000000002</v>
      </c>
      <c r="DY192">
        <v>1</v>
      </c>
      <c r="DZ192">
        <v>-9.6656500000000006E-2</v>
      </c>
      <c r="EA192">
        <v>0.14497299999999999</v>
      </c>
      <c r="EB192">
        <v>20.189499999999999</v>
      </c>
      <c r="EC192">
        <v>5.2403500000000003</v>
      </c>
      <c r="ED192">
        <v>12.039899999999999</v>
      </c>
      <c r="EE192">
        <v>5.0166000000000004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1.86893</v>
      </c>
      <c r="EL192">
        <v>1.8646499999999999</v>
      </c>
      <c r="EM192">
        <v>1.8691899999999999</v>
      </c>
      <c r="EN192">
        <v>1.8672500000000001</v>
      </c>
      <c r="EO192">
        <v>1.8633999999999999</v>
      </c>
      <c r="EP192">
        <v>1.8645499999999999</v>
      </c>
      <c r="EQ192">
        <v>1.8701700000000001</v>
      </c>
      <c r="ER192">
        <v>1.86948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-0.248</v>
      </c>
      <c r="FG192">
        <v>0.1628</v>
      </c>
      <c r="FH192">
        <v>5.8509882529719233E-2</v>
      </c>
      <c r="FI192">
        <v>-6.1462078757559423E-4</v>
      </c>
      <c r="FJ192">
        <v>-1.8861989874597051E-7</v>
      </c>
      <c r="FK192">
        <v>1.1980462299894961E-10</v>
      </c>
      <c r="FL192">
        <v>0.16277811159127681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38</v>
      </c>
      <c r="FU192">
        <v>38.200000000000003</v>
      </c>
      <c r="FV192">
        <v>1.7675799999999999</v>
      </c>
      <c r="FW192">
        <v>2.5781200000000002</v>
      </c>
      <c r="FX192">
        <v>1.5490699999999999</v>
      </c>
      <c r="FY192">
        <v>2.3290999999999999</v>
      </c>
      <c r="FZ192">
        <v>1.50146</v>
      </c>
      <c r="GA192">
        <v>2.34985</v>
      </c>
      <c r="GB192">
        <v>33.941299999999998</v>
      </c>
      <c r="GC192">
        <v>23.991199999999999</v>
      </c>
      <c r="GD192">
        <v>19</v>
      </c>
      <c r="GE192">
        <v>286.94200000000001</v>
      </c>
      <c r="GF192">
        <v>575.399</v>
      </c>
      <c r="GG192">
        <v>24.747299999999999</v>
      </c>
      <c r="GH192">
        <v>26.166899999999998</v>
      </c>
      <c r="GI192">
        <v>30.000399999999999</v>
      </c>
      <c r="GJ192">
        <v>26.298400000000001</v>
      </c>
      <c r="GK192">
        <v>26.279699999999998</v>
      </c>
      <c r="GL192">
        <v>35.335900000000002</v>
      </c>
      <c r="GM192">
        <v>100</v>
      </c>
      <c r="GN192">
        <v>24.7102</v>
      </c>
      <c r="GO192">
        <v>24.719799999999999</v>
      </c>
      <c r="GP192">
        <v>800</v>
      </c>
      <c r="GQ192">
        <v>0</v>
      </c>
      <c r="GR192">
        <v>99.756100000000004</v>
      </c>
      <c r="GS192">
        <v>99.593699999999998</v>
      </c>
    </row>
    <row r="193" spans="1:201" x14ac:dyDescent="0.25">
      <c r="A193">
        <v>177</v>
      </c>
      <c r="B193">
        <v>1690222815.0999999</v>
      </c>
      <c r="C193">
        <v>1932.599999904633</v>
      </c>
      <c r="D193" t="s">
        <v>685</v>
      </c>
      <c r="E193" t="s">
        <v>686</v>
      </c>
      <c r="F193" t="s">
        <v>330</v>
      </c>
      <c r="H193">
        <v>1690222815.0999999</v>
      </c>
      <c r="I193">
        <f t="shared" si="60"/>
        <v>2.2950105344663684E-3</v>
      </c>
      <c r="J193">
        <f t="shared" si="61"/>
        <v>2.2950105344663685</v>
      </c>
      <c r="K193">
        <f t="shared" si="62"/>
        <v>32.444491422974956</v>
      </c>
      <c r="L193">
        <f t="shared" si="63"/>
        <v>451.94499999999999</v>
      </c>
      <c r="M193">
        <f t="shared" si="64"/>
        <v>119.58624060415607</v>
      </c>
      <c r="N193">
        <f t="shared" si="65"/>
        <v>11.861753537138437</v>
      </c>
      <c r="O193">
        <f t="shared" si="66"/>
        <v>44.828403127806993</v>
      </c>
      <c r="P193">
        <f t="shared" si="67"/>
        <v>0.16502319342432595</v>
      </c>
      <c r="Q193">
        <f t="shared" si="68"/>
        <v>2.1977973975055329</v>
      </c>
      <c r="R193">
        <f t="shared" si="69"/>
        <v>0.15843551198346875</v>
      </c>
      <c r="S193">
        <f t="shared" si="70"/>
        <v>9.9592159364554581E-2</v>
      </c>
      <c r="T193">
        <f t="shared" si="71"/>
        <v>276.11269039008693</v>
      </c>
      <c r="U193">
        <f t="shared" si="72"/>
        <v>27.701211479196129</v>
      </c>
      <c r="V193">
        <f t="shared" si="73"/>
        <v>27.701211479196129</v>
      </c>
      <c r="W193">
        <f t="shared" si="74"/>
        <v>3.7292399615412917</v>
      </c>
      <c r="X193">
        <f t="shared" si="75"/>
        <v>67.798044313453502</v>
      </c>
      <c r="Y193">
        <f t="shared" si="76"/>
        <v>2.3363598195214399</v>
      </c>
      <c r="Z193">
        <f t="shared" si="77"/>
        <v>3.4460578371842869</v>
      </c>
      <c r="AA193">
        <f t="shared" si="78"/>
        <v>1.3928801420198518</v>
      </c>
      <c r="AB193">
        <f t="shared" si="79"/>
        <v>-101.20996456996684</v>
      </c>
      <c r="AC193">
        <f t="shared" si="80"/>
        <v>-159.35540505853956</v>
      </c>
      <c r="AD193">
        <f t="shared" si="81"/>
        <v>-15.652408583755903</v>
      </c>
      <c r="AE193">
        <f t="shared" si="82"/>
        <v>-0.10508782217539192</v>
      </c>
      <c r="AF193">
        <v>0</v>
      </c>
      <c r="AG193">
        <v>0</v>
      </c>
      <c r="AH193">
        <f t="shared" si="83"/>
        <v>1</v>
      </c>
      <c r="AI193">
        <f t="shared" si="84"/>
        <v>0</v>
      </c>
      <c r="AJ193">
        <f t="shared" si="85"/>
        <v>52650.11577914493</v>
      </c>
      <c r="AK193">
        <f t="shared" si="86"/>
        <v>1799.99</v>
      </c>
      <c r="AL193">
        <f t="shared" si="87"/>
        <v>1499.10442039584</v>
      </c>
      <c r="AM193">
        <f t="shared" si="88"/>
        <v>0.83284041599999992</v>
      </c>
      <c r="AN193">
        <f t="shared" si="89"/>
        <v>0.15339679131</v>
      </c>
      <c r="AO193">
        <v>31.2</v>
      </c>
      <c r="AP193">
        <v>0.5</v>
      </c>
      <c r="AQ193" t="s">
        <v>331</v>
      </c>
      <c r="AR193">
        <v>2</v>
      </c>
      <c r="AS193">
        <v>1690222815.0999999</v>
      </c>
      <c r="AT193">
        <v>451.94499999999999</v>
      </c>
      <c r="AU193">
        <v>799.99699999999996</v>
      </c>
      <c r="AV193">
        <v>23.554400000000001</v>
      </c>
      <c r="AW193">
        <v>0.25905</v>
      </c>
      <c r="AX193">
        <v>452.19200000000001</v>
      </c>
      <c r="AY193">
        <v>23.3916</v>
      </c>
      <c r="AZ193">
        <v>300.13600000000002</v>
      </c>
      <c r="BA193">
        <v>99.09</v>
      </c>
      <c r="BB193">
        <v>9.9952600000000003E-2</v>
      </c>
      <c r="BC193">
        <v>26.356300000000001</v>
      </c>
      <c r="BD193">
        <v>27.010999999999999</v>
      </c>
      <c r="BE193">
        <v>27.5276</v>
      </c>
      <c r="BF193">
        <v>0</v>
      </c>
      <c r="BG193">
        <v>0</v>
      </c>
      <c r="BH193">
        <v>10028.1</v>
      </c>
      <c r="BI193">
        <v>1075.94</v>
      </c>
      <c r="BJ193">
        <v>1.62592</v>
      </c>
      <c r="BK193">
        <v>-348.053</v>
      </c>
      <c r="BL193">
        <v>462.84699999999998</v>
      </c>
      <c r="BM193">
        <v>800.20500000000004</v>
      </c>
      <c r="BN193">
        <v>23.295400000000001</v>
      </c>
      <c r="BO193">
        <v>799.99699999999996</v>
      </c>
      <c r="BP193">
        <v>0.25905</v>
      </c>
      <c r="BQ193">
        <v>2.3340100000000001</v>
      </c>
      <c r="BR193">
        <v>2.56692E-2</v>
      </c>
      <c r="BS193">
        <v>19.913</v>
      </c>
      <c r="BT193">
        <v>-36.992899999999999</v>
      </c>
      <c r="BU193">
        <v>1799.99</v>
      </c>
      <c r="BV193">
        <v>0.91001699999999996</v>
      </c>
      <c r="BW193">
        <v>3.4001700000000003E-2</v>
      </c>
      <c r="BX193">
        <v>2.19933E-2</v>
      </c>
      <c r="BY193">
        <v>3.3987700000000003E-2</v>
      </c>
      <c r="BZ193">
        <v>26</v>
      </c>
      <c r="CA193">
        <v>33528.400000000001</v>
      </c>
      <c r="CB193">
        <v>1690220522.5999999</v>
      </c>
      <c r="CC193" t="s">
        <v>332</v>
      </c>
      <c r="CD193">
        <v>1690220522.5999999</v>
      </c>
      <c r="CE193">
        <v>1690220510.5999999</v>
      </c>
      <c r="CF193">
        <v>10</v>
      </c>
      <c r="CG193">
        <v>-0.22</v>
      </c>
      <c r="CH193">
        <v>-2.7E-2</v>
      </c>
      <c r="CI193">
        <v>-0.49299999999999999</v>
      </c>
      <c r="CJ193">
        <v>0.152</v>
      </c>
      <c r="CK193">
        <v>800</v>
      </c>
      <c r="CL193">
        <v>19</v>
      </c>
      <c r="CM193">
        <v>0.1</v>
      </c>
      <c r="CN193">
        <v>0.03</v>
      </c>
      <c r="CO193">
        <v>-347.4195365853659</v>
      </c>
      <c r="CP193">
        <v>-3.873010452960965</v>
      </c>
      <c r="CQ193">
        <v>0.38433909682003381</v>
      </c>
      <c r="CR193">
        <v>-1</v>
      </c>
      <c r="CS193">
        <v>23.275690243902439</v>
      </c>
      <c r="CT193">
        <v>0.12603972125436191</v>
      </c>
      <c r="CU193">
        <v>1.246362130514506E-2</v>
      </c>
      <c r="CV193">
        <v>-1</v>
      </c>
      <c r="CW193">
        <v>0</v>
      </c>
      <c r="CX193">
        <v>0</v>
      </c>
      <c r="CY193" t="s">
        <v>333</v>
      </c>
      <c r="CZ193">
        <v>2.3645499999999999</v>
      </c>
      <c r="DA193">
        <v>2.7137699999999998</v>
      </c>
      <c r="DB193">
        <v>9.8168900000000003E-2</v>
      </c>
      <c r="DC193">
        <v>0.146008</v>
      </c>
      <c r="DD193">
        <v>0.112516</v>
      </c>
      <c r="DE193">
        <v>2.16796E-3</v>
      </c>
      <c r="DF193">
        <v>32934.800000000003</v>
      </c>
      <c r="DG193">
        <v>27529</v>
      </c>
      <c r="DH193">
        <v>31176.9</v>
      </c>
      <c r="DI193">
        <v>28089.4</v>
      </c>
      <c r="DJ193">
        <v>37561.599999999999</v>
      </c>
      <c r="DK193">
        <v>39862.400000000001</v>
      </c>
      <c r="DL193">
        <v>44369.4</v>
      </c>
      <c r="DM193">
        <v>42572.800000000003</v>
      </c>
      <c r="DN193">
        <v>1.4865999999999999</v>
      </c>
      <c r="DO193">
        <v>2.0278200000000002</v>
      </c>
      <c r="DP193">
        <v>0.109572</v>
      </c>
      <c r="DQ193">
        <v>0.15068799999999999</v>
      </c>
      <c r="DR193">
        <v>25.2165</v>
      </c>
      <c r="DS193">
        <v>25.060400000000001</v>
      </c>
      <c r="DT193">
        <v>28.3</v>
      </c>
      <c r="DU193">
        <v>29.6</v>
      </c>
      <c r="DV193">
        <v>11.892899999999999</v>
      </c>
      <c r="DW193">
        <v>61.518700000000003</v>
      </c>
      <c r="DX193">
        <v>36.963099999999997</v>
      </c>
      <c r="DY193">
        <v>1</v>
      </c>
      <c r="DZ193">
        <v>-9.6882599999999999E-2</v>
      </c>
      <c r="EA193">
        <v>7.5155200000000005E-2</v>
      </c>
      <c r="EB193">
        <v>20.189599999999999</v>
      </c>
      <c r="EC193">
        <v>5.2401999999999997</v>
      </c>
      <c r="ED193">
        <v>12.039899999999999</v>
      </c>
      <c r="EE193">
        <v>5.0163500000000001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1.8689499999999999</v>
      </c>
      <c r="EL193">
        <v>1.8646400000000001</v>
      </c>
      <c r="EM193">
        <v>1.8692</v>
      </c>
      <c r="EN193">
        <v>1.8672500000000001</v>
      </c>
      <c r="EO193">
        <v>1.8633999999999999</v>
      </c>
      <c r="EP193">
        <v>1.86456</v>
      </c>
      <c r="EQ193">
        <v>1.87019</v>
      </c>
      <c r="ER193">
        <v>1.86948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-0.247</v>
      </c>
      <c r="FG193">
        <v>0.1628</v>
      </c>
      <c r="FH193">
        <v>5.8509882529719233E-2</v>
      </c>
      <c r="FI193">
        <v>-6.1462078757559423E-4</v>
      </c>
      <c r="FJ193">
        <v>-1.8861989874597051E-7</v>
      </c>
      <c r="FK193">
        <v>1.1980462299894961E-10</v>
      </c>
      <c r="FL193">
        <v>0.16277811159127681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38.200000000000003</v>
      </c>
      <c r="FU193">
        <v>38.4</v>
      </c>
      <c r="FV193">
        <v>1.7675799999999999</v>
      </c>
      <c r="FW193">
        <v>2.5830099999999998</v>
      </c>
      <c r="FX193">
        <v>1.5490699999999999</v>
      </c>
      <c r="FY193">
        <v>2.3290999999999999</v>
      </c>
      <c r="FZ193">
        <v>1.50146</v>
      </c>
      <c r="GA193">
        <v>2.323</v>
      </c>
      <c r="GB193">
        <v>33.941299999999998</v>
      </c>
      <c r="GC193">
        <v>23.982399999999998</v>
      </c>
      <c r="GD193">
        <v>19</v>
      </c>
      <c r="GE193">
        <v>287.09800000000001</v>
      </c>
      <c r="GF193">
        <v>575.48099999999999</v>
      </c>
      <c r="GG193">
        <v>24.7013</v>
      </c>
      <c r="GH193">
        <v>26.166899999999998</v>
      </c>
      <c r="GI193">
        <v>30</v>
      </c>
      <c r="GJ193">
        <v>26.2974</v>
      </c>
      <c r="GK193">
        <v>26.279699999999998</v>
      </c>
      <c r="GL193">
        <v>35.335500000000003</v>
      </c>
      <c r="GM193">
        <v>100</v>
      </c>
      <c r="GN193">
        <v>24.336600000000001</v>
      </c>
      <c r="GO193">
        <v>24.774799999999999</v>
      </c>
      <c r="GP193">
        <v>800</v>
      </c>
      <c r="GQ193">
        <v>0</v>
      </c>
      <c r="GR193">
        <v>99.755200000000002</v>
      </c>
      <c r="GS193">
        <v>99.593400000000003</v>
      </c>
    </row>
    <row r="194" spans="1:201" x14ac:dyDescent="0.25">
      <c r="A194">
        <v>178</v>
      </c>
      <c r="B194">
        <v>1690222825.0999999</v>
      </c>
      <c r="C194">
        <v>1942.599999904633</v>
      </c>
      <c r="D194" t="s">
        <v>687</v>
      </c>
      <c r="E194" t="s">
        <v>688</v>
      </c>
      <c r="F194" t="s">
        <v>330</v>
      </c>
      <c r="H194">
        <v>1690222825.0999999</v>
      </c>
      <c r="I194">
        <f t="shared" si="60"/>
        <v>2.2986641120019296E-3</v>
      </c>
      <c r="J194">
        <f t="shared" si="61"/>
        <v>2.2986641120019295</v>
      </c>
      <c r="K194">
        <f t="shared" si="62"/>
        <v>32.511809437043524</v>
      </c>
      <c r="L194">
        <f t="shared" si="63"/>
        <v>451.27300000000002</v>
      </c>
      <c r="M194">
        <f t="shared" si="64"/>
        <v>119.32925165301195</v>
      </c>
      <c r="N194">
        <f t="shared" si="65"/>
        <v>11.835279828612311</v>
      </c>
      <c r="O194">
        <f t="shared" si="66"/>
        <v>44.758030073195002</v>
      </c>
      <c r="P194">
        <f t="shared" si="67"/>
        <v>0.16559990812369507</v>
      </c>
      <c r="Q194">
        <f t="shared" si="68"/>
        <v>2.1921694020035973</v>
      </c>
      <c r="R194">
        <f t="shared" si="69"/>
        <v>0.15895080346934493</v>
      </c>
      <c r="S194">
        <f t="shared" si="70"/>
        <v>9.9919402191674417E-2</v>
      </c>
      <c r="T194">
        <f t="shared" si="71"/>
        <v>276.114341142</v>
      </c>
      <c r="U194">
        <f t="shared" si="72"/>
        <v>27.702028849403948</v>
      </c>
      <c r="V194">
        <f t="shared" si="73"/>
        <v>27.702028849403948</v>
      </c>
      <c r="W194">
        <f t="shared" si="74"/>
        <v>3.7294180585282941</v>
      </c>
      <c r="X194">
        <f t="shared" si="75"/>
        <v>67.878558771674051</v>
      </c>
      <c r="Y194">
        <f t="shared" si="76"/>
        <v>2.3389825485019995</v>
      </c>
      <c r="Z194">
        <f t="shared" si="77"/>
        <v>3.4458341350023844</v>
      </c>
      <c r="AA194">
        <f t="shared" si="78"/>
        <v>1.3904355100262946</v>
      </c>
      <c r="AB194">
        <f t="shared" si="79"/>
        <v>-101.3710873392851</v>
      </c>
      <c r="AC194">
        <f t="shared" si="80"/>
        <v>-159.17393966812944</v>
      </c>
      <c r="AD194">
        <f t="shared" si="81"/>
        <v>-15.674701483133205</v>
      </c>
      <c r="AE194">
        <f t="shared" si="82"/>
        <v>-0.10538734854776521</v>
      </c>
      <c r="AF194">
        <v>0</v>
      </c>
      <c r="AG194">
        <v>0</v>
      </c>
      <c r="AH194">
        <f t="shared" si="83"/>
        <v>1</v>
      </c>
      <c r="AI194">
        <f t="shared" si="84"/>
        <v>0</v>
      </c>
      <c r="AJ194">
        <f t="shared" si="85"/>
        <v>52419.423893616542</v>
      </c>
      <c r="AK194">
        <f t="shared" si="86"/>
        <v>1800</v>
      </c>
      <c r="AL194">
        <f t="shared" si="87"/>
        <v>1499.1135822000001</v>
      </c>
      <c r="AM194">
        <f t="shared" si="88"/>
        <v>0.83284087900000003</v>
      </c>
      <c r="AN194">
        <f t="shared" si="89"/>
        <v>0.15339685619000001</v>
      </c>
      <c r="AO194">
        <v>31.2</v>
      </c>
      <c r="AP194">
        <v>0.5</v>
      </c>
      <c r="AQ194" t="s">
        <v>331</v>
      </c>
      <c r="AR194">
        <v>2</v>
      </c>
      <c r="AS194">
        <v>1690222825.0999999</v>
      </c>
      <c r="AT194">
        <v>451.27300000000002</v>
      </c>
      <c r="AU194">
        <v>799.96199999999999</v>
      </c>
      <c r="AV194">
        <v>23.582799999999999</v>
      </c>
      <c r="AW194">
        <v>0.25531799999999999</v>
      </c>
      <c r="AX194">
        <v>451.51900000000001</v>
      </c>
      <c r="AY194">
        <v>23.420100000000001</v>
      </c>
      <c r="AZ194">
        <v>300.19099999999997</v>
      </c>
      <c r="BA194">
        <v>99.081699999999998</v>
      </c>
      <c r="BB194">
        <v>0.10001500000000001</v>
      </c>
      <c r="BC194">
        <v>26.3552</v>
      </c>
      <c r="BD194">
        <v>27.004899999999999</v>
      </c>
      <c r="BE194">
        <v>27.532599999999999</v>
      </c>
      <c r="BF194">
        <v>0</v>
      </c>
      <c r="BG194">
        <v>0</v>
      </c>
      <c r="BH194">
        <v>9983.1200000000008</v>
      </c>
      <c r="BI194">
        <v>1076.05</v>
      </c>
      <c r="BJ194">
        <v>1.62592</v>
      </c>
      <c r="BK194">
        <v>-348.69</v>
      </c>
      <c r="BL194">
        <v>462.17200000000003</v>
      </c>
      <c r="BM194">
        <v>800.16700000000003</v>
      </c>
      <c r="BN194">
        <v>23.327500000000001</v>
      </c>
      <c r="BO194">
        <v>799.96199999999999</v>
      </c>
      <c r="BP194">
        <v>0.25531799999999999</v>
      </c>
      <c r="BQ194">
        <v>2.33663</v>
      </c>
      <c r="BR194">
        <v>2.5297400000000001E-2</v>
      </c>
      <c r="BS194">
        <v>19.9312</v>
      </c>
      <c r="BT194">
        <v>-37.136800000000001</v>
      </c>
      <c r="BU194">
        <v>1800</v>
      </c>
      <c r="BV194">
        <v>0.91001799999999999</v>
      </c>
      <c r="BW194">
        <v>3.4001499999999997E-2</v>
      </c>
      <c r="BX194">
        <v>2.1993200000000001E-2</v>
      </c>
      <c r="BY194">
        <v>3.3987499999999997E-2</v>
      </c>
      <c r="BZ194">
        <v>26</v>
      </c>
      <c r="CA194">
        <v>33528.5</v>
      </c>
      <c r="CB194">
        <v>1690220522.5999999</v>
      </c>
      <c r="CC194" t="s">
        <v>332</v>
      </c>
      <c r="CD194">
        <v>1690220522.5999999</v>
      </c>
      <c r="CE194">
        <v>1690220510.5999999</v>
      </c>
      <c r="CF194">
        <v>10</v>
      </c>
      <c r="CG194">
        <v>-0.22</v>
      </c>
      <c r="CH194">
        <v>-2.7E-2</v>
      </c>
      <c r="CI194">
        <v>-0.49299999999999999</v>
      </c>
      <c r="CJ194">
        <v>0.152</v>
      </c>
      <c r="CK194">
        <v>800</v>
      </c>
      <c r="CL194">
        <v>19</v>
      </c>
      <c r="CM194">
        <v>0.1</v>
      </c>
      <c r="CN194">
        <v>0.03</v>
      </c>
      <c r="CO194">
        <v>-348.06062500000002</v>
      </c>
      <c r="CP194">
        <v>-3.8783302063786871</v>
      </c>
      <c r="CQ194">
        <v>0.37599246584872342</v>
      </c>
      <c r="CR194">
        <v>-1</v>
      </c>
      <c r="CS194">
        <v>23.297235000000001</v>
      </c>
      <c r="CT194">
        <v>0.1426694183864739</v>
      </c>
      <c r="CU194">
        <v>1.389646627743929E-2</v>
      </c>
      <c r="CV194">
        <v>-1</v>
      </c>
      <c r="CW194">
        <v>0</v>
      </c>
      <c r="CX194">
        <v>0</v>
      </c>
      <c r="CY194" t="s">
        <v>333</v>
      </c>
      <c r="CZ194">
        <v>2.36476</v>
      </c>
      <c r="DA194">
        <v>2.7137899999999999</v>
      </c>
      <c r="DB194">
        <v>9.8052200000000006E-2</v>
      </c>
      <c r="DC194">
        <v>0.14599300000000001</v>
      </c>
      <c r="DD194">
        <v>0.11260299999999999</v>
      </c>
      <c r="DE194">
        <v>2.1370600000000001E-3</v>
      </c>
      <c r="DF194">
        <v>32938.6</v>
      </c>
      <c r="DG194">
        <v>27529.5</v>
      </c>
      <c r="DH194">
        <v>31176.5</v>
      </c>
      <c r="DI194">
        <v>28089.4</v>
      </c>
      <c r="DJ194">
        <v>37557.199999999997</v>
      </c>
      <c r="DK194">
        <v>39863.5</v>
      </c>
      <c r="DL194">
        <v>44368.7</v>
      </c>
      <c r="DM194">
        <v>42572.6</v>
      </c>
      <c r="DN194">
        <v>1.4865699999999999</v>
      </c>
      <c r="DO194">
        <v>2.02793</v>
      </c>
      <c r="DP194">
        <v>0.10909099999999999</v>
      </c>
      <c r="DQ194">
        <v>0.15093000000000001</v>
      </c>
      <c r="DR194">
        <v>25.2182</v>
      </c>
      <c r="DS194">
        <v>25.061499999999999</v>
      </c>
      <c r="DT194">
        <v>28</v>
      </c>
      <c r="DU194">
        <v>29.6</v>
      </c>
      <c r="DV194">
        <v>11.7654</v>
      </c>
      <c r="DW194">
        <v>61.628700000000002</v>
      </c>
      <c r="DX194">
        <v>36.947099999999999</v>
      </c>
      <c r="DY194">
        <v>1</v>
      </c>
      <c r="DZ194">
        <v>-9.7057900000000003E-2</v>
      </c>
      <c r="EA194">
        <v>-5.0727099999999997E-2</v>
      </c>
      <c r="EB194">
        <v>20.189699999999998</v>
      </c>
      <c r="EC194">
        <v>5.2404999999999999</v>
      </c>
      <c r="ED194">
        <v>12.039899999999999</v>
      </c>
      <c r="EE194">
        <v>5.0162500000000003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1.86894</v>
      </c>
      <c r="EL194">
        <v>1.8646499999999999</v>
      </c>
      <c r="EM194">
        <v>1.8692</v>
      </c>
      <c r="EN194">
        <v>1.8672299999999999</v>
      </c>
      <c r="EO194">
        <v>1.8633999999999999</v>
      </c>
      <c r="EP194">
        <v>1.8645400000000001</v>
      </c>
      <c r="EQ194">
        <v>1.8702000000000001</v>
      </c>
      <c r="ER194">
        <v>1.8694299999999999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-0.246</v>
      </c>
      <c r="FG194">
        <v>0.16270000000000001</v>
      </c>
      <c r="FH194">
        <v>5.8509882529719233E-2</v>
      </c>
      <c r="FI194">
        <v>-6.1462078757559423E-4</v>
      </c>
      <c r="FJ194">
        <v>-1.8861989874597051E-7</v>
      </c>
      <c r="FK194">
        <v>1.1980462299894961E-10</v>
      </c>
      <c r="FL194">
        <v>0.16277811159127681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38.4</v>
      </c>
      <c r="FU194">
        <v>38.6</v>
      </c>
      <c r="FV194">
        <v>1.7675799999999999</v>
      </c>
      <c r="FW194">
        <v>2.5793499999999998</v>
      </c>
      <c r="FX194">
        <v>1.5490699999999999</v>
      </c>
      <c r="FY194">
        <v>2.3290999999999999</v>
      </c>
      <c r="FZ194">
        <v>1.50146</v>
      </c>
      <c r="GA194">
        <v>2.3864700000000001</v>
      </c>
      <c r="GB194">
        <v>33.941299999999998</v>
      </c>
      <c r="GC194">
        <v>23.991199999999999</v>
      </c>
      <c r="GD194">
        <v>19</v>
      </c>
      <c r="GE194">
        <v>287.08800000000002</v>
      </c>
      <c r="GF194">
        <v>575.53800000000001</v>
      </c>
      <c r="GG194">
        <v>24.764600000000002</v>
      </c>
      <c r="GH194">
        <v>26.1647</v>
      </c>
      <c r="GI194">
        <v>30.0001</v>
      </c>
      <c r="GJ194">
        <v>26.2974</v>
      </c>
      <c r="GK194">
        <v>26.2775</v>
      </c>
      <c r="GL194">
        <v>35.335999999999999</v>
      </c>
      <c r="GM194">
        <v>100</v>
      </c>
      <c r="GN194">
        <v>23.5381</v>
      </c>
      <c r="GO194">
        <v>24.7514</v>
      </c>
      <c r="GP194">
        <v>800</v>
      </c>
      <c r="GQ194">
        <v>0</v>
      </c>
      <c r="GR194">
        <v>99.753600000000006</v>
      </c>
      <c r="GS194">
        <v>99.593199999999996</v>
      </c>
    </row>
    <row r="195" spans="1:201" x14ac:dyDescent="0.25">
      <c r="A195">
        <v>179</v>
      </c>
      <c r="B195">
        <v>1690222835.0999999</v>
      </c>
      <c r="C195">
        <v>1952.599999904633</v>
      </c>
      <c r="D195" t="s">
        <v>689</v>
      </c>
      <c r="E195" t="s">
        <v>690</v>
      </c>
      <c r="F195" t="s">
        <v>330</v>
      </c>
      <c r="H195">
        <v>1690222835.0999999</v>
      </c>
      <c r="I195">
        <f t="shared" si="60"/>
        <v>2.300180484382036E-3</v>
      </c>
      <c r="J195">
        <f t="shared" si="61"/>
        <v>2.3001804843820359</v>
      </c>
      <c r="K195">
        <f t="shared" si="62"/>
        <v>32.557548768562519</v>
      </c>
      <c r="L195">
        <f t="shared" si="63"/>
        <v>450.63400000000001</v>
      </c>
      <c r="M195">
        <f t="shared" si="64"/>
        <v>119.17074663529394</v>
      </c>
      <c r="N195">
        <f t="shared" si="65"/>
        <v>11.819746127191149</v>
      </c>
      <c r="O195">
        <f t="shared" si="66"/>
        <v>44.695360452690004</v>
      </c>
      <c r="P195">
        <f t="shared" si="67"/>
        <v>0.16607872422023398</v>
      </c>
      <c r="Q195">
        <f t="shared" si="68"/>
        <v>2.1937280686120983</v>
      </c>
      <c r="R195">
        <f t="shared" si="69"/>
        <v>0.15939649375916268</v>
      </c>
      <c r="S195">
        <f t="shared" si="70"/>
        <v>0.10020077734251304</v>
      </c>
      <c r="T195">
        <f t="shared" si="71"/>
        <v>276.11434963800002</v>
      </c>
      <c r="U195">
        <f t="shared" si="72"/>
        <v>27.700642104366413</v>
      </c>
      <c r="V195">
        <f t="shared" si="73"/>
        <v>27.700642104366413</v>
      </c>
      <c r="W195">
        <f t="shared" si="74"/>
        <v>3.7291159047110556</v>
      </c>
      <c r="X195">
        <f t="shared" si="75"/>
        <v>67.955909623284271</v>
      </c>
      <c r="Y195">
        <f t="shared" si="76"/>
        <v>2.3416479305504998</v>
      </c>
      <c r="Z195">
        <f t="shared" si="77"/>
        <v>3.4458341350023844</v>
      </c>
      <c r="AA195">
        <f t="shared" si="78"/>
        <v>1.3874679741605558</v>
      </c>
      <c r="AB195">
        <f t="shared" si="79"/>
        <v>-101.43795936124779</v>
      </c>
      <c r="AC195">
        <f t="shared" si="80"/>
        <v>-159.12310688662529</v>
      </c>
      <c r="AD195">
        <f t="shared" si="81"/>
        <v>-15.658453504386889</v>
      </c>
      <c r="AE195">
        <f t="shared" si="82"/>
        <v>-0.1051701142599768</v>
      </c>
      <c r="AF195">
        <v>0</v>
      </c>
      <c r="AG195">
        <v>0</v>
      </c>
      <c r="AH195">
        <f t="shared" si="83"/>
        <v>1</v>
      </c>
      <c r="AI195">
        <f t="shared" si="84"/>
        <v>0</v>
      </c>
      <c r="AJ195">
        <f t="shared" si="85"/>
        <v>52483.291964183984</v>
      </c>
      <c r="AK195">
        <f t="shared" si="86"/>
        <v>1800</v>
      </c>
      <c r="AL195">
        <f t="shared" si="87"/>
        <v>1499.1142877999998</v>
      </c>
      <c r="AM195">
        <f t="shared" si="88"/>
        <v>0.83284127099999994</v>
      </c>
      <c r="AN195">
        <f t="shared" si="89"/>
        <v>0.15339686091000002</v>
      </c>
      <c r="AO195">
        <v>31.2</v>
      </c>
      <c r="AP195">
        <v>0.5</v>
      </c>
      <c r="AQ195" t="s">
        <v>331</v>
      </c>
      <c r="AR195">
        <v>2</v>
      </c>
      <c r="AS195">
        <v>1690222835.0999999</v>
      </c>
      <c r="AT195">
        <v>450.63400000000001</v>
      </c>
      <c r="AU195">
        <v>800.02300000000002</v>
      </c>
      <c r="AV195">
        <v>23.609300000000001</v>
      </c>
      <c r="AW195">
        <v>0.25150099999999997</v>
      </c>
      <c r="AX195">
        <v>450.88</v>
      </c>
      <c r="AY195">
        <v>23.4465</v>
      </c>
      <c r="AZ195">
        <v>299.99099999999999</v>
      </c>
      <c r="BA195">
        <v>99.083399999999997</v>
      </c>
      <c r="BB195">
        <v>9.9885000000000002E-2</v>
      </c>
      <c r="BC195">
        <v>26.3552</v>
      </c>
      <c r="BD195">
        <v>27.0076</v>
      </c>
      <c r="BE195">
        <v>27.5168</v>
      </c>
      <c r="BF195">
        <v>0</v>
      </c>
      <c r="BG195">
        <v>0</v>
      </c>
      <c r="BH195">
        <v>9995.6200000000008</v>
      </c>
      <c r="BI195">
        <v>1076.02</v>
      </c>
      <c r="BJ195">
        <v>1.62592</v>
      </c>
      <c r="BK195">
        <v>-349.38900000000001</v>
      </c>
      <c r="BL195">
        <v>461.53100000000001</v>
      </c>
      <c r="BM195">
        <v>800.22500000000002</v>
      </c>
      <c r="BN195">
        <v>23.357800000000001</v>
      </c>
      <c r="BO195">
        <v>800.02300000000002</v>
      </c>
      <c r="BP195">
        <v>0.25150099999999997</v>
      </c>
      <c r="BQ195">
        <v>2.3392900000000001</v>
      </c>
      <c r="BR195">
        <v>2.49196E-2</v>
      </c>
      <c r="BS195">
        <v>19.9495</v>
      </c>
      <c r="BT195">
        <v>-37.2849</v>
      </c>
      <c r="BU195">
        <v>1800</v>
      </c>
      <c r="BV195">
        <v>0.91002000000000005</v>
      </c>
      <c r="BW195">
        <v>3.4000799999999998E-2</v>
      </c>
      <c r="BX195">
        <v>2.19928E-2</v>
      </c>
      <c r="BY195">
        <v>3.39869E-2</v>
      </c>
      <c r="BZ195">
        <v>26</v>
      </c>
      <c r="CA195">
        <v>33528.5</v>
      </c>
      <c r="CB195">
        <v>1690220522.5999999</v>
      </c>
      <c r="CC195" t="s">
        <v>332</v>
      </c>
      <c r="CD195">
        <v>1690220522.5999999</v>
      </c>
      <c r="CE195">
        <v>1690220510.5999999</v>
      </c>
      <c r="CF195">
        <v>10</v>
      </c>
      <c r="CG195">
        <v>-0.22</v>
      </c>
      <c r="CH195">
        <v>-2.7E-2</v>
      </c>
      <c r="CI195">
        <v>-0.49299999999999999</v>
      </c>
      <c r="CJ195">
        <v>0.152</v>
      </c>
      <c r="CK195">
        <v>800</v>
      </c>
      <c r="CL195">
        <v>19</v>
      </c>
      <c r="CM195">
        <v>0.1</v>
      </c>
      <c r="CN195">
        <v>0.03</v>
      </c>
      <c r="CO195">
        <v>-348.67624999999998</v>
      </c>
      <c r="CP195">
        <v>-3.7204727954964398</v>
      </c>
      <c r="CQ195">
        <v>0.36270881916490733</v>
      </c>
      <c r="CR195">
        <v>-1</v>
      </c>
      <c r="CS195">
        <v>23.323955000000002</v>
      </c>
      <c r="CT195">
        <v>0.18470544090059371</v>
      </c>
      <c r="CU195">
        <v>1.7796431524325539E-2</v>
      </c>
      <c r="CV195">
        <v>-1</v>
      </c>
      <c r="CW195">
        <v>0</v>
      </c>
      <c r="CX195">
        <v>0</v>
      </c>
      <c r="CY195" t="s">
        <v>333</v>
      </c>
      <c r="CZ195">
        <v>2.36409</v>
      </c>
      <c r="DA195">
        <v>2.71367</v>
      </c>
      <c r="DB195">
        <v>9.7950499999999996E-2</v>
      </c>
      <c r="DC195">
        <v>0.14600199999999999</v>
      </c>
      <c r="DD195">
        <v>0.112694</v>
      </c>
      <c r="DE195">
        <v>2.1056299999999998E-3</v>
      </c>
      <c r="DF195">
        <v>32942.400000000001</v>
      </c>
      <c r="DG195">
        <v>27529.5</v>
      </c>
      <c r="DH195">
        <v>31176.6</v>
      </c>
      <c r="DI195">
        <v>28089.7</v>
      </c>
      <c r="DJ195">
        <v>37553.4</v>
      </c>
      <c r="DK195">
        <v>39865.300000000003</v>
      </c>
      <c r="DL195">
        <v>44368.800000000003</v>
      </c>
      <c r="DM195">
        <v>42573.1</v>
      </c>
      <c r="DN195">
        <v>1.4863299999999999</v>
      </c>
      <c r="DO195">
        <v>2.0276800000000001</v>
      </c>
      <c r="DP195">
        <v>0.10932600000000001</v>
      </c>
      <c r="DQ195">
        <v>0.14995800000000001</v>
      </c>
      <c r="DR195">
        <v>25.217099999999999</v>
      </c>
      <c r="DS195">
        <v>25.061499999999999</v>
      </c>
      <c r="DT195">
        <v>27.7</v>
      </c>
      <c r="DU195">
        <v>29.6</v>
      </c>
      <c r="DV195">
        <v>11.640599999999999</v>
      </c>
      <c r="DW195">
        <v>61.588700000000003</v>
      </c>
      <c r="DX195">
        <v>37.1755</v>
      </c>
      <c r="DY195">
        <v>1</v>
      </c>
      <c r="DZ195">
        <v>-9.7390699999999997E-2</v>
      </c>
      <c r="EA195">
        <v>-3.9319199999999999E-2</v>
      </c>
      <c r="EB195">
        <v>20.189599999999999</v>
      </c>
      <c r="EC195">
        <v>5.2401999999999997</v>
      </c>
      <c r="ED195">
        <v>12.039899999999999</v>
      </c>
      <c r="EE195">
        <v>5.0162500000000003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1.86894</v>
      </c>
      <c r="EL195">
        <v>1.86466</v>
      </c>
      <c r="EM195">
        <v>1.8692</v>
      </c>
      <c r="EN195">
        <v>1.86724</v>
      </c>
      <c r="EO195">
        <v>1.86341</v>
      </c>
      <c r="EP195">
        <v>1.86456</v>
      </c>
      <c r="EQ195">
        <v>1.8702000000000001</v>
      </c>
      <c r="ER195">
        <v>1.8694500000000001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-0.246</v>
      </c>
      <c r="FG195">
        <v>0.1628</v>
      </c>
      <c r="FH195">
        <v>5.8509882529719233E-2</v>
      </c>
      <c r="FI195">
        <v>-6.1462078757559423E-4</v>
      </c>
      <c r="FJ195">
        <v>-1.8861989874597051E-7</v>
      </c>
      <c r="FK195">
        <v>1.1980462299894961E-10</v>
      </c>
      <c r="FL195">
        <v>0.16277811159127681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38.5</v>
      </c>
      <c r="FU195">
        <v>38.700000000000003</v>
      </c>
      <c r="FV195">
        <v>1.7675799999999999</v>
      </c>
      <c r="FW195">
        <v>2.5842299999999998</v>
      </c>
      <c r="FX195">
        <v>1.5490699999999999</v>
      </c>
      <c r="FY195">
        <v>2.3290999999999999</v>
      </c>
      <c r="FZ195">
        <v>1.50146</v>
      </c>
      <c r="GA195">
        <v>2.3290999999999999</v>
      </c>
      <c r="GB195">
        <v>33.941299999999998</v>
      </c>
      <c r="GC195">
        <v>23.973700000000001</v>
      </c>
      <c r="GD195">
        <v>19</v>
      </c>
      <c r="GE195">
        <v>286.98099999999999</v>
      </c>
      <c r="GF195">
        <v>575.33399999999995</v>
      </c>
      <c r="GG195">
        <v>24.757899999999999</v>
      </c>
      <c r="GH195">
        <v>26.1647</v>
      </c>
      <c r="GI195">
        <v>30</v>
      </c>
      <c r="GJ195">
        <v>26.2974</v>
      </c>
      <c r="GK195">
        <v>26.2775</v>
      </c>
      <c r="GL195">
        <v>35.333799999999997</v>
      </c>
      <c r="GM195">
        <v>100</v>
      </c>
      <c r="GN195">
        <v>22.751899999999999</v>
      </c>
      <c r="GO195">
        <v>24.758099999999999</v>
      </c>
      <c r="GP195">
        <v>800</v>
      </c>
      <c r="GQ195">
        <v>0</v>
      </c>
      <c r="GR195">
        <v>99.753799999999998</v>
      </c>
      <c r="GS195">
        <v>99.594399999999993</v>
      </c>
    </row>
    <row r="196" spans="1:201" x14ac:dyDescent="0.25">
      <c r="A196">
        <v>180</v>
      </c>
      <c r="B196">
        <v>1690222845.0999999</v>
      </c>
      <c r="C196">
        <v>1962.599999904633</v>
      </c>
      <c r="D196" t="s">
        <v>691</v>
      </c>
      <c r="E196" t="s">
        <v>692</v>
      </c>
      <c r="F196" t="s">
        <v>330</v>
      </c>
      <c r="H196">
        <v>1690222845.0999999</v>
      </c>
      <c r="I196">
        <f t="shared" si="60"/>
        <v>2.3037642072769888E-3</v>
      </c>
      <c r="J196">
        <f t="shared" si="61"/>
        <v>2.3037642072769886</v>
      </c>
      <c r="K196">
        <f t="shared" si="62"/>
        <v>32.620520243414617</v>
      </c>
      <c r="L196">
        <f t="shared" si="63"/>
        <v>450.12700000000001</v>
      </c>
      <c r="M196">
        <f t="shared" si="64"/>
        <v>118.82231695308215</v>
      </c>
      <c r="N196">
        <f t="shared" si="65"/>
        <v>11.78508363836823</v>
      </c>
      <c r="O196">
        <f t="shared" si="66"/>
        <v>44.644680215942998</v>
      </c>
      <c r="P196">
        <f t="shared" si="67"/>
        <v>0.16648489261311999</v>
      </c>
      <c r="Q196">
        <f t="shared" si="68"/>
        <v>2.1947209556509879</v>
      </c>
      <c r="R196">
        <f t="shared" si="69"/>
        <v>0.15977355386790862</v>
      </c>
      <c r="S196">
        <f t="shared" si="70"/>
        <v>0.10043891463730936</v>
      </c>
      <c r="T196">
        <f t="shared" si="71"/>
        <v>276.11414393399997</v>
      </c>
      <c r="U196">
        <f t="shared" si="72"/>
        <v>27.703563571259227</v>
      </c>
      <c r="V196">
        <f t="shared" si="73"/>
        <v>27.703563571259227</v>
      </c>
      <c r="W196">
        <f t="shared" si="74"/>
        <v>3.7297524794849659</v>
      </c>
      <c r="X196">
        <f t="shared" si="75"/>
        <v>67.988834249678774</v>
      </c>
      <c r="Y196">
        <f t="shared" si="76"/>
        <v>2.3434323686475005</v>
      </c>
      <c r="Z196">
        <f t="shared" si="77"/>
        <v>3.4467900420848476</v>
      </c>
      <c r="AA196">
        <f t="shared" si="78"/>
        <v>1.3863201108374654</v>
      </c>
      <c r="AB196">
        <f t="shared" si="79"/>
        <v>-101.59600154091521</v>
      </c>
      <c r="AC196">
        <f t="shared" si="80"/>
        <v>-158.98468718757098</v>
      </c>
      <c r="AD196">
        <f t="shared" si="81"/>
        <v>-15.638350329511249</v>
      </c>
      <c r="AE196">
        <f t="shared" si="82"/>
        <v>-0.10489512399746559</v>
      </c>
      <c r="AF196">
        <v>0</v>
      </c>
      <c r="AG196">
        <v>0</v>
      </c>
      <c r="AH196">
        <f t="shared" si="83"/>
        <v>1</v>
      </c>
      <c r="AI196">
        <f t="shared" si="84"/>
        <v>0</v>
      </c>
      <c r="AJ196">
        <f t="shared" si="85"/>
        <v>52523.131493576984</v>
      </c>
      <c r="AK196">
        <f t="shared" si="86"/>
        <v>1800</v>
      </c>
      <c r="AL196">
        <f t="shared" si="87"/>
        <v>1499.1137333999998</v>
      </c>
      <c r="AM196">
        <f t="shared" si="88"/>
        <v>0.83284096299999988</v>
      </c>
      <c r="AN196">
        <f t="shared" si="89"/>
        <v>0.15339674663</v>
      </c>
      <c r="AO196">
        <v>31.2</v>
      </c>
      <c r="AP196">
        <v>0.5</v>
      </c>
      <c r="AQ196" t="s">
        <v>331</v>
      </c>
      <c r="AR196">
        <v>2</v>
      </c>
      <c r="AS196">
        <v>1690222845.0999999</v>
      </c>
      <c r="AT196">
        <v>450.12700000000001</v>
      </c>
      <c r="AU196">
        <v>799.96100000000001</v>
      </c>
      <c r="AV196">
        <v>23.627500000000001</v>
      </c>
      <c r="AW196">
        <v>0.248085</v>
      </c>
      <c r="AX196">
        <v>450.37200000000001</v>
      </c>
      <c r="AY196">
        <v>23.464700000000001</v>
      </c>
      <c r="AZ196">
        <v>300.17500000000001</v>
      </c>
      <c r="BA196">
        <v>99.082400000000007</v>
      </c>
      <c r="BB196">
        <v>0.100009</v>
      </c>
      <c r="BC196">
        <v>26.3599</v>
      </c>
      <c r="BD196">
        <v>26.987300000000001</v>
      </c>
      <c r="BE196">
        <v>27.516200000000001</v>
      </c>
      <c r="BF196">
        <v>0</v>
      </c>
      <c r="BG196">
        <v>0</v>
      </c>
      <c r="BH196">
        <v>10003.799999999999</v>
      </c>
      <c r="BI196">
        <v>1076.02</v>
      </c>
      <c r="BJ196">
        <v>1.3904399999999999</v>
      </c>
      <c r="BK196">
        <v>-349.834</v>
      </c>
      <c r="BL196">
        <v>461.01900000000001</v>
      </c>
      <c r="BM196">
        <v>800.15899999999999</v>
      </c>
      <c r="BN196">
        <v>23.3794</v>
      </c>
      <c r="BO196">
        <v>799.96100000000001</v>
      </c>
      <c r="BP196">
        <v>0.248085</v>
      </c>
      <c r="BQ196">
        <v>2.3410700000000002</v>
      </c>
      <c r="BR196">
        <v>2.4580899999999999E-2</v>
      </c>
      <c r="BS196">
        <v>19.9618</v>
      </c>
      <c r="BT196">
        <v>-37.419400000000003</v>
      </c>
      <c r="BU196">
        <v>1800</v>
      </c>
      <c r="BV196">
        <v>0.91002099999999997</v>
      </c>
      <c r="BW196">
        <v>3.4000299999999997E-2</v>
      </c>
      <c r="BX196">
        <v>2.1992399999999999E-2</v>
      </c>
      <c r="BY196">
        <v>3.3986299999999997E-2</v>
      </c>
      <c r="BZ196">
        <v>26</v>
      </c>
      <c r="CA196">
        <v>33528.5</v>
      </c>
      <c r="CB196">
        <v>1690220522.5999999</v>
      </c>
      <c r="CC196" t="s">
        <v>332</v>
      </c>
      <c r="CD196">
        <v>1690220522.5999999</v>
      </c>
      <c r="CE196">
        <v>1690220510.5999999</v>
      </c>
      <c r="CF196">
        <v>10</v>
      </c>
      <c r="CG196">
        <v>-0.22</v>
      </c>
      <c r="CH196">
        <v>-2.7E-2</v>
      </c>
      <c r="CI196">
        <v>-0.49299999999999999</v>
      </c>
      <c r="CJ196">
        <v>0.152</v>
      </c>
      <c r="CK196">
        <v>800</v>
      </c>
      <c r="CL196">
        <v>19</v>
      </c>
      <c r="CM196">
        <v>0.1</v>
      </c>
      <c r="CN196">
        <v>0.03</v>
      </c>
      <c r="CO196">
        <v>-349.2361219512195</v>
      </c>
      <c r="CP196">
        <v>-3.692153310104064</v>
      </c>
      <c r="CQ196">
        <v>0.3676337782141324</v>
      </c>
      <c r="CR196">
        <v>-1</v>
      </c>
      <c r="CS196">
        <v>23.35084634146342</v>
      </c>
      <c r="CT196">
        <v>0.16022090592336519</v>
      </c>
      <c r="CU196">
        <v>1.5914728529763961E-2</v>
      </c>
      <c r="CV196">
        <v>-1</v>
      </c>
      <c r="CW196">
        <v>0</v>
      </c>
      <c r="CX196">
        <v>0</v>
      </c>
      <c r="CY196" t="s">
        <v>333</v>
      </c>
      <c r="CZ196">
        <v>2.3647</v>
      </c>
      <c r="DA196">
        <v>2.7138</v>
      </c>
      <c r="DB196">
        <v>9.7867800000000005E-2</v>
      </c>
      <c r="DC196">
        <v>0.14599300000000001</v>
      </c>
      <c r="DD196">
        <v>0.11275499999999999</v>
      </c>
      <c r="DE196">
        <v>2.0774399999999998E-3</v>
      </c>
      <c r="DF196">
        <v>32945.4</v>
      </c>
      <c r="DG196">
        <v>27530</v>
      </c>
      <c r="DH196">
        <v>31176.5</v>
      </c>
      <c r="DI196">
        <v>28089.9</v>
      </c>
      <c r="DJ196">
        <v>37550.800000000003</v>
      </c>
      <c r="DK196">
        <v>39866.6</v>
      </c>
      <c r="DL196">
        <v>44368.800000000003</v>
      </c>
      <c r="DM196">
        <v>42573.3</v>
      </c>
      <c r="DN196">
        <v>1.4867999999999999</v>
      </c>
      <c r="DO196">
        <v>2.02745</v>
      </c>
      <c r="DP196">
        <v>0.107955</v>
      </c>
      <c r="DQ196">
        <v>0.14998400000000001</v>
      </c>
      <c r="DR196">
        <v>25.219200000000001</v>
      </c>
      <c r="DS196">
        <v>25.060500000000001</v>
      </c>
      <c r="DT196">
        <v>27.4</v>
      </c>
      <c r="DU196">
        <v>29.6</v>
      </c>
      <c r="DV196">
        <v>11.5144</v>
      </c>
      <c r="DW196">
        <v>61.758699999999997</v>
      </c>
      <c r="DX196">
        <v>36.802900000000001</v>
      </c>
      <c r="DY196">
        <v>1</v>
      </c>
      <c r="DZ196">
        <v>-9.7385700000000006E-2</v>
      </c>
      <c r="EA196">
        <v>-1.3897100000000001E-2</v>
      </c>
      <c r="EB196">
        <v>20.189499999999999</v>
      </c>
      <c r="EC196">
        <v>5.2408000000000001</v>
      </c>
      <c r="ED196">
        <v>12.039899999999999</v>
      </c>
      <c r="EE196">
        <v>5.0169499999999996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1.86896</v>
      </c>
      <c r="EL196">
        <v>1.8646400000000001</v>
      </c>
      <c r="EM196">
        <v>1.8692</v>
      </c>
      <c r="EN196">
        <v>1.8672500000000001</v>
      </c>
      <c r="EO196">
        <v>1.8633999999999999</v>
      </c>
      <c r="EP196">
        <v>1.8645700000000001</v>
      </c>
      <c r="EQ196">
        <v>1.87022</v>
      </c>
      <c r="ER196">
        <v>1.8694500000000001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-0.245</v>
      </c>
      <c r="FG196">
        <v>0.1628</v>
      </c>
      <c r="FH196">
        <v>5.8509882529719233E-2</v>
      </c>
      <c r="FI196">
        <v>-6.1462078757559423E-4</v>
      </c>
      <c r="FJ196">
        <v>-1.8861989874597051E-7</v>
      </c>
      <c r="FK196">
        <v>1.1980462299894961E-10</v>
      </c>
      <c r="FL196">
        <v>0.16277811159127681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38.700000000000003</v>
      </c>
      <c r="FU196">
        <v>38.9</v>
      </c>
      <c r="FV196">
        <v>1.7675799999999999</v>
      </c>
      <c r="FW196">
        <v>2.5805699999999998</v>
      </c>
      <c r="FX196">
        <v>1.5490699999999999</v>
      </c>
      <c r="FY196">
        <v>2.3290999999999999</v>
      </c>
      <c r="FZ196">
        <v>1.50146</v>
      </c>
      <c r="GA196">
        <v>2.3840300000000001</v>
      </c>
      <c r="GB196">
        <v>33.941299999999998</v>
      </c>
      <c r="GC196">
        <v>23.991199999999999</v>
      </c>
      <c r="GD196">
        <v>19</v>
      </c>
      <c r="GE196">
        <v>287.17399999999998</v>
      </c>
      <c r="GF196">
        <v>575.15</v>
      </c>
      <c r="GG196">
        <v>24.756499999999999</v>
      </c>
      <c r="GH196">
        <v>26.1647</v>
      </c>
      <c r="GI196">
        <v>30</v>
      </c>
      <c r="GJ196">
        <v>26.295200000000001</v>
      </c>
      <c r="GK196">
        <v>26.2775</v>
      </c>
      <c r="GL196">
        <v>35.333799999999997</v>
      </c>
      <c r="GM196">
        <v>100</v>
      </c>
      <c r="GN196">
        <v>22.364599999999999</v>
      </c>
      <c r="GO196">
        <v>24.757300000000001</v>
      </c>
      <c r="GP196">
        <v>800</v>
      </c>
      <c r="GQ196">
        <v>0</v>
      </c>
      <c r="GR196">
        <v>99.753699999999995</v>
      </c>
      <c r="GS196">
        <v>99.594899999999996</v>
      </c>
    </row>
    <row r="197" spans="1:201" x14ac:dyDescent="0.25">
      <c r="A197">
        <v>181</v>
      </c>
      <c r="B197">
        <v>1690222855.0999999</v>
      </c>
      <c r="C197">
        <v>1972.599999904633</v>
      </c>
      <c r="D197" t="s">
        <v>693</v>
      </c>
      <c r="E197" t="s">
        <v>694</v>
      </c>
      <c r="F197" t="s">
        <v>330</v>
      </c>
      <c r="H197">
        <v>1690222855.0999999</v>
      </c>
      <c r="I197">
        <f t="shared" si="60"/>
        <v>2.3059655496435426E-3</v>
      </c>
      <c r="J197">
        <f t="shared" si="61"/>
        <v>2.3059655496435427</v>
      </c>
      <c r="K197">
        <f t="shared" si="62"/>
        <v>32.674105898504131</v>
      </c>
      <c r="L197">
        <f t="shared" si="63"/>
        <v>449.50200000000001</v>
      </c>
      <c r="M197">
        <f t="shared" si="64"/>
        <v>118.71955079324142</v>
      </c>
      <c r="N197">
        <f t="shared" si="65"/>
        <v>11.774802917548991</v>
      </c>
      <c r="O197">
        <f t="shared" si="66"/>
        <v>44.582357544983395</v>
      </c>
      <c r="P197">
        <f t="shared" si="67"/>
        <v>0.1670303381348108</v>
      </c>
      <c r="Q197">
        <f t="shared" si="68"/>
        <v>2.19616118257394</v>
      </c>
      <c r="R197">
        <f t="shared" si="69"/>
        <v>0.1602801476509631</v>
      </c>
      <c r="S197">
        <f t="shared" si="70"/>
        <v>0.10075883904595706</v>
      </c>
      <c r="T197">
        <f t="shared" si="71"/>
        <v>276.11416267200002</v>
      </c>
      <c r="U197">
        <f t="shared" si="72"/>
        <v>27.69971669265675</v>
      </c>
      <c r="V197">
        <f t="shared" si="73"/>
        <v>27.69971669265675</v>
      </c>
      <c r="W197">
        <f t="shared" si="74"/>
        <v>3.7289142813463001</v>
      </c>
      <c r="X197">
        <f t="shared" si="75"/>
        <v>68.063170423405239</v>
      </c>
      <c r="Y197">
        <f t="shared" si="76"/>
        <v>2.3456761719550099</v>
      </c>
      <c r="Z197">
        <f t="shared" si="77"/>
        <v>3.4463222288399158</v>
      </c>
      <c r="AA197">
        <f t="shared" si="78"/>
        <v>1.3832381093912902</v>
      </c>
      <c r="AB197">
        <f t="shared" si="79"/>
        <v>-101.69308073928023</v>
      </c>
      <c r="AC197">
        <f t="shared" si="80"/>
        <v>-158.90586707315765</v>
      </c>
      <c r="AD197">
        <f t="shared" si="81"/>
        <v>-15.619866637802987</v>
      </c>
      <c r="AE197">
        <f t="shared" si="82"/>
        <v>-0.10465177824085004</v>
      </c>
      <c r="AF197">
        <v>0</v>
      </c>
      <c r="AG197">
        <v>0</v>
      </c>
      <c r="AH197">
        <f t="shared" si="83"/>
        <v>1</v>
      </c>
      <c r="AI197">
        <f t="shared" si="84"/>
        <v>0</v>
      </c>
      <c r="AJ197">
        <f t="shared" si="85"/>
        <v>52582.569638551562</v>
      </c>
      <c r="AK197">
        <f t="shared" si="86"/>
        <v>1800</v>
      </c>
      <c r="AL197">
        <f t="shared" si="87"/>
        <v>1499.1141492000002</v>
      </c>
      <c r="AM197">
        <f t="shared" si="88"/>
        <v>0.83284119400000012</v>
      </c>
      <c r="AN197">
        <f t="shared" si="89"/>
        <v>0.15339675704</v>
      </c>
      <c r="AO197">
        <v>31.2</v>
      </c>
      <c r="AP197">
        <v>0.5</v>
      </c>
      <c r="AQ197" t="s">
        <v>331</v>
      </c>
      <c r="AR197">
        <v>2</v>
      </c>
      <c r="AS197">
        <v>1690222855.0999999</v>
      </c>
      <c r="AT197">
        <v>449.50200000000001</v>
      </c>
      <c r="AU197">
        <v>799.95600000000002</v>
      </c>
      <c r="AV197">
        <v>23.650300000000001</v>
      </c>
      <c r="AW197">
        <v>0.24456900000000001</v>
      </c>
      <c r="AX197">
        <v>449.74700000000001</v>
      </c>
      <c r="AY197">
        <v>23.487500000000001</v>
      </c>
      <c r="AZ197">
        <v>300.11700000000002</v>
      </c>
      <c r="BA197">
        <v>99.081699999999998</v>
      </c>
      <c r="BB197">
        <v>9.9966700000000006E-2</v>
      </c>
      <c r="BC197">
        <v>26.357600000000001</v>
      </c>
      <c r="BD197">
        <v>26.977499999999999</v>
      </c>
      <c r="BE197">
        <v>27.523399999999999</v>
      </c>
      <c r="BF197">
        <v>0</v>
      </c>
      <c r="BG197">
        <v>0</v>
      </c>
      <c r="BH197">
        <v>10015.6</v>
      </c>
      <c r="BI197">
        <v>1075.97</v>
      </c>
      <c r="BJ197">
        <v>1.32877</v>
      </c>
      <c r="BK197">
        <v>-350.45400000000001</v>
      </c>
      <c r="BL197">
        <v>460.39</v>
      </c>
      <c r="BM197">
        <v>800.15200000000004</v>
      </c>
      <c r="BN197">
        <v>23.405799999999999</v>
      </c>
      <c r="BO197">
        <v>799.95600000000002</v>
      </c>
      <c r="BP197">
        <v>0.24456900000000001</v>
      </c>
      <c r="BQ197">
        <v>2.3433199999999998</v>
      </c>
      <c r="BR197">
        <v>2.4232299999999998E-2</v>
      </c>
      <c r="BS197">
        <v>19.9773</v>
      </c>
      <c r="BT197">
        <v>-37.559600000000003</v>
      </c>
      <c r="BU197">
        <v>1800</v>
      </c>
      <c r="BV197">
        <v>0.910022</v>
      </c>
      <c r="BW197">
        <v>3.4000000000000002E-2</v>
      </c>
      <c r="BX197">
        <v>2.19922E-2</v>
      </c>
      <c r="BY197">
        <v>3.3986000000000002E-2</v>
      </c>
      <c r="BZ197">
        <v>26</v>
      </c>
      <c r="CA197">
        <v>33528.5</v>
      </c>
      <c r="CB197">
        <v>1690220522.5999999</v>
      </c>
      <c r="CC197" t="s">
        <v>332</v>
      </c>
      <c r="CD197">
        <v>1690220522.5999999</v>
      </c>
      <c r="CE197">
        <v>1690220510.5999999</v>
      </c>
      <c r="CF197">
        <v>10</v>
      </c>
      <c r="CG197">
        <v>-0.22</v>
      </c>
      <c r="CH197">
        <v>-2.7E-2</v>
      </c>
      <c r="CI197">
        <v>-0.49299999999999999</v>
      </c>
      <c r="CJ197">
        <v>0.152</v>
      </c>
      <c r="CK197">
        <v>800</v>
      </c>
      <c r="CL197">
        <v>19</v>
      </c>
      <c r="CM197">
        <v>0.1</v>
      </c>
      <c r="CN197">
        <v>0.03</v>
      </c>
      <c r="CO197">
        <v>-349.84947499999998</v>
      </c>
      <c r="CP197">
        <v>-3.1237711069407479</v>
      </c>
      <c r="CQ197">
        <v>0.30145414141291987</v>
      </c>
      <c r="CR197">
        <v>-1</v>
      </c>
      <c r="CS197">
        <v>23.377469999999999</v>
      </c>
      <c r="CT197">
        <v>0.12928030018757819</v>
      </c>
      <c r="CU197">
        <v>1.248471465432806E-2</v>
      </c>
      <c r="CV197">
        <v>-1</v>
      </c>
      <c r="CW197">
        <v>0</v>
      </c>
      <c r="CX197">
        <v>0</v>
      </c>
      <c r="CY197" t="s">
        <v>333</v>
      </c>
      <c r="CZ197">
        <v>2.3645200000000002</v>
      </c>
      <c r="DA197">
        <v>2.7137699999999998</v>
      </c>
      <c r="DB197">
        <v>9.7765900000000003E-2</v>
      </c>
      <c r="DC197">
        <v>0.14599200000000001</v>
      </c>
      <c r="DD197">
        <v>0.112831</v>
      </c>
      <c r="DE197">
        <v>2.04843E-3</v>
      </c>
      <c r="DF197">
        <v>32949.199999999997</v>
      </c>
      <c r="DG197">
        <v>27529.9</v>
      </c>
      <c r="DH197">
        <v>31176.6</v>
      </c>
      <c r="DI197">
        <v>28089.8</v>
      </c>
      <c r="DJ197">
        <v>37547.599999999999</v>
      </c>
      <c r="DK197">
        <v>39867.599999999999</v>
      </c>
      <c r="DL197">
        <v>44368.9</v>
      </c>
      <c r="DM197">
        <v>42573.2</v>
      </c>
      <c r="DN197">
        <v>1.48708</v>
      </c>
      <c r="DO197">
        <v>2.0276000000000001</v>
      </c>
      <c r="DP197">
        <v>0.107199</v>
      </c>
      <c r="DQ197">
        <v>0.15052399999999999</v>
      </c>
      <c r="DR197">
        <v>25.221800000000002</v>
      </c>
      <c r="DS197">
        <v>25.058900000000001</v>
      </c>
      <c r="DT197">
        <v>27.1</v>
      </c>
      <c r="DU197">
        <v>29.6</v>
      </c>
      <c r="DV197">
        <v>11.3888</v>
      </c>
      <c r="DW197">
        <v>61.538699999999999</v>
      </c>
      <c r="DX197">
        <v>37.331699999999998</v>
      </c>
      <c r="DY197">
        <v>1</v>
      </c>
      <c r="DZ197">
        <v>-9.7301799999999994E-2</v>
      </c>
      <c r="EA197">
        <v>-4.8284300000000002E-2</v>
      </c>
      <c r="EB197">
        <v>20.189499999999999</v>
      </c>
      <c r="EC197">
        <v>5.2409499999999998</v>
      </c>
      <c r="ED197">
        <v>12.039899999999999</v>
      </c>
      <c r="EE197">
        <v>5.0164999999999997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1.8689199999999999</v>
      </c>
      <c r="EL197">
        <v>1.86463</v>
      </c>
      <c r="EM197">
        <v>1.8692</v>
      </c>
      <c r="EN197">
        <v>1.8672200000000001</v>
      </c>
      <c r="EO197">
        <v>1.8633999999999999</v>
      </c>
      <c r="EP197">
        <v>1.8645700000000001</v>
      </c>
      <c r="EQ197">
        <v>1.8702000000000001</v>
      </c>
      <c r="ER197">
        <v>1.86941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-0.245</v>
      </c>
      <c r="FG197">
        <v>0.1628</v>
      </c>
      <c r="FH197">
        <v>5.8509882529719233E-2</v>
      </c>
      <c r="FI197">
        <v>-6.1462078757559423E-4</v>
      </c>
      <c r="FJ197">
        <v>-1.8861989874597051E-7</v>
      </c>
      <c r="FK197">
        <v>1.1980462299894961E-10</v>
      </c>
      <c r="FL197">
        <v>0.16277811159127681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38.9</v>
      </c>
      <c r="FU197">
        <v>39.1</v>
      </c>
      <c r="FV197">
        <v>1.7675799999999999</v>
      </c>
      <c r="FW197">
        <v>2.5854499999999998</v>
      </c>
      <c r="FX197">
        <v>1.5490699999999999</v>
      </c>
      <c r="FY197">
        <v>2.3290999999999999</v>
      </c>
      <c r="FZ197">
        <v>1.50146</v>
      </c>
      <c r="GA197">
        <v>2.34497</v>
      </c>
      <c r="GB197">
        <v>33.941299999999998</v>
      </c>
      <c r="GC197">
        <v>23.982399999999998</v>
      </c>
      <c r="GD197">
        <v>19</v>
      </c>
      <c r="GE197">
        <v>287.29300000000001</v>
      </c>
      <c r="GF197">
        <v>575.26199999999994</v>
      </c>
      <c r="GG197">
        <v>24.761500000000002</v>
      </c>
      <c r="GH197">
        <v>26.1647</v>
      </c>
      <c r="GI197">
        <v>30.0001</v>
      </c>
      <c r="GJ197">
        <v>26.295200000000001</v>
      </c>
      <c r="GK197">
        <v>26.276399999999999</v>
      </c>
      <c r="GL197">
        <v>35.333500000000001</v>
      </c>
      <c r="GM197">
        <v>100</v>
      </c>
      <c r="GN197">
        <v>21.602799999999998</v>
      </c>
      <c r="GO197">
        <v>24.772400000000001</v>
      </c>
      <c r="GP197">
        <v>800</v>
      </c>
      <c r="GQ197">
        <v>0</v>
      </c>
      <c r="GR197">
        <v>99.754099999999994</v>
      </c>
      <c r="GS197">
        <v>99.5946</v>
      </c>
    </row>
    <row r="198" spans="1:201" x14ac:dyDescent="0.25">
      <c r="A198">
        <v>182</v>
      </c>
      <c r="B198">
        <v>1690222865.0999999</v>
      </c>
      <c r="C198">
        <v>1982.599999904633</v>
      </c>
      <c r="D198" t="s">
        <v>695</v>
      </c>
      <c r="E198" t="s">
        <v>696</v>
      </c>
      <c r="F198" t="s">
        <v>330</v>
      </c>
      <c r="H198">
        <v>1690222865.0999999</v>
      </c>
      <c r="I198">
        <f t="shared" si="60"/>
        <v>2.308899530292743E-3</v>
      </c>
      <c r="J198">
        <f t="shared" si="61"/>
        <v>2.3088995302927429</v>
      </c>
      <c r="K198">
        <f t="shared" si="62"/>
        <v>32.736338827076402</v>
      </c>
      <c r="L198">
        <f t="shared" si="63"/>
        <v>449.06200000000001</v>
      </c>
      <c r="M198">
        <f t="shared" si="64"/>
        <v>118.49108161139927</v>
      </c>
      <c r="N198">
        <f t="shared" si="65"/>
        <v>11.752354268450137</v>
      </c>
      <c r="O198">
        <f t="shared" si="66"/>
        <v>44.539518423899999</v>
      </c>
      <c r="P198">
        <f t="shared" si="67"/>
        <v>0.16746697288913145</v>
      </c>
      <c r="Q198">
        <f t="shared" si="68"/>
        <v>2.1953474873800016</v>
      </c>
      <c r="R198">
        <f t="shared" si="69"/>
        <v>0.16067981049720673</v>
      </c>
      <c r="S198">
        <f t="shared" si="70"/>
        <v>0.101011760234751</v>
      </c>
      <c r="T198">
        <f t="shared" si="71"/>
        <v>276.11413777800004</v>
      </c>
      <c r="U198">
        <f t="shared" si="72"/>
        <v>27.700871710798658</v>
      </c>
      <c r="V198">
        <f t="shared" si="73"/>
        <v>27.700871710798658</v>
      </c>
      <c r="W198">
        <f t="shared" si="74"/>
        <v>3.7291659315088594</v>
      </c>
      <c r="X198">
        <f t="shared" si="75"/>
        <v>68.112241565064409</v>
      </c>
      <c r="Y198">
        <f t="shared" si="76"/>
        <v>2.3476028330849998</v>
      </c>
      <c r="Z198">
        <f t="shared" si="77"/>
        <v>3.4466679985013347</v>
      </c>
      <c r="AA198">
        <f t="shared" si="78"/>
        <v>1.3815630984238596</v>
      </c>
      <c r="AB198">
        <f t="shared" si="79"/>
        <v>-101.82246928590996</v>
      </c>
      <c r="AC198">
        <f t="shared" si="80"/>
        <v>-158.78248954443293</v>
      </c>
      <c r="AD198">
        <f t="shared" si="81"/>
        <v>-15.613746812094798</v>
      </c>
      <c r="AE198">
        <f t="shared" si="82"/>
        <v>-0.10456786443765509</v>
      </c>
      <c r="AF198">
        <v>0</v>
      </c>
      <c r="AG198">
        <v>0</v>
      </c>
      <c r="AH198">
        <f t="shared" si="83"/>
        <v>1</v>
      </c>
      <c r="AI198">
        <f t="shared" si="84"/>
        <v>0</v>
      </c>
      <c r="AJ198">
        <f t="shared" si="85"/>
        <v>52548.941543581786</v>
      </c>
      <c r="AK198">
        <f t="shared" si="86"/>
        <v>1800</v>
      </c>
      <c r="AL198">
        <f t="shared" si="87"/>
        <v>1499.1131717999999</v>
      </c>
      <c r="AM198">
        <f t="shared" si="88"/>
        <v>0.83284065099999993</v>
      </c>
      <c r="AN198">
        <f t="shared" si="89"/>
        <v>0.15339674321000002</v>
      </c>
      <c r="AO198">
        <v>31.2</v>
      </c>
      <c r="AP198">
        <v>0.5</v>
      </c>
      <c r="AQ198" t="s">
        <v>331</v>
      </c>
      <c r="AR198">
        <v>2</v>
      </c>
      <c r="AS198">
        <v>1690222865.0999999</v>
      </c>
      <c r="AT198">
        <v>449.06200000000001</v>
      </c>
      <c r="AU198">
        <v>800.048</v>
      </c>
      <c r="AV198">
        <v>23.6693</v>
      </c>
      <c r="AW198">
        <v>0.24212900000000001</v>
      </c>
      <c r="AX198">
        <v>449.30700000000002</v>
      </c>
      <c r="AY198">
        <v>23.506599999999999</v>
      </c>
      <c r="AZ198">
        <v>300.21800000000002</v>
      </c>
      <c r="BA198">
        <v>99.083399999999997</v>
      </c>
      <c r="BB198">
        <v>0.10005</v>
      </c>
      <c r="BC198">
        <v>26.359300000000001</v>
      </c>
      <c r="BD198">
        <v>26.9907</v>
      </c>
      <c r="BE198">
        <v>27.506</v>
      </c>
      <c r="BF198">
        <v>0</v>
      </c>
      <c r="BG198">
        <v>0</v>
      </c>
      <c r="BH198">
        <v>10008.799999999999</v>
      </c>
      <c r="BI198">
        <v>1075.8399999999999</v>
      </c>
      <c r="BJ198">
        <v>1.56985</v>
      </c>
      <c r="BK198">
        <v>-350.98599999999999</v>
      </c>
      <c r="BL198">
        <v>459.94799999999998</v>
      </c>
      <c r="BM198">
        <v>800.24199999999996</v>
      </c>
      <c r="BN198">
        <v>23.427199999999999</v>
      </c>
      <c r="BO198">
        <v>800.048</v>
      </c>
      <c r="BP198">
        <v>0.24212900000000001</v>
      </c>
      <c r="BQ198">
        <v>2.34524</v>
      </c>
      <c r="BR198">
        <v>2.3990899999999999E-2</v>
      </c>
      <c r="BS198">
        <v>19.990500000000001</v>
      </c>
      <c r="BT198">
        <v>-37.657800000000002</v>
      </c>
      <c r="BU198">
        <v>1800</v>
      </c>
      <c r="BV198">
        <v>0.91001699999999996</v>
      </c>
      <c r="BW198">
        <v>3.3999399999999999E-2</v>
      </c>
      <c r="BX198">
        <v>2.1991799999999999E-2</v>
      </c>
      <c r="BY198">
        <v>3.3991899999999999E-2</v>
      </c>
      <c r="BZ198">
        <v>26</v>
      </c>
      <c r="CA198">
        <v>33528.5</v>
      </c>
      <c r="CB198">
        <v>1690220522.5999999</v>
      </c>
      <c r="CC198" t="s">
        <v>332</v>
      </c>
      <c r="CD198">
        <v>1690220522.5999999</v>
      </c>
      <c r="CE198">
        <v>1690220510.5999999</v>
      </c>
      <c r="CF198">
        <v>10</v>
      </c>
      <c r="CG198">
        <v>-0.22</v>
      </c>
      <c r="CH198">
        <v>-2.7E-2</v>
      </c>
      <c r="CI198">
        <v>-0.49299999999999999</v>
      </c>
      <c r="CJ198">
        <v>0.152</v>
      </c>
      <c r="CK198">
        <v>800</v>
      </c>
      <c r="CL198">
        <v>19</v>
      </c>
      <c r="CM198">
        <v>0.1</v>
      </c>
      <c r="CN198">
        <v>0.03</v>
      </c>
      <c r="CO198">
        <v>-350.37402500000002</v>
      </c>
      <c r="CP198">
        <v>-3.1211819887423329</v>
      </c>
      <c r="CQ198">
        <v>0.30297701954934247</v>
      </c>
      <c r="CR198">
        <v>-1</v>
      </c>
      <c r="CS198">
        <v>23.402022500000001</v>
      </c>
      <c r="CT198">
        <v>0.15048517823632659</v>
      </c>
      <c r="CU198">
        <v>1.467031846109707E-2</v>
      </c>
      <c r="CV198">
        <v>-1</v>
      </c>
      <c r="CW198">
        <v>0</v>
      </c>
      <c r="CX198">
        <v>0</v>
      </c>
      <c r="CY198" t="s">
        <v>333</v>
      </c>
      <c r="CZ198">
        <v>2.3648400000000001</v>
      </c>
      <c r="DA198">
        <v>2.7138499999999999</v>
      </c>
      <c r="DB198">
        <v>9.7696199999999997E-2</v>
      </c>
      <c r="DC198">
        <v>0.146006</v>
      </c>
      <c r="DD198">
        <v>0.112897</v>
      </c>
      <c r="DE198">
        <v>2.0283300000000001E-3</v>
      </c>
      <c r="DF198">
        <v>32951.9</v>
      </c>
      <c r="DG198">
        <v>27529.599999999999</v>
      </c>
      <c r="DH198">
        <v>31176.7</v>
      </c>
      <c r="DI198">
        <v>28089.9</v>
      </c>
      <c r="DJ198">
        <v>37544.9</v>
      </c>
      <c r="DK198">
        <v>39868.800000000003</v>
      </c>
      <c r="DL198">
        <v>44369.1</v>
      </c>
      <c r="DM198">
        <v>42573.599999999999</v>
      </c>
      <c r="DN198">
        <v>1.4867300000000001</v>
      </c>
      <c r="DO198">
        <v>2.02745</v>
      </c>
      <c r="DP198">
        <v>0.10797</v>
      </c>
      <c r="DQ198">
        <v>0.149559</v>
      </c>
      <c r="DR198">
        <v>25.2224</v>
      </c>
      <c r="DS198">
        <v>25.057300000000001</v>
      </c>
      <c r="DT198">
        <v>26.7</v>
      </c>
      <c r="DU198">
        <v>29.6</v>
      </c>
      <c r="DV198">
        <v>11.22</v>
      </c>
      <c r="DW198">
        <v>61.738700000000001</v>
      </c>
      <c r="DX198">
        <v>36.654600000000002</v>
      </c>
      <c r="DY198">
        <v>1</v>
      </c>
      <c r="DZ198">
        <v>-9.7317100000000004E-2</v>
      </c>
      <c r="EA198">
        <v>-5.3058300000000003E-2</v>
      </c>
      <c r="EB198">
        <v>20.189800000000002</v>
      </c>
      <c r="EC198">
        <v>5.2408000000000001</v>
      </c>
      <c r="ED198">
        <v>12.039899999999999</v>
      </c>
      <c r="EE198">
        <v>5.0161499999999997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1.86893</v>
      </c>
      <c r="EL198">
        <v>1.8646400000000001</v>
      </c>
      <c r="EM198">
        <v>1.8691899999999999</v>
      </c>
      <c r="EN198">
        <v>1.8672299999999999</v>
      </c>
      <c r="EO198">
        <v>1.86341</v>
      </c>
      <c r="EP198">
        <v>1.8645700000000001</v>
      </c>
      <c r="EQ198">
        <v>1.8702000000000001</v>
      </c>
      <c r="ER198">
        <v>1.86948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-0.245</v>
      </c>
      <c r="FG198">
        <v>0.16270000000000001</v>
      </c>
      <c r="FH198">
        <v>5.8509882529719233E-2</v>
      </c>
      <c r="FI198">
        <v>-6.1462078757559423E-4</v>
      </c>
      <c r="FJ198">
        <v>-1.8861989874597051E-7</v>
      </c>
      <c r="FK198">
        <v>1.1980462299894961E-10</v>
      </c>
      <c r="FL198">
        <v>0.16277811159127681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39</v>
      </c>
      <c r="FU198">
        <v>39.200000000000003</v>
      </c>
      <c r="FV198">
        <v>1.7675799999999999</v>
      </c>
      <c r="FW198">
        <v>2.5744600000000002</v>
      </c>
      <c r="FX198">
        <v>1.5490699999999999</v>
      </c>
      <c r="FY198">
        <v>2.3290999999999999</v>
      </c>
      <c r="FZ198">
        <v>1.50146</v>
      </c>
      <c r="GA198">
        <v>2.3815900000000001</v>
      </c>
      <c r="GB198">
        <v>33.941299999999998</v>
      </c>
      <c r="GC198">
        <v>23.991199999999999</v>
      </c>
      <c r="GD198">
        <v>19</v>
      </c>
      <c r="GE198">
        <v>287.142</v>
      </c>
      <c r="GF198">
        <v>575.12599999999998</v>
      </c>
      <c r="GG198">
        <v>24.774100000000001</v>
      </c>
      <c r="GH198">
        <v>26.1647</v>
      </c>
      <c r="GI198">
        <v>30.0001</v>
      </c>
      <c r="GJ198">
        <v>26.295200000000001</v>
      </c>
      <c r="GK198">
        <v>26.275300000000001</v>
      </c>
      <c r="GL198">
        <v>35.3352</v>
      </c>
      <c r="GM198">
        <v>100</v>
      </c>
      <c r="GN198">
        <v>20.848600000000001</v>
      </c>
      <c r="GO198">
        <v>24.776299999999999</v>
      </c>
      <c r="GP198">
        <v>800</v>
      </c>
      <c r="GQ198">
        <v>0</v>
      </c>
      <c r="GR198">
        <v>99.754400000000004</v>
      </c>
      <c r="GS198">
        <v>99.595399999999998</v>
      </c>
    </row>
    <row r="199" spans="1:201" x14ac:dyDescent="0.25">
      <c r="A199">
        <v>183</v>
      </c>
      <c r="B199">
        <v>1690222875.0999999</v>
      </c>
      <c r="C199">
        <v>1992.599999904633</v>
      </c>
      <c r="D199" t="s">
        <v>697</v>
      </c>
      <c r="E199" t="s">
        <v>698</v>
      </c>
      <c r="F199" t="s">
        <v>330</v>
      </c>
      <c r="H199">
        <v>1690222875.0999999</v>
      </c>
      <c r="I199">
        <f t="shared" si="60"/>
        <v>2.3106938999267438E-3</v>
      </c>
      <c r="J199">
        <f t="shared" si="61"/>
        <v>2.3106938999267439</v>
      </c>
      <c r="K199">
        <f t="shared" si="62"/>
        <v>32.766125724606326</v>
      </c>
      <c r="L199">
        <f t="shared" si="63"/>
        <v>448.56900000000002</v>
      </c>
      <c r="M199">
        <f t="shared" si="64"/>
        <v>118.06440370175883</v>
      </c>
      <c r="N199">
        <f t="shared" si="65"/>
        <v>11.709791467952101</v>
      </c>
      <c r="O199">
        <f t="shared" si="66"/>
        <v>44.489696168342704</v>
      </c>
      <c r="P199">
        <f t="shared" si="67"/>
        <v>0.1676629448656958</v>
      </c>
      <c r="Q199">
        <f t="shared" si="68"/>
        <v>2.1920130625295728</v>
      </c>
      <c r="R199">
        <f t="shared" si="69"/>
        <v>0.16085033933047033</v>
      </c>
      <c r="S199">
        <f t="shared" si="70"/>
        <v>0.10112048145061869</v>
      </c>
      <c r="T199">
        <f t="shared" si="71"/>
        <v>276.11422178400011</v>
      </c>
      <c r="U199">
        <f t="shared" si="72"/>
        <v>27.708913173627792</v>
      </c>
      <c r="V199">
        <f t="shared" si="73"/>
        <v>27.708913173627792</v>
      </c>
      <c r="W199">
        <f t="shared" si="74"/>
        <v>3.7309183800765555</v>
      </c>
      <c r="X199">
        <f t="shared" si="75"/>
        <v>68.148794567472663</v>
      </c>
      <c r="Y199">
        <f t="shared" si="76"/>
        <v>2.3498054516036002</v>
      </c>
      <c r="Z199">
        <f t="shared" si="77"/>
        <v>3.4480513800975716</v>
      </c>
      <c r="AA199">
        <f t="shared" si="78"/>
        <v>1.3811129284729553</v>
      </c>
      <c r="AB199">
        <f t="shared" si="79"/>
        <v>-101.9016009867694</v>
      </c>
      <c r="AC199">
        <f t="shared" si="80"/>
        <v>-158.68803209145398</v>
      </c>
      <c r="AD199">
        <f t="shared" si="81"/>
        <v>-15.629355231381773</v>
      </c>
      <c r="AE199">
        <f t="shared" si="82"/>
        <v>-0.10476652560504363</v>
      </c>
      <c r="AF199">
        <v>0</v>
      </c>
      <c r="AG199">
        <v>0</v>
      </c>
      <c r="AH199">
        <f t="shared" si="83"/>
        <v>1</v>
      </c>
      <c r="AI199">
        <f t="shared" si="84"/>
        <v>0</v>
      </c>
      <c r="AJ199">
        <f t="shared" si="85"/>
        <v>52411.109185732828</v>
      </c>
      <c r="AK199">
        <f t="shared" si="86"/>
        <v>1800</v>
      </c>
      <c r="AL199">
        <f t="shared" si="87"/>
        <v>1499.1112674000001</v>
      </c>
      <c r="AM199">
        <f t="shared" si="88"/>
        <v>0.83283959299999999</v>
      </c>
      <c r="AN199">
        <f t="shared" si="89"/>
        <v>0.15339678988000005</v>
      </c>
      <c r="AO199">
        <v>31.2</v>
      </c>
      <c r="AP199">
        <v>0.5</v>
      </c>
      <c r="AQ199" t="s">
        <v>331</v>
      </c>
      <c r="AR199">
        <v>2</v>
      </c>
      <c r="AS199">
        <v>1690222875.0999999</v>
      </c>
      <c r="AT199">
        <v>448.56900000000002</v>
      </c>
      <c r="AU199">
        <v>799.98400000000004</v>
      </c>
      <c r="AV199">
        <v>23.692</v>
      </c>
      <c r="AW199">
        <v>0.23896500000000001</v>
      </c>
      <c r="AX199">
        <v>448.81400000000002</v>
      </c>
      <c r="AY199">
        <v>23.529199999999999</v>
      </c>
      <c r="AZ199">
        <v>300.113</v>
      </c>
      <c r="BA199">
        <v>99.081400000000002</v>
      </c>
      <c r="BB199">
        <v>9.9988300000000002E-2</v>
      </c>
      <c r="BC199">
        <v>26.366099999999999</v>
      </c>
      <c r="BD199">
        <v>26.9937</v>
      </c>
      <c r="BE199">
        <v>27.52</v>
      </c>
      <c r="BF199">
        <v>0</v>
      </c>
      <c r="BG199">
        <v>0</v>
      </c>
      <c r="BH199">
        <v>9981.8799999999992</v>
      </c>
      <c r="BI199">
        <v>1075.78</v>
      </c>
      <c r="BJ199">
        <v>1.62452</v>
      </c>
      <c r="BK199">
        <v>-351.41500000000002</v>
      </c>
      <c r="BL199">
        <v>459.45400000000001</v>
      </c>
      <c r="BM199">
        <v>800.17499999999995</v>
      </c>
      <c r="BN199">
        <v>23.452999999999999</v>
      </c>
      <c r="BO199">
        <v>799.98400000000004</v>
      </c>
      <c r="BP199">
        <v>0.23896500000000001</v>
      </c>
      <c r="BQ199">
        <v>2.3474300000000001</v>
      </c>
      <c r="BR199">
        <v>2.3677E-2</v>
      </c>
      <c r="BS199">
        <v>20.005600000000001</v>
      </c>
      <c r="BT199">
        <v>-37.786799999999999</v>
      </c>
      <c r="BU199">
        <v>1800</v>
      </c>
      <c r="BV199">
        <v>0.91000400000000004</v>
      </c>
      <c r="BW199">
        <v>3.3998E-2</v>
      </c>
      <c r="BX199">
        <v>2.1990900000000001E-2</v>
      </c>
      <c r="BY199">
        <v>3.40074E-2</v>
      </c>
      <c r="BZ199">
        <v>26</v>
      </c>
      <c r="CA199">
        <v>33528.5</v>
      </c>
      <c r="CB199">
        <v>1690220522.5999999</v>
      </c>
      <c r="CC199" t="s">
        <v>332</v>
      </c>
      <c r="CD199">
        <v>1690220522.5999999</v>
      </c>
      <c r="CE199">
        <v>1690220510.5999999</v>
      </c>
      <c r="CF199">
        <v>10</v>
      </c>
      <c r="CG199">
        <v>-0.22</v>
      </c>
      <c r="CH199">
        <v>-2.7E-2</v>
      </c>
      <c r="CI199">
        <v>-0.49299999999999999</v>
      </c>
      <c r="CJ199">
        <v>0.152</v>
      </c>
      <c r="CK199">
        <v>800</v>
      </c>
      <c r="CL199">
        <v>19</v>
      </c>
      <c r="CM199">
        <v>0.1</v>
      </c>
      <c r="CN199">
        <v>0.03</v>
      </c>
      <c r="CO199">
        <v>-350.89912195121951</v>
      </c>
      <c r="CP199">
        <v>-3.403233449477725</v>
      </c>
      <c r="CQ199">
        <v>0.34001134809769828</v>
      </c>
      <c r="CR199">
        <v>-1</v>
      </c>
      <c r="CS199">
        <v>23.425536585365851</v>
      </c>
      <c r="CT199">
        <v>0.14436167247393419</v>
      </c>
      <c r="CU199">
        <v>1.4385727277961689E-2</v>
      </c>
      <c r="CV199">
        <v>-1</v>
      </c>
      <c r="CW199">
        <v>0</v>
      </c>
      <c r="CX199">
        <v>0</v>
      </c>
      <c r="CY199" t="s">
        <v>333</v>
      </c>
      <c r="CZ199">
        <v>2.36449</v>
      </c>
      <c r="DA199">
        <v>2.7137600000000002</v>
      </c>
      <c r="DB199">
        <v>9.7614900000000004E-2</v>
      </c>
      <c r="DC199">
        <v>0.14599500000000001</v>
      </c>
      <c r="DD199">
        <v>0.112972</v>
      </c>
      <c r="DE199">
        <v>2.0021800000000001E-3</v>
      </c>
      <c r="DF199">
        <v>32954.5</v>
      </c>
      <c r="DG199">
        <v>27529.9</v>
      </c>
      <c r="DH199">
        <v>31176.400000000001</v>
      </c>
      <c r="DI199">
        <v>28089.8</v>
      </c>
      <c r="DJ199">
        <v>37541.300000000003</v>
      </c>
      <c r="DK199">
        <v>39869.5</v>
      </c>
      <c r="DL199">
        <v>44368.6</v>
      </c>
      <c r="DM199">
        <v>42573.2</v>
      </c>
      <c r="DN199">
        <v>1.48685</v>
      </c>
      <c r="DO199">
        <v>2.0275799999999999</v>
      </c>
      <c r="DP199">
        <v>0.108089</v>
      </c>
      <c r="DQ199">
        <v>0.15019299999999999</v>
      </c>
      <c r="DR199">
        <v>25.223400000000002</v>
      </c>
      <c r="DS199">
        <v>25.0609</v>
      </c>
      <c r="DT199">
        <v>26.5</v>
      </c>
      <c r="DU199">
        <v>29.6</v>
      </c>
      <c r="DV199">
        <v>11.1358</v>
      </c>
      <c r="DW199">
        <v>62.058700000000002</v>
      </c>
      <c r="DX199">
        <v>37.195500000000003</v>
      </c>
      <c r="DY199">
        <v>1</v>
      </c>
      <c r="DZ199">
        <v>-9.7421199999999999E-2</v>
      </c>
      <c r="EA199">
        <v>-5.4005999999999998E-2</v>
      </c>
      <c r="EB199">
        <v>20.189599999999999</v>
      </c>
      <c r="EC199">
        <v>5.2404999999999999</v>
      </c>
      <c r="ED199">
        <v>12.039899999999999</v>
      </c>
      <c r="EE199">
        <v>5.0160999999999998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1.8689100000000001</v>
      </c>
      <c r="EL199">
        <v>1.8646400000000001</v>
      </c>
      <c r="EM199">
        <v>1.8691899999999999</v>
      </c>
      <c r="EN199">
        <v>1.8672299999999999</v>
      </c>
      <c r="EO199">
        <v>1.8633999999999999</v>
      </c>
      <c r="EP199">
        <v>1.86456</v>
      </c>
      <c r="EQ199">
        <v>1.8702000000000001</v>
      </c>
      <c r="ER199">
        <v>1.8694500000000001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-0.245</v>
      </c>
      <c r="FG199">
        <v>0.1628</v>
      </c>
      <c r="FH199">
        <v>5.8509882529719233E-2</v>
      </c>
      <c r="FI199">
        <v>-6.1462078757559423E-4</v>
      </c>
      <c r="FJ199">
        <v>-1.8861989874597051E-7</v>
      </c>
      <c r="FK199">
        <v>1.1980462299894961E-10</v>
      </c>
      <c r="FL199">
        <v>0.16277811159127681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39.200000000000003</v>
      </c>
      <c r="FU199">
        <v>39.4</v>
      </c>
      <c r="FV199">
        <v>1.7675799999999999</v>
      </c>
      <c r="FW199">
        <v>2.5830099999999998</v>
      </c>
      <c r="FX199">
        <v>1.5490699999999999</v>
      </c>
      <c r="FY199">
        <v>2.3290999999999999</v>
      </c>
      <c r="FZ199">
        <v>1.50146</v>
      </c>
      <c r="GA199">
        <v>2.3327599999999999</v>
      </c>
      <c r="GB199">
        <v>33.941299999999998</v>
      </c>
      <c r="GC199">
        <v>23.982399999999998</v>
      </c>
      <c r="GD199">
        <v>19</v>
      </c>
      <c r="GE199">
        <v>287.18799999999999</v>
      </c>
      <c r="GF199">
        <v>575.22799999999995</v>
      </c>
      <c r="GG199">
        <v>24.7805</v>
      </c>
      <c r="GH199">
        <v>26.1647</v>
      </c>
      <c r="GI199">
        <v>30</v>
      </c>
      <c r="GJ199">
        <v>26.293500000000002</v>
      </c>
      <c r="GK199">
        <v>26.275300000000001</v>
      </c>
      <c r="GL199">
        <v>35.333100000000002</v>
      </c>
      <c r="GM199">
        <v>100</v>
      </c>
      <c r="GN199">
        <v>20.448699999999999</v>
      </c>
      <c r="GO199">
        <v>24.768899999999999</v>
      </c>
      <c r="GP199">
        <v>800</v>
      </c>
      <c r="GQ199">
        <v>0</v>
      </c>
      <c r="GR199">
        <v>99.753399999999999</v>
      </c>
      <c r="GS199">
        <v>99.594700000000003</v>
      </c>
    </row>
    <row r="200" spans="1:201" x14ac:dyDescent="0.25">
      <c r="A200">
        <v>184</v>
      </c>
      <c r="B200">
        <v>1690222885.0999999</v>
      </c>
      <c r="C200">
        <v>2002.599999904633</v>
      </c>
      <c r="D200" t="s">
        <v>699</v>
      </c>
      <c r="E200" t="s">
        <v>700</v>
      </c>
      <c r="F200" t="s">
        <v>330</v>
      </c>
      <c r="H200">
        <v>1690222885.0999999</v>
      </c>
      <c r="I200">
        <f t="shared" si="60"/>
        <v>2.3135902357120752E-3</v>
      </c>
      <c r="J200">
        <f t="shared" si="61"/>
        <v>2.3135902357120752</v>
      </c>
      <c r="K200">
        <f t="shared" si="62"/>
        <v>32.826013142784156</v>
      </c>
      <c r="L200">
        <f t="shared" si="63"/>
        <v>448.029</v>
      </c>
      <c r="M200">
        <f t="shared" si="64"/>
        <v>117.84102087733868</v>
      </c>
      <c r="N200">
        <f t="shared" si="65"/>
        <v>11.687753701778981</v>
      </c>
      <c r="O200">
        <f t="shared" si="66"/>
        <v>44.436585530814305</v>
      </c>
      <c r="P200">
        <f t="shared" si="67"/>
        <v>0.16812911251762958</v>
      </c>
      <c r="Q200">
        <f t="shared" si="68"/>
        <v>2.1962435001026206</v>
      </c>
      <c r="R200">
        <f t="shared" si="69"/>
        <v>0.16129202016249822</v>
      </c>
      <c r="S200">
        <f t="shared" si="70"/>
        <v>0.10139863028701739</v>
      </c>
      <c r="T200">
        <f t="shared" si="71"/>
        <v>276.11401869000002</v>
      </c>
      <c r="U200">
        <f t="shared" si="72"/>
        <v>27.710666274278342</v>
      </c>
      <c r="V200">
        <f t="shared" si="73"/>
        <v>27.710666274278342</v>
      </c>
      <c r="W200">
        <f t="shared" si="74"/>
        <v>3.7313005227146441</v>
      </c>
      <c r="X200">
        <f t="shared" si="75"/>
        <v>68.199138846089099</v>
      </c>
      <c r="Y200">
        <f t="shared" si="76"/>
        <v>2.3522491559318799</v>
      </c>
      <c r="Z200">
        <f t="shared" si="77"/>
        <v>3.4490892344555903</v>
      </c>
      <c r="AA200">
        <f t="shared" si="78"/>
        <v>1.3790513667827642</v>
      </c>
      <c r="AB200">
        <f t="shared" si="79"/>
        <v>-102.02932939490252</v>
      </c>
      <c r="AC200">
        <f t="shared" si="80"/>
        <v>-158.5980034378187</v>
      </c>
      <c r="AD200">
        <f t="shared" si="81"/>
        <v>-15.590933552505364</v>
      </c>
      <c r="AE200">
        <f t="shared" si="82"/>
        <v>-0.10424769522654742</v>
      </c>
      <c r="AF200">
        <v>0</v>
      </c>
      <c r="AG200">
        <v>0</v>
      </c>
      <c r="AH200">
        <f t="shared" si="83"/>
        <v>1</v>
      </c>
      <c r="AI200">
        <f t="shared" si="84"/>
        <v>0</v>
      </c>
      <c r="AJ200">
        <f t="shared" si="85"/>
        <v>52583.572326100431</v>
      </c>
      <c r="AK200">
        <f t="shared" si="86"/>
        <v>1800</v>
      </c>
      <c r="AL200">
        <f t="shared" si="87"/>
        <v>1499.1100469999999</v>
      </c>
      <c r="AM200">
        <f t="shared" si="88"/>
        <v>0.83283891499999996</v>
      </c>
      <c r="AN200">
        <f t="shared" si="89"/>
        <v>0.15339667705000001</v>
      </c>
      <c r="AO200">
        <v>31.2</v>
      </c>
      <c r="AP200">
        <v>0.5</v>
      </c>
      <c r="AQ200" t="s">
        <v>331</v>
      </c>
      <c r="AR200">
        <v>2</v>
      </c>
      <c r="AS200">
        <v>1690222885.0999999</v>
      </c>
      <c r="AT200">
        <v>448.029</v>
      </c>
      <c r="AU200">
        <v>800.04600000000005</v>
      </c>
      <c r="AV200">
        <v>23.7164</v>
      </c>
      <c r="AW200">
        <v>0.23596300000000001</v>
      </c>
      <c r="AX200">
        <v>448.27300000000002</v>
      </c>
      <c r="AY200">
        <v>23.553599999999999</v>
      </c>
      <c r="AZ200">
        <v>300.13099999999997</v>
      </c>
      <c r="BA200">
        <v>99.082400000000007</v>
      </c>
      <c r="BB200">
        <v>9.9986699999999998E-2</v>
      </c>
      <c r="BC200">
        <v>26.371200000000002</v>
      </c>
      <c r="BD200">
        <v>27.023199999999999</v>
      </c>
      <c r="BE200">
        <v>27.5289</v>
      </c>
      <c r="BF200">
        <v>0</v>
      </c>
      <c r="BG200">
        <v>0</v>
      </c>
      <c r="BH200">
        <v>10016.200000000001</v>
      </c>
      <c r="BI200">
        <v>1075.71</v>
      </c>
      <c r="BJ200">
        <v>1.62592</v>
      </c>
      <c r="BK200">
        <v>-352.01600000000002</v>
      </c>
      <c r="BL200">
        <v>458.91300000000001</v>
      </c>
      <c r="BM200">
        <v>800.23500000000001</v>
      </c>
      <c r="BN200">
        <v>23.480399999999999</v>
      </c>
      <c r="BO200">
        <v>800.04600000000005</v>
      </c>
      <c r="BP200">
        <v>0.23596300000000001</v>
      </c>
      <c r="BQ200">
        <v>2.3498800000000002</v>
      </c>
      <c r="BR200">
        <v>2.3379799999999999E-2</v>
      </c>
      <c r="BS200">
        <v>20.022500000000001</v>
      </c>
      <c r="BT200">
        <v>-37.910400000000003</v>
      </c>
      <c r="BU200">
        <v>1800</v>
      </c>
      <c r="BV200">
        <v>0.91000300000000001</v>
      </c>
      <c r="BW200">
        <v>3.3998E-2</v>
      </c>
      <c r="BX200">
        <v>2.1991E-2</v>
      </c>
      <c r="BY200">
        <v>3.4007500000000003E-2</v>
      </c>
      <c r="BZ200">
        <v>26</v>
      </c>
      <c r="CA200">
        <v>33528.5</v>
      </c>
      <c r="CB200">
        <v>1690220522.5999999</v>
      </c>
      <c r="CC200" t="s">
        <v>332</v>
      </c>
      <c r="CD200">
        <v>1690220522.5999999</v>
      </c>
      <c r="CE200">
        <v>1690220510.5999999</v>
      </c>
      <c r="CF200">
        <v>10</v>
      </c>
      <c r="CG200">
        <v>-0.22</v>
      </c>
      <c r="CH200">
        <v>-2.7E-2</v>
      </c>
      <c r="CI200">
        <v>-0.49299999999999999</v>
      </c>
      <c r="CJ200">
        <v>0.152</v>
      </c>
      <c r="CK200">
        <v>800</v>
      </c>
      <c r="CL200">
        <v>19</v>
      </c>
      <c r="CM200">
        <v>0.1</v>
      </c>
      <c r="CN200">
        <v>0.03</v>
      </c>
      <c r="CO200">
        <v>-351.43990000000002</v>
      </c>
      <c r="CP200">
        <v>-2.7966078799244221</v>
      </c>
      <c r="CQ200">
        <v>0.28193197761162292</v>
      </c>
      <c r="CR200">
        <v>-1</v>
      </c>
      <c r="CS200">
        <v>23.4517925</v>
      </c>
      <c r="CT200">
        <v>0.1554923076922384</v>
      </c>
      <c r="CU200">
        <v>1.505900706388034E-2</v>
      </c>
      <c r="CV200">
        <v>-1</v>
      </c>
      <c r="CW200">
        <v>0</v>
      </c>
      <c r="CX200">
        <v>0</v>
      </c>
      <c r="CY200" t="s">
        <v>333</v>
      </c>
      <c r="CZ200">
        <v>2.3645499999999999</v>
      </c>
      <c r="DA200">
        <v>2.7137899999999999</v>
      </c>
      <c r="DB200">
        <v>9.7528400000000001E-2</v>
      </c>
      <c r="DC200">
        <v>0.146005</v>
      </c>
      <c r="DD200">
        <v>0.113055</v>
      </c>
      <c r="DE200">
        <v>1.9774200000000001E-3</v>
      </c>
      <c r="DF200">
        <v>32957.5</v>
      </c>
      <c r="DG200">
        <v>27530.1</v>
      </c>
      <c r="DH200">
        <v>31176.3</v>
      </c>
      <c r="DI200">
        <v>28090.3</v>
      </c>
      <c r="DJ200">
        <v>37537.599999999999</v>
      </c>
      <c r="DK200">
        <v>39871.1</v>
      </c>
      <c r="DL200">
        <v>44368.5</v>
      </c>
      <c r="DM200">
        <v>42573.8</v>
      </c>
      <c r="DN200">
        <v>1.48645</v>
      </c>
      <c r="DO200">
        <v>2.0274299999999998</v>
      </c>
      <c r="DP200">
        <v>0.109762</v>
      </c>
      <c r="DQ200">
        <v>0.15054300000000001</v>
      </c>
      <c r="DR200">
        <v>25.2256</v>
      </c>
      <c r="DS200">
        <v>25.064</v>
      </c>
      <c r="DT200">
        <v>26.2</v>
      </c>
      <c r="DU200">
        <v>29.6</v>
      </c>
      <c r="DV200">
        <v>11.0091</v>
      </c>
      <c r="DW200">
        <v>61.628700000000002</v>
      </c>
      <c r="DX200">
        <v>36.646599999999999</v>
      </c>
      <c r="DY200">
        <v>1</v>
      </c>
      <c r="DZ200">
        <v>-9.7461900000000004E-2</v>
      </c>
      <c r="EA200">
        <v>-2.4784899999999999E-2</v>
      </c>
      <c r="EB200">
        <v>20.189800000000002</v>
      </c>
      <c r="EC200">
        <v>5.2408000000000001</v>
      </c>
      <c r="ED200">
        <v>12.039899999999999</v>
      </c>
      <c r="EE200">
        <v>5.0162500000000003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1.8689199999999999</v>
      </c>
      <c r="EL200">
        <v>1.8646499999999999</v>
      </c>
      <c r="EM200">
        <v>1.8692</v>
      </c>
      <c r="EN200">
        <v>1.8672500000000001</v>
      </c>
      <c r="EO200">
        <v>1.8633999999999999</v>
      </c>
      <c r="EP200">
        <v>1.8645799999999999</v>
      </c>
      <c r="EQ200">
        <v>1.87022</v>
      </c>
      <c r="ER200">
        <v>1.86947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-0.24399999999999999</v>
      </c>
      <c r="FG200">
        <v>0.1628</v>
      </c>
      <c r="FH200">
        <v>5.8509882529719233E-2</v>
      </c>
      <c r="FI200">
        <v>-6.1462078757559423E-4</v>
      </c>
      <c r="FJ200">
        <v>-1.8861989874597051E-7</v>
      </c>
      <c r="FK200">
        <v>1.1980462299894961E-10</v>
      </c>
      <c r="FL200">
        <v>0.16277811159127681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39.4</v>
      </c>
      <c r="FU200">
        <v>39.6</v>
      </c>
      <c r="FV200">
        <v>1.7675799999999999</v>
      </c>
      <c r="FW200">
        <v>2.5817899999999998</v>
      </c>
      <c r="FX200">
        <v>1.5490699999999999</v>
      </c>
      <c r="FY200">
        <v>2.3290999999999999</v>
      </c>
      <c r="FZ200">
        <v>1.50146</v>
      </c>
      <c r="GA200">
        <v>2.3596200000000001</v>
      </c>
      <c r="GB200">
        <v>33.941299999999998</v>
      </c>
      <c r="GC200">
        <v>23.982399999999998</v>
      </c>
      <c r="GD200">
        <v>19</v>
      </c>
      <c r="GE200">
        <v>287.01400000000001</v>
      </c>
      <c r="GF200">
        <v>575.08100000000002</v>
      </c>
      <c r="GG200">
        <v>24.771000000000001</v>
      </c>
      <c r="GH200">
        <v>26.1647</v>
      </c>
      <c r="GI200">
        <v>30</v>
      </c>
      <c r="GJ200">
        <v>26.292999999999999</v>
      </c>
      <c r="GK200">
        <v>26.273099999999999</v>
      </c>
      <c r="GL200">
        <v>35.333799999999997</v>
      </c>
      <c r="GM200">
        <v>100</v>
      </c>
      <c r="GN200">
        <v>19.659300000000002</v>
      </c>
      <c r="GO200">
        <v>24.7714</v>
      </c>
      <c r="GP200">
        <v>800</v>
      </c>
      <c r="GQ200">
        <v>0</v>
      </c>
      <c r="GR200">
        <v>99.753</v>
      </c>
      <c r="GS200">
        <v>99.596199999999996</v>
      </c>
    </row>
    <row r="201" spans="1:201" x14ac:dyDescent="0.25">
      <c r="A201">
        <v>185</v>
      </c>
      <c r="B201">
        <v>1690222895.0999999</v>
      </c>
      <c r="C201">
        <v>2012.599999904633</v>
      </c>
      <c r="D201" t="s">
        <v>701</v>
      </c>
      <c r="E201" t="s">
        <v>702</v>
      </c>
      <c r="F201" t="s">
        <v>330</v>
      </c>
      <c r="H201">
        <v>1690222895.0999999</v>
      </c>
      <c r="I201">
        <f t="shared" si="60"/>
        <v>2.3151911968340004E-3</v>
      </c>
      <c r="J201">
        <f t="shared" si="61"/>
        <v>2.3151911968340002</v>
      </c>
      <c r="K201">
        <f t="shared" si="62"/>
        <v>32.862034605210454</v>
      </c>
      <c r="L201">
        <f t="shared" si="63"/>
        <v>447.52199999999999</v>
      </c>
      <c r="M201">
        <f t="shared" si="64"/>
        <v>117.83083742648321</v>
      </c>
      <c r="N201">
        <f t="shared" si="65"/>
        <v>11.686841399931769</v>
      </c>
      <c r="O201">
        <f t="shared" si="66"/>
        <v>44.386671190751997</v>
      </c>
      <c r="P201">
        <f t="shared" si="67"/>
        <v>0.16857967857645523</v>
      </c>
      <c r="Q201">
        <f t="shared" si="68"/>
        <v>2.1958729424295194</v>
      </c>
      <c r="R201">
        <f t="shared" si="69"/>
        <v>0.16170558837578378</v>
      </c>
      <c r="S201">
        <f t="shared" si="70"/>
        <v>0.1016602456060501</v>
      </c>
      <c r="T201">
        <f t="shared" si="71"/>
        <v>276.11404767000005</v>
      </c>
      <c r="U201">
        <f t="shared" si="72"/>
        <v>27.70733268306839</v>
      </c>
      <c r="V201">
        <f t="shared" si="73"/>
        <v>27.70733268306839</v>
      </c>
      <c r="W201">
        <f t="shared" si="74"/>
        <v>3.730573892432234</v>
      </c>
      <c r="X201">
        <f t="shared" si="75"/>
        <v>68.264704546225914</v>
      </c>
      <c r="Y201">
        <f t="shared" si="76"/>
        <v>2.3540937951167997</v>
      </c>
      <c r="Z201">
        <f t="shared" si="77"/>
        <v>3.4484786988607103</v>
      </c>
      <c r="AA201">
        <f t="shared" si="78"/>
        <v>1.3764800973154343</v>
      </c>
      <c r="AB201">
        <f t="shared" si="79"/>
        <v>-102.09993178037942</v>
      </c>
      <c r="AC201">
        <f t="shared" si="80"/>
        <v>-158.53175241413126</v>
      </c>
      <c r="AD201">
        <f t="shared" si="81"/>
        <v>-15.586557089335173</v>
      </c>
      <c r="AE201">
        <f t="shared" si="82"/>
        <v>-0.10419361384577996</v>
      </c>
      <c r="AF201">
        <v>0</v>
      </c>
      <c r="AG201">
        <v>0</v>
      </c>
      <c r="AH201">
        <f t="shared" si="83"/>
        <v>1</v>
      </c>
      <c r="AI201">
        <f t="shared" si="84"/>
        <v>0</v>
      </c>
      <c r="AJ201">
        <f t="shared" si="85"/>
        <v>52568.919835975677</v>
      </c>
      <c r="AK201">
        <f t="shared" si="86"/>
        <v>1800</v>
      </c>
      <c r="AL201">
        <f t="shared" si="87"/>
        <v>1499.110173</v>
      </c>
      <c r="AM201">
        <f t="shared" si="88"/>
        <v>0.83283898499999998</v>
      </c>
      <c r="AN201">
        <f t="shared" si="89"/>
        <v>0.15339669315000001</v>
      </c>
      <c r="AO201">
        <v>31.2</v>
      </c>
      <c r="AP201">
        <v>0.5</v>
      </c>
      <c r="AQ201" t="s">
        <v>331</v>
      </c>
      <c r="AR201">
        <v>2</v>
      </c>
      <c r="AS201">
        <v>1690222895.0999999</v>
      </c>
      <c r="AT201">
        <v>447.52199999999999</v>
      </c>
      <c r="AU201">
        <v>799.97799999999995</v>
      </c>
      <c r="AV201">
        <v>23.7348</v>
      </c>
      <c r="AW201">
        <v>0.23393800000000001</v>
      </c>
      <c r="AX201">
        <v>447.76600000000002</v>
      </c>
      <c r="AY201">
        <v>23.571999999999999</v>
      </c>
      <c r="AZ201">
        <v>300.072</v>
      </c>
      <c r="BA201">
        <v>99.083200000000005</v>
      </c>
      <c r="BB201">
        <v>0.10001599999999999</v>
      </c>
      <c r="BC201">
        <v>26.368200000000002</v>
      </c>
      <c r="BD201">
        <v>27.026499999999999</v>
      </c>
      <c r="BE201">
        <v>27.517600000000002</v>
      </c>
      <c r="BF201">
        <v>0</v>
      </c>
      <c r="BG201">
        <v>0</v>
      </c>
      <c r="BH201">
        <v>10013.1</v>
      </c>
      <c r="BI201">
        <v>1075.94</v>
      </c>
      <c r="BJ201">
        <v>1.62592</v>
      </c>
      <c r="BK201">
        <v>-352.45600000000002</v>
      </c>
      <c r="BL201">
        <v>458.40199999999999</v>
      </c>
      <c r="BM201">
        <v>800.16600000000005</v>
      </c>
      <c r="BN201">
        <v>23.500900000000001</v>
      </c>
      <c r="BO201">
        <v>799.97799999999995</v>
      </c>
      <c r="BP201">
        <v>0.23393800000000001</v>
      </c>
      <c r="BQ201">
        <v>2.3517199999999998</v>
      </c>
      <c r="BR201">
        <v>2.31793E-2</v>
      </c>
      <c r="BS201">
        <v>20.0351</v>
      </c>
      <c r="BT201">
        <v>-37.994599999999998</v>
      </c>
      <c r="BU201">
        <v>1800</v>
      </c>
      <c r="BV201">
        <v>0.91000300000000001</v>
      </c>
      <c r="BW201">
        <v>3.3998100000000003E-2</v>
      </c>
      <c r="BX201">
        <v>2.1991E-2</v>
      </c>
      <c r="BY201">
        <v>3.4007500000000003E-2</v>
      </c>
      <c r="BZ201">
        <v>26</v>
      </c>
      <c r="CA201">
        <v>33528.5</v>
      </c>
      <c r="CB201">
        <v>1690220522.5999999</v>
      </c>
      <c r="CC201" t="s">
        <v>332</v>
      </c>
      <c r="CD201">
        <v>1690220522.5999999</v>
      </c>
      <c r="CE201">
        <v>1690220510.5999999</v>
      </c>
      <c r="CF201">
        <v>10</v>
      </c>
      <c r="CG201">
        <v>-0.22</v>
      </c>
      <c r="CH201">
        <v>-2.7E-2</v>
      </c>
      <c r="CI201">
        <v>-0.49299999999999999</v>
      </c>
      <c r="CJ201">
        <v>0.152</v>
      </c>
      <c r="CK201">
        <v>800</v>
      </c>
      <c r="CL201">
        <v>19</v>
      </c>
      <c r="CM201">
        <v>0.1</v>
      </c>
      <c r="CN201">
        <v>0.03</v>
      </c>
      <c r="CO201">
        <v>-351.90832499999999</v>
      </c>
      <c r="CP201">
        <v>-3.2421951219494369</v>
      </c>
      <c r="CQ201">
        <v>0.31908826267194379</v>
      </c>
      <c r="CR201">
        <v>-1</v>
      </c>
      <c r="CS201">
        <v>23.476215</v>
      </c>
      <c r="CT201">
        <v>0.1492390243901584</v>
      </c>
      <c r="CU201">
        <v>1.447376160505629E-2</v>
      </c>
      <c r="CV201">
        <v>-1</v>
      </c>
      <c r="CW201">
        <v>0</v>
      </c>
      <c r="CX201">
        <v>0</v>
      </c>
      <c r="CY201" t="s">
        <v>333</v>
      </c>
      <c r="CZ201">
        <v>2.3643700000000001</v>
      </c>
      <c r="DA201">
        <v>2.7138200000000001</v>
      </c>
      <c r="DB201">
        <v>9.74468E-2</v>
      </c>
      <c r="DC201">
        <v>0.14599799999999999</v>
      </c>
      <c r="DD201">
        <v>0.113118</v>
      </c>
      <c r="DE201">
        <v>1.9607000000000001E-3</v>
      </c>
      <c r="DF201">
        <v>32960.9</v>
      </c>
      <c r="DG201">
        <v>27530.400000000001</v>
      </c>
      <c r="DH201">
        <v>31176.7</v>
      </c>
      <c r="DI201">
        <v>28090.400000000001</v>
      </c>
      <c r="DJ201">
        <v>37535.4</v>
      </c>
      <c r="DK201">
        <v>39871.9</v>
      </c>
      <c r="DL201">
        <v>44369</v>
      </c>
      <c r="DM201">
        <v>42574.1</v>
      </c>
      <c r="DN201">
        <v>1.4862299999999999</v>
      </c>
      <c r="DO201">
        <v>2.0273699999999999</v>
      </c>
      <c r="DP201">
        <v>0.109766</v>
      </c>
      <c r="DQ201">
        <v>0.14962600000000001</v>
      </c>
      <c r="DR201">
        <v>25.2288</v>
      </c>
      <c r="DS201">
        <v>25.067799999999998</v>
      </c>
      <c r="DT201">
        <v>25.9</v>
      </c>
      <c r="DU201">
        <v>29.6</v>
      </c>
      <c r="DV201">
        <v>10.883900000000001</v>
      </c>
      <c r="DW201">
        <v>61.648699999999998</v>
      </c>
      <c r="DX201">
        <v>37.335700000000003</v>
      </c>
      <c r="DY201">
        <v>1</v>
      </c>
      <c r="DZ201">
        <v>-9.7611799999999999E-2</v>
      </c>
      <c r="EA201">
        <v>5.6307200000000002E-2</v>
      </c>
      <c r="EB201">
        <v>20.189699999999998</v>
      </c>
      <c r="EC201">
        <v>5.2403500000000003</v>
      </c>
      <c r="ED201">
        <v>12.039899999999999</v>
      </c>
      <c r="EE201">
        <v>5.0162000000000004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1.8689199999999999</v>
      </c>
      <c r="EL201">
        <v>1.86467</v>
      </c>
      <c r="EM201">
        <v>1.8692</v>
      </c>
      <c r="EN201">
        <v>1.86724</v>
      </c>
      <c r="EO201">
        <v>1.8633999999999999</v>
      </c>
      <c r="EP201">
        <v>1.8645700000000001</v>
      </c>
      <c r="EQ201">
        <v>1.8702099999999999</v>
      </c>
      <c r="ER201">
        <v>1.8694299999999999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-0.24399999999999999</v>
      </c>
      <c r="FG201">
        <v>0.1628</v>
      </c>
      <c r="FH201">
        <v>5.8509882529719233E-2</v>
      </c>
      <c r="FI201">
        <v>-6.1462078757559423E-4</v>
      </c>
      <c r="FJ201">
        <v>-1.8861989874597051E-7</v>
      </c>
      <c r="FK201">
        <v>1.1980462299894961E-10</v>
      </c>
      <c r="FL201">
        <v>0.16277811159127681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39.5</v>
      </c>
      <c r="FU201">
        <v>39.700000000000003</v>
      </c>
      <c r="FV201">
        <v>1.7675799999999999</v>
      </c>
      <c r="FW201">
        <v>2.5769000000000002</v>
      </c>
      <c r="FX201">
        <v>1.5490699999999999</v>
      </c>
      <c r="FY201">
        <v>2.3290999999999999</v>
      </c>
      <c r="FZ201">
        <v>1.50146</v>
      </c>
      <c r="GA201">
        <v>2.3889200000000002</v>
      </c>
      <c r="GB201">
        <v>33.941299999999998</v>
      </c>
      <c r="GC201">
        <v>23.982399999999998</v>
      </c>
      <c r="GD201">
        <v>19</v>
      </c>
      <c r="GE201">
        <v>286.91699999999997</v>
      </c>
      <c r="GF201">
        <v>575.04</v>
      </c>
      <c r="GG201">
        <v>24.756</v>
      </c>
      <c r="GH201">
        <v>26.1647</v>
      </c>
      <c r="GI201">
        <v>30.0001</v>
      </c>
      <c r="GJ201">
        <v>26.292999999999999</v>
      </c>
      <c r="GK201">
        <v>26.273099999999999</v>
      </c>
      <c r="GL201">
        <v>35.3354</v>
      </c>
      <c r="GM201">
        <v>100</v>
      </c>
      <c r="GN201">
        <v>19.264500000000002</v>
      </c>
      <c r="GO201">
        <v>24.7302</v>
      </c>
      <c r="GP201">
        <v>800</v>
      </c>
      <c r="GQ201">
        <v>0</v>
      </c>
      <c r="GR201">
        <v>99.754199999999997</v>
      </c>
      <c r="GS201">
        <v>99.596699999999998</v>
      </c>
    </row>
    <row r="202" spans="1:201" x14ac:dyDescent="0.25">
      <c r="A202">
        <v>186</v>
      </c>
      <c r="B202">
        <v>1690222905.0999999</v>
      </c>
      <c r="C202">
        <v>2022.599999904633</v>
      </c>
      <c r="D202" t="s">
        <v>703</v>
      </c>
      <c r="E202" t="s">
        <v>704</v>
      </c>
      <c r="F202" t="s">
        <v>330</v>
      </c>
      <c r="H202">
        <v>1690222905.0999999</v>
      </c>
      <c r="I202">
        <f t="shared" si="60"/>
        <v>2.3187304285108975E-3</v>
      </c>
      <c r="J202">
        <f t="shared" si="61"/>
        <v>2.3187304285108974</v>
      </c>
      <c r="K202">
        <f t="shared" si="62"/>
        <v>32.938532458901527</v>
      </c>
      <c r="L202">
        <f t="shared" si="63"/>
        <v>447.06700000000001</v>
      </c>
      <c r="M202">
        <f t="shared" si="64"/>
        <v>117.68204012317635</v>
      </c>
      <c r="N202">
        <f t="shared" si="65"/>
        <v>11.671931395025908</v>
      </c>
      <c r="O202">
        <f t="shared" si="66"/>
        <v>44.340966111042007</v>
      </c>
      <c r="P202">
        <f t="shared" si="67"/>
        <v>0.16914825249309398</v>
      </c>
      <c r="Q202">
        <f t="shared" si="68"/>
        <v>2.1939405728101171</v>
      </c>
      <c r="R202">
        <f t="shared" si="69"/>
        <v>0.16222291223622004</v>
      </c>
      <c r="S202">
        <f t="shared" si="70"/>
        <v>0.10198790759410201</v>
      </c>
      <c r="T202">
        <f t="shared" si="71"/>
        <v>276.11411916599997</v>
      </c>
      <c r="U202">
        <f t="shared" si="72"/>
        <v>27.704608706825045</v>
      </c>
      <c r="V202">
        <f t="shared" si="73"/>
        <v>27.704608706825045</v>
      </c>
      <c r="W202">
        <f t="shared" si="74"/>
        <v>3.7299802329506613</v>
      </c>
      <c r="X202">
        <f t="shared" si="75"/>
        <v>68.325206001054283</v>
      </c>
      <c r="Y202">
        <f t="shared" si="76"/>
        <v>2.3558186973150002</v>
      </c>
      <c r="Z202">
        <f t="shared" si="77"/>
        <v>3.4479496443503574</v>
      </c>
      <c r="AA202">
        <f t="shared" si="78"/>
        <v>1.3741615356356611</v>
      </c>
      <c r="AB202">
        <f t="shared" si="79"/>
        <v>-102.25601189733058</v>
      </c>
      <c r="AC202">
        <f t="shared" si="80"/>
        <v>-158.37758049289758</v>
      </c>
      <c r="AD202">
        <f t="shared" si="81"/>
        <v>-15.584699262590329</v>
      </c>
      <c r="AE202">
        <f t="shared" si="82"/>
        <v>-0.10417248681852698</v>
      </c>
      <c r="AF202">
        <v>0</v>
      </c>
      <c r="AG202">
        <v>0</v>
      </c>
      <c r="AH202">
        <f t="shared" si="83"/>
        <v>1</v>
      </c>
      <c r="AI202">
        <f t="shared" si="84"/>
        <v>0</v>
      </c>
      <c r="AJ202">
        <f t="shared" si="85"/>
        <v>52490.142212920298</v>
      </c>
      <c r="AK202">
        <f t="shared" si="86"/>
        <v>1800</v>
      </c>
      <c r="AL202">
        <f t="shared" si="87"/>
        <v>1499.1094386</v>
      </c>
      <c r="AM202">
        <f t="shared" si="88"/>
        <v>0.83283857699999997</v>
      </c>
      <c r="AN202">
        <f t="shared" si="89"/>
        <v>0.15339673287</v>
      </c>
      <c r="AO202">
        <v>31.2</v>
      </c>
      <c r="AP202">
        <v>0.5</v>
      </c>
      <c r="AQ202" t="s">
        <v>331</v>
      </c>
      <c r="AR202">
        <v>2</v>
      </c>
      <c r="AS202">
        <v>1690222905.0999999</v>
      </c>
      <c r="AT202">
        <v>447.06700000000001</v>
      </c>
      <c r="AU202">
        <v>800.09799999999996</v>
      </c>
      <c r="AV202">
        <v>23.752500000000001</v>
      </c>
      <c r="AW202">
        <v>0.23118900000000001</v>
      </c>
      <c r="AX202">
        <v>447.31</v>
      </c>
      <c r="AY202">
        <v>23.589700000000001</v>
      </c>
      <c r="AZ202">
        <v>300.26400000000001</v>
      </c>
      <c r="BA202">
        <v>99.081900000000005</v>
      </c>
      <c r="BB202">
        <v>0.100026</v>
      </c>
      <c r="BC202">
        <v>26.365600000000001</v>
      </c>
      <c r="BD202">
        <v>26.9725</v>
      </c>
      <c r="BE202">
        <v>27.527200000000001</v>
      </c>
      <c r="BF202">
        <v>0</v>
      </c>
      <c r="BG202">
        <v>0</v>
      </c>
      <c r="BH202">
        <v>9997.5</v>
      </c>
      <c r="BI202">
        <v>1075.8900000000001</v>
      </c>
      <c r="BJ202">
        <v>1.62592</v>
      </c>
      <c r="BK202">
        <v>-353.03100000000001</v>
      </c>
      <c r="BL202">
        <v>457.94400000000002</v>
      </c>
      <c r="BM202">
        <v>800.28300000000002</v>
      </c>
      <c r="BN202">
        <v>23.5213</v>
      </c>
      <c r="BO202">
        <v>800.09799999999996</v>
      </c>
      <c r="BP202">
        <v>0.23118900000000001</v>
      </c>
      <c r="BQ202">
        <v>2.35344</v>
      </c>
      <c r="BR202">
        <v>2.2906599999999999E-2</v>
      </c>
      <c r="BS202">
        <v>20.046900000000001</v>
      </c>
      <c r="BT202">
        <v>-38.110100000000003</v>
      </c>
      <c r="BU202">
        <v>1800</v>
      </c>
      <c r="BV202">
        <v>0.90999699999999994</v>
      </c>
      <c r="BW202">
        <v>3.39975E-2</v>
      </c>
      <c r="BX202">
        <v>2.1990599999999999E-2</v>
      </c>
      <c r="BY202">
        <v>3.4014700000000002E-2</v>
      </c>
      <c r="BZ202">
        <v>26</v>
      </c>
      <c r="CA202">
        <v>33528.6</v>
      </c>
      <c r="CB202">
        <v>1690220522.5999999</v>
      </c>
      <c r="CC202" t="s">
        <v>332</v>
      </c>
      <c r="CD202">
        <v>1690220522.5999999</v>
      </c>
      <c r="CE202">
        <v>1690220510.5999999</v>
      </c>
      <c r="CF202">
        <v>10</v>
      </c>
      <c r="CG202">
        <v>-0.22</v>
      </c>
      <c r="CH202">
        <v>-2.7E-2</v>
      </c>
      <c r="CI202">
        <v>-0.49299999999999999</v>
      </c>
      <c r="CJ202">
        <v>0.152</v>
      </c>
      <c r="CK202">
        <v>800</v>
      </c>
      <c r="CL202">
        <v>19</v>
      </c>
      <c r="CM202">
        <v>0.1</v>
      </c>
      <c r="CN202">
        <v>0.03</v>
      </c>
      <c r="CO202">
        <v>-352.43924390243899</v>
      </c>
      <c r="CP202">
        <v>-3.0149477351921248</v>
      </c>
      <c r="CQ202">
        <v>0.30051555541799202</v>
      </c>
      <c r="CR202">
        <v>-1</v>
      </c>
      <c r="CS202">
        <v>23.4993756097561</v>
      </c>
      <c r="CT202">
        <v>0.12776236933799021</v>
      </c>
      <c r="CU202">
        <v>1.263208807040399E-2</v>
      </c>
      <c r="CV202">
        <v>-1</v>
      </c>
      <c r="CW202">
        <v>0</v>
      </c>
      <c r="CX202">
        <v>0</v>
      </c>
      <c r="CY202" t="s">
        <v>333</v>
      </c>
      <c r="CZ202">
        <v>2.3649900000000001</v>
      </c>
      <c r="DA202">
        <v>2.7138200000000001</v>
      </c>
      <c r="DB202">
        <v>9.7371600000000003E-2</v>
      </c>
      <c r="DC202">
        <v>0.14601</v>
      </c>
      <c r="DD202">
        <v>0.113176</v>
      </c>
      <c r="DE202">
        <v>1.9379600000000001E-3</v>
      </c>
      <c r="DF202">
        <v>32963.800000000003</v>
      </c>
      <c r="DG202">
        <v>27529.9</v>
      </c>
      <c r="DH202">
        <v>31176.7</v>
      </c>
      <c r="DI202">
        <v>28090.3</v>
      </c>
      <c r="DJ202">
        <v>37532.9</v>
      </c>
      <c r="DK202">
        <v>39872.699999999997</v>
      </c>
      <c r="DL202">
        <v>44369</v>
      </c>
      <c r="DM202">
        <v>42573.9</v>
      </c>
      <c r="DN202">
        <v>1.4869000000000001</v>
      </c>
      <c r="DO202">
        <v>2.0272800000000002</v>
      </c>
      <c r="DP202">
        <v>0.106465</v>
      </c>
      <c r="DQ202">
        <v>0.150084</v>
      </c>
      <c r="DR202">
        <v>25.2288</v>
      </c>
      <c r="DS202">
        <v>25.069900000000001</v>
      </c>
      <c r="DT202">
        <v>25.6</v>
      </c>
      <c r="DU202">
        <v>29.6</v>
      </c>
      <c r="DV202">
        <v>10.7561</v>
      </c>
      <c r="DW202">
        <v>61.878700000000002</v>
      </c>
      <c r="DX202">
        <v>36.394199999999998</v>
      </c>
      <c r="DY202">
        <v>1</v>
      </c>
      <c r="DZ202">
        <v>-9.7576200000000002E-2</v>
      </c>
      <c r="EA202">
        <v>2.8967900000000001E-2</v>
      </c>
      <c r="EB202">
        <v>20.189599999999999</v>
      </c>
      <c r="EC202">
        <v>5.2397499999999999</v>
      </c>
      <c r="ED202">
        <v>12.039899999999999</v>
      </c>
      <c r="EE202">
        <v>5.0160999999999998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1.8689100000000001</v>
      </c>
      <c r="EL202">
        <v>1.8646499999999999</v>
      </c>
      <c r="EM202">
        <v>1.8691899999999999</v>
      </c>
      <c r="EN202">
        <v>1.8672599999999999</v>
      </c>
      <c r="EO202">
        <v>1.8633999999999999</v>
      </c>
      <c r="EP202">
        <v>1.86456</v>
      </c>
      <c r="EQ202">
        <v>1.87019</v>
      </c>
      <c r="ER202">
        <v>1.86947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-0.24299999999999999</v>
      </c>
      <c r="FG202">
        <v>0.1628</v>
      </c>
      <c r="FH202">
        <v>5.8509882529719233E-2</v>
      </c>
      <c r="FI202">
        <v>-6.1462078757559423E-4</v>
      </c>
      <c r="FJ202">
        <v>-1.8861989874597051E-7</v>
      </c>
      <c r="FK202">
        <v>1.1980462299894961E-10</v>
      </c>
      <c r="FL202">
        <v>0.16277811159127681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39.700000000000003</v>
      </c>
      <c r="FU202">
        <v>39.9</v>
      </c>
      <c r="FV202">
        <v>1.7675799999999999</v>
      </c>
      <c r="FW202">
        <v>2.5793499999999998</v>
      </c>
      <c r="FX202">
        <v>1.5490699999999999</v>
      </c>
      <c r="FY202">
        <v>2.3290999999999999</v>
      </c>
      <c r="FZ202">
        <v>1.50146</v>
      </c>
      <c r="GA202">
        <v>2.3950200000000001</v>
      </c>
      <c r="GB202">
        <v>33.941299999999998</v>
      </c>
      <c r="GC202">
        <v>23.991199999999999</v>
      </c>
      <c r="GD202">
        <v>19</v>
      </c>
      <c r="GE202">
        <v>287.20800000000003</v>
      </c>
      <c r="GF202">
        <v>574.95799999999997</v>
      </c>
      <c r="GG202">
        <v>24.7256</v>
      </c>
      <c r="GH202">
        <v>26.162500000000001</v>
      </c>
      <c r="GI202">
        <v>30</v>
      </c>
      <c r="GJ202">
        <v>26.292999999999999</v>
      </c>
      <c r="GK202">
        <v>26.273099999999999</v>
      </c>
      <c r="GL202">
        <v>35.333300000000001</v>
      </c>
      <c r="GM202">
        <v>100</v>
      </c>
      <c r="GN202">
        <v>18.501000000000001</v>
      </c>
      <c r="GO202">
        <v>24.7485</v>
      </c>
      <c r="GP202">
        <v>800</v>
      </c>
      <c r="GQ202">
        <v>0</v>
      </c>
      <c r="GR202">
        <v>99.754400000000004</v>
      </c>
      <c r="GS202">
        <v>99.596299999999999</v>
      </c>
    </row>
    <row r="203" spans="1:201" x14ac:dyDescent="0.25">
      <c r="A203">
        <v>187</v>
      </c>
      <c r="B203">
        <v>1690222915.0999999</v>
      </c>
      <c r="C203">
        <v>2032.599999904633</v>
      </c>
      <c r="D203" t="s">
        <v>705</v>
      </c>
      <c r="E203" t="s">
        <v>706</v>
      </c>
      <c r="F203" t="s">
        <v>330</v>
      </c>
      <c r="H203">
        <v>1690222915.0999999</v>
      </c>
      <c r="I203">
        <f t="shared" si="60"/>
        <v>2.3193232218199768E-3</v>
      </c>
      <c r="J203">
        <f t="shared" si="61"/>
        <v>2.3193232218199769</v>
      </c>
      <c r="K203">
        <f t="shared" si="62"/>
        <v>32.954508793686315</v>
      </c>
      <c r="L203">
        <f t="shared" si="63"/>
        <v>446.548</v>
      </c>
      <c r="M203">
        <f t="shared" si="64"/>
        <v>117.60909889025353</v>
      </c>
      <c r="N203">
        <f t="shared" si="65"/>
        <v>11.66485660917246</v>
      </c>
      <c r="O203">
        <f t="shared" si="66"/>
        <v>44.290096925012797</v>
      </c>
      <c r="P203">
        <f t="shared" si="67"/>
        <v>0.16947260215771456</v>
      </c>
      <c r="Q203">
        <f t="shared" si="68"/>
        <v>2.1918827646614267</v>
      </c>
      <c r="R203">
        <f t="shared" si="69"/>
        <v>0.16251502589679701</v>
      </c>
      <c r="S203">
        <f t="shared" si="70"/>
        <v>0.10217319997849247</v>
      </c>
      <c r="T203">
        <f t="shared" si="71"/>
        <v>276.11418499200005</v>
      </c>
      <c r="U203">
        <f t="shared" si="72"/>
        <v>27.704653852555211</v>
      </c>
      <c r="V203">
        <f t="shared" si="73"/>
        <v>27.704653852555211</v>
      </c>
      <c r="W203">
        <f t="shared" si="74"/>
        <v>3.7299900712746115</v>
      </c>
      <c r="X203">
        <f t="shared" si="75"/>
        <v>68.390469389204043</v>
      </c>
      <c r="Y203">
        <f t="shared" si="76"/>
        <v>2.3579437109929597</v>
      </c>
      <c r="Z203">
        <f t="shared" si="77"/>
        <v>3.4477665266107662</v>
      </c>
      <c r="AA203">
        <f t="shared" si="78"/>
        <v>1.3720463602816517</v>
      </c>
      <c r="AB203">
        <f t="shared" si="79"/>
        <v>-102.28215408226097</v>
      </c>
      <c r="AC203">
        <f t="shared" si="80"/>
        <v>-158.34071684787472</v>
      </c>
      <c r="AD203">
        <f t="shared" si="81"/>
        <v>-15.595633254981497</v>
      </c>
      <c r="AE203">
        <f t="shared" si="82"/>
        <v>-0.10431919311716342</v>
      </c>
      <c r="AF203">
        <v>0</v>
      </c>
      <c r="AG203">
        <v>0</v>
      </c>
      <c r="AH203">
        <f t="shared" si="83"/>
        <v>1</v>
      </c>
      <c r="AI203">
        <f t="shared" si="84"/>
        <v>0</v>
      </c>
      <c r="AJ203">
        <f t="shared" si="85"/>
        <v>52406.063688775495</v>
      </c>
      <c r="AK203">
        <f t="shared" si="86"/>
        <v>1800</v>
      </c>
      <c r="AL203">
        <f t="shared" si="87"/>
        <v>1499.1104052000001</v>
      </c>
      <c r="AM203">
        <f t="shared" si="88"/>
        <v>0.83283911399999999</v>
      </c>
      <c r="AN203">
        <f t="shared" si="89"/>
        <v>0.15339676944000002</v>
      </c>
      <c r="AO203">
        <v>31.2</v>
      </c>
      <c r="AP203">
        <v>0.5</v>
      </c>
      <c r="AQ203" t="s">
        <v>331</v>
      </c>
      <c r="AR203">
        <v>2</v>
      </c>
      <c r="AS203">
        <v>1690222915.0999999</v>
      </c>
      <c r="AT203">
        <v>446.548</v>
      </c>
      <c r="AU203">
        <v>800.00599999999997</v>
      </c>
      <c r="AV203">
        <v>23.773599999999998</v>
      </c>
      <c r="AW203">
        <v>0.22874900000000001</v>
      </c>
      <c r="AX203">
        <v>446.791</v>
      </c>
      <c r="AY203">
        <v>23.610800000000001</v>
      </c>
      <c r="AZ203">
        <v>300.03399999999999</v>
      </c>
      <c r="BA203">
        <v>99.083399999999997</v>
      </c>
      <c r="BB203">
        <v>9.9883600000000003E-2</v>
      </c>
      <c r="BC203">
        <v>26.364699999999999</v>
      </c>
      <c r="BD203">
        <v>27.023800000000001</v>
      </c>
      <c r="BE203">
        <v>27.543099999999999</v>
      </c>
      <c r="BF203">
        <v>0</v>
      </c>
      <c r="BG203">
        <v>0</v>
      </c>
      <c r="BH203">
        <v>9980.6200000000008</v>
      </c>
      <c r="BI203">
        <v>1075.98</v>
      </c>
      <c r="BJ203">
        <v>1.62592</v>
      </c>
      <c r="BK203">
        <v>-353.45800000000003</v>
      </c>
      <c r="BL203">
        <v>457.423</v>
      </c>
      <c r="BM203">
        <v>800.18899999999996</v>
      </c>
      <c r="BN203">
        <v>23.544799999999999</v>
      </c>
      <c r="BO203">
        <v>800.00599999999997</v>
      </c>
      <c r="BP203">
        <v>0.22874900000000001</v>
      </c>
      <c r="BQ203">
        <v>2.3555700000000002</v>
      </c>
      <c r="BR203">
        <v>2.26652E-2</v>
      </c>
      <c r="BS203">
        <v>20.061499999999999</v>
      </c>
      <c r="BT203">
        <v>-38.2134</v>
      </c>
      <c r="BU203">
        <v>1800</v>
      </c>
      <c r="BV203">
        <v>0.909999</v>
      </c>
      <c r="BW203">
        <v>3.3996899999999997E-2</v>
      </c>
      <c r="BX203">
        <v>2.1990200000000001E-2</v>
      </c>
      <c r="BY203">
        <v>3.4014200000000001E-2</v>
      </c>
      <c r="BZ203">
        <v>26</v>
      </c>
      <c r="CA203">
        <v>33528.5</v>
      </c>
      <c r="CB203">
        <v>1690220522.5999999</v>
      </c>
      <c r="CC203" t="s">
        <v>332</v>
      </c>
      <c r="CD203">
        <v>1690220522.5999999</v>
      </c>
      <c r="CE203">
        <v>1690220510.5999999</v>
      </c>
      <c r="CF203">
        <v>10</v>
      </c>
      <c r="CG203">
        <v>-0.22</v>
      </c>
      <c r="CH203">
        <v>-2.7E-2</v>
      </c>
      <c r="CI203">
        <v>-0.49299999999999999</v>
      </c>
      <c r="CJ203">
        <v>0.152</v>
      </c>
      <c r="CK203">
        <v>800</v>
      </c>
      <c r="CL203">
        <v>19</v>
      </c>
      <c r="CM203">
        <v>0.1</v>
      </c>
      <c r="CN203">
        <v>0.03</v>
      </c>
      <c r="CO203">
        <v>-352.87146341463421</v>
      </c>
      <c r="CP203">
        <v>-2.7649128919870769</v>
      </c>
      <c r="CQ203">
        <v>0.27753787678757508</v>
      </c>
      <c r="CR203">
        <v>-1</v>
      </c>
      <c r="CS203">
        <v>23.518090243902439</v>
      </c>
      <c r="CT203">
        <v>0.1237149825784875</v>
      </c>
      <c r="CU203">
        <v>1.2220051592203841E-2</v>
      </c>
      <c r="CV203">
        <v>-1</v>
      </c>
      <c r="CW203">
        <v>0</v>
      </c>
      <c r="CX203">
        <v>0</v>
      </c>
      <c r="CY203" t="s">
        <v>333</v>
      </c>
      <c r="CZ203">
        <v>2.3642400000000001</v>
      </c>
      <c r="DA203">
        <v>2.71366</v>
      </c>
      <c r="DB203">
        <v>9.7289200000000006E-2</v>
      </c>
      <c r="DC203">
        <v>0.14600099999999999</v>
      </c>
      <c r="DD203">
        <v>0.11325</v>
      </c>
      <c r="DE203">
        <v>1.91782E-3</v>
      </c>
      <c r="DF203">
        <v>32967.599999999999</v>
      </c>
      <c r="DG203">
        <v>27530</v>
      </c>
      <c r="DH203">
        <v>31177.599999999999</v>
      </c>
      <c r="DI203">
        <v>28090.1</v>
      </c>
      <c r="DJ203">
        <v>37530.699999999997</v>
      </c>
      <c r="DK203">
        <v>39873.4</v>
      </c>
      <c r="DL203">
        <v>44370.2</v>
      </c>
      <c r="DM203">
        <v>42573.8</v>
      </c>
      <c r="DN203">
        <v>1.48675</v>
      </c>
      <c r="DO203">
        <v>2.02745</v>
      </c>
      <c r="DP203">
        <v>0.109509</v>
      </c>
      <c r="DQ203">
        <v>0.150926</v>
      </c>
      <c r="DR203">
        <v>25.2303</v>
      </c>
      <c r="DS203">
        <v>25.071999999999999</v>
      </c>
      <c r="DT203">
        <v>25.3</v>
      </c>
      <c r="DU203">
        <v>29.6</v>
      </c>
      <c r="DV203">
        <v>10.630800000000001</v>
      </c>
      <c r="DW203">
        <v>61.868699999999997</v>
      </c>
      <c r="DX203">
        <v>37.540100000000002</v>
      </c>
      <c r="DY203">
        <v>1</v>
      </c>
      <c r="DZ203">
        <v>-9.7700700000000001E-2</v>
      </c>
      <c r="EA203">
        <v>-7.2843099999999994E-2</v>
      </c>
      <c r="EB203">
        <v>20.189599999999999</v>
      </c>
      <c r="EC203">
        <v>5.2404999999999999</v>
      </c>
      <c r="ED203">
        <v>12.039899999999999</v>
      </c>
      <c r="EE203">
        <v>5.0167999999999999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1.86893</v>
      </c>
      <c r="EL203">
        <v>1.8646400000000001</v>
      </c>
      <c r="EM203">
        <v>1.8691899999999999</v>
      </c>
      <c r="EN203">
        <v>1.8672299999999999</v>
      </c>
      <c r="EO203">
        <v>1.8633999999999999</v>
      </c>
      <c r="EP203">
        <v>1.8645499999999999</v>
      </c>
      <c r="EQ203">
        <v>1.8701700000000001</v>
      </c>
      <c r="ER203">
        <v>1.8694299999999999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-0.24299999999999999</v>
      </c>
      <c r="FG203">
        <v>0.1628</v>
      </c>
      <c r="FH203">
        <v>5.8509882529719233E-2</v>
      </c>
      <c r="FI203">
        <v>-6.1462078757559423E-4</v>
      </c>
      <c r="FJ203">
        <v>-1.8861989874597051E-7</v>
      </c>
      <c r="FK203">
        <v>1.1980462299894961E-10</v>
      </c>
      <c r="FL203">
        <v>0.16277811159127681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39.9</v>
      </c>
      <c r="FU203">
        <v>40.1</v>
      </c>
      <c r="FV203">
        <v>1.7675799999999999</v>
      </c>
      <c r="FW203">
        <v>2.5830099999999998</v>
      </c>
      <c r="FX203">
        <v>1.5490699999999999</v>
      </c>
      <c r="FY203">
        <v>2.3290999999999999</v>
      </c>
      <c r="FZ203">
        <v>1.50146</v>
      </c>
      <c r="GA203">
        <v>2.2863799999999999</v>
      </c>
      <c r="GB203">
        <v>33.941299999999998</v>
      </c>
      <c r="GC203">
        <v>23.982399999999998</v>
      </c>
      <c r="GD203">
        <v>19</v>
      </c>
      <c r="GE203">
        <v>287.13299999999998</v>
      </c>
      <c r="GF203">
        <v>575.101</v>
      </c>
      <c r="GG203">
        <v>24.753900000000002</v>
      </c>
      <c r="GH203">
        <v>26.162500000000001</v>
      </c>
      <c r="GI203">
        <v>30</v>
      </c>
      <c r="GJ203">
        <v>26.290800000000001</v>
      </c>
      <c r="GK203">
        <v>26.273099999999999</v>
      </c>
      <c r="GL203">
        <v>35.332000000000001</v>
      </c>
      <c r="GM203">
        <v>100</v>
      </c>
      <c r="GN203">
        <v>18.125299999999999</v>
      </c>
      <c r="GO203">
        <v>24.768000000000001</v>
      </c>
      <c r="GP203">
        <v>800</v>
      </c>
      <c r="GQ203">
        <v>0</v>
      </c>
      <c r="GR203">
        <v>99.757000000000005</v>
      </c>
      <c r="GS203">
        <v>99.596000000000004</v>
      </c>
    </row>
    <row r="204" spans="1:201" x14ac:dyDescent="0.25">
      <c r="A204">
        <v>188</v>
      </c>
      <c r="B204">
        <v>1690222925.0999999</v>
      </c>
      <c r="C204">
        <v>2042.599999904633</v>
      </c>
      <c r="D204" t="s">
        <v>707</v>
      </c>
      <c r="E204" t="s">
        <v>708</v>
      </c>
      <c r="F204" t="s">
        <v>330</v>
      </c>
      <c r="H204">
        <v>1690222925.0999999</v>
      </c>
      <c r="I204">
        <f t="shared" si="60"/>
        <v>2.3230424706547717E-3</v>
      </c>
      <c r="J204">
        <f t="shared" si="61"/>
        <v>2.3230424706547717</v>
      </c>
      <c r="K204">
        <f t="shared" si="62"/>
        <v>32.999440405134415</v>
      </c>
      <c r="L204">
        <f t="shared" si="63"/>
        <v>446.30500000000001</v>
      </c>
      <c r="M204">
        <f t="shared" si="64"/>
        <v>117.97742110710296</v>
      </c>
      <c r="N204">
        <f t="shared" si="65"/>
        <v>11.700762417191514</v>
      </c>
      <c r="O204">
        <f t="shared" si="66"/>
        <v>44.263628765574502</v>
      </c>
      <c r="P204">
        <f t="shared" si="67"/>
        <v>0.17003471425842542</v>
      </c>
      <c r="Q204">
        <f t="shared" si="68"/>
        <v>2.1941994651991008</v>
      </c>
      <c r="R204">
        <f t="shared" si="69"/>
        <v>0.16303899922518658</v>
      </c>
      <c r="S204">
        <f t="shared" si="70"/>
        <v>0.10250392773416922</v>
      </c>
      <c r="T204">
        <f t="shared" si="71"/>
        <v>276.11585343844155</v>
      </c>
      <c r="U204">
        <f t="shared" si="72"/>
        <v>27.702614204426077</v>
      </c>
      <c r="V204">
        <f t="shared" si="73"/>
        <v>27.702614204426077</v>
      </c>
      <c r="W204">
        <f t="shared" si="74"/>
        <v>3.7295456062324845</v>
      </c>
      <c r="X204">
        <f t="shared" si="75"/>
        <v>68.442325228446464</v>
      </c>
      <c r="Y204">
        <f t="shared" si="76"/>
        <v>2.3598012063422402</v>
      </c>
      <c r="Z204">
        <f t="shared" si="77"/>
        <v>3.4478682576398554</v>
      </c>
      <c r="AA204">
        <f t="shared" si="78"/>
        <v>1.3697443998902443</v>
      </c>
      <c r="AB204">
        <f t="shared" si="79"/>
        <v>-102.44617295587543</v>
      </c>
      <c r="AC204">
        <f t="shared" si="80"/>
        <v>-158.20765002264932</v>
      </c>
      <c r="AD204">
        <f t="shared" si="81"/>
        <v>-15.565954349524201</v>
      </c>
      <c r="AE204">
        <f t="shared" si="82"/>
        <v>-0.10392388960738685</v>
      </c>
      <c r="AF204">
        <v>0</v>
      </c>
      <c r="AG204">
        <v>0</v>
      </c>
      <c r="AH204">
        <f t="shared" si="83"/>
        <v>1</v>
      </c>
      <c r="AI204">
        <f t="shared" si="84"/>
        <v>0</v>
      </c>
      <c r="AJ204">
        <f t="shared" si="85"/>
        <v>52500.735442437544</v>
      </c>
      <c r="AK204">
        <f t="shared" si="86"/>
        <v>1800.01</v>
      </c>
      <c r="AL204">
        <f t="shared" si="87"/>
        <v>1499.1181323877997</v>
      </c>
      <c r="AM204">
        <f t="shared" si="88"/>
        <v>0.83283877999999989</v>
      </c>
      <c r="AN204">
        <f t="shared" si="89"/>
        <v>0.15339684415000002</v>
      </c>
      <c r="AO204">
        <v>31.2</v>
      </c>
      <c r="AP204">
        <v>0.5</v>
      </c>
      <c r="AQ204" t="s">
        <v>331</v>
      </c>
      <c r="AR204">
        <v>2</v>
      </c>
      <c r="AS204">
        <v>1690222925.0999999</v>
      </c>
      <c r="AT204">
        <v>446.30500000000001</v>
      </c>
      <c r="AU204">
        <v>800.02</v>
      </c>
      <c r="AV204">
        <v>23.793600000000001</v>
      </c>
      <c r="AW204">
        <v>0.226243</v>
      </c>
      <c r="AX204">
        <v>446.54700000000003</v>
      </c>
      <c r="AY204">
        <v>23.6309</v>
      </c>
      <c r="AZ204">
        <v>300.22199999999998</v>
      </c>
      <c r="BA204">
        <v>99.078000000000003</v>
      </c>
      <c r="BB204">
        <v>9.9980899999999998E-2</v>
      </c>
      <c r="BC204">
        <v>26.365200000000002</v>
      </c>
      <c r="BD204">
        <v>27.026499999999999</v>
      </c>
      <c r="BE204">
        <v>27.5381</v>
      </c>
      <c r="BF204">
        <v>0</v>
      </c>
      <c r="BG204">
        <v>0</v>
      </c>
      <c r="BH204">
        <v>10000</v>
      </c>
      <c r="BI204">
        <v>1075.95</v>
      </c>
      <c r="BJ204">
        <v>1.62592</v>
      </c>
      <c r="BK204">
        <v>-353.71600000000001</v>
      </c>
      <c r="BL204">
        <v>457.18299999999999</v>
      </c>
      <c r="BM204">
        <v>800.20100000000002</v>
      </c>
      <c r="BN204">
        <v>23.567399999999999</v>
      </c>
      <c r="BO204">
        <v>800.02</v>
      </c>
      <c r="BP204">
        <v>0.226243</v>
      </c>
      <c r="BQ204">
        <v>2.3574299999999999</v>
      </c>
      <c r="BR204">
        <v>2.24157E-2</v>
      </c>
      <c r="BS204">
        <v>20.074300000000001</v>
      </c>
      <c r="BT204">
        <v>-38.321300000000001</v>
      </c>
      <c r="BU204">
        <v>1800.01</v>
      </c>
      <c r="BV204">
        <v>0.90999699999999994</v>
      </c>
      <c r="BW204">
        <v>3.3996499999999999E-2</v>
      </c>
      <c r="BX204">
        <v>2.1992500000000002E-2</v>
      </c>
      <c r="BY204">
        <v>3.4013700000000001E-2</v>
      </c>
      <c r="BZ204">
        <v>26</v>
      </c>
      <c r="CA204">
        <v>33528.6</v>
      </c>
      <c r="CB204">
        <v>1690220522.5999999</v>
      </c>
      <c r="CC204" t="s">
        <v>332</v>
      </c>
      <c r="CD204">
        <v>1690220522.5999999</v>
      </c>
      <c r="CE204">
        <v>1690220510.5999999</v>
      </c>
      <c r="CF204">
        <v>10</v>
      </c>
      <c r="CG204">
        <v>-0.22</v>
      </c>
      <c r="CH204">
        <v>-2.7E-2</v>
      </c>
      <c r="CI204">
        <v>-0.49299999999999999</v>
      </c>
      <c r="CJ204">
        <v>0.152</v>
      </c>
      <c r="CK204">
        <v>800</v>
      </c>
      <c r="CL204">
        <v>19</v>
      </c>
      <c r="CM204">
        <v>0.1</v>
      </c>
      <c r="CN204">
        <v>0.03</v>
      </c>
      <c r="CO204">
        <v>-353.33795121951209</v>
      </c>
      <c r="CP204">
        <v>-2.488076655052156</v>
      </c>
      <c r="CQ204">
        <v>0.25083401870068739</v>
      </c>
      <c r="CR204">
        <v>-1</v>
      </c>
      <c r="CS204">
        <v>23.54082926829269</v>
      </c>
      <c r="CT204">
        <v>0.14383275261320791</v>
      </c>
      <c r="CU204">
        <v>1.422605380215012E-2</v>
      </c>
      <c r="CV204">
        <v>-1</v>
      </c>
      <c r="CW204">
        <v>0</v>
      </c>
      <c r="CX204">
        <v>0</v>
      </c>
      <c r="CY204" t="s">
        <v>333</v>
      </c>
      <c r="CZ204">
        <v>2.3648500000000001</v>
      </c>
      <c r="DA204">
        <v>2.7137699999999998</v>
      </c>
      <c r="DB204">
        <v>9.72446E-2</v>
      </c>
      <c r="DC204">
        <v>0.14599500000000001</v>
      </c>
      <c r="DD204">
        <v>0.113311</v>
      </c>
      <c r="DE204">
        <v>1.89701E-3</v>
      </c>
      <c r="DF204">
        <v>32968.5</v>
      </c>
      <c r="DG204">
        <v>27530.2</v>
      </c>
      <c r="DH204">
        <v>31176.9</v>
      </c>
      <c r="DI204">
        <v>28090.2</v>
      </c>
      <c r="DJ204">
        <v>37527.300000000003</v>
      </c>
      <c r="DK204">
        <v>39874.400000000001</v>
      </c>
      <c r="DL204">
        <v>44369.3</v>
      </c>
      <c r="DM204">
        <v>42574</v>
      </c>
      <c r="DN204">
        <v>1.4866999999999999</v>
      </c>
      <c r="DO204">
        <v>2.0274999999999999</v>
      </c>
      <c r="DP204">
        <v>0.109512</v>
      </c>
      <c r="DQ204">
        <v>0.15072199999999999</v>
      </c>
      <c r="DR204">
        <v>25.233000000000001</v>
      </c>
      <c r="DS204">
        <v>25.070399999999999</v>
      </c>
      <c r="DT204">
        <v>25</v>
      </c>
      <c r="DU204">
        <v>29.6</v>
      </c>
      <c r="DV204">
        <v>10.5046</v>
      </c>
      <c r="DW204">
        <v>61.828699999999998</v>
      </c>
      <c r="DX204">
        <v>36.342100000000002</v>
      </c>
      <c r="DY204">
        <v>1</v>
      </c>
      <c r="DZ204">
        <v>-9.79014E-2</v>
      </c>
      <c r="EA204">
        <v>-7.0070799999999997E-3</v>
      </c>
      <c r="EB204">
        <v>20.189699999999998</v>
      </c>
      <c r="EC204">
        <v>5.2409499999999998</v>
      </c>
      <c r="ED204">
        <v>12.039899999999999</v>
      </c>
      <c r="EE204">
        <v>5.0171000000000001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1.8689100000000001</v>
      </c>
      <c r="EL204">
        <v>1.86463</v>
      </c>
      <c r="EM204">
        <v>1.8692</v>
      </c>
      <c r="EN204">
        <v>1.8672299999999999</v>
      </c>
      <c r="EO204">
        <v>1.8633999999999999</v>
      </c>
      <c r="EP204">
        <v>1.86453</v>
      </c>
      <c r="EQ204">
        <v>1.87018</v>
      </c>
      <c r="ER204">
        <v>1.86948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-0.24199999999999999</v>
      </c>
      <c r="FG204">
        <v>0.16270000000000001</v>
      </c>
      <c r="FH204">
        <v>5.8509882529719233E-2</v>
      </c>
      <c r="FI204">
        <v>-6.1462078757559423E-4</v>
      </c>
      <c r="FJ204">
        <v>-1.8861989874597051E-7</v>
      </c>
      <c r="FK204">
        <v>1.1980462299894961E-10</v>
      </c>
      <c r="FL204">
        <v>0.16277811159127681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40</v>
      </c>
      <c r="FU204">
        <v>40.200000000000003</v>
      </c>
      <c r="FV204">
        <v>1.7675799999999999</v>
      </c>
      <c r="FW204">
        <v>2.5793499999999998</v>
      </c>
      <c r="FX204">
        <v>1.5490699999999999</v>
      </c>
      <c r="FY204">
        <v>2.3290999999999999</v>
      </c>
      <c r="FZ204">
        <v>1.50146</v>
      </c>
      <c r="GA204">
        <v>2.3547400000000001</v>
      </c>
      <c r="GB204">
        <v>33.941299999999998</v>
      </c>
      <c r="GC204">
        <v>23.982399999999998</v>
      </c>
      <c r="GD204">
        <v>19</v>
      </c>
      <c r="GE204">
        <v>287.11099999999999</v>
      </c>
      <c r="GF204">
        <v>575.14200000000005</v>
      </c>
      <c r="GG204">
        <v>24.764600000000002</v>
      </c>
      <c r="GH204">
        <v>26.162500000000001</v>
      </c>
      <c r="GI204">
        <v>29.9999</v>
      </c>
      <c r="GJ204">
        <v>26.290800000000001</v>
      </c>
      <c r="GK204">
        <v>26.273099999999999</v>
      </c>
      <c r="GL204">
        <v>35.333399999999997</v>
      </c>
      <c r="GM204">
        <v>100</v>
      </c>
      <c r="GN204">
        <v>17.382899999999999</v>
      </c>
      <c r="GO204">
        <v>24.753599999999999</v>
      </c>
      <c r="GP204">
        <v>800</v>
      </c>
      <c r="GQ204">
        <v>0</v>
      </c>
      <c r="GR204">
        <v>99.754900000000006</v>
      </c>
      <c r="GS204">
        <v>99.596299999999999</v>
      </c>
    </row>
    <row r="205" spans="1:201" x14ac:dyDescent="0.25">
      <c r="A205">
        <v>189</v>
      </c>
      <c r="B205">
        <v>1690222935.0999999</v>
      </c>
      <c r="C205">
        <v>2052.599999904633</v>
      </c>
      <c r="D205" t="s">
        <v>709</v>
      </c>
      <c r="E205" t="s">
        <v>710</v>
      </c>
      <c r="F205" t="s">
        <v>330</v>
      </c>
      <c r="H205">
        <v>1690222935.0999999</v>
      </c>
      <c r="I205">
        <f t="shared" si="60"/>
        <v>2.3232322485693788E-3</v>
      </c>
      <c r="J205">
        <f t="shared" si="61"/>
        <v>2.3232322485693788</v>
      </c>
      <c r="K205">
        <f t="shared" si="62"/>
        <v>33.022692529593698</v>
      </c>
      <c r="L205">
        <f t="shared" si="63"/>
        <v>445.79599999999999</v>
      </c>
      <c r="M205">
        <f t="shared" si="64"/>
        <v>117.72636383205447</v>
      </c>
      <c r="N205">
        <f t="shared" si="65"/>
        <v>11.676288997546292</v>
      </c>
      <c r="O205">
        <f t="shared" si="66"/>
        <v>44.214760063224396</v>
      </c>
      <c r="P205">
        <f t="shared" si="67"/>
        <v>0.17029051033782669</v>
      </c>
      <c r="Q205">
        <f t="shared" si="68"/>
        <v>2.194317851126705</v>
      </c>
      <c r="R205">
        <f t="shared" si="69"/>
        <v>0.16327455982689076</v>
      </c>
      <c r="S205">
        <f t="shared" si="70"/>
        <v>0.1026528684189961</v>
      </c>
      <c r="T205">
        <f t="shared" si="71"/>
        <v>276.11432323200006</v>
      </c>
      <c r="U205">
        <f t="shared" si="72"/>
        <v>27.701473435491</v>
      </c>
      <c r="V205">
        <f t="shared" si="73"/>
        <v>27.701473435491</v>
      </c>
      <c r="W205">
        <f t="shared" si="74"/>
        <v>3.7292970384519397</v>
      </c>
      <c r="X205">
        <f t="shared" si="75"/>
        <v>68.49201281985107</v>
      </c>
      <c r="Y205">
        <f t="shared" si="76"/>
        <v>2.3613750155705397</v>
      </c>
      <c r="Z205">
        <f t="shared" si="77"/>
        <v>3.447664798202779</v>
      </c>
      <c r="AA205">
        <f t="shared" si="78"/>
        <v>1.3679220228814</v>
      </c>
      <c r="AB205">
        <f t="shared" si="79"/>
        <v>-102.4545421619096</v>
      </c>
      <c r="AC205">
        <f t="shared" si="80"/>
        <v>-158.19953299063607</v>
      </c>
      <c r="AD205">
        <f t="shared" si="81"/>
        <v>-15.564149367626056</v>
      </c>
      <c r="AE205">
        <f t="shared" si="82"/>
        <v>-0.1039012881716701</v>
      </c>
      <c r="AF205">
        <v>0</v>
      </c>
      <c r="AG205">
        <v>0</v>
      </c>
      <c r="AH205">
        <f t="shared" si="83"/>
        <v>1</v>
      </c>
      <c r="AI205">
        <f t="shared" si="84"/>
        <v>0</v>
      </c>
      <c r="AJ205">
        <f t="shared" si="85"/>
        <v>52505.839824292278</v>
      </c>
      <c r="AK205">
        <f t="shared" si="86"/>
        <v>1800</v>
      </c>
      <c r="AL205">
        <f t="shared" si="87"/>
        <v>1499.1103241999999</v>
      </c>
      <c r="AM205">
        <f t="shared" si="88"/>
        <v>0.83283906899999993</v>
      </c>
      <c r="AN205">
        <f t="shared" si="89"/>
        <v>0.15339684624000002</v>
      </c>
      <c r="AO205">
        <v>31.2</v>
      </c>
      <c r="AP205">
        <v>0.5</v>
      </c>
      <c r="AQ205" t="s">
        <v>331</v>
      </c>
      <c r="AR205">
        <v>2</v>
      </c>
      <c r="AS205">
        <v>1690222935.0999999</v>
      </c>
      <c r="AT205">
        <v>445.79599999999999</v>
      </c>
      <c r="AU205">
        <v>799.976</v>
      </c>
      <c r="AV205">
        <v>23.808599999999998</v>
      </c>
      <c r="AW205">
        <v>0.224047</v>
      </c>
      <c r="AX205">
        <v>446.03899999999999</v>
      </c>
      <c r="AY205">
        <v>23.645800000000001</v>
      </c>
      <c r="AZ205">
        <v>300.02300000000002</v>
      </c>
      <c r="BA205">
        <v>99.081599999999995</v>
      </c>
      <c r="BB205">
        <v>9.9998900000000002E-2</v>
      </c>
      <c r="BC205">
        <v>26.3642</v>
      </c>
      <c r="BD205">
        <v>27.006599999999999</v>
      </c>
      <c r="BE205">
        <v>27.512499999999999</v>
      </c>
      <c r="BF205">
        <v>0</v>
      </c>
      <c r="BG205">
        <v>0</v>
      </c>
      <c r="BH205">
        <v>10000.6</v>
      </c>
      <c r="BI205">
        <v>1076.0999999999999</v>
      </c>
      <c r="BJ205">
        <v>1.62592</v>
      </c>
      <c r="BK205">
        <v>-354.18</v>
      </c>
      <c r="BL205">
        <v>456.66899999999998</v>
      </c>
      <c r="BM205">
        <v>800.15499999999997</v>
      </c>
      <c r="BN205">
        <v>23.584499999999998</v>
      </c>
      <c r="BO205">
        <v>799.976</v>
      </c>
      <c r="BP205">
        <v>0.224047</v>
      </c>
      <c r="BQ205">
        <v>2.3589899999999999</v>
      </c>
      <c r="BR205">
        <v>2.2198900000000001E-2</v>
      </c>
      <c r="BS205">
        <v>20.085000000000001</v>
      </c>
      <c r="BT205">
        <v>-38.415900000000001</v>
      </c>
      <c r="BU205">
        <v>1800</v>
      </c>
      <c r="BV205">
        <v>0.90999799999999997</v>
      </c>
      <c r="BW205">
        <v>3.3996600000000002E-2</v>
      </c>
      <c r="BX205">
        <v>2.1991699999999999E-2</v>
      </c>
      <c r="BY205">
        <v>3.4013799999999997E-2</v>
      </c>
      <c r="BZ205">
        <v>26</v>
      </c>
      <c r="CA205">
        <v>33528.5</v>
      </c>
      <c r="CB205">
        <v>1690220522.5999999</v>
      </c>
      <c r="CC205" t="s">
        <v>332</v>
      </c>
      <c r="CD205">
        <v>1690220522.5999999</v>
      </c>
      <c r="CE205">
        <v>1690220510.5999999</v>
      </c>
      <c r="CF205">
        <v>10</v>
      </c>
      <c r="CG205">
        <v>-0.22</v>
      </c>
      <c r="CH205">
        <v>-2.7E-2</v>
      </c>
      <c r="CI205">
        <v>-0.49299999999999999</v>
      </c>
      <c r="CJ205">
        <v>0.152</v>
      </c>
      <c r="CK205">
        <v>800</v>
      </c>
      <c r="CL205">
        <v>19</v>
      </c>
      <c r="CM205">
        <v>0.1</v>
      </c>
      <c r="CN205">
        <v>0.03</v>
      </c>
      <c r="CO205">
        <v>-353.79187804878052</v>
      </c>
      <c r="CP205">
        <v>-2.3671149825784119</v>
      </c>
      <c r="CQ205">
        <v>0.24137918708365819</v>
      </c>
      <c r="CR205">
        <v>-1</v>
      </c>
      <c r="CS205">
        <v>23.564768292682931</v>
      </c>
      <c r="CT205">
        <v>0.1154780487805197</v>
      </c>
      <c r="CU205">
        <v>1.147084191148336E-2</v>
      </c>
      <c r="CV205">
        <v>-1</v>
      </c>
      <c r="CW205">
        <v>0</v>
      </c>
      <c r="CX205">
        <v>0</v>
      </c>
      <c r="CY205" t="s">
        <v>333</v>
      </c>
      <c r="CZ205">
        <v>2.3641999999999999</v>
      </c>
      <c r="DA205">
        <v>2.7137899999999999</v>
      </c>
      <c r="DB205">
        <v>9.7165299999999996E-2</v>
      </c>
      <c r="DC205">
        <v>0.14599599999999999</v>
      </c>
      <c r="DD205">
        <v>0.11336499999999999</v>
      </c>
      <c r="DE205">
        <v>1.8789200000000001E-3</v>
      </c>
      <c r="DF205">
        <v>32971</v>
      </c>
      <c r="DG205">
        <v>27530.400000000001</v>
      </c>
      <c r="DH205">
        <v>31176.5</v>
      </c>
      <c r="DI205">
        <v>28090.3</v>
      </c>
      <c r="DJ205">
        <v>37524.699999999997</v>
      </c>
      <c r="DK205">
        <v>39875.300000000003</v>
      </c>
      <c r="DL205">
        <v>44369</v>
      </c>
      <c r="DM205">
        <v>42574.1</v>
      </c>
      <c r="DN205">
        <v>1.4863299999999999</v>
      </c>
      <c r="DO205">
        <v>2.02765</v>
      </c>
      <c r="DP205">
        <v>0.108294</v>
      </c>
      <c r="DQ205">
        <v>0.14918699999999999</v>
      </c>
      <c r="DR205">
        <v>25.2331</v>
      </c>
      <c r="DS205">
        <v>25.069900000000001</v>
      </c>
      <c r="DT205">
        <v>24.8</v>
      </c>
      <c r="DU205">
        <v>29.6</v>
      </c>
      <c r="DV205">
        <v>10.4236</v>
      </c>
      <c r="DW205">
        <v>62.148699999999998</v>
      </c>
      <c r="DX205">
        <v>37.648200000000003</v>
      </c>
      <c r="DY205">
        <v>1</v>
      </c>
      <c r="DZ205">
        <v>-9.7698199999999999E-2</v>
      </c>
      <c r="EA205">
        <v>3.12255E-2</v>
      </c>
      <c r="EB205">
        <v>20.189699999999998</v>
      </c>
      <c r="EC205">
        <v>5.2411000000000003</v>
      </c>
      <c r="ED205">
        <v>12.039899999999999</v>
      </c>
      <c r="EE205">
        <v>5.0170500000000002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1.8689100000000001</v>
      </c>
      <c r="EL205">
        <v>1.86463</v>
      </c>
      <c r="EM205">
        <v>1.86917</v>
      </c>
      <c r="EN205">
        <v>1.8672299999999999</v>
      </c>
      <c r="EO205">
        <v>1.8633999999999999</v>
      </c>
      <c r="EP205">
        <v>1.8645499999999999</v>
      </c>
      <c r="EQ205">
        <v>1.87015</v>
      </c>
      <c r="ER205">
        <v>1.86944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-0.24299999999999999</v>
      </c>
      <c r="FG205">
        <v>0.1628</v>
      </c>
      <c r="FH205">
        <v>5.8509882529719233E-2</v>
      </c>
      <c r="FI205">
        <v>-6.1462078757559423E-4</v>
      </c>
      <c r="FJ205">
        <v>-1.8861989874597051E-7</v>
      </c>
      <c r="FK205">
        <v>1.1980462299894961E-10</v>
      </c>
      <c r="FL205">
        <v>0.16277811159127681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40.200000000000003</v>
      </c>
      <c r="FU205">
        <v>40.4</v>
      </c>
      <c r="FV205">
        <v>1.7675799999999999</v>
      </c>
      <c r="FW205">
        <v>2.5817899999999998</v>
      </c>
      <c r="FX205">
        <v>1.5490699999999999</v>
      </c>
      <c r="FY205">
        <v>2.3290999999999999</v>
      </c>
      <c r="FZ205">
        <v>1.50146</v>
      </c>
      <c r="GA205">
        <v>2.31812</v>
      </c>
      <c r="GB205">
        <v>33.941299999999998</v>
      </c>
      <c r="GC205">
        <v>23.982399999999998</v>
      </c>
      <c r="GD205">
        <v>19</v>
      </c>
      <c r="GE205">
        <v>286.95</v>
      </c>
      <c r="GF205">
        <v>575.24099999999999</v>
      </c>
      <c r="GG205">
        <v>24.7456</v>
      </c>
      <c r="GH205">
        <v>26.162500000000001</v>
      </c>
      <c r="GI205">
        <v>30.0002</v>
      </c>
      <c r="GJ205">
        <v>26.290800000000001</v>
      </c>
      <c r="GK205">
        <v>26.270900000000001</v>
      </c>
      <c r="GL205">
        <v>35.332599999999999</v>
      </c>
      <c r="GM205">
        <v>100</v>
      </c>
      <c r="GN205">
        <v>17.0123</v>
      </c>
      <c r="GO205">
        <v>24.727900000000002</v>
      </c>
      <c r="GP205">
        <v>800</v>
      </c>
      <c r="GQ205">
        <v>0</v>
      </c>
      <c r="GR205">
        <v>99.754000000000005</v>
      </c>
      <c r="GS205">
        <v>99.596699999999998</v>
      </c>
    </row>
    <row r="206" spans="1:201" x14ac:dyDescent="0.25">
      <c r="A206">
        <v>190</v>
      </c>
      <c r="B206">
        <v>1690222945.0999999</v>
      </c>
      <c r="C206">
        <v>2062.599999904633</v>
      </c>
      <c r="D206" t="s">
        <v>711</v>
      </c>
      <c r="E206" t="s">
        <v>712</v>
      </c>
      <c r="F206" t="s">
        <v>330</v>
      </c>
      <c r="H206">
        <v>1690222945.0999999</v>
      </c>
      <c r="I206">
        <f t="shared" si="60"/>
        <v>2.3261875544983912E-3</v>
      </c>
      <c r="J206">
        <f t="shared" si="61"/>
        <v>2.3261875544983912</v>
      </c>
      <c r="K206">
        <f t="shared" si="62"/>
        <v>33.083789436916156</v>
      </c>
      <c r="L206">
        <f t="shared" si="63"/>
        <v>445.35899999999998</v>
      </c>
      <c r="M206">
        <f t="shared" si="64"/>
        <v>117.68093469773488</v>
      </c>
      <c r="N206">
        <f t="shared" si="65"/>
        <v>11.671612637780616</v>
      </c>
      <c r="O206">
        <f t="shared" si="66"/>
        <v>44.170771978491004</v>
      </c>
      <c r="P206">
        <f t="shared" si="67"/>
        <v>0.17082300358002345</v>
      </c>
      <c r="Q206">
        <f t="shared" si="68"/>
        <v>2.1945327103745069</v>
      </c>
      <c r="R206">
        <f t="shared" si="69"/>
        <v>0.163764745387453</v>
      </c>
      <c r="S206">
        <f t="shared" si="70"/>
        <v>0.10296282007824913</v>
      </c>
      <c r="T206">
        <f t="shared" si="71"/>
        <v>276.11515409400005</v>
      </c>
      <c r="U206">
        <f t="shared" si="72"/>
        <v>27.697560383882205</v>
      </c>
      <c r="V206">
        <f t="shared" si="73"/>
        <v>27.697560383882205</v>
      </c>
      <c r="W206">
        <f t="shared" si="74"/>
        <v>3.7284445141349876</v>
      </c>
      <c r="X206">
        <f t="shared" si="75"/>
        <v>68.547789573002447</v>
      </c>
      <c r="Y206">
        <f t="shared" si="76"/>
        <v>2.3629075418356003</v>
      </c>
      <c r="Z206">
        <f t="shared" si="77"/>
        <v>3.447095167553341</v>
      </c>
      <c r="AA206">
        <f t="shared" si="78"/>
        <v>1.3655369722993873</v>
      </c>
      <c r="AB206">
        <f t="shared" si="79"/>
        <v>-102.58487115337905</v>
      </c>
      <c r="AC206">
        <f t="shared" si="80"/>
        <v>-158.08333631689837</v>
      </c>
      <c r="AD206">
        <f t="shared" si="81"/>
        <v>-15.550672829343865</v>
      </c>
      <c r="AE206">
        <f t="shared" si="82"/>
        <v>-0.10372620562122847</v>
      </c>
      <c r="AF206">
        <v>0</v>
      </c>
      <c r="AG206">
        <v>0</v>
      </c>
      <c r="AH206">
        <f t="shared" si="83"/>
        <v>1</v>
      </c>
      <c r="AI206">
        <f t="shared" si="84"/>
        <v>0</v>
      </c>
      <c r="AJ206">
        <f t="shared" si="85"/>
        <v>52515.103348902536</v>
      </c>
      <c r="AK206">
        <f t="shared" si="86"/>
        <v>1800</v>
      </c>
      <c r="AL206">
        <f t="shared" si="87"/>
        <v>1499.1113753999998</v>
      </c>
      <c r="AM206">
        <f t="shared" si="88"/>
        <v>0.83283965299999985</v>
      </c>
      <c r="AN206">
        <f t="shared" si="89"/>
        <v>0.15339730783000002</v>
      </c>
      <c r="AO206">
        <v>31.2</v>
      </c>
      <c r="AP206">
        <v>0.5</v>
      </c>
      <c r="AQ206" t="s">
        <v>331</v>
      </c>
      <c r="AR206">
        <v>2</v>
      </c>
      <c r="AS206">
        <v>1690222945.0999999</v>
      </c>
      <c r="AT206">
        <v>445.35899999999998</v>
      </c>
      <c r="AU206">
        <v>799.99900000000002</v>
      </c>
      <c r="AV206">
        <v>23.824400000000001</v>
      </c>
      <c r="AW206">
        <v>0.222107</v>
      </c>
      <c r="AX206">
        <v>445.601</v>
      </c>
      <c r="AY206">
        <v>23.6616</v>
      </c>
      <c r="AZ206">
        <v>300.17399999999998</v>
      </c>
      <c r="BA206">
        <v>99.080100000000002</v>
      </c>
      <c r="BB206">
        <v>0.100049</v>
      </c>
      <c r="BC206">
        <v>26.3614</v>
      </c>
      <c r="BD206">
        <v>27.009599999999999</v>
      </c>
      <c r="BE206">
        <v>27.525600000000001</v>
      </c>
      <c r="BF206">
        <v>0</v>
      </c>
      <c r="BG206">
        <v>0</v>
      </c>
      <c r="BH206">
        <v>10002.5</v>
      </c>
      <c r="BI206">
        <v>1076.0899999999999</v>
      </c>
      <c r="BJ206">
        <v>1.62592</v>
      </c>
      <c r="BK206">
        <v>-354.64100000000002</v>
      </c>
      <c r="BL206">
        <v>456.22800000000001</v>
      </c>
      <c r="BM206">
        <v>800.17700000000002</v>
      </c>
      <c r="BN206">
        <v>23.6023</v>
      </c>
      <c r="BO206">
        <v>799.99900000000002</v>
      </c>
      <c r="BP206">
        <v>0.222107</v>
      </c>
      <c r="BQ206">
        <v>2.3605200000000002</v>
      </c>
      <c r="BR206">
        <v>2.2006399999999999E-2</v>
      </c>
      <c r="BS206">
        <v>20.095500000000001</v>
      </c>
      <c r="BT206">
        <v>-38.500599999999999</v>
      </c>
      <c r="BU206">
        <v>1800</v>
      </c>
      <c r="BV206">
        <v>0.90999399999999997</v>
      </c>
      <c r="BW206">
        <v>3.3995900000000003E-2</v>
      </c>
      <c r="BX206">
        <v>2.19974E-2</v>
      </c>
      <c r="BY206">
        <v>3.4013099999999998E-2</v>
      </c>
      <c r="BZ206">
        <v>26</v>
      </c>
      <c r="CA206">
        <v>33528.5</v>
      </c>
      <c r="CB206">
        <v>1690220522.5999999</v>
      </c>
      <c r="CC206" t="s">
        <v>332</v>
      </c>
      <c r="CD206">
        <v>1690220522.5999999</v>
      </c>
      <c r="CE206">
        <v>1690220510.5999999</v>
      </c>
      <c r="CF206">
        <v>10</v>
      </c>
      <c r="CG206">
        <v>-0.22</v>
      </c>
      <c r="CH206">
        <v>-2.7E-2</v>
      </c>
      <c r="CI206">
        <v>-0.49299999999999999</v>
      </c>
      <c r="CJ206">
        <v>0.152</v>
      </c>
      <c r="CK206">
        <v>800</v>
      </c>
      <c r="CL206">
        <v>19</v>
      </c>
      <c r="CM206">
        <v>0.1</v>
      </c>
      <c r="CN206">
        <v>0.03</v>
      </c>
      <c r="CO206">
        <v>-354.19807317073167</v>
      </c>
      <c r="CP206">
        <v>-2.68327526132436</v>
      </c>
      <c r="CQ206">
        <v>0.27031331326623759</v>
      </c>
      <c r="CR206">
        <v>-1</v>
      </c>
      <c r="CS206">
        <v>23.583204878048779</v>
      </c>
      <c r="CT206">
        <v>0.1095261324041962</v>
      </c>
      <c r="CU206">
        <v>1.085107505564238E-2</v>
      </c>
      <c r="CV206">
        <v>-1</v>
      </c>
      <c r="CW206">
        <v>0</v>
      </c>
      <c r="CX206">
        <v>0</v>
      </c>
      <c r="CY206" t="s">
        <v>333</v>
      </c>
      <c r="CZ206">
        <v>2.3647100000000001</v>
      </c>
      <c r="DA206">
        <v>2.7138399999999998</v>
      </c>
      <c r="DB206">
        <v>9.7092600000000001E-2</v>
      </c>
      <c r="DC206">
        <v>0.14599599999999999</v>
      </c>
      <c r="DD206">
        <v>0.113417</v>
      </c>
      <c r="DE206">
        <v>1.8628500000000001E-3</v>
      </c>
      <c r="DF206">
        <v>32974</v>
      </c>
      <c r="DG206">
        <v>27530.6</v>
      </c>
      <c r="DH206">
        <v>31176.799999999999</v>
      </c>
      <c r="DI206">
        <v>28090.6</v>
      </c>
      <c r="DJ206">
        <v>37522.6</v>
      </c>
      <c r="DK206">
        <v>39876.300000000003</v>
      </c>
      <c r="DL206">
        <v>44369.1</v>
      </c>
      <c r="DM206">
        <v>42574.5</v>
      </c>
      <c r="DN206">
        <v>1.4867999999999999</v>
      </c>
      <c r="DO206">
        <v>2.0274000000000001</v>
      </c>
      <c r="DP206">
        <v>0.10857</v>
      </c>
      <c r="DQ206">
        <v>0.15017800000000001</v>
      </c>
      <c r="DR206">
        <v>25.2315</v>
      </c>
      <c r="DS206">
        <v>25.066800000000001</v>
      </c>
      <c r="DT206">
        <v>24.5</v>
      </c>
      <c r="DU206">
        <v>29.6</v>
      </c>
      <c r="DV206">
        <v>10.296200000000001</v>
      </c>
      <c r="DW206">
        <v>61.688699999999997</v>
      </c>
      <c r="DX206">
        <v>36.394199999999998</v>
      </c>
      <c r="DY206">
        <v>1</v>
      </c>
      <c r="DZ206">
        <v>-9.7342499999999998E-2</v>
      </c>
      <c r="EA206">
        <v>9.6519599999999997E-2</v>
      </c>
      <c r="EB206">
        <v>20.189800000000002</v>
      </c>
      <c r="EC206">
        <v>5.2415500000000002</v>
      </c>
      <c r="ED206">
        <v>12.039899999999999</v>
      </c>
      <c r="EE206">
        <v>5.01715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1.8689100000000001</v>
      </c>
      <c r="EL206">
        <v>1.8646400000000001</v>
      </c>
      <c r="EM206">
        <v>1.8691800000000001</v>
      </c>
      <c r="EN206">
        <v>1.8672200000000001</v>
      </c>
      <c r="EO206">
        <v>1.8633999999999999</v>
      </c>
      <c r="EP206">
        <v>1.86453</v>
      </c>
      <c r="EQ206">
        <v>1.87015</v>
      </c>
      <c r="ER206">
        <v>1.8694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-0.24199999999999999</v>
      </c>
      <c r="FG206">
        <v>0.1628</v>
      </c>
      <c r="FH206">
        <v>5.8509882529719233E-2</v>
      </c>
      <c r="FI206">
        <v>-6.1462078757559423E-4</v>
      </c>
      <c r="FJ206">
        <v>-1.8861989874597051E-7</v>
      </c>
      <c r="FK206">
        <v>1.1980462299894961E-10</v>
      </c>
      <c r="FL206">
        <v>0.16277811159127681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40.4</v>
      </c>
      <c r="FU206">
        <v>40.6</v>
      </c>
      <c r="FV206">
        <v>1.7675799999999999</v>
      </c>
      <c r="FW206">
        <v>2.5793499999999998</v>
      </c>
      <c r="FX206">
        <v>1.5490699999999999</v>
      </c>
      <c r="FY206">
        <v>2.3290999999999999</v>
      </c>
      <c r="FZ206">
        <v>1.50146</v>
      </c>
      <c r="GA206">
        <v>2.3852500000000001</v>
      </c>
      <c r="GB206">
        <v>33.941299999999998</v>
      </c>
      <c r="GC206">
        <v>23.991199999999999</v>
      </c>
      <c r="GD206">
        <v>19</v>
      </c>
      <c r="GE206">
        <v>287.15499999999997</v>
      </c>
      <c r="GF206">
        <v>575.03700000000003</v>
      </c>
      <c r="GG206">
        <v>24.711300000000001</v>
      </c>
      <c r="GH206">
        <v>26.162500000000001</v>
      </c>
      <c r="GI206">
        <v>30.000299999999999</v>
      </c>
      <c r="GJ206">
        <v>26.290800000000001</v>
      </c>
      <c r="GK206">
        <v>26.270900000000001</v>
      </c>
      <c r="GL206">
        <v>35.332000000000001</v>
      </c>
      <c r="GM206">
        <v>100</v>
      </c>
      <c r="GN206">
        <v>16.238700000000001</v>
      </c>
      <c r="GO206">
        <v>24.679099999999998</v>
      </c>
      <c r="GP206">
        <v>800</v>
      </c>
      <c r="GQ206">
        <v>0</v>
      </c>
      <c r="GR206">
        <v>99.754499999999993</v>
      </c>
      <c r="GS206">
        <v>99.5976</v>
      </c>
    </row>
    <row r="207" spans="1:201" x14ac:dyDescent="0.25">
      <c r="A207">
        <v>191</v>
      </c>
      <c r="B207">
        <v>1690222955.0999999</v>
      </c>
      <c r="C207">
        <v>2072.599999904633</v>
      </c>
      <c r="D207" t="s">
        <v>713</v>
      </c>
      <c r="E207" t="s">
        <v>714</v>
      </c>
      <c r="F207" t="s">
        <v>330</v>
      </c>
      <c r="H207">
        <v>1690222955.0999999</v>
      </c>
      <c r="I207">
        <f t="shared" si="60"/>
        <v>2.3270586257286593E-3</v>
      </c>
      <c r="J207">
        <f t="shared" si="61"/>
        <v>2.3270586257286592</v>
      </c>
      <c r="K207">
        <f t="shared" si="62"/>
        <v>33.112643345869635</v>
      </c>
      <c r="L207">
        <f t="shared" si="63"/>
        <v>444.988</v>
      </c>
      <c r="M207">
        <f t="shared" si="64"/>
        <v>117.20919870903661</v>
      </c>
      <c r="N207">
        <f t="shared" si="65"/>
        <v>11.624951323184677</v>
      </c>
      <c r="O207">
        <f t="shared" si="66"/>
        <v>44.134452725359992</v>
      </c>
      <c r="P207">
        <f t="shared" si="67"/>
        <v>0.17092581830465547</v>
      </c>
      <c r="Q207">
        <f t="shared" si="68"/>
        <v>2.1911634924976546</v>
      </c>
      <c r="R207">
        <f t="shared" si="69"/>
        <v>0.16384886798976192</v>
      </c>
      <c r="S207">
        <f t="shared" si="70"/>
        <v>0.10301696184495973</v>
      </c>
      <c r="T207">
        <f t="shared" si="71"/>
        <v>276.11511337800005</v>
      </c>
      <c r="U207">
        <f t="shared" si="72"/>
        <v>27.701232751431583</v>
      </c>
      <c r="V207">
        <f t="shared" si="73"/>
        <v>27.701232751431583</v>
      </c>
      <c r="W207">
        <f t="shared" si="74"/>
        <v>3.7292445964596217</v>
      </c>
      <c r="X207">
        <f t="shared" si="75"/>
        <v>68.567941063174203</v>
      </c>
      <c r="Y207">
        <f t="shared" si="76"/>
        <v>2.3638951156019998</v>
      </c>
      <c r="Z207">
        <f t="shared" si="77"/>
        <v>3.4475223828349386</v>
      </c>
      <c r="AA207">
        <f t="shared" si="78"/>
        <v>1.3653494808576219</v>
      </c>
      <c r="AB207">
        <f t="shared" si="79"/>
        <v>-102.62328539463388</v>
      </c>
      <c r="AC207">
        <f t="shared" si="80"/>
        <v>-158.02637823063404</v>
      </c>
      <c r="AD207">
        <f t="shared" si="81"/>
        <v>-15.569422048280929</v>
      </c>
      <c r="AE207">
        <f t="shared" si="82"/>
        <v>-0.1039722955488287</v>
      </c>
      <c r="AF207">
        <v>0</v>
      </c>
      <c r="AG207">
        <v>0</v>
      </c>
      <c r="AH207">
        <f t="shared" si="83"/>
        <v>1</v>
      </c>
      <c r="AI207">
        <f t="shared" si="84"/>
        <v>0</v>
      </c>
      <c r="AJ207">
        <f t="shared" si="85"/>
        <v>52376.79129282233</v>
      </c>
      <c r="AK207">
        <f t="shared" si="86"/>
        <v>1800</v>
      </c>
      <c r="AL207">
        <f t="shared" si="87"/>
        <v>1499.1112187999997</v>
      </c>
      <c r="AM207">
        <f t="shared" si="88"/>
        <v>0.83283956599999986</v>
      </c>
      <c r="AN207">
        <f t="shared" si="89"/>
        <v>0.15339728521000001</v>
      </c>
      <c r="AO207">
        <v>31.2</v>
      </c>
      <c r="AP207">
        <v>0.5</v>
      </c>
      <c r="AQ207" t="s">
        <v>331</v>
      </c>
      <c r="AR207">
        <v>2</v>
      </c>
      <c r="AS207">
        <v>1690222955.0999999</v>
      </c>
      <c r="AT207">
        <v>444.988</v>
      </c>
      <c r="AU207">
        <v>799.97500000000002</v>
      </c>
      <c r="AV207">
        <v>23.834099999999999</v>
      </c>
      <c r="AW207">
        <v>0.21974199999999999</v>
      </c>
      <c r="AX207">
        <v>445.23</v>
      </c>
      <c r="AY207">
        <v>23.671299999999999</v>
      </c>
      <c r="AZ207">
        <v>300.13</v>
      </c>
      <c r="BA207">
        <v>99.081199999999995</v>
      </c>
      <c r="BB207">
        <v>0.10002</v>
      </c>
      <c r="BC207">
        <v>26.363499999999998</v>
      </c>
      <c r="BD207">
        <v>26.981000000000002</v>
      </c>
      <c r="BE207">
        <v>27.5318</v>
      </c>
      <c r="BF207">
        <v>0</v>
      </c>
      <c r="BG207">
        <v>0</v>
      </c>
      <c r="BH207">
        <v>9975</v>
      </c>
      <c r="BI207">
        <v>1076.1500000000001</v>
      </c>
      <c r="BJ207">
        <v>1.62592</v>
      </c>
      <c r="BK207">
        <v>-354.988</v>
      </c>
      <c r="BL207">
        <v>455.85300000000001</v>
      </c>
      <c r="BM207">
        <v>800.15099999999995</v>
      </c>
      <c r="BN207">
        <v>23.6143</v>
      </c>
      <c r="BO207">
        <v>799.97500000000002</v>
      </c>
      <c r="BP207">
        <v>0.21974199999999999</v>
      </c>
      <c r="BQ207">
        <v>2.36151</v>
      </c>
      <c r="BR207">
        <v>2.1772300000000001E-2</v>
      </c>
      <c r="BS207">
        <v>20.1022</v>
      </c>
      <c r="BT207">
        <v>-38.604500000000002</v>
      </c>
      <c r="BU207">
        <v>1800</v>
      </c>
      <c r="BV207">
        <v>0.90999399999999997</v>
      </c>
      <c r="BW207">
        <v>3.3995900000000003E-2</v>
      </c>
      <c r="BX207">
        <v>2.1997300000000001E-2</v>
      </c>
      <c r="BY207">
        <v>3.4013099999999998E-2</v>
      </c>
      <c r="BZ207">
        <v>26</v>
      </c>
      <c r="CA207">
        <v>33528.5</v>
      </c>
      <c r="CB207">
        <v>1690220522.5999999</v>
      </c>
      <c r="CC207" t="s">
        <v>332</v>
      </c>
      <c r="CD207">
        <v>1690220522.5999999</v>
      </c>
      <c r="CE207">
        <v>1690220510.5999999</v>
      </c>
      <c r="CF207">
        <v>10</v>
      </c>
      <c r="CG207">
        <v>-0.22</v>
      </c>
      <c r="CH207">
        <v>-2.7E-2</v>
      </c>
      <c r="CI207">
        <v>-0.49299999999999999</v>
      </c>
      <c r="CJ207">
        <v>0.152</v>
      </c>
      <c r="CK207">
        <v>800</v>
      </c>
      <c r="CL207">
        <v>19</v>
      </c>
      <c r="CM207">
        <v>0.1</v>
      </c>
      <c r="CN207">
        <v>0.03</v>
      </c>
      <c r="CO207">
        <v>-354.59924390243913</v>
      </c>
      <c r="CP207">
        <v>-2.382627177700229</v>
      </c>
      <c r="CQ207">
        <v>0.2389657369549659</v>
      </c>
      <c r="CR207">
        <v>-1</v>
      </c>
      <c r="CS207">
        <v>23.599748780487801</v>
      </c>
      <c r="CT207">
        <v>8.7269686411191691E-2</v>
      </c>
      <c r="CU207">
        <v>8.7295998274223834E-3</v>
      </c>
      <c r="CV207">
        <v>-1</v>
      </c>
      <c r="CW207">
        <v>0</v>
      </c>
      <c r="CX207">
        <v>0</v>
      </c>
      <c r="CY207" t="s">
        <v>333</v>
      </c>
      <c r="CZ207">
        <v>2.3645700000000001</v>
      </c>
      <c r="DA207">
        <v>2.7137899999999999</v>
      </c>
      <c r="DB207">
        <v>9.7033700000000001E-2</v>
      </c>
      <c r="DC207">
        <v>0.14599500000000001</v>
      </c>
      <c r="DD207">
        <v>0.113451</v>
      </c>
      <c r="DE207">
        <v>1.8433E-3</v>
      </c>
      <c r="DF207">
        <v>32976.6</v>
      </c>
      <c r="DG207">
        <v>27531</v>
      </c>
      <c r="DH207">
        <v>31177.200000000001</v>
      </c>
      <c r="DI207">
        <v>28090.9</v>
      </c>
      <c r="DJ207">
        <v>37521.599999999999</v>
      </c>
      <c r="DK207">
        <v>39877.5</v>
      </c>
      <c r="DL207">
        <v>44369.599999999999</v>
      </c>
      <c r="DM207">
        <v>42575</v>
      </c>
      <c r="DN207">
        <v>1.48705</v>
      </c>
      <c r="DO207">
        <v>2.0273699999999999</v>
      </c>
      <c r="DP207">
        <v>0.10698299999999999</v>
      </c>
      <c r="DQ207">
        <v>0.15071399999999999</v>
      </c>
      <c r="DR207">
        <v>25.2288</v>
      </c>
      <c r="DS207">
        <v>25.0642</v>
      </c>
      <c r="DT207">
        <v>24.3</v>
      </c>
      <c r="DU207">
        <v>29.6</v>
      </c>
      <c r="DV207">
        <v>10.2113</v>
      </c>
      <c r="DW207">
        <v>61.798699999999997</v>
      </c>
      <c r="DX207">
        <v>37.335700000000003</v>
      </c>
      <c r="DY207">
        <v>1</v>
      </c>
      <c r="DZ207">
        <v>-9.7428899999999999E-2</v>
      </c>
      <c r="EA207">
        <v>-8.9025099999999996E-2</v>
      </c>
      <c r="EB207">
        <v>20.189499999999999</v>
      </c>
      <c r="EC207">
        <v>5.24125</v>
      </c>
      <c r="ED207">
        <v>12.039899999999999</v>
      </c>
      <c r="EE207">
        <v>5.0170500000000002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1.8689100000000001</v>
      </c>
      <c r="EL207">
        <v>1.86466</v>
      </c>
      <c r="EM207">
        <v>1.8691899999999999</v>
      </c>
      <c r="EN207">
        <v>1.86724</v>
      </c>
      <c r="EO207">
        <v>1.8633999999999999</v>
      </c>
      <c r="EP207">
        <v>1.86453</v>
      </c>
      <c r="EQ207">
        <v>1.8701399999999999</v>
      </c>
      <c r="ER207">
        <v>1.86944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-0.24199999999999999</v>
      </c>
      <c r="FG207">
        <v>0.1628</v>
      </c>
      <c r="FH207">
        <v>5.8509882529719233E-2</v>
      </c>
      <c r="FI207">
        <v>-6.1462078757559423E-4</v>
      </c>
      <c r="FJ207">
        <v>-1.8861989874597051E-7</v>
      </c>
      <c r="FK207">
        <v>1.1980462299894961E-10</v>
      </c>
      <c r="FL207">
        <v>0.16277811159127681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40.5</v>
      </c>
      <c r="FU207">
        <v>40.700000000000003</v>
      </c>
      <c r="FV207">
        <v>1.7675799999999999</v>
      </c>
      <c r="FW207">
        <v>2.5817899999999998</v>
      </c>
      <c r="FX207">
        <v>1.5490699999999999</v>
      </c>
      <c r="FY207">
        <v>2.3290999999999999</v>
      </c>
      <c r="FZ207">
        <v>1.50146</v>
      </c>
      <c r="GA207">
        <v>2.3290999999999999</v>
      </c>
      <c r="GB207">
        <v>33.941299999999998</v>
      </c>
      <c r="GC207">
        <v>23.982399999999998</v>
      </c>
      <c r="GD207">
        <v>19</v>
      </c>
      <c r="GE207">
        <v>287.25200000000001</v>
      </c>
      <c r="GF207">
        <v>575.01599999999996</v>
      </c>
      <c r="GG207">
        <v>24.697900000000001</v>
      </c>
      <c r="GH207">
        <v>26.160299999999999</v>
      </c>
      <c r="GI207">
        <v>30.0001</v>
      </c>
      <c r="GJ207">
        <v>26.288499999999999</v>
      </c>
      <c r="GK207">
        <v>26.270900000000001</v>
      </c>
      <c r="GL207">
        <v>35.332500000000003</v>
      </c>
      <c r="GM207">
        <v>100</v>
      </c>
      <c r="GN207">
        <v>15.858499999999999</v>
      </c>
      <c r="GO207">
        <v>24.7272</v>
      </c>
      <c r="GP207">
        <v>800</v>
      </c>
      <c r="GQ207">
        <v>0</v>
      </c>
      <c r="GR207">
        <v>99.755700000000004</v>
      </c>
      <c r="GS207">
        <v>99.598799999999997</v>
      </c>
    </row>
    <row r="208" spans="1:201" x14ac:dyDescent="0.25">
      <c r="A208">
        <v>192</v>
      </c>
      <c r="B208">
        <v>1690222965.0999999</v>
      </c>
      <c r="C208">
        <v>2082.599999904633</v>
      </c>
      <c r="D208" t="s">
        <v>715</v>
      </c>
      <c r="E208" t="s">
        <v>716</v>
      </c>
      <c r="F208" t="s">
        <v>330</v>
      </c>
      <c r="H208">
        <v>1690222965.0999999</v>
      </c>
      <c r="I208">
        <f t="shared" si="60"/>
        <v>2.3296417802711193E-3</v>
      </c>
      <c r="J208">
        <f t="shared" si="61"/>
        <v>2.3296417802711193</v>
      </c>
      <c r="K208">
        <f t="shared" si="62"/>
        <v>33.158881170596267</v>
      </c>
      <c r="L208">
        <f t="shared" si="63"/>
        <v>444.63099999999997</v>
      </c>
      <c r="M208">
        <f t="shared" si="64"/>
        <v>117.30317677636656</v>
      </c>
      <c r="N208">
        <f t="shared" si="65"/>
        <v>11.634398166167561</v>
      </c>
      <c r="O208">
        <f t="shared" si="66"/>
        <v>44.099522563513993</v>
      </c>
      <c r="P208">
        <f t="shared" si="67"/>
        <v>0.17141079325978748</v>
      </c>
      <c r="Q208">
        <f t="shared" si="68"/>
        <v>2.1927145618886814</v>
      </c>
      <c r="R208">
        <f t="shared" si="69"/>
        <v>0.16429933470946839</v>
      </c>
      <c r="S208">
        <f t="shared" si="70"/>
        <v>0.10330143495160463</v>
      </c>
      <c r="T208">
        <f t="shared" si="71"/>
        <v>276.11523225000002</v>
      </c>
      <c r="U208">
        <f t="shared" si="72"/>
        <v>27.699593761946865</v>
      </c>
      <c r="V208">
        <f t="shared" si="73"/>
        <v>27.699593761946865</v>
      </c>
      <c r="W208">
        <f t="shared" si="74"/>
        <v>3.7288874986281404</v>
      </c>
      <c r="X208">
        <f t="shared" si="75"/>
        <v>68.621789228969803</v>
      </c>
      <c r="Y208">
        <f t="shared" si="76"/>
        <v>2.3657655040937997</v>
      </c>
      <c r="Z208">
        <f t="shared" si="77"/>
        <v>3.4475427275729698</v>
      </c>
      <c r="AA208">
        <f t="shared" si="78"/>
        <v>1.3631219945343407</v>
      </c>
      <c r="AB208">
        <f t="shared" si="79"/>
        <v>-102.73720250995636</v>
      </c>
      <c r="AC208">
        <f t="shared" si="80"/>
        <v>-157.93266886439528</v>
      </c>
      <c r="AD208">
        <f t="shared" si="81"/>
        <v>-15.549062696613866</v>
      </c>
      <c r="AE208">
        <f t="shared" si="82"/>
        <v>-0.10370182096551162</v>
      </c>
      <c r="AF208">
        <v>0</v>
      </c>
      <c r="AG208">
        <v>0</v>
      </c>
      <c r="AH208">
        <f t="shared" si="83"/>
        <v>1</v>
      </c>
      <c r="AI208">
        <f t="shared" si="84"/>
        <v>0</v>
      </c>
      <c r="AJ208">
        <f t="shared" si="85"/>
        <v>52440.283503332517</v>
      </c>
      <c r="AK208">
        <f t="shared" si="86"/>
        <v>1800</v>
      </c>
      <c r="AL208">
        <f t="shared" si="87"/>
        <v>1499.110731</v>
      </c>
      <c r="AM208">
        <f t="shared" si="88"/>
        <v>0.83283929499999998</v>
      </c>
      <c r="AN208">
        <f t="shared" si="89"/>
        <v>0.15339735125000001</v>
      </c>
      <c r="AO208">
        <v>31.2</v>
      </c>
      <c r="AP208">
        <v>0.5</v>
      </c>
      <c r="AQ208" t="s">
        <v>331</v>
      </c>
      <c r="AR208">
        <v>2</v>
      </c>
      <c r="AS208">
        <v>1690222965.0999999</v>
      </c>
      <c r="AT208">
        <v>444.63099999999997</v>
      </c>
      <c r="AU208">
        <v>800.02499999999998</v>
      </c>
      <c r="AV208">
        <v>23.852699999999999</v>
      </c>
      <c r="AW208">
        <v>0.217698</v>
      </c>
      <c r="AX208">
        <v>444.87200000000001</v>
      </c>
      <c r="AY208">
        <v>23.689900000000002</v>
      </c>
      <c r="AZ208">
        <v>300.19499999999999</v>
      </c>
      <c r="BA208">
        <v>99.0822</v>
      </c>
      <c r="BB208">
        <v>0.100094</v>
      </c>
      <c r="BC208">
        <v>26.363600000000002</v>
      </c>
      <c r="BD208">
        <v>27.013100000000001</v>
      </c>
      <c r="BE208">
        <v>27.514700000000001</v>
      </c>
      <c r="BF208">
        <v>0</v>
      </c>
      <c r="BG208">
        <v>0</v>
      </c>
      <c r="BH208">
        <v>9987.5</v>
      </c>
      <c r="BI208">
        <v>1076.2</v>
      </c>
      <c r="BJ208">
        <v>1.62592</v>
      </c>
      <c r="BK208">
        <v>-355.39499999999998</v>
      </c>
      <c r="BL208">
        <v>455.49599999999998</v>
      </c>
      <c r="BM208">
        <v>800.2</v>
      </c>
      <c r="BN208">
        <v>23.635000000000002</v>
      </c>
      <c r="BO208">
        <v>800.02499999999998</v>
      </c>
      <c r="BP208">
        <v>0.217698</v>
      </c>
      <c r="BQ208">
        <v>2.3633799999999998</v>
      </c>
      <c r="BR208">
        <v>2.1569999999999999E-2</v>
      </c>
      <c r="BS208">
        <v>20.114999999999998</v>
      </c>
      <c r="BT208">
        <v>-38.695099999999996</v>
      </c>
      <c r="BU208">
        <v>1800</v>
      </c>
      <c r="BV208">
        <v>0.90999200000000002</v>
      </c>
      <c r="BW208">
        <v>3.39958E-2</v>
      </c>
      <c r="BX208">
        <v>2.1999000000000001E-2</v>
      </c>
      <c r="BY208">
        <v>3.4013099999999998E-2</v>
      </c>
      <c r="BZ208">
        <v>26</v>
      </c>
      <c r="CA208">
        <v>33528.400000000001</v>
      </c>
      <c r="CB208">
        <v>1690220522.5999999</v>
      </c>
      <c r="CC208" t="s">
        <v>332</v>
      </c>
      <c r="CD208">
        <v>1690220522.5999999</v>
      </c>
      <c r="CE208">
        <v>1690220510.5999999</v>
      </c>
      <c r="CF208">
        <v>10</v>
      </c>
      <c r="CG208">
        <v>-0.22</v>
      </c>
      <c r="CH208">
        <v>-2.7E-2</v>
      </c>
      <c r="CI208">
        <v>-0.49299999999999999</v>
      </c>
      <c r="CJ208">
        <v>0.152</v>
      </c>
      <c r="CK208">
        <v>800</v>
      </c>
      <c r="CL208">
        <v>19</v>
      </c>
      <c r="CM208">
        <v>0.1</v>
      </c>
      <c r="CN208">
        <v>0.03</v>
      </c>
      <c r="CO208">
        <v>-354.93802439024392</v>
      </c>
      <c r="CP208">
        <v>-2.1862578397205938</v>
      </c>
      <c r="CQ208">
        <v>0.2179323555607037</v>
      </c>
      <c r="CR208">
        <v>-1</v>
      </c>
      <c r="CS208">
        <v>23.613099999999999</v>
      </c>
      <c r="CT208">
        <v>8.6190940766570454E-2</v>
      </c>
      <c r="CU208">
        <v>8.6963967867830089E-3</v>
      </c>
      <c r="CV208">
        <v>-1</v>
      </c>
      <c r="CW208">
        <v>0</v>
      </c>
      <c r="CX208">
        <v>0</v>
      </c>
      <c r="CY208" t="s">
        <v>333</v>
      </c>
      <c r="CZ208">
        <v>2.3647800000000001</v>
      </c>
      <c r="DA208">
        <v>2.71387</v>
      </c>
      <c r="DB208">
        <v>9.6976499999999993E-2</v>
      </c>
      <c r="DC208">
        <v>0.14600299999999999</v>
      </c>
      <c r="DD208">
        <v>0.113515</v>
      </c>
      <c r="DE208">
        <v>1.8264100000000001E-3</v>
      </c>
      <c r="DF208">
        <v>32979.1</v>
      </c>
      <c r="DG208">
        <v>27530.9</v>
      </c>
      <c r="DH208">
        <v>31177.599999999999</v>
      </c>
      <c r="DI208">
        <v>28091.1</v>
      </c>
      <c r="DJ208">
        <v>37519.4</v>
      </c>
      <c r="DK208">
        <v>39878.400000000001</v>
      </c>
      <c r="DL208">
        <v>44370.3</v>
      </c>
      <c r="DM208">
        <v>42575.199999999997</v>
      </c>
      <c r="DN208">
        <v>1.4869300000000001</v>
      </c>
      <c r="DO208">
        <v>2.0272299999999999</v>
      </c>
      <c r="DP208">
        <v>0.10895000000000001</v>
      </c>
      <c r="DQ208">
        <v>0.14983099999999999</v>
      </c>
      <c r="DR208">
        <v>25.2288</v>
      </c>
      <c r="DS208">
        <v>25.061499999999999</v>
      </c>
      <c r="DT208">
        <v>24</v>
      </c>
      <c r="DU208">
        <v>29.6</v>
      </c>
      <c r="DV208">
        <v>10.0861</v>
      </c>
      <c r="DW208">
        <v>61.788699999999999</v>
      </c>
      <c r="DX208">
        <v>36.546500000000002</v>
      </c>
      <c r="DY208">
        <v>1</v>
      </c>
      <c r="DZ208">
        <v>-9.81123E-2</v>
      </c>
      <c r="EA208">
        <v>-1.06155E-2</v>
      </c>
      <c r="EB208">
        <v>20.189699999999998</v>
      </c>
      <c r="EC208">
        <v>5.24125</v>
      </c>
      <c r="ED208">
        <v>12.039899999999999</v>
      </c>
      <c r="EE208">
        <v>5.0171000000000001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1.86894</v>
      </c>
      <c r="EL208">
        <v>1.8646499999999999</v>
      </c>
      <c r="EM208">
        <v>1.8691899999999999</v>
      </c>
      <c r="EN208">
        <v>1.86724</v>
      </c>
      <c r="EO208">
        <v>1.8633999999999999</v>
      </c>
      <c r="EP208">
        <v>1.86452</v>
      </c>
      <c r="EQ208">
        <v>1.87015</v>
      </c>
      <c r="ER208">
        <v>1.8693900000000001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-0.24099999999999999</v>
      </c>
      <c r="FG208">
        <v>0.1628</v>
      </c>
      <c r="FH208">
        <v>5.8509882529719233E-2</v>
      </c>
      <c r="FI208">
        <v>-6.1462078757559423E-4</v>
      </c>
      <c r="FJ208">
        <v>-1.8861989874597051E-7</v>
      </c>
      <c r="FK208">
        <v>1.1980462299894961E-10</v>
      </c>
      <c r="FL208">
        <v>0.16277811159127681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40.700000000000003</v>
      </c>
      <c r="FU208">
        <v>40.9</v>
      </c>
      <c r="FV208">
        <v>1.7675799999999999</v>
      </c>
      <c r="FW208">
        <v>2.5817899999999998</v>
      </c>
      <c r="FX208">
        <v>1.5490699999999999</v>
      </c>
      <c r="FY208">
        <v>2.3290999999999999</v>
      </c>
      <c r="FZ208">
        <v>1.50146</v>
      </c>
      <c r="GA208">
        <v>2.3645</v>
      </c>
      <c r="GB208">
        <v>33.941299999999998</v>
      </c>
      <c r="GC208">
        <v>23.982399999999998</v>
      </c>
      <c r="GD208">
        <v>19</v>
      </c>
      <c r="GE208">
        <v>287.19799999999998</v>
      </c>
      <c r="GF208">
        <v>574.87</v>
      </c>
      <c r="GG208">
        <v>24.7256</v>
      </c>
      <c r="GH208">
        <v>26.160299999999999</v>
      </c>
      <c r="GI208">
        <v>29.9999</v>
      </c>
      <c r="GJ208">
        <v>26.288499999999999</v>
      </c>
      <c r="GK208">
        <v>26.268699999999999</v>
      </c>
      <c r="GL208">
        <v>35.3337</v>
      </c>
      <c r="GM208">
        <v>100</v>
      </c>
      <c r="GN208">
        <v>15.1012</v>
      </c>
      <c r="GO208">
        <v>24.699300000000001</v>
      </c>
      <c r="GP208">
        <v>800</v>
      </c>
      <c r="GQ208">
        <v>0</v>
      </c>
      <c r="GR208">
        <v>99.757099999999994</v>
      </c>
      <c r="GS208">
        <v>99.599299999999999</v>
      </c>
    </row>
    <row r="209" spans="1:201" x14ac:dyDescent="0.25">
      <c r="A209">
        <v>193</v>
      </c>
      <c r="B209">
        <v>1690222975.0999999</v>
      </c>
      <c r="C209">
        <v>2092.599999904633</v>
      </c>
      <c r="D209" t="s">
        <v>717</v>
      </c>
      <c r="E209" t="s">
        <v>718</v>
      </c>
      <c r="F209" t="s">
        <v>330</v>
      </c>
      <c r="H209">
        <v>1690222975.0999999</v>
      </c>
      <c r="I209">
        <f t="shared" ref="I209:I272" si="90">(J209)/1000</f>
        <v>2.3293036135618958E-3</v>
      </c>
      <c r="J209">
        <f t="shared" ref="J209:J228" si="91">1000*AZ209*AH209*(AV209-AW209)/(100*AO209*(1000-AH209*AV209))</f>
        <v>2.3293036135618959</v>
      </c>
      <c r="K209">
        <f t="shared" ref="K209:K228" si="92">AZ209*AH209*(AU209-AT209*(1000-AH209*AW209)/(1000-AH209*AV209))/(100*AO209)</f>
        <v>33.158843575738615</v>
      </c>
      <c r="L209">
        <f t="shared" ref="L209:L272" si="93">AT209 - IF(AH209&gt;1, K209*AO209*100/(AJ209*BH209), 0)</f>
        <v>444.29700000000003</v>
      </c>
      <c r="M209">
        <f t="shared" ref="M209:M272" si="94">((S209-I209/2)*L209-K209)/(S209+I209/2)</f>
        <v>117.64730795581671</v>
      </c>
      <c r="N209">
        <f t="shared" ref="N209:N272" si="95">M209*(BA209+BB209)/1000</f>
        <v>11.669040322357379</v>
      </c>
      <c r="O209">
        <f t="shared" ref="O209:O228" si="96">(AT209 - IF(AH209&gt;1, K209*AO209*100/(AJ209*BH209), 0))*(BA209+BB209)/1000</f>
        <v>44.0683233487119</v>
      </c>
      <c r="P209">
        <f t="shared" ref="P209:P272" si="97">2/((1/R209-1/Q209)+SIGN(R209)*SQRT((1/R209-1/Q209)*(1/R209-1/Q209) + 4*AP209/((AP209+1)*(AP209+1))*(2*1/R209*1/Q209-1/Q209*1/Q209)))</f>
        <v>0.17177813892052335</v>
      </c>
      <c r="Q209">
        <f t="shared" ref="Q209:Q228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2.1930779009137691</v>
      </c>
      <c r="R209">
        <f t="shared" ref="R209:R228" si="99">I209*(1000-(1000*0.61365*EXP(17.502*V209/(240.97+V209))/(BA209+BB209)+AV209)/2)/(1000*0.61365*EXP(17.502*V209/(240.97+V209))/(BA209+BB209)-AV209)</f>
        <v>0.16463797993343632</v>
      </c>
      <c r="S209">
        <f t="shared" ref="S209:S228" si="100">1/((AP209+1)/(P209/1.6)+1/(Q209/1.37)) + AP209/((AP209+1)/(P209/1.6) + AP209/(Q209/1.37))</f>
        <v>0.10351552091693375</v>
      </c>
      <c r="T209">
        <f t="shared" ref="T209:T228" si="101">(AK209*AN209)</f>
        <v>276.11555905800003</v>
      </c>
      <c r="U209">
        <f t="shared" ref="U209:U272" si="102">(BC209+(T209+2*0.95*0.0000000567*(((BC209+$B$7)+273)^4-(BC209+273)^4)-44100*I209)/(1.84*29.3*Q209+8*0.95*0.0000000567*(BC209+273)^3))</f>
        <v>27.691419210819653</v>
      </c>
      <c r="V209">
        <f t="shared" ref="V209:V272" si="103">($C$7*BD209+$D$7*BE209+$E$7*U209)</f>
        <v>27.691419210819653</v>
      </c>
      <c r="W209">
        <f t="shared" ref="W209:W272" si="104">0.61365*EXP(17.502*V209/(240.97+V209))</f>
        <v>3.7271068988396583</v>
      </c>
      <c r="X209">
        <f t="shared" ref="X209:X272" si="105">(Y209/Z209*100)</f>
        <v>68.688113642175736</v>
      </c>
      <c r="Y209">
        <f t="shared" ref="Y209:Y228" si="106">AV209*(BA209+BB209)/1000</f>
        <v>2.3669203721099099</v>
      </c>
      <c r="Z209">
        <f t="shared" ref="Z209:Z228" si="107">0.61365*EXP(17.502*BC209/(240.97+BC209))</f>
        <v>3.4458951434307235</v>
      </c>
      <c r="AA209">
        <f t="shared" ref="AA209:AA228" si="108">(W209-AV209*(BA209+BB209)/1000)</f>
        <v>1.3601865267297484</v>
      </c>
      <c r="AB209">
        <f t="shared" ref="AB209:AB228" si="109">(-I209*44100)</f>
        <v>-102.72228935807961</v>
      </c>
      <c r="AC209">
        <f t="shared" ref="AC209:AC228" si="110">2*29.3*Q209*0.92*(BC209-V209)</f>
        <v>-157.95002433627465</v>
      </c>
      <c r="AD209">
        <f t="shared" ref="AD209:AD228" si="111">2*0.95*0.0000000567*(((BC209+$B$7)+273)^4-(V209+273)^4)</f>
        <v>-15.54692999143435</v>
      </c>
      <c r="AE209">
        <f t="shared" ref="AE209:AE272" si="112">T209+AD209+AB209+AC209</f>
        <v>-0.10368462778856724</v>
      </c>
      <c r="AF209">
        <v>0</v>
      </c>
      <c r="AG209">
        <v>0</v>
      </c>
      <c r="AH209">
        <f t="shared" ref="AH209:AH228" si="113">IF(AF209*$H$13&gt;=AJ209,1,(AJ209/(AJ209-AF209*$H$13)))</f>
        <v>1</v>
      </c>
      <c r="AI209">
        <f t="shared" ref="AI209:AI272" si="114">(AH209-1)*100</f>
        <v>0</v>
      </c>
      <c r="AJ209">
        <f t="shared" ref="AJ209:AJ228" si="115">MAX(0,($B$13+$C$13*BH209)/(1+$D$13*BH209)*BA209/(BC209+273)*$E$13)</f>
        <v>52456.67854646319</v>
      </c>
      <c r="AK209">
        <f t="shared" ref="AK209:AK228" si="116">$B$11*BI209+$C$11*BJ209+$D$11*BU209</f>
        <v>1800</v>
      </c>
      <c r="AL209">
        <f t="shared" ref="AL209:AL272" si="117">AK209*AM209</f>
        <v>1499.1104448000001</v>
      </c>
      <c r="AM209">
        <f t="shared" ref="AM209:AM228" si="118">($B$11*$D$9+$C$11*$D$9+$D$11*(BV209*$E$9+BW209*$F$9+BX209*$G$9+BY209*$H$9))/($B$11+$C$11+$D$11)</f>
        <v>0.83283913600000004</v>
      </c>
      <c r="AN209">
        <f t="shared" ref="AN209:AN228" si="119">($B$11*$K$9+$C$11*$K$9+$D$11*(BV209*$L$9+BW209*$M$9+BX209*$N$9+BY209*$O$9))/($B$11+$C$11+$D$11)</f>
        <v>0.15339753281000001</v>
      </c>
      <c r="AO209">
        <v>31.2</v>
      </c>
      <c r="AP209">
        <v>0.5</v>
      </c>
      <c r="AQ209" t="s">
        <v>331</v>
      </c>
      <c r="AR209">
        <v>2</v>
      </c>
      <c r="AS209">
        <v>1690222975.0999999</v>
      </c>
      <c r="AT209">
        <v>444.29700000000003</v>
      </c>
      <c r="AU209">
        <v>799.92499999999995</v>
      </c>
      <c r="AV209">
        <v>23.863299999999999</v>
      </c>
      <c r="AW209">
        <v>0.21575800000000001</v>
      </c>
      <c r="AX209">
        <v>444.53899999999999</v>
      </c>
      <c r="AY209">
        <v>23.700500000000002</v>
      </c>
      <c r="AZ209">
        <v>299.98899999999998</v>
      </c>
      <c r="BA209">
        <v>99.086699999999993</v>
      </c>
      <c r="BB209">
        <v>9.9932699999999999E-2</v>
      </c>
      <c r="BC209">
        <v>26.355499999999999</v>
      </c>
      <c r="BD209">
        <v>26.997699999999998</v>
      </c>
      <c r="BE209">
        <v>27.522500000000001</v>
      </c>
      <c r="BF209">
        <v>0</v>
      </c>
      <c r="BG209">
        <v>0</v>
      </c>
      <c r="BH209">
        <v>9990</v>
      </c>
      <c r="BI209">
        <v>1076.0999999999999</v>
      </c>
      <c r="BJ209">
        <v>1.62592</v>
      </c>
      <c r="BK209">
        <v>-355.62799999999999</v>
      </c>
      <c r="BL209">
        <v>455.15899999999999</v>
      </c>
      <c r="BM209">
        <v>800.09799999999996</v>
      </c>
      <c r="BN209">
        <v>23.647600000000001</v>
      </c>
      <c r="BO209">
        <v>799.92499999999995</v>
      </c>
      <c r="BP209">
        <v>0.21575800000000001</v>
      </c>
      <c r="BQ209">
        <v>2.3645399999999999</v>
      </c>
      <c r="BR209">
        <v>2.13788E-2</v>
      </c>
      <c r="BS209">
        <v>20.122900000000001</v>
      </c>
      <c r="BT209">
        <v>-38.781399999999998</v>
      </c>
      <c r="BU209">
        <v>1800</v>
      </c>
      <c r="BV209">
        <v>0.90998900000000005</v>
      </c>
      <c r="BW209">
        <v>3.3995499999999998E-2</v>
      </c>
      <c r="BX209">
        <v>2.2002299999999999E-2</v>
      </c>
      <c r="BY209">
        <v>3.40127E-2</v>
      </c>
      <c r="BZ209">
        <v>26</v>
      </c>
      <c r="CA209">
        <v>33528.300000000003</v>
      </c>
      <c r="CB209">
        <v>1690220522.5999999</v>
      </c>
      <c r="CC209" t="s">
        <v>332</v>
      </c>
      <c r="CD209">
        <v>1690220522.5999999</v>
      </c>
      <c r="CE209">
        <v>1690220510.5999999</v>
      </c>
      <c r="CF209">
        <v>10</v>
      </c>
      <c r="CG209">
        <v>-0.22</v>
      </c>
      <c r="CH209">
        <v>-2.7E-2</v>
      </c>
      <c r="CI209">
        <v>-0.49299999999999999</v>
      </c>
      <c r="CJ209">
        <v>0.152</v>
      </c>
      <c r="CK209">
        <v>800</v>
      </c>
      <c r="CL209">
        <v>19</v>
      </c>
      <c r="CM209">
        <v>0.1</v>
      </c>
      <c r="CN209">
        <v>0.03</v>
      </c>
      <c r="CO209">
        <v>-355.32897500000001</v>
      </c>
      <c r="CP209">
        <v>-2.1402664165102481</v>
      </c>
      <c r="CQ209">
        <v>0.21084123025394749</v>
      </c>
      <c r="CR209">
        <v>-1</v>
      </c>
      <c r="CS209">
        <v>23.630839999999999</v>
      </c>
      <c r="CT209">
        <v>0.10720975609760069</v>
      </c>
      <c r="CU209">
        <v>1.045587872921259E-2</v>
      </c>
      <c r="CV209">
        <v>-1</v>
      </c>
      <c r="CW209">
        <v>0</v>
      </c>
      <c r="CX209">
        <v>0</v>
      </c>
      <c r="CY209" t="s">
        <v>333</v>
      </c>
      <c r="CZ209">
        <v>2.3641000000000001</v>
      </c>
      <c r="DA209">
        <v>2.7137099999999998</v>
      </c>
      <c r="DB209">
        <v>9.6926499999999999E-2</v>
      </c>
      <c r="DC209">
        <v>0.14599699999999999</v>
      </c>
      <c r="DD209">
        <v>0.113556</v>
      </c>
      <c r="DE209">
        <v>1.81043E-3</v>
      </c>
      <c r="DF209">
        <v>32980.6</v>
      </c>
      <c r="DG209">
        <v>27531</v>
      </c>
      <c r="DH209">
        <v>31177.3</v>
      </c>
      <c r="DI209">
        <v>28091</v>
      </c>
      <c r="DJ209">
        <v>37517.4</v>
      </c>
      <c r="DK209">
        <v>39878.800000000003</v>
      </c>
      <c r="DL209">
        <v>44369.9</v>
      </c>
      <c r="DM209">
        <v>42575</v>
      </c>
      <c r="DN209">
        <v>1.4863</v>
      </c>
      <c r="DO209">
        <v>2.0273300000000001</v>
      </c>
      <c r="DP209">
        <v>0.108004</v>
      </c>
      <c r="DQ209">
        <v>0.15043799999999999</v>
      </c>
      <c r="DR209">
        <v>25.2288</v>
      </c>
      <c r="DS209">
        <v>25.0594</v>
      </c>
      <c r="DT209">
        <v>23.8</v>
      </c>
      <c r="DU209">
        <v>29.6</v>
      </c>
      <c r="DV209">
        <v>10.0001</v>
      </c>
      <c r="DW209">
        <v>61.988700000000001</v>
      </c>
      <c r="DX209">
        <v>37.4559</v>
      </c>
      <c r="DY209">
        <v>1</v>
      </c>
      <c r="DZ209">
        <v>-9.7944600000000007E-2</v>
      </c>
      <c r="EA209">
        <v>-2.08279E-2</v>
      </c>
      <c r="EB209">
        <v>20.189599999999999</v>
      </c>
      <c r="EC209">
        <v>5.2411000000000003</v>
      </c>
      <c r="ED209">
        <v>12.039899999999999</v>
      </c>
      <c r="EE209">
        <v>5.01715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1.8689199999999999</v>
      </c>
      <c r="EL209">
        <v>1.8646499999999999</v>
      </c>
      <c r="EM209">
        <v>1.8691899999999999</v>
      </c>
      <c r="EN209">
        <v>1.8672299999999999</v>
      </c>
      <c r="EO209">
        <v>1.8633999999999999</v>
      </c>
      <c r="EP209">
        <v>1.86452</v>
      </c>
      <c r="EQ209">
        <v>1.87018</v>
      </c>
      <c r="ER209">
        <v>1.86941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-0.24199999999999999</v>
      </c>
      <c r="FG209">
        <v>0.1628</v>
      </c>
      <c r="FH209">
        <v>5.8509882529719233E-2</v>
      </c>
      <c r="FI209">
        <v>-6.1462078757559423E-4</v>
      </c>
      <c r="FJ209">
        <v>-1.8861989874597051E-7</v>
      </c>
      <c r="FK209">
        <v>1.1980462299894961E-10</v>
      </c>
      <c r="FL209">
        <v>0.16277811159127681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40.9</v>
      </c>
      <c r="FU209">
        <v>41.1</v>
      </c>
      <c r="FV209">
        <v>1.7675799999999999</v>
      </c>
      <c r="FW209">
        <v>2.5756800000000002</v>
      </c>
      <c r="FX209">
        <v>1.5490699999999999</v>
      </c>
      <c r="FY209">
        <v>2.3290999999999999</v>
      </c>
      <c r="FZ209">
        <v>1.50146</v>
      </c>
      <c r="GA209">
        <v>2.3535200000000001</v>
      </c>
      <c r="GB209">
        <v>33.941299999999998</v>
      </c>
      <c r="GC209">
        <v>23.991199999999999</v>
      </c>
      <c r="GD209">
        <v>19</v>
      </c>
      <c r="GE209">
        <v>286.92899999999997</v>
      </c>
      <c r="GF209">
        <v>574.95000000000005</v>
      </c>
      <c r="GG209">
        <v>24.709099999999999</v>
      </c>
      <c r="GH209">
        <v>26.160299999999999</v>
      </c>
      <c r="GI209">
        <v>30.0001</v>
      </c>
      <c r="GJ209">
        <v>26.288499999999999</v>
      </c>
      <c r="GK209">
        <v>26.268699999999999</v>
      </c>
      <c r="GL209">
        <v>35.335700000000003</v>
      </c>
      <c r="GM209">
        <v>100</v>
      </c>
      <c r="GN209">
        <v>14.7057</v>
      </c>
      <c r="GO209">
        <v>24.7302</v>
      </c>
      <c r="GP209">
        <v>800</v>
      </c>
      <c r="GQ209">
        <v>0</v>
      </c>
      <c r="GR209">
        <v>99.756200000000007</v>
      </c>
      <c r="GS209">
        <v>99.598799999999997</v>
      </c>
    </row>
    <row r="210" spans="1:201" x14ac:dyDescent="0.25">
      <c r="A210">
        <v>194</v>
      </c>
      <c r="B210">
        <v>1690222985.0999999</v>
      </c>
      <c r="C210">
        <v>2102.599999904633</v>
      </c>
      <c r="D210" t="s">
        <v>719</v>
      </c>
      <c r="E210" t="s">
        <v>720</v>
      </c>
      <c r="F210" t="s">
        <v>330</v>
      </c>
      <c r="H210">
        <v>1690222985.0999999</v>
      </c>
      <c r="I210">
        <f t="shared" si="90"/>
        <v>2.3317593549567633E-3</v>
      </c>
      <c r="J210">
        <f t="shared" si="91"/>
        <v>2.3317593549567635</v>
      </c>
      <c r="K210">
        <f t="shared" si="92"/>
        <v>33.210387803179309</v>
      </c>
      <c r="L210">
        <f t="shared" si="93"/>
        <v>443.93099999999998</v>
      </c>
      <c r="M210">
        <f t="shared" si="94"/>
        <v>117.33341590471584</v>
      </c>
      <c r="N210">
        <f t="shared" si="95"/>
        <v>11.63732748023663</v>
      </c>
      <c r="O210">
        <f t="shared" si="96"/>
        <v>44.0298305968035</v>
      </c>
      <c r="P210">
        <f t="shared" si="97"/>
        <v>0.1720874704234944</v>
      </c>
      <c r="Q210">
        <f t="shared" si="98"/>
        <v>2.1897057903501613</v>
      </c>
      <c r="R210">
        <f t="shared" si="99"/>
        <v>0.16491160975132646</v>
      </c>
      <c r="S210">
        <f t="shared" si="100"/>
        <v>0.10368954403990455</v>
      </c>
      <c r="T210">
        <f t="shared" si="101"/>
        <v>276.11556281999998</v>
      </c>
      <c r="U210">
        <f t="shared" si="102"/>
        <v>27.692956885703868</v>
      </c>
      <c r="V210">
        <f t="shared" si="103"/>
        <v>27.692956885703868</v>
      </c>
      <c r="W210">
        <f t="shared" si="104"/>
        <v>3.7274417821024479</v>
      </c>
      <c r="X210">
        <f t="shared" si="105"/>
        <v>68.722100875176679</v>
      </c>
      <c r="Y210">
        <f t="shared" si="106"/>
        <v>2.3681614150844998</v>
      </c>
      <c r="Z210">
        <f t="shared" si="107"/>
        <v>3.4459968262406697</v>
      </c>
      <c r="AA210">
        <f t="shared" si="108"/>
        <v>1.3592803670179481</v>
      </c>
      <c r="AB210">
        <f t="shared" si="109"/>
        <v>-102.83058755359326</v>
      </c>
      <c r="AC210">
        <f t="shared" si="110"/>
        <v>-157.82965692341233</v>
      </c>
      <c r="AD210">
        <f t="shared" si="111"/>
        <v>-15.559164693535775</v>
      </c>
      <c r="AE210">
        <f t="shared" si="112"/>
        <v>-0.10384635054137448</v>
      </c>
      <c r="AF210">
        <v>0</v>
      </c>
      <c r="AG210">
        <v>0</v>
      </c>
      <c r="AH210">
        <f t="shared" si="113"/>
        <v>1</v>
      </c>
      <c r="AI210">
        <f t="shared" si="114"/>
        <v>0</v>
      </c>
      <c r="AJ210">
        <f t="shared" si="115"/>
        <v>52318.488099329625</v>
      </c>
      <c r="AK210">
        <f t="shared" si="116"/>
        <v>1800</v>
      </c>
      <c r="AL210">
        <f t="shared" si="117"/>
        <v>1499.1109649999999</v>
      </c>
      <c r="AM210">
        <f t="shared" si="118"/>
        <v>0.83283942499999997</v>
      </c>
      <c r="AN210">
        <f t="shared" si="119"/>
        <v>0.15339753489999999</v>
      </c>
      <c r="AO210">
        <v>31.2</v>
      </c>
      <c r="AP210">
        <v>0.5</v>
      </c>
      <c r="AQ210" t="s">
        <v>331</v>
      </c>
      <c r="AR210">
        <v>2</v>
      </c>
      <c r="AS210">
        <v>1690222985.0999999</v>
      </c>
      <c r="AT210">
        <v>443.93099999999998</v>
      </c>
      <c r="AU210">
        <v>799.96699999999998</v>
      </c>
      <c r="AV210">
        <v>23.876999999999999</v>
      </c>
      <c r="AW210">
        <v>0.213536</v>
      </c>
      <c r="AX210">
        <v>444.17200000000003</v>
      </c>
      <c r="AY210">
        <v>23.714200000000002</v>
      </c>
      <c r="AZ210">
        <v>300.09899999999999</v>
      </c>
      <c r="BA210">
        <v>99.081699999999998</v>
      </c>
      <c r="BB210">
        <v>9.9998500000000004E-2</v>
      </c>
      <c r="BC210">
        <v>26.356000000000002</v>
      </c>
      <c r="BD210">
        <v>26.961099999999998</v>
      </c>
      <c r="BE210">
        <v>27.527200000000001</v>
      </c>
      <c r="BF210">
        <v>0</v>
      </c>
      <c r="BG210">
        <v>0</v>
      </c>
      <c r="BH210">
        <v>9963.1200000000008</v>
      </c>
      <c r="BI210">
        <v>1076.2</v>
      </c>
      <c r="BJ210">
        <v>1.5600400000000001</v>
      </c>
      <c r="BK210">
        <v>-356.036</v>
      </c>
      <c r="BL210">
        <v>454.79</v>
      </c>
      <c r="BM210">
        <v>800.13800000000003</v>
      </c>
      <c r="BN210">
        <v>23.663499999999999</v>
      </c>
      <c r="BO210">
        <v>799.96699999999998</v>
      </c>
      <c r="BP210">
        <v>0.213536</v>
      </c>
      <c r="BQ210">
        <v>2.36578</v>
      </c>
      <c r="BR210">
        <v>2.1157499999999999E-2</v>
      </c>
      <c r="BS210">
        <v>20.131399999999999</v>
      </c>
      <c r="BT210">
        <v>-38.882199999999997</v>
      </c>
      <c r="BU210">
        <v>1800</v>
      </c>
      <c r="BV210">
        <v>0.90998999999999997</v>
      </c>
      <c r="BW210">
        <v>3.3995600000000001E-2</v>
      </c>
      <c r="BX210">
        <v>2.20015E-2</v>
      </c>
      <c r="BY210">
        <v>3.4012800000000003E-2</v>
      </c>
      <c r="BZ210">
        <v>26</v>
      </c>
      <c r="CA210">
        <v>33528.300000000003</v>
      </c>
      <c r="CB210">
        <v>1690220522.5999999</v>
      </c>
      <c r="CC210" t="s">
        <v>332</v>
      </c>
      <c r="CD210">
        <v>1690220522.5999999</v>
      </c>
      <c r="CE210">
        <v>1690220510.5999999</v>
      </c>
      <c r="CF210">
        <v>10</v>
      </c>
      <c r="CG210">
        <v>-0.22</v>
      </c>
      <c r="CH210">
        <v>-2.7E-2</v>
      </c>
      <c r="CI210">
        <v>-0.49299999999999999</v>
      </c>
      <c r="CJ210">
        <v>0.152</v>
      </c>
      <c r="CK210">
        <v>800</v>
      </c>
      <c r="CL210">
        <v>19</v>
      </c>
      <c r="CM210">
        <v>0.1</v>
      </c>
      <c r="CN210">
        <v>0.03</v>
      </c>
      <c r="CO210">
        <v>-355.70126829268293</v>
      </c>
      <c r="CP210">
        <v>-2.161797909407785</v>
      </c>
      <c r="CQ210">
        <v>0.234043046321043</v>
      </c>
      <c r="CR210">
        <v>-1</v>
      </c>
      <c r="CS210">
        <v>23.648573170731709</v>
      </c>
      <c r="CT210">
        <v>9.4595121951216013E-2</v>
      </c>
      <c r="CU210">
        <v>9.5067889577883386E-3</v>
      </c>
      <c r="CV210">
        <v>-1</v>
      </c>
      <c r="CW210">
        <v>0</v>
      </c>
      <c r="CX210">
        <v>0</v>
      </c>
      <c r="CY210" t="s">
        <v>333</v>
      </c>
      <c r="CZ210">
        <v>2.3644699999999998</v>
      </c>
      <c r="DA210">
        <v>2.7137600000000002</v>
      </c>
      <c r="DB210">
        <v>9.6862500000000004E-2</v>
      </c>
      <c r="DC210">
        <v>0.14599500000000001</v>
      </c>
      <c r="DD210">
        <v>0.113596</v>
      </c>
      <c r="DE210">
        <v>1.7919399999999999E-3</v>
      </c>
      <c r="DF210">
        <v>32983.199999999997</v>
      </c>
      <c r="DG210">
        <v>27530.6</v>
      </c>
      <c r="DH210">
        <v>31177.5</v>
      </c>
      <c r="DI210">
        <v>28090.6</v>
      </c>
      <c r="DJ210">
        <v>37515.9</v>
      </c>
      <c r="DK210">
        <v>39878.9</v>
      </c>
      <c r="DL210">
        <v>44370.3</v>
      </c>
      <c r="DM210">
        <v>42574.3</v>
      </c>
      <c r="DN210">
        <v>1.4869000000000001</v>
      </c>
      <c r="DO210">
        <v>2.0274700000000001</v>
      </c>
      <c r="DP210">
        <v>0.105768</v>
      </c>
      <c r="DQ210">
        <v>0.150755</v>
      </c>
      <c r="DR210">
        <v>25.2288</v>
      </c>
      <c r="DS210">
        <v>25.058900000000001</v>
      </c>
      <c r="DT210">
        <v>23.6</v>
      </c>
      <c r="DU210">
        <v>29.6</v>
      </c>
      <c r="DV210">
        <v>9.9164399999999997</v>
      </c>
      <c r="DW210">
        <v>62.158700000000003</v>
      </c>
      <c r="DX210">
        <v>36.654600000000002</v>
      </c>
      <c r="DY210">
        <v>1</v>
      </c>
      <c r="DZ210">
        <v>-9.7985299999999997E-2</v>
      </c>
      <c r="EA210">
        <v>-3.2595300000000001E-2</v>
      </c>
      <c r="EB210">
        <v>20.189699999999998</v>
      </c>
      <c r="EC210">
        <v>5.2413999999999996</v>
      </c>
      <c r="ED210">
        <v>12.039899999999999</v>
      </c>
      <c r="EE210">
        <v>5.01675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1.86893</v>
      </c>
      <c r="EL210">
        <v>1.8646400000000001</v>
      </c>
      <c r="EM210">
        <v>1.8692</v>
      </c>
      <c r="EN210">
        <v>1.8672299999999999</v>
      </c>
      <c r="EO210">
        <v>1.8633999999999999</v>
      </c>
      <c r="EP210">
        <v>1.86452</v>
      </c>
      <c r="EQ210">
        <v>1.87015</v>
      </c>
      <c r="ER210">
        <v>1.8694500000000001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-0.24099999999999999</v>
      </c>
      <c r="FG210">
        <v>0.1628</v>
      </c>
      <c r="FH210">
        <v>5.8509882529719233E-2</v>
      </c>
      <c r="FI210">
        <v>-6.1462078757559423E-4</v>
      </c>
      <c r="FJ210">
        <v>-1.8861989874597051E-7</v>
      </c>
      <c r="FK210">
        <v>1.1980462299894961E-10</v>
      </c>
      <c r="FL210">
        <v>0.16277811159127681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41</v>
      </c>
      <c r="FU210">
        <v>41.2</v>
      </c>
      <c r="FV210">
        <v>1.7675799999999999</v>
      </c>
      <c r="FW210">
        <v>2.5854499999999998</v>
      </c>
      <c r="FX210">
        <v>1.5490699999999999</v>
      </c>
      <c r="FY210">
        <v>2.3290999999999999</v>
      </c>
      <c r="FZ210">
        <v>1.50146</v>
      </c>
      <c r="GA210">
        <v>2.3828100000000001</v>
      </c>
      <c r="GB210">
        <v>33.941299999999998</v>
      </c>
      <c r="GC210">
        <v>23.982399999999998</v>
      </c>
      <c r="GD210">
        <v>19</v>
      </c>
      <c r="GE210">
        <v>287.178</v>
      </c>
      <c r="GF210">
        <v>575.072</v>
      </c>
      <c r="GG210">
        <v>24.731300000000001</v>
      </c>
      <c r="GH210">
        <v>26.160299999999999</v>
      </c>
      <c r="GI210">
        <v>30</v>
      </c>
      <c r="GJ210">
        <v>26.286300000000001</v>
      </c>
      <c r="GK210">
        <v>26.268699999999999</v>
      </c>
      <c r="GL210">
        <v>35.331099999999999</v>
      </c>
      <c r="GM210">
        <v>100</v>
      </c>
      <c r="GN210">
        <v>14.314399999999999</v>
      </c>
      <c r="GO210">
        <v>24.749099999999999</v>
      </c>
      <c r="GP210">
        <v>800</v>
      </c>
      <c r="GQ210">
        <v>0</v>
      </c>
      <c r="GR210">
        <v>99.757000000000005</v>
      </c>
      <c r="GS210">
        <v>99.597300000000004</v>
      </c>
    </row>
    <row r="211" spans="1:201" x14ac:dyDescent="0.25">
      <c r="A211">
        <v>195</v>
      </c>
      <c r="B211">
        <v>1690222995.0999999</v>
      </c>
      <c r="C211">
        <v>2112.599999904633</v>
      </c>
      <c r="D211" t="s">
        <v>721</v>
      </c>
      <c r="E211" t="s">
        <v>722</v>
      </c>
      <c r="F211" t="s">
        <v>330</v>
      </c>
      <c r="H211">
        <v>1690222995.0999999</v>
      </c>
      <c r="I211">
        <f t="shared" si="90"/>
        <v>2.3345210418385708E-3</v>
      </c>
      <c r="J211">
        <f t="shared" si="91"/>
        <v>2.3345210418385709</v>
      </c>
      <c r="K211">
        <f t="shared" si="92"/>
        <v>33.271494764889404</v>
      </c>
      <c r="L211">
        <f t="shared" si="93"/>
        <v>443.488</v>
      </c>
      <c r="M211">
        <f t="shared" si="94"/>
        <v>116.97275109145325</v>
      </c>
      <c r="N211">
        <f t="shared" si="95"/>
        <v>11.601660763593912</v>
      </c>
      <c r="O211">
        <f t="shared" si="96"/>
        <v>43.986289804383993</v>
      </c>
      <c r="P211">
        <f t="shared" si="97"/>
        <v>0.17244114806432664</v>
      </c>
      <c r="Q211">
        <f t="shared" si="98"/>
        <v>2.1940242225942583</v>
      </c>
      <c r="R211">
        <f t="shared" si="99"/>
        <v>0.16524997001178116</v>
      </c>
      <c r="S211">
        <f t="shared" si="100"/>
        <v>0.10390234020177549</v>
      </c>
      <c r="T211">
        <f t="shared" si="101"/>
        <v>276.11393079919566</v>
      </c>
      <c r="U211">
        <f t="shared" si="102"/>
        <v>27.69739985315432</v>
      </c>
      <c r="V211">
        <f t="shared" si="103"/>
        <v>27.69739985315432</v>
      </c>
      <c r="W211">
        <f t="shared" si="104"/>
        <v>3.7284095434390019</v>
      </c>
      <c r="X211">
        <f t="shared" si="105"/>
        <v>68.752946973597545</v>
      </c>
      <c r="Y211">
        <f t="shared" si="106"/>
        <v>2.3703151988104998</v>
      </c>
      <c r="Z211">
        <f t="shared" si="107"/>
        <v>3.4475834173635449</v>
      </c>
      <c r="AA211">
        <f t="shared" si="108"/>
        <v>1.3580943446285021</v>
      </c>
      <c r="AB211">
        <f t="shared" si="109"/>
        <v>-102.95237794508097</v>
      </c>
      <c r="AC211">
        <f t="shared" si="110"/>
        <v>-157.74383694417688</v>
      </c>
      <c r="AD211">
        <f t="shared" si="111"/>
        <v>-15.521046013754814</v>
      </c>
      <c r="AE211">
        <f t="shared" si="112"/>
        <v>-0.10333010381700092</v>
      </c>
      <c r="AF211">
        <v>0</v>
      </c>
      <c r="AG211">
        <v>0</v>
      </c>
      <c r="AH211">
        <f t="shared" si="113"/>
        <v>1</v>
      </c>
      <c r="AI211">
        <f t="shared" si="114"/>
        <v>0</v>
      </c>
      <c r="AJ211">
        <f t="shared" si="115"/>
        <v>52493.898043145251</v>
      </c>
      <c r="AK211">
        <f t="shared" si="116"/>
        <v>1799.99</v>
      </c>
      <c r="AL211">
        <f t="shared" si="117"/>
        <v>1499.1022190080701</v>
      </c>
      <c r="AM211">
        <f t="shared" si="118"/>
        <v>0.83283919299999998</v>
      </c>
      <c r="AN211">
        <f t="shared" si="119"/>
        <v>0.15339748042999998</v>
      </c>
      <c r="AO211">
        <v>31.2</v>
      </c>
      <c r="AP211">
        <v>0.5</v>
      </c>
      <c r="AQ211" t="s">
        <v>331</v>
      </c>
      <c r="AR211">
        <v>2</v>
      </c>
      <c r="AS211">
        <v>1690222995.0999999</v>
      </c>
      <c r="AT211">
        <v>443.488</v>
      </c>
      <c r="AU211">
        <v>800.09</v>
      </c>
      <c r="AV211">
        <v>23.898499999999999</v>
      </c>
      <c r="AW211">
        <v>0.21226700000000001</v>
      </c>
      <c r="AX211">
        <v>443.72800000000001</v>
      </c>
      <c r="AY211">
        <v>23.735700000000001</v>
      </c>
      <c r="AZ211">
        <v>300.15899999999999</v>
      </c>
      <c r="BA211">
        <v>99.082499999999996</v>
      </c>
      <c r="BB211">
        <v>0.100093</v>
      </c>
      <c r="BC211">
        <v>26.363800000000001</v>
      </c>
      <c r="BD211">
        <v>26.999600000000001</v>
      </c>
      <c r="BE211">
        <v>27.535799999999998</v>
      </c>
      <c r="BF211">
        <v>0</v>
      </c>
      <c r="BG211">
        <v>0</v>
      </c>
      <c r="BH211">
        <v>9998.1200000000008</v>
      </c>
      <c r="BI211">
        <v>1076.1500000000001</v>
      </c>
      <c r="BJ211">
        <v>1.2474700000000001</v>
      </c>
      <c r="BK211">
        <v>-356.60199999999998</v>
      </c>
      <c r="BL211">
        <v>454.346</v>
      </c>
      <c r="BM211">
        <v>800.26</v>
      </c>
      <c r="BN211">
        <v>23.686199999999999</v>
      </c>
      <c r="BO211">
        <v>800.09</v>
      </c>
      <c r="BP211">
        <v>0.21226700000000001</v>
      </c>
      <c r="BQ211">
        <v>2.3679199999999998</v>
      </c>
      <c r="BR211">
        <v>2.1031899999999999E-2</v>
      </c>
      <c r="BS211">
        <v>20.146100000000001</v>
      </c>
      <c r="BT211">
        <v>-38.939799999999998</v>
      </c>
      <c r="BU211">
        <v>1799.99</v>
      </c>
      <c r="BV211">
        <v>0.90998999999999997</v>
      </c>
      <c r="BW211">
        <v>3.3995499999999998E-2</v>
      </c>
      <c r="BX211">
        <v>2.2001400000000001E-2</v>
      </c>
      <c r="BY211">
        <v>3.40127E-2</v>
      </c>
      <c r="BZ211">
        <v>26</v>
      </c>
      <c r="CA211">
        <v>33528.199999999997</v>
      </c>
      <c r="CB211">
        <v>1690220522.5999999</v>
      </c>
      <c r="CC211" t="s">
        <v>332</v>
      </c>
      <c r="CD211">
        <v>1690220522.5999999</v>
      </c>
      <c r="CE211">
        <v>1690220510.5999999</v>
      </c>
      <c r="CF211">
        <v>10</v>
      </c>
      <c r="CG211">
        <v>-0.22</v>
      </c>
      <c r="CH211">
        <v>-2.7E-2</v>
      </c>
      <c r="CI211">
        <v>-0.49299999999999999</v>
      </c>
      <c r="CJ211">
        <v>0.152</v>
      </c>
      <c r="CK211">
        <v>800</v>
      </c>
      <c r="CL211">
        <v>19</v>
      </c>
      <c r="CM211">
        <v>0.1</v>
      </c>
      <c r="CN211">
        <v>0.03</v>
      </c>
      <c r="CO211">
        <v>-356.0291951219512</v>
      </c>
      <c r="CP211">
        <v>-2.1304808362372931</v>
      </c>
      <c r="CQ211">
        <v>0.23127506793724231</v>
      </c>
      <c r="CR211">
        <v>-1</v>
      </c>
      <c r="CS211">
        <v>23.663078048780491</v>
      </c>
      <c r="CT211">
        <v>0.1006243902439496</v>
      </c>
      <c r="CU211">
        <v>1.0102801161791391E-2</v>
      </c>
      <c r="CV211">
        <v>-1</v>
      </c>
      <c r="CW211">
        <v>0</v>
      </c>
      <c r="CX211">
        <v>0</v>
      </c>
      <c r="CY211" t="s">
        <v>333</v>
      </c>
      <c r="CZ211">
        <v>2.3646600000000002</v>
      </c>
      <c r="DA211">
        <v>2.7138800000000001</v>
      </c>
      <c r="DB211">
        <v>9.6791100000000005E-2</v>
      </c>
      <c r="DC211">
        <v>0.146012</v>
      </c>
      <c r="DD211">
        <v>0.11366999999999999</v>
      </c>
      <c r="DE211">
        <v>1.78145E-3</v>
      </c>
      <c r="DF211">
        <v>32986.300000000003</v>
      </c>
      <c r="DG211">
        <v>27530.400000000001</v>
      </c>
      <c r="DH211">
        <v>31178</v>
      </c>
      <c r="DI211">
        <v>28090.9</v>
      </c>
      <c r="DJ211">
        <v>37513.4</v>
      </c>
      <c r="DK211">
        <v>39879.9</v>
      </c>
      <c r="DL211">
        <v>44371</v>
      </c>
      <c r="DM211">
        <v>42574.9</v>
      </c>
      <c r="DN211">
        <v>1.4870300000000001</v>
      </c>
      <c r="DO211">
        <v>2.0273300000000001</v>
      </c>
      <c r="DP211">
        <v>0.108253</v>
      </c>
      <c r="DQ211">
        <v>0.15151100000000001</v>
      </c>
      <c r="DR211">
        <v>25.226700000000001</v>
      </c>
      <c r="DS211">
        <v>25.055099999999999</v>
      </c>
      <c r="DT211">
        <v>23.4</v>
      </c>
      <c r="DU211">
        <v>29.6</v>
      </c>
      <c r="DV211">
        <v>9.8322500000000002</v>
      </c>
      <c r="DW211">
        <v>61.518700000000003</v>
      </c>
      <c r="DX211">
        <v>37.552100000000003</v>
      </c>
      <c r="DY211">
        <v>1</v>
      </c>
      <c r="DZ211">
        <v>-9.7568600000000005E-2</v>
      </c>
      <c r="EA211">
        <v>-0.12869800000000001</v>
      </c>
      <c r="EB211">
        <v>20.189699999999998</v>
      </c>
      <c r="EC211">
        <v>5.2411000000000003</v>
      </c>
      <c r="ED211">
        <v>12.039899999999999</v>
      </c>
      <c r="EE211">
        <v>5.0170000000000003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1.86894</v>
      </c>
      <c r="EL211">
        <v>1.8646499999999999</v>
      </c>
      <c r="EM211">
        <v>1.8692</v>
      </c>
      <c r="EN211">
        <v>1.8672299999999999</v>
      </c>
      <c r="EO211">
        <v>1.8633999999999999</v>
      </c>
      <c r="EP211">
        <v>1.8645499999999999</v>
      </c>
      <c r="EQ211">
        <v>1.8701700000000001</v>
      </c>
      <c r="ER211">
        <v>1.86944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-0.24</v>
      </c>
      <c r="FG211">
        <v>0.1628</v>
      </c>
      <c r="FH211">
        <v>5.8509882529719233E-2</v>
      </c>
      <c r="FI211">
        <v>-6.1462078757559423E-4</v>
      </c>
      <c r="FJ211">
        <v>-1.8861989874597051E-7</v>
      </c>
      <c r="FK211">
        <v>1.1980462299894961E-10</v>
      </c>
      <c r="FL211">
        <v>0.16277811159127681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41.2</v>
      </c>
      <c r="FU211">
        <v>41.4</v>
      </c>
      <c r="FV211">
        <v>1.7663599999999999</v>
      </c>
      <c r="FW211">
        <v>2.5805699999999998</v>
      </c>
      <c r="FX211">
        <v>1.5490699999999999</v>
      </c>
      <c r="FY211">
        <v>2.3290999999999999</v>
      </c>
      <c r="FZ211">
        <v>1.50146</v>
      </c>
      <c r="GA211">
        <v>2.2936999999999999</v>
      </c>
      <c r="GB211">
        <v>33.941299999999998</v>
      </c>
      <c r="GC211">
        <v>23.991199999999999</v>
      </c>
      <c r="GD211">
        <v>19</v>
      </c>
      <c r="GE211">
        <v>287.23200000000003</v>
      </c>
      <c r="GF211">
        <v>574.93299999999999</v>
      </c>
      <c r="GG211">
        <v>24.7682</v>
      </c>
      <c r="GH211">
        <v>26.158100000000001</v>
      </c>
      <c r="GI211">
        <v>30.0002</v>
      </c>
      <c r="GJ211">
        <v>26.286300000000001</v>
      </c>
      <c r="GK211">
        <v>26.267099999999999</v>
      </c>
      <c r="GL211">
        <v>35.329700000000003</v>
      </c>
      <c r="GM211">
        <v>100</v>
      </c>
      <c r="GN211">
        <v>13.523099999999999</v>
      </c>
      <c r="GO211">
        <v>24.7742</v>
      </c>
      <c r="GP211">
        <v>800</v>
      </c>
      <c r="GQ211">
        <v>0</v>
      </c>
      <c r="GR211">
        <v>99.758700000000005</v>
      </c>
      <c r="GS211">
        <v>99.598600000000005</v>
      </c>
    </row>
    <row r="212" spans="1:201" x14ac:dyDescent="0.25">
      <c r="A212">
        <v>196</v>
      </c>
      <c r="B212">
        <v>1690223005.0999999</v>
      </c>
      <c r="C212">
        <v>2122.599999904633</v>
      </c>
      <c r="D212" t="s">
        <v>723</v>
      </c>
      <c r="E212" t="s">
        <v>724</v>
      </c>
      <c r="F212" t="s">
        <v>330</v>
      </c>
      <c r="H212">
        <v>1690223005.0999999</v>
      </c>
      <c r="I212">
        <f t="shared" si="90"/>
        <v>2.3368150770400279E-3</v>
      </c>
      <c r="J212">
        <f t="shared" si="91"/>
        <v>2.3368150770400278</v>
      </c>
      <c r="K212">
        <f t="shared" si="92"/>
        <v>33.290028599570626</v>
      </c>
      <c r="L212">
        <f t="shared" si="93"/>
        <v>443.22300000000001</v>
      </c>
      <c r="M212">
        <f t="shared" si="94"/>
        <v>116.96134107276782</v>
      </c>
      <c r="N212">
        <f t="shared" si="95"/>
        <v>11.600397974691171</v>
      </c>
      <c r="O212">
        <f t="shared" si="96"/>
        <v>43.959509564256003</v>
      </c>
      <c r="P212">
        <f t="shared" si="97"/>
        <v>0.17267764027718979</v>
      </c>
      <c r="Q212">
        <f t="shared" si="98"/>
        <v>2.1947085518892999</v>
      </c>
      <c r="R212">
        <f t="shared" si="99"/>
        <v>0.16546931496814105</v>
      </c>
      <c r="S212">
        <f t="shared" si="100"/>
        <v>0.10404088644143056</v>
      </c>
      <c r="T212">
        <f t="shared" si="101"/>
        <v>276.11664595200006</v>
      </c>
      <c r="U212">
        <f t="shared" si="102"/>
        <v>27.703154828277839</v>
      </c>
      <c r="V212">
        <f t="shared" si="103"/>
        <v>27.703154828277839</v>
      </c>
      <c r="W212">
        <f t="shared" si="104"/>
        <v>3.729663410484108</v>
      </c>
      <c r="X212">
        <f t="shared" si="105"/>
        <v>68.775943501294151</v>
      </c>
      <c r="Y212">
        <f t="shared" si="106"/>
        <v>2.372073675088</v>
      </c>
      <c r="Z212">
        <f t="shared" si="107"/>
        <v>3.4489874719688363</v>
      </c>
      <c r="AA212">
        <f t="shared" si="108"/>
        <v>1.3575897353961079</v>
      </c>
      <c r="AB212">
        <f t="shared" si="109"/>
        <v>-103.05354489746523</v>
      </c>
      <c r="AC212">
        <f t="shared" si="110"/>
        <v>-157.65755755730518</v>
      </c>
      <c r="AD212">
        <f t="shared" si="111"/>
        <v>-15.508700724648705</v>
      </c>
      <c r="AE212">
        <f t="shared" si="112"/>
        <v>-0.10315722741904665</v>
      </c>
      <c r="AF212">
        <v>0</v>
      </c>
      <c r="AG212">
        <v>0</v>
      </c>
      <c r="AH212">
        <f t="shared" si="113"/>
        <v>1</v>
      </c>
      <c r="AI212">
        <f t="shared" si="114"/>
        <v>0</v>
      </c>
      <c r="AJ212">
        <f t="shared" si="115"/>
        <v>52520.706609821442</v>
      </c>
      <c r="AK212">
        <f t="shared" si="116"/>
        <v>1800</v>
      </c>
      <c r="AL212">
        <f t="shared" si="117"/>
        <v>1499.1124662000002</v>
      </c>
      <c r="AM212">
        <f t="shared" si="118"/>
        <v>0.83284025900000014</v>
      </c>
      <c r="AN212">
        <f t="shared" si="119"/>
        <v>0.15339813664000002</v>
      </c>
      <c r="AO212">
        <v>31.2</v>
      </c>
      <c r="AP212">
        <v>0.5</v>
      </c>
      <c r="AQ212" t="s">
        <v>331</v>
      </c>
      <c r="AR212">
        <v>2</v>
      </c>
      <c r="AS212">
        <v>1690223005.0999999</v>
      </c>
      <c r="AT212">
        <v>443.22300000000001</v>
      </c>
      <c r="AU212">
        <v>799.97900000000004</v>
      </c>
      <c r="AV212">
        <v>23.916499999999999</v>
      </c>
      <c r="AW212">
        <v>0.21027199999999999</v>
      </c>
      <c r="AX212">
        <v>443.464</v>
      </c>
      <c r="AY212">
        <v>23.753699999999998</v>
      </c>
      <c r="AZ212">
        <v>300.19499999999999</v>
      </c>
      <c r="BA212">
        <v>99.081400000000002</v>
      </c>
      <c r="BB212">
        <v>0.10007199999999999</v>
      </c>
      <c r="BC212">
        <v>26.370699999999999</v>
      </c>
      <c r="BD212">
        <v>27.010100000000001</v>
      </c>
      <c r="BE212">
        <v>27.533100000000001</v>
      </c>
      <c r="BF212">
        <v>0</v>
      </c>
      <c r="BG212">
        <v>0</v>
      </c>
      <c r="BH212">
        <v>10003.799999999999</v>
      </c>
      <c r="BI212">
        <v>1076.01</v>
      </c>
      <c r="BJ212">
        <v>1.2334499999999999</v>
      </c>
      <c r="BK212">
        <v>-356.75599999999997</v>
      </c>
      <c r="BL212">
        <v>454.08300000000003</v>
      </c>
      <c r="BM212">
        <v>800.14700000000005</v>
      </c>
      <c r="BN212">
        <v>23.706199999999999</v>
      </c>
      <c r="BO212">
        <v>799.97900000000004</v>
      </c>
      <c r="BP212">
        <v>0.21027199999999999</v>
      </c>
      <c r="BQ212">
        <v>2.3696799999999998</v>
      </c>
      <c r="BR212">
        <v>2.0833999999999998E-2</v>
      </c>
      <c r="BS212">
        <v>20.158100000000001</v>
      </c>
      <c r="BT212">
        <v>-39.031300000000002</v>
      </c>
      <c r="BU212">
        <v>1800</v>
      </c>
      <c r="BV212">
        <v>0.90998500000000004</v>
      </c>
      <c r="BW212">
        <v>3.3994700000000003E-2</v>
      </c>
      <c r="BX212">
        <v>2.2008699999999999E-2</v>
      </c>
      <c r="BY212">
        <v>3.4012000000000001E-2</v>
      </c>
      <c r="BZ212">
        <v>26</v>
      </c>
      <c r="CA212">
        <v>33528.199999999997</v>
      </c>
      <c r="CB212">
        <v>1690220522.5999999</v>
      </c>
      <c r="CC212" t="s">
        <v>332</v>
      </c>
      <c r="CD212">
        <v>1690220522.5999999</v>
      </c>
      <c r="CE212">
        <v>1690220510.5999999</v>
      </c>
      <c r="CF212">
        <v>10</v>
      </c>
      <c r="CG212">
        <v>-0.22</v>
      </c>
      <c r="CH212">
        <v>-2.7E-2</v>
      </c>
      <c r="CI212">
        <v>-0.49299999999999999</v>
      </c>
      <c r="CJ212">
        <v>0.152</v>
      </c>
      <c r="CK212">
        <v>800</v>
      </c>
      <c r="CL212">
        <v>19</v>
      </c>
      <c r="CM212">
        <v>0.1</v>
      </c>
      <c r="CN212">
        <v>0.03</v>
      </c>
      <c r="CO212">
        <v>-356.42812500000002</v>
      </c>
      <c r="CP212">
        <v>-2.03643151969891</v>
      </c>
      <c r="CQ212">
        <v>0.21430471150909841</v>
      </c>
      <c r="CR212">
        <v>-1</v>
      </c>
      <c r="CS212">
        <v>23.684175</v>
      </c>
      <c r="CT212">
        <v>0.13580262664161311</v>
      </c>
      <c r="CU212">
        <v>1.315280863542056E-2</v>
      </c>
      <c r="CV212">
        <v>-1</v>
      </c>
      <c r="CW212">
        <v>0</v>
      </c>
      <c r="CX212">
        <v>0</v>
      </c>
      <c r="CY212" t="s">
        <v>333</v>
      </c>
      <c r="CZ212">
        <v>2.36477</v>
      </c>
      <c r="DA212">
        <v>2.71387</v>
      </c>
      <c r="DB212">
        <v>9.6747E-2</v>
      </c>
      <c r="DC212">
        <v>0.14599699999999999</v>
      </c>
      <c r="DD212">
        <v>0.113729</v>
      </c>
      <c r="DE212">
        <v>1.76491E-3</v>
      </c>
      <c r="DF212">
        <v>32987.199999999997</v>
      </c>
      <c r="DG212">
        <v>27530.9</v>
      </c>
      <c r="DH212">
        <v>31177.3</v>
      </c>
      <c r="DI212">
        <v>28090.9</v>
      </c>
      <c r="DJ212">
        <v>37510</v>
      </c>
      <c r="DK212">
        <v>39880.699999999997</v>
      </c>
      <c r="DL212">
        <v>44370</v>
      </c>
      <c r="DM212">
        <v>42575.1</v>
      </c>
      <c r="DN212">
        <v>1.4870300000000001</v>
      </c>
      <c r="DO212">
        <v>2.02745</v>
      </c>
      <c r="DP212">
        <v>0.10889799999999999</v>
      </c>
      <c r="DQ212">
        <v>0.151448</v>
      </c>
      <c r="DR212">
        <v>25.226700000000001</v>
      </c>
      <c r="DS212">
        <v>25.0535</v>
      </c>
      <c r="DT212">
        <v>23.2</v>
      </c>
      <c r="DU212">
        <v>29.6</v>
      </c>
      <c r="DV212">
        <v>9.7499599999999997</v>
      </c>
      <c r="DW212">
        <v>61.658700000000003</v>
      </c>
      <c r="DX212">
        <v>36.442300000000003</v>
      </c>
      <c r="DY212">
        <v>1</v>
      </c>
      <c r="DZ212">
        <v>-9.79294E-2</v>
      </c>
      <c r="EA212">
        <v>5.4117600000000002E-2</v>
      </c>
      <c r="EB212">
        <v>20.189800000000002</v>
      </c>
      <c r="EC212">
        <v>5.2415500000000002</v>
      </c>
      <c r="ED212">
        <v>12.039899999999999</v>
      </c>
      <c r="EE212">
        <v>5.0171000000000001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1.8689100000000001</v>
      </c>
      <c r="EL212">
        <v>1.8646400000000001</v>
      </c>
      <c r="EM212">
        <v>1.8692</v>
      </c>
      <c r="EN212">
        <v>1.8672200000000001</v>
      </c>
      <c r="EO212">
        <v>1.8633999999999999</v>
      </c>
      <c r="EP212">
        <v>1.86456</v>
      </c>
      <c r="EQ212">
        <v>1.87018</v>
      </c>
      <c r="ER212">
        <v>1.8694500000000001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-0.24099999999999999</v>
      </c>
      <c r="FG212">
        <v>0.1628</v>
      </c>
      <c r="FH212">
        <v>5.8509882529719233E-2</v>
      </c>
      <c r="FI212">
        <v>-6.1462078757559423E-4</v>
      </c>
      <c r="FJ212">
        <v>-1.8861989874597051E-7</v>
      </c>
      <c r="FK212">
        <v>1.1980462299894961E-10</v>
      </c>
      <c r="FL212">
        <v>0.16277811159127681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41.4</v>
      </c>
      <c r="FU212">
        <v>41.6</v>
      </c>
      <c r="FV212">
        <v>1.7675799999999999</v>
      </c>
      <c r="FW212">
        <v>2.5854499999999998</v>
      </c>
      <c r="FX212">
        <v>1.5490699999999999</v>
      </c>
      <c r="FY212">
        <v>2.3290999999999999</v>
      </c>
      <c r="FZ212">
        <v>1.50146</v>
      </c>
      <c r="GA212">
        <v>2.2924799999999999</v>
      </c>
      <c r="GB212">
        <v>33.941299999999998</v>
      </c>
      <c r="GC212">
        <v>23.982399999999998</v>
      </c>
      <c r="GD212">
        <v>19</v>
      </c>
      <c r="GE212">
        <v>287.23200000000003</v>
      </c>
      <c r="GF212">
        <v>575.02800000000002</v>
      </c>
      <c r="GG212">
        <v>24.762699999999999</v>
      </c>
      <c r="GH212">
        <v>26.158100000000001</v>
      </c>
      <c r="GI212">
        <v>30.0001</v>
      </c>
      <c r="GJ212">
        <v>26.286300000000001</v>
      </c>
      <c r="GK212">
        <v>26.266500000000001</v>
      </c>
      <c r="GL212">
        <v>35.331299999999999</v>
      </c>
      <c r="GM212">
        <v>100</v>
      </c>
      <c r="GN212">
        <v>13.1463</v>
      </c>
      <c r="GO212">
        <v>24.755099999999999</v>
      </c>
      <c r="GP212">
        <v>800</v>
      </c>
      <c r="GQ212">
        <v>0</v>
      </c>
      <c r="GR212">
        <v>99.756399999999999</v>
      </c>
      <c r="GS212">
        <v>99.5989</v>
      </c>
    </row>
    <row r="213" spans="1:201" x14ac:dyDescent="0.25">
      <c r="A213">
        <v>197</v>
      </c>
      <c r="B213">
        <v>1690223015.0999999</v>
      </c>
      <c r="C213">
        <v>2132.599999904633</v>
      </c>
      <c r="D213" t="s">
        <v>725</v>
      </c>
      <c r="E213" t="s">
        <v>726</v>
      </c>
      <c r="F213" t="s">
        <v>330</v>
      </c>
      <c r="H213">
        <v>1690223015.0999999</v>
      </c>
      <c r="I213">
        <f t="shared" si="90"/>
        <v>2.3384447875150691E-3</v>
      </c>
      <c r="J213">
        <f t="shared" si="91"/>
        <v>2.3384447875150691</v>
      </c>
      <c r="K213">
        <f t="shared" si="92"/>
        <v>33.317293659617803</v>
      </c>
      <c r="L213">
        <f t="shared" si="93"/>
        <v>442.87599999999998</v>
      </c>
      <c r="M213">
        <f t="shared" si="94"/>
        <v>117.3365139461862</v>
      </c>
      <c r="N213">
        <f t="shared" si="95"/>
        <v>11.637925603002456</v>
      </c>
      <c r="O213">
        <f t="shared" si="96"/>
        <v>43.926291705914792</v>
      </c>
      <c r="P213">
        <f t="shared" si="97"/>
        <v>0.17321424564516213</v>
      </c>
      <c r="Q213">
        <f t="shared" si="98"/>
        <v>2.197271772048889</v>
      </c>
      <c r="R213">
        <f t="shared" si="99"/>
        <v>0.16597014129068235</v>
      </c>
      <c r="S213">
        <f t="shared" si="100"/>
        <v>0.10435694633544715</v>
      </c>
      <c r="T213">
        <f t="shared" si="101"/>
        <v>276.11664218999999</v>
      </c>
      <c r="U213">
        <f t="shared" si="102"/>
        <v>27.698588971028624</v>
      </c>
      <c r="V213">
        <f t="shared" si="103"/>
        <v>27.698588971028624</v>
      </c>
      <c r="W213">
        <f t="shared" si="104"/>
        <v>3.7286685927226149</v>
      </c>
      <c r="X213">
        <f t="shared" si="105"/>
        <v>68.848197275327223</v>
      </c>
      <c r="Y213">
        <f t="shared" si="106"/>
        <v>2.37420140728329</v>
      </c>
      <c r="Z213">
        <f t="shared" si="107"/>
        <v>3.4484583492996124</v>
      </c>
      <c r="AA213">
        <f t="shared" si="108"/>
        <v>1.3544671854393249</v>
      </c>
      <c r="AB213">
        <f t="shared" si="109"/>
        <v>-103.12541512941455</v>
      </c>
      <c r="AC213">
        <f t="shared" si="110"/>
        <v>-157.60881315383523</v>
      </c>
      <c r="AD213">
        <f t="shared" si="111"/>
        <v>-15.485264735777578</v>
      </c>
      <c r="AE213">
        <f t="shared" si="112"/>
        <v>-0.10285082902737486</v>
      </c>
      <c r="AF213">
        <v>0</v>
      </c>
      <c r="AG213">
        <v>0</v>
      </c>
      <c r="AH213">
        <f t="shared" si="113"/>
        <v>1</v>
      </c>
      <c r="AI213">
        <f t="shared" si="114"/>
        <v>0</v>
      </c>
      <c r="AJ213">
        <f t="shared" si="115"/>
        <v>52626.340849508444</v>
      </c>
      <c r="AK213">
        <f t="shared" si="116"/>
        <v>1800</v>
      </c>
      <c r="AL213">
        <f t="shared" si="117"/>
        <v>1499.111946</v>
      </c>
      <c r="AM213">
        <f t="shared" si="118"/>
        <v>0.83283996999999999</v>
      </c>
      <c r="AN213">
        <f t="shared" si="119"/>
        <v>0.15339813454999998</v>
      </c>
      <c r="AO213">
        <v>31.2</v>
      </c>
      <c r="AP213">
        <v>0.5</v>
      </c>
      <c r="AQ213" t="s">
        <v>331</v>
      </c>
      <c r="AR213">
        <v>2</v>
      </c>
      <c r="AS213">
        <v>1690223015.0999999</v>
      </c>
      <c r="AT213">
        <v>442.87599999999998</v>
      </c>
      <c r="AU213">
        <v>800.01199999999994</v>
      </c>
      <c r="AV213">
        <v>23.9373</v>
      </c>
      <c r="AW213">
        <v>0.208563</v>
      </c>
      <c r="AX213">
        <v>443.11599999999999</v>
      </c>
      <c r="AY213">
        <v>23.7745</v>
      </c>
      <c r="AZ213">
        <v>300.113</v>
      </c>
      <c r="BA213">
        <v>99.084199999999996</v>
      </c>
      <c r="BB213">
        <v>9.9977300000000005E-2</v>
      </c>
      <c r="BC213">
        <v>26.368099999999998</v>
      </c>
      <c r="BD213">
        <v>27.004799999999999</v>
      </c>
      <c r="BE213">
        <v>27.530999999999999</v>
      </c>
      <c r="BF213">
        <v>0</v>
      </c>
      <c r="BG213">
        <v>0</v>
      </c>
      <c r="BH213">
        <v>10024.4</v>
      </c>
      <c r="BI213">
        <v>1075.98</v>
      </c>
      <c r="BJ213">
        <v>1.2334499999999999</v>
      </c>
      <c r="BK213">
        <v>-357.137</v>
      </c>
      <c r="BL213">
        <v>453.73700000000002</v>
      </c>
      <c r="BM213">
        <v>800.17899999999997</v>
      </c>
      <c r="BN213">
        <v>23.7287</v>
      </c>
      <c r="BO213">
        <v>800.01199999999994</v>
      </c>
      <c r="BP213">
        <v>0.208563</v>
      </c>
      <c r="BQ213">
        <v>2.37181</v>
      </c>
      <c r="BR213">
        <v>2.0665300000000001E-2</v>
      </c>
      <c r="BS213">
        <v>20.172599999999999</v>
      </c>
      <c r="BT213">
        <v>-39.109900000000003</v>
      </c>
      <c r="BU213">
        <v>1800</v>
      </c>
      <c r="BV213">
        <v>0.90998400000000002</v>
      </c>
      <c r="BW213">
        <v>3.39946E-2</v>
      </c>
      <c r="BX213">
        <v>2.2009500000000001E-2</v>
      </c>
      <c r="BY213">
        <v>3.4011899999999998E-2</v>
      </c>
      <c r="BZ213">
        <v>26</v>
      </c>
      <c r="CA213">
        <v>33528.199999999997</v>
      </c>
      <c r="CB213">
        <v>1690220522.5999999</v>
      </c>
      <c r="CC213" t="s">
        <v>332</v>
      </c>
      <c r="CD213">
        <v>1690220522.5999999</v>
      </c>
      <c r="CE213">
        <v>1690220510.5999999</v>
      </c>
      <c r="CF213">
        <v>10</v>
      </c>
      <c r="CG213">
        <v>-0.22</v>
      </c>
      <c r="CH213">
        <v>-2.7E-2</v>
      </c>
      <c r="CI213">
        <v>-0.49299999999999999</v>
      </c>
      <c r="CJ213">
        <v>0.152</v>
      </c>
      <c r="CK213">
        <v>800</v>
      </c>
      <c r="CL213">
        <v>19</v>
      </c>
      <c r="CM213">
        <v>0.1</v>
      </c>
      <c r="CN213">
        <v>0.03</v>
      </c>
      <c r="CO213">
        <v>-356.75425000000001</v>
      </c>
      <c r="CP213">
        <v>-1.4566153846151859</v>
      </c>
      <c r="CQ213">
        <v>0.15384598629798801</v>
      </c>
      <c r="CR213">
        <v>-1</v>
      </c>
      <c r="CS213">
        <v>23.706189999999999</v>
      </c>
      <c r="CT213">
        <v>0.1227894934333492</v>
      </c>
      <c r="CU213">
        <v>1.1887741585347529E-2</v>
      </c>
      <c r="CV213">
        <v>-1</v>
      </c>
      <c r="CW213">
        <v>0</v>
      </c>
      <c r="CX213">
        <v>0</v>
      </c>
      <c r="CY213" t="s">
        <v>333</v>
      </c>
      <c r="CZ213">
        <v>2.36449</v>
      </c>
      <c r="DA213">
        <v>2.7137899999999999</v>
      </c>
      <c r="DB213">
        <v>9.6693500000000002E-2</v>
      </c>
      <c r="DC213">
        <v>0.146005</v>
      </c>
      <c r="DD213">
        <v>0.113802</v>
      </c>
      <c r="DE213">
        <v>1.7508000000000001E-3</v>
      </c>
      <c r="DF213">
        <v>32989.800000000003</v>
      </c>
      <c r="DG213">
        <v>27531.599999999999</v>
      </c>
      <c r="DH213">
        <v>31177.9</v>
      </c>
      <c r="DI213">
        <v>28091.8</v>
      </c>
      <c r="DJ213">
        <v>37507.4</v>
      </c>
      <c r="DK213">
        <v>39882.400000000001</v>
      </c>
      <c r="DL213">
        <v>44370.6</v>
      </c>
      <c r="DM213">
        <v>42576.3</v>
      </c>
      <c r="DN213">
        <v>1.4866999999999999</v>
      </c>
      <c r="DO213">
        <v>2.0274000000000001</v>
      </c>
      <c r="DP213">
        <v>0.108443</v>
      </c>
      <c r="DQ213">
        <v>0.151087</v>
      </c>
      <c r="DR213">
        <v>25.2288</v>
      </c>
      <c r="DS213">
        <v>25.057300000000001</v>
      </c>
      <c r="DT213">
        <v>23</v>
      </c>
      <c r="DU213">
        <v>29.6</v>
      </c>
      <c r="DV213">
        <v>9.6644000000000005</v>
      </c>
      <c r="DW213">
        <v>61.468699999999998</v>
      </c>
      <c r="DX213">
        <v>37.363799999999998</v>
      </c>
      <c r="DY213">
        <v>1</v>
      </c>
      <c r="DZ213">
        <v>-9.8084400000000002E-2</v>
      </c>
      <c r="EA213">
        <v>-1.87609E-2</v>
      </c>
      <c r="EB213">
        <v>20.189499999999999</v>
      </c>
      <c r="EC213">
        <v>5.2409499999999998</v>
      </c>
      <c r="ED213">
        <v>12.039899999999999</v>
      </c>
      <c r="EE213">
        <v>5.0168499999999998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1.8689199999999999</v>
      </c>
      <c r="EL213">
        <v>1.8646400000000001</v>
      </c>
      <c r="EM213">
        <v>1.8691899999999999</v>
      </c>
      <c r="EN213">
        <v>1.8672200000000001</v>
      </c>
      <c r="EO213">
        <v>1.8633999999999999</v>
      </c>
      <c r="EP213">
        <v>1.86453</v>
      </c>
      <c r="EQ213">
        <v>1.87018</v>
      </c>
      <c r="ER213">
        <v>1.86944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-0.24</v>
      </c>
      <c r="FG213">
        <v>0.1628</v>
      </c>
      <c r="FH213">
        <v>5.8509882529719233E-2</v>
      </c>
      <c r="FI213">
        <v>-6.1462078757559423E-4</v>
      </c>
      <c r="FJ213">
        <v>-1.8861989874597051E-7</v>
      </c>
      <c r="FK213">
        <v>1.1980462299894961E-10</v>
      </c>
      <c r="FL213">
        <v>0.16277811159127681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41.5</v>
      </c>
      <c r="FU213">
        <v>41.7</v>
      </c>
      <c r="FV213">
        <v>1.7675799999999999</v>
      </c>
      <c r="FW213">
        <v>2.5781200000000002</v>
      </c>
      <c r="FX213">
        <v>1.5490699999999999</v>
      </c>
      <c r="FY213">
        <v>2.3290999999999999</v>
      </c>
      <c r="FZ213">
        <v>1.50146</v>
      </c>
      <c r="GA213">
        <v>2.3889200000000002</v>
      </c>
      <c r="GB213">
        <v>33.941299999999998</v>
      </c>
      <c r="GC213">
        <v>23.991199999999999</v>
      </c>
      <c r="GD213">
        <v>19</v>
      </c>
      <c r="GE213">
        <v>287.08100000000002</v>
      </c>
      <c r="GF213">
        <v>574.98699999999997</v>
      </c>
      <c r="GG213">
        <v>24.752600000000001</v>
      </c>
      <c r="GH213">
        <v>26.158100000000001</v>
      </c>
      <c r="GI213">
        <v>30</v>
      </c>
      <c r="GJ213">
        <v>26.284199999999998</v>
      </c>
      <c r="GK213">
        <v>26.266500000000001</v>
      </c>
      <c r="GL213">
        <v>35.333199999999998</v>
      </c>
      <c r="GM213">
        <v>100</v>
      </c>
      <c r="GN213">
        <v>12.770799999999999</v>
      </c>
      <c r="GO213">
        <v>24.748000000000001</v>
      </c>
      <c r="GP213">
        <v>800</v>
      </c>
      <c r="GQ213">
        <v>0</v>
      </c>
      <c r="GR213">
        <v>99.757999999999996</v>
      </c>
      <c r="GS213">
        <v>99.601799999999997</v>
      </c>
    </row>
    <row r="214" spans="1:201" x14ac:dyDescent="0.25">
      <c r="A214">
        <v>198</v>
      </c>
      <c r="B214">
        <v>1690223025.0999999</v>
      </c>
      <c r="C214">
        <v>2142.599999904633</v>
      </c>
      <c r="D214" t="s">
        <v>727</v>
      </c>
      <c r="E214" t="s">
        <v>728</v>
      </c>
      <c r="F214" t="s">
        <v>330</v>
      </c>
      <c r="H214">
        <v>1690223025.0999999</v>
      </c>
      <c r="I214">
        <f t="shared" si="90"/>
        <v>2.3407157029391606E-3</v>
      </c>
      <c r="J214">
        <f t="shared" si="91"/>
        <v>2.3407157029391605</v>
      </c>
      <c r="K214">
        <f t="shared" si="92"/>
        <v>33.355460261417036</v>
      </c>
      <c r="L214">
        <f t="shared" si="93"/>
        <v>442.49700000000001</v>
      </c>
      <c r="M214">
        <f t="shared" si="94"/>
        <v>117.08924676419721</v>
      </c>
      <c r="N214">
        <f t="shared" si="95"/>
        <v>11.613293743628066</v>
      </c>
      <c r="O214">
        <f t="shared" si="96"/>
        <v>43.888297035706202</v>
      </c>
      <c r="P214">
        <f t="shared" si="97"/>
        <v>0.17349569872774687</v>
      </c>
      <c r="Q214">
        <f t="shared" si="98"/>
        <v>2.1948058284357019</v>
      </c>
      <c r="R214">
        <f t="shared" si="99"/>
        <v>0.16622076776873626</v>
      </c>
      <c r="S214">
        <f t="shared" si="100"/>
        <v>0.10451618340589047</v>
      </c>
      <c r="T214">
        <f t="shared" si="101"/>
        <v>276.11638765200001</v>
      </c>
      <c r="U214">
        <f t="shared" si="102"/>
        <v>27.703772313887235</v>
      </c>
      <c r="V214">
        <f t="shared" si="103"/>
        <v>27.703772313887235</v>
      </c>
      <c r="W214">
        <f t="shared" si="104"/>
        <v>3.7297979672139552</v>
      </c>
      <c r="X214">
        <f t="shared" si="105"/>
        <v>68.884372917721194</v>
      </c>
      <c r="Y214">
        <f t="shared" si="106"/>
        <v>2.37609379671636</v>
      </c>
      <c r="Z214">
        <f t="shared" si="107"/>
        <v>3.4493945376471391</v>
      </c>
      <c r="AA214">
        <f t="shared" si="108"/>
        <v>1.3537041704975952</v>
      </c>
      <c r="AB214">
        <f t="shared" si="109"/>
        <v>-103.22556249961698</v>
      </c>
      <c r="AC214">
        <f t="shared" si="110"/>
        <v>-157.50095753582377</v>
      </c>
      <c r="AD214">
        <f t="shared" si="111"/>
        <v>-15.492811946190329</v>
      </c>
      <c r="AE214">
        <f t="shared" si="112"/>
        <v>-0.1029443296310717</v>
      </c>
      <c r="AF214">
        <v>0</v>
      </c>
      <c r="AG214">
        <v>0</v>
      </c>
      <c r="AH214">
        <f t="shared" si="113"/>
        <v>1</v>
      </c>
      <c r="AI214">
        <f t="shared" si="114"/>
        <v>0</v>
      </c>
      <c r="AJ214">
        <f t="shared" si="115"/>
        <v>52524.383894041581</v>
      </c>
      <c r="AK214">
        <f t="shared" si="116"/>
        <v>1800</v>
      </c>
      <c r="AL214">
        <f t="shared" si="117"/>
        <v>1499.1118362</v>
      </c>
      <c r="AM214">
        <f t="shared" si="118"/>
        <v>0.83283990900000004</v>
      </c>
      <c r="AN214">
        <f t="shared" si="119"/>
        <v>0.15339799313999999</v>
      </c>
      <c r="AO214">
        <v>31.2</v>
      </c>
      <c r="AP214">
        <v>0.5</v>
      </c>
      <c r="AQ214" t="s">
        <v>331</v>
      </c>
      <c r="AR214">
        <v>2</v>
      </c>
      <c r="AS214">
        <v>1690223025.0999999</v>
      </c>
      <c r="AT214">
        <v>442.49700000000001</v>
      </c>
      <c r="AU214">
        <v>800.00599999999997</v>
      </c>
      <c r="AV214">
        <v>23.956600000000002</v>
      </c>
      <c r="AW214">
        <v>0.206951</v>
      </c>
      <c r="AX214">
        <v>442.73700000000002</v>
      </c>
      <c r="AY214">
        <v>23.793800000000001</v>
      </c>
      <c r="AZ214">
        <v>300.13400000000001</v>
      </c>
      <c r="BA214">
        <v>99.083299999999994</v>
      </c>
      <c r="BB214">
        <v>9.9964600000000001E-2</v>
      </c>
      <c r="BC214">
        <v>26.372699999999998</v>
      </c>
      <c r="BD214">
        <v>27.009499999999999</v>
      </c>
      <c r="BE214">
        <v>27.533000000000001</v>
      </c>
      <c r="BF214">
        <v>0</v>
      </c>
      <c r="BG214">
        <v>0</v>
      </c>
      <c r="BH214">
        <v>10004.4</v>
      </c>
      <c r="BI214">
        <v>1075.8</v>
      </c>
      <c r="BJ214">
        <v>1.38063</v>
      </c>
      <c r="BK214">
        <v>-357.50900000000001</v>
      </c>
      <c r="BL214">
        <v>453.358</v>
      </c>
      <c r="BM214">
        <v>800.17100000000005</v>
      </c>
      <c r="BN214">
        <v>23.749600000000001</v>
      </c>
      <c r="BO214">
        <v>800.00599999999997</v>
      </c>
      <c r="BP214">
        <v>0.206951</v>
      </c>
      <c r="BQ214">
        <v>2.3736999999999999</v>
      </c>
      <c r="BR214">
        <v>2.0505300000000001E-2</v>
      </c>
      <c r="BS214">
        <v>20.185400000000001</v>
      </c>
      <c r="BT214">
        <v>-39.184899999999999</v>
      </c>
      <c r="BU214">
        <v>1800</v>
      </c>
      <c r="BV214">
        <v>0.90998699999999999</v>
      </c>
      <c r="BW214">
        <v>3.3993299999999997E-2</v>
      </c>
      <c r="BX214">
        <v>2.2008699999999999E-2</v>
      </c>
      <c r="BY214">
        <v>3.4010600000000002E-2</v>
      </c>
      <c r="BZ214">
        <v>26</v>
      </c>
      <c r="CA214">
        <v>33528.300000000003</v>
      </c>
      <c r="CB214">
        <v>1690220522.5999999</v>
      </c>
      <c r="CC214" t="s">
        <v>332</v>
      </c>
      <c r="CD214">
        <v>1690220522.5999999</v>
      </c>
      <c r="CE214">
        <v>1690220510.5999999</v>
      </c>
      <c r="CF214">
        <v>10</v>
      </c>
      <c r="CG214">
        <v>-0.22</v>
      </c>
      <c r="CH214">
        <v>-2.7E-2</v>
      </c>
      <c r="CI214">
        <v>-0.49299999999999999</v>
      </c>
      <c r="CJ214">
        <v>0.152</v>
      </c>
      <c r="CK214">
        <v>800</v>
      </c>
      <c r="CL214">
        <v>19</v>
      </c>
      <c r="CM214">
        <v>0.1</v>
      </c>
      <c r="CN214">
        <v>0.03</v>
      </c>
      <c r="CO214">
        <v>-357.04856097560969</v>
      </c>
      <c r="CP214">
        <v>-2.2317700348438758</v>
      </c>
      <c r="CQ214">
        <v>0.2243559942048195</v>
      </c>
      <c r="CR214">
        <v>-1</v>
      </c>
      <c r="CS214">
        <v>23.725073170731701</v>
      </c>
      <c r="CT214">
        <v>0.1244111498257655</v>
      </c>
      <c r="CU214">
        <v>1.2315031948707219E-2</v>
      </c>
      <c r="CV214">
        <v>-1</v>
      </c>
      <c r="CW214">
        <v>0</v>
      </c>
      <c r="CX214">
        <v>0</v>
      </c>
      <c r="CY214" t="s">
        <v>333</v>
      </c>
      <c r="CZ214">
        <v>2.3645700000000001</v>
      </c>
      <c r="DA214">
        <v>2.7137600000000002</v>
      </c>
      <c r="DB214">
        <v>9.6630900000000006E-2</v>
      </c>
      <c r="DC214">
        <v>0.14600299999999999</v>
      </c>
      <c r="DD214">
        <v>0.11386599999999999</v>
      </c>
      <c r="DE214">
        <v>1.7374300000000001E-3</v>
      </c>
      <c r="DF214">
        <v>32992.300000000003</v>
      </c>
      <c r="DG214">
        <v>27531.3</v>
      </c>
      <c r="DH214">
        <v>31178.1</v>
      </c>
      <c r="DI214">
        <v>28091.5</v>
      </c>
      <c r="DJ214">
        <v>37505</v>
      </c>
      <c r="DK214">
        <v>39882.400000000001</v>
      </c>
      <c r="DL214">
        <v>44371</v>
      </c>
      <c r="DM214">
        <v>42575.6</v>
      </c>
      <c r="DN214">
        <v>1.48685</v>
      </c>
      <c r="DO214">
        <v>2.0275500000000002</v>
      </c>
      <c r="DP214">
        <v>0.108503</v>
      </c>
      <c r="DQ214">
        <v>0.150863</v>
      </c>
      <c r="DR214">
        <v>25.232500000000002</v>
      </c>
      <c r="DS214">
        <v>25.062999999999999</v>
      </c>
      <c r="DT214">
        <v>22.8</v>
      </c>
      <c r="DU214">
        <v>29.7</v>
      </c>
      <c r="DV214">
        <v>9.6365400000000001</v>
      </c>
      <c r="DW214">
        <v>61.548699999999997</v>
      </c>
      <c r="DX214">
        <v>36.526400000000002</v>
      </c>
      <c r="DY214">
        <v>1</v>
      </c>
      <c r="DZ214">
        <v>-9.8681400000000002E-2</v>
      </c>
      <c r="EA214">
        <v>7.9520700000000003E-4</v>
      </c>
      <c r="EB214">
        <v>20.189599999999999</v>
      </c>
      <c r="EC214">
        <v>5.2408000000000001</v>
      </c>
      <c r="ED214">
        <v>12.039899999999999</v>
      </c>
      <c r="EE214">
        <v>5.0166000000000004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1.8689100000000001</v>
      </c>
      <c r="EL214">
        <v>1.8646499999999999</v>
      </c>
      <c r="EM214">
        <v>1.8691800000000001</v>
      </c>
      <c r="EN214">
        <v>1.8672500000000001</v>
      </c>
      <c r="EO214">
        <v>1.8633999999999999</v>
      </c>
      <c r="EP214">
        <v>1.8645400000000001</v>
      </c>
      <c r="EQ214">
        <v>1.8701700000000001</v>
      </c>
      <c r="ER214">
        <v>1.8694500000000001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-0.24</v>
      </c>
      <c r="FG214">
        <v>0.1628</v>
      </c>
      <c r="FH214">
        <v>5.8509882529719233E-2</v>
      </c>
      <c r="FI214">
        <v>-6.1462078757559423E-4</v>
      </c>
      <c r="FJ214">
        <v>-1.8861989874597051E-7</v>
      </c>
      <c r="FK214">
        <v>1.1980462299894961E-10</v>
      </c>
      <c r="FL214">
        <v>0.16277811159127681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41.7</v>
      </c>
      <c r="FU214">
        <v>41.9</v>
      </c>
      <c r="FV214">
        <v>1.7675799999999999</v>
      </c>
      <c r="FW214">
        <v>2.5842299999999998</v>
      </c>
      <c r="FX214">
        <v>1.5490699999999999</v>
      </c>
      <c r="FY214">
        <v>2.3290999999999999</v>
      </c>
      <c r="FZ214">
        <v>1.50146</v>
      </c>
      <c r="GA214">
        <v>2.3840300000000001</v>
      </c>
      <c r="GB214">
        <v>33.941299999999998</v>
      </c>
      <c r="GC214">
        <v>23.982399999999998</v>
      </c>
      <c r="GD214">
        <v>19</v>
      </c>
      <c r="GE214">
        <v>287.14699999999999</v>
      </c>
      <c r="GF214">
        <v>575.08699999999999</v>
      </c>
      <c r="GG214">
        <v>24.744900000000001</v>
      </c>
      <c r="GH214">
        <v>26.155899999999999</v>
      </c>
      <c r="GI214">
        <v>30</v>
      </c>
      <c r="GJ214">
        <v>26.284199999999998</v>
      </c>
      <c r="GK214">
        <v>26.264399999999998</v>
      </c>
      <c r="GL214">
        <v>35.330300000000001</v>
      </c>
      <c r="GM214">
        <v>100</v>
      </c>
      <c r="GN214">
        <v>11.984999999999999</v>
      </c>
      <c r="GO214">
        <v>24.732299999999999</v>
      </c>
      <c r="GP214">
        <v>800</v>
      </c>
      <c r="GQ214">
        <v>0</v>
      </c>
      <c r="GR214">
        <v>99.758799999999994</v>
      </c>
      <c r="GS214">
        <v>99.600399999999993</v>
      </c>
    </row>
    <row r="215" spans="1:201" x14ac:dyDescent="0.25">
      <c r="A215">
        <v>199</v>
      </c>
      <c r="B215">
        <v>1690223035.0999999</v>
      </c>
      <c r="C215">
        <v>2152.599999904633</v>
      </c>
      <c r="D215" t="s">
        <v>729</v>
      </c>
      <c r="E215" t="s">
        <v>730</v>
      </c>
      <c r="F215" t="s">
        <v>330</v>
      </c>
      <c r="H215">
        <v>1690223035.0999999</v>
      </c>
      <c r="I215">
        <f t="shared" si="90"/>
        <v>2.341898415489155E-3</v>
      </c>
      <c r="J215">
        <f t="shared" si="91"/>
        <v>2.3418984154891551</v>
      </c>
      <c r="K215">
        <f t="shared" si="92"/>
        <v>33.37043409425614</v>
      </c>
      <c r="L215">
        <f t="shared" si="93"/>
        <v>442.29599999999999</v>
      </c>
      <c r="M215">
        <f t="shared" si="94"/>
        <v>117.15348771531393</v>
      </c>
      <c r="N215">
        <f t="shared" si="95"/>
        <v>11.619304128101462</v>
      </c>
      <c r="O215">
        <f t="shared" si="96"/>
        <v>43.866997379805603</v>
      </c>
      <c r="P215">
        <f t="shared" si="97"/>
        <v>0.17371334198938582</v>
      </c>
      <c r="Q215">
        <f t="shared" si="98"/>
        <v>2.1979834935057707</v>
      </c>
      <c r="R215">
        <f t="shared" si="99"/>
        <v>0.16643062788865956</v>
      </c>
      <c r="S215">
        <f t="shared" si="100"/>
        <v>0.10464802276879026</v>
      </c>
      <c r="T215">
        <f t="shared" si="101"/>
        <v>276.11507874281818</v>
      </c>
      <c r="U215">
        <f t="shared" si="102"/>
        <v>27.704005095506485</v>
      </c>
      <c r="V215">
        <f t="shared" si="103"/>
        <v>27.704005095506485</v>
      </c>
      <c r="W215">
        <f t="shared" si="104"/>
        <v>3.7298486939221722</v>
      </c>
      <c r="X215">
        <f t="shared" si="105"/>
        <v>68.90726315152493</v>
      </c>
      <c r="Y215">
        <f t="shared" si="106"/>
        <v>2.3772200067315699</v>
      </c>
      <c r="Z215">
        <f t="shared" si="107"/>
        <v>3.4498830718383586</v>
      </c>
      <c r="AA215">
        <f t="shared" si="108"/>
        <v>1.3526286871906024</v>
      </c>
      <c r="AB215">
        <f t="shared" si="109"/>
        <v>-103.27772012307173</v>
      </c>
      <c r="AC215">
        <f t="shared" si="110"/>
        <v>-157.47217886652049</v>
      </c>
      <c r="AD215">
        <f t="shared" si="111"/>
        <v>-15.467790280952999</v>
      </c>
      <c r="AE215">
        <f t="shared" si="112"/>
        <v>-0.1026105277270517</v>
      </c>
      <c r="AF215">
        <v>0</v>
      </c>
      <c r="AG215">
        <v>0</v>
      </c>
      <c r="AH215">
        <f t="shared" si="113"/>
        <v>1</v>
      </c>
      <c r="AI215">
        <f t="shared" si="114"/>
        <v>0</v>
      </c>
      <c r="AJ215">
        <f t="shared" si="115"/>
        <v>52654.233665585998</v>
      </c>
      <c r="AK215">
        <f t="shared" si="116"/>
        <v>1799.99</v>
      </c>
      <c r="AL215">
        <f t="shared" si="117"/>
        <v>1499.10446899557</v>
      </c>
      <c r="AM215">
        <f t="shared" si="118"/>
        <v>0.83284044299999993</v>
      </c>
      <c r="AN215">
        <f t="shared" si="119"/>
        <v>0.15339811817999999</v>
      </c>
      <c r="AO215">
        <v>31.2</v>
      </c>
      <c r="AP215">
        <v>0.5</v>
      </c>
      <c r="AQ215" t="s">
        <v>331</v>
      </c>
      <c r="AR215">
        <v>2</v>
      </c>
      <c r="AS215">
        <v>1690223035.0999999</v>
      </c>
      <c r="AT215">
        <v>442.29599999999999</v>
      </c>
      <c r="AU215">
        <v>799.99099999999999</v>
      </c>
      <c r="AV215">
        <v>23.968699999999998</v>
      </c>
      <c r="AW215">
        <v>0.20536599999999999</v>
      </c>
      <c r="AX215">
        <v>442.53699999999998</v>
      </c>
      <c r="AY215">
        <v>23.806000000000001</v>
      </c>
      <c r="AZ215">
        <v>300.10899999999998</v>
      </c>
      <c r="BA215">
        <v>99.080299999999994</v>
      </c>
      <c r="BB215">
        <v>9.98811E-2</v>
      </c>
      <c r="BC215">
        <v>26.3751</v>
      </c>
      <c r="BD215">
        <v>26.995799999999999</v>
      </c>
      <c r="BE215">
        <v>27.524799999999999</v>
      </c>
      <c r="BF215">
        <v>0</v>
      </c>
      <c r="BG215">
        <v>0</v>
      </c>
      <c r="BH215">
        <v>10030.6</v>
      </c>
      <c r="BI215">
        <v>1075.7</v>
      </c>
      <c r="BJ215">
        <v>1.5137799999999999</v>
      </c>
      <c r="BK215">
        <v>-357.69400000000002</v>
      </c>
      <c r="BL215">
        <v>453.15800000000002</v>
      </c>
      <c r="BM215">
        <v>800.15499999999997</v>
      </c>
      <c r="BN215">
        <v>23.763400000000001</v>
      </c>
      <c r="BO215">
        <v>799.99099999999999</v>
      </c>
      <c r="BP215">
        <v>0.20536599999999999</v>
      </c>
      <c r="BQ215">
        <v>2.3748300000000002</v>
      </c>
      <c r="BR215">
        <v>2.03477E-2</v>
      </c>
      <c r="BS215">
        <v>20.193200000000001</v>
      </c>
      <c r="BT215">
        <v>-39.259399999999999</v>
      </c>
      <c r="BU215">
        <v>1799.99</v>
      </c>
      <c r="BV215">
        <v>0.90998699999999999</v>
      </c>
      <c r="BW215">
        <v>3.3993599999999999E-2</v>
      </c>
      <c r="BX215">
        <v>2.2008900000000001E-2</v>
      </c>
      <c r="BY215">
        <v>3.4010800000000001E-2</v>
      </c>
      <c r="BZ215">
        <v>26</v>
      </c>
      <c r="CA215">
        <v>33528.199999999997</v>
      </c>
      <c r="CB215">
        <v>1690220522.5999999</v>
      </c>
      <c r="CC215" t="s">
        <v>332</v>
      </c>
      <c r="CD215">
        <v>1690220522.5999999</v>
      </c>
      <c r="CE215">
        <v>1690220510.5999999</v>
      </c>
      <c r="CF215">
        <v>10</v>
      </c>
      <c r="CG215">
        <v>-0.22</v>
      </c>
      <c r="CH215">
        <v>-2.7E-2</v>
      </c>
      <c r="CI215">
        <v>-0.49299999999999999</v>
      </c>
      <c r="CJ215">
        <v>0.152</v>
      </c>
      <c r="CK215">
        <v>800</v>
      </c>
      <c r="CL215">
        <v>19</v>
      </c>
      <c r="CM215">
        <v>0.1</v>
      </c>
      <c r="CN215">
        <v>0.03</v>
      </c>
      <c r="CO215">
        <v>-357.40626829268302</v>
      </c>
      <c r="CP215">
        <v>-1.9980418118462071</v>
      </c>
      <c r="CQ215">
        <v>0.19885097059567899</v>
      </c>
      <c r="CR215">
        <v>-1</v>
      </c>
      <c r="CS215">
        <v>23.74456341463415</v>
      </c>
      <c r="CT215">
        <v>0.1071993031359397</v>
      </c>
      <c r="CU215">
        <v>1.06764558862711E-2</v>
      </c>
      <c r="CV215">
        <v>-1</v>
      </c>
      <c r="CW215">
        <v>0</v>
      </c>
      <c r="CX215">
        <v>0</v>
      </c>
      <c r="CY215" t="s">
        <v>333</v>
      </c>
      <c r="CZ215">
        <v>2.3645</v>
      </c>
      <c r="DA215">
        <v>2.7136999999999998</v>
      </c>
      <c r="DB215">
        <v>9.6595299999999995E-2</v>
      </c>
      <c r="DC215">
        <v>0.14599699999999999</v>
      </c>
      <c r="DD215">
        <v>0.113903</v>
      </c>
      <c r="DE215">
        <v>1.7242399999999999E-3</v>
      </c>
      <c r="DF215">
        <v>32993.699999999997</v>
      </c>
      <c r="DG215">
        <v>27531.5</v>
      </c>
      <c r="DH215">
        <v>31178.3</v>
      </c>
      <c r="DI215">
        <v>28091.5</v>
      </c>
      <c r="DJ215">
        <v>37503.699999999997</v>
      </c>
      <c r="DK215">
        <v>39883.1</v>
      </c>
      <c r="DL215">
        <v>44371.5</v>
      </c>
      <c r="DM215">
        <v>42575.9</v>
      </c>
      <c r="DN215">
        <v>1.4866999999999999</v>
      </c>
      <c r="DO215">
        <v>2.0274700000000001</v>
      </c>
      <c r="DP215">
        <v>0.10741100000000001</v>
      </c>
      <c r="DQ215">
        <v>0.150066</v>
      </c>
      <c r="DR215">
        <v>25.236699999999999</v>
      </c>
      <c r="DS215">
        <v>25.067799999999998</v>
      </c>
      <c r="DT215">
        <v>22.6</v>
      </c>
      <c r="DU215">
        <v>29.6</v>
      </c>
      <c r="DV215">
        <v>9.4962499999999999</v>
      </c>
      <c r="DW215">
        <v>61.688699999999997</v>
      </c>
      <c r="DX215">
        <v>37.475999999999999</v>
      </c>
      <c r="DY215">
        <v>1</v>
      </c>
      <c r="DZ215">
        <v>-9.7959900000000003E-2</v>
      </c>
      <c r="EA215">
        <v>8.4632399999999997E-2</v>
      </c>
      <c r="EB215">
        <v>20.189599999999999</v>
      </c>
      <c r="EC215">
        <v>5.2406499999999996</v>
      </c>
      <c r="ED215">
        <v>12.039899999999999</v>
      </c>
      <c r="EE215">
        <v>5.0166500000000003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1.8689499999999999</v>
      </c>
      <c r="EL215">
        <v>1.8646400000000001</v>
      </c>
      <c r="EM215">
        <v>1.8691899999999999</v>
      </c>
      <c r="EN215">
        <v>1.8672299999999999</v>
      </c>
      <c r="EO215">
        <v>1.8633999999999999</v>
      </c>
      <c r="EP215">
        <v>1.8645400000000001</v>
      </c>
      <c r="EQ215">
        <v>1.87019</v>
      </c>
      <c r="ER215">
        <v>1.8694599999999999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-0.24099999999999999</v>
      </c>
      <c r="FG215">
        <v>0.16270000000000001</v>
      </c>
      <c r="FH215">
        <v>5.8509882529719233E-2</v>
      </c>
      <c r="FI215">
        <v>-6.1462078757559423E-4</v>
      </c>
      <c r="FJ215">
        <v>-1.8861989874597051E-7</v>
      </c>
      <c r="FK215">
        <v>1.1980462299894961E-10</v>
      </c>
      <c r="FL215">
        <v>0.16277811159127681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41.9</v>
      </c>
      <c r="FU215">
        <v>42.1</v>
      </c>
      <c r="FV215">
        <v>1.7675799999999999</v>
      </c>
      <c r="FW215">
        <v>2.5781200000000002</v>
      </c>
      <c r="FX215">
        <v>1.5490699999999999</v>
      </c>
      <c r="FY215">
        <v>2.3290999999999999</v>
      </c>
      <c r="FZ215">
        <v>1.50146</v>
      </c>
      <c r="GA215">
        <v>2.34253</v>
      </c>
      <c r="GB215">
        <v>33.941299999999998</v>
      </c>
      <c r="GC215">
        <v>23.982399999999998</v>
      </c>
      <c r="GD215">
        <v>19</v>
      </c>
      <c r="GE215">
        <v>287.08199999999999</v>
      </c>
      <c r="GF215">
        <v>575.024</v>
      </c>
      <c r="GG215">
        <v>24.7195</v>
      </c>
      <c r="GH215">
        <v>26.155899999999999</v>
      </c>
      <c r="GI215">
        <v>30.000299999999999</v>
      </c>
      <c r="GJ215">
        <v>26.284199999999998</v>
      </c>
      <c r="GK215">
        <v>26.264299999999999</v>
      </c>
      <c r="GL215">
        <v>35.331400000000002</v>
      </c>
      <c r="GM215">
        <v>100</v>
      </c>
      <c r="GN215">
        <v>11.602499999999999</v>
      </c>
      <c r="GO215">
        <v>24.690799999999999</v>
      </c>
      <c r="GP215">
        <v>800</v>
      </c>
      <c r="GQ215">
        <v>0</v>
      </c>
      <c r="GR215">
        <v>99.759600000000006</v>
      </c>
      <c r="GS215">
        <v>99.600800000000007</v>
      </c>
    </row>
    <row r="216" spans="1:201" x14ac:dyDescent="0.25">
      <c r="A216">
        <v>200</v>
      </c>
      <c r="B216">
        <v>1690223045.0999999</v>
      </c>
      <c r="C216">
        <v>2162.599999904633</v>
      </c>
      <c r="D216" t="s">
        <v>731</v>
      </c>
      <c r="E216" t="s">
        <v>732</v>
      </c>
      <c r="F216" t="s">
        <v>330</v>
      </c>
      <c r="H216">
        <v>1690223045.0999999</v>
      </c>
      <c r="I216">
        <f t="shared" si="90"/>
        <v>2.3424390965710602E-3</v>
      </c>
      <c r="J216">
        <f t="shared" si="91"/>
        <v>2.3424390965710602</v>
      </c>
      <c r="K216">
        <f t="shared" si="92"/>
        <v>33.400718204725685</v>
      </c>
      <c r="L216">
        <f t="shared" si="93"/>
        <v>441.97199999999998</v>
      </c>
      <c r="M216">
        <f t="shared" si="94"/>
        <v>116.78909549731912</v>
      </c>
      <c r="N216">
        <f t="shared" si="95"/>
        <v>11.583300039913937</v>
      </c>
      <c r="O216">
        <f t="shared" si="96"/>
        <v>43.835379180227996</v>
      </c>
      <c r="P216">
        <f t="shared" si="97"/>
        <v>0.1738664924328128</v>
      </c>
      <c r="Q216">
        <f t="shared" si="98"/>
        <v>2.1917053122075383</v>
      </c>
      <c r="R216">
        <f t="shared" si="99"/>
        <v>0.16655126917823121</v>
      </c>
      <c r="S216">
        <f t="shared" si="100"/>
        <v>0.10472613920057051</v>
      </c>
      <c r="T216">
        <f t="shared" si="101"/>
        <v>276.11490027380972</v>
      </c>
      <c r="U216">
        <f t="shared" si="102"/>
        <v>27.703991215692742</v>
      </c>
      <c r="V216">
        <f t="shared" si="103"/>
        <v>27.703991215692742</v>
      </c>
      <c r="W216">
        <f t="shared" si="104"/>
        <v>3.7298456692796216</v>
      </c>
      <c r="X216">
        <f t="shared" si="105"/>
        <v>68.939609637878036</v>
      </c>
      <c r="Y216">
        <f t="shared" si="106"/>
        <v>2.377872842275</v>
      </c>
      <c r="Z216">
        <f t="shared" si="107"/>
        <v>3.4492113529005346</v>
      </c>
      <c r="AA216">
        <f t="shared" si="108"/>
        <v>1.3519728270046216</v>
      </c>
      <c r="AB216">
        <f t="shared" si="109"/>
        <v>-103.30156415878375</v>
      </c>
      <c r="AC216">
        <f t="shared" si="110"/>
        <v>-157.41067066308077</v>
      </c>
      <c r="AD216">
        <f t="shared" si="111"/>
        <v>-15.505782562359558</v>
      </c>
      <c r="AE216">
        <f t="shared" si="112"/>
        <v>-0.10311711041435956</v>
      </c>
      <c r="AF216">
        <v>0</v>
      </c>
      <c r="AG216">
        <v>0</v>
      </c>
      <c r="AH216">
        <f t="shared" si="113"/>
        <v>1</v>
      </c>
      <c r="AI216">
        <f t="shared" si="114"/>
        <v>0</v>
      </c>
      <c r="AJ216">
        <f t="shared" si="115"/>
        <v>52397.515287480928</v>
      </c>
      <c r="AK216">
        <f t="shared" si="116"/>
        <v>1799.99</v>
      </c>
      <c r="AL216">
        <f t="shared" si="117"/>
        <v>1499.1050359924197</v>
      </c>
      <c r="AM216">
        <f t="shared" si="118"/>
        <v>0.8328407579999999</v>
      </c>
      <c r="AN216">
        <f t="shared" si="119"/>
        <v>0.15339801903</v>
      </c>
      <c r="AO216">
        <v>31.2</v>
      </c>
      <c r="AP216">
        <v>0.5</v>
      </c>
      <c r="AQ216" t="s">
        <v>331</v>
      </c>
      <c r="AR216">
        <v>2</v>
      </c>
      <c r="AS216">
        <v>1690223045.0999999</v>
      </c>
      <c r="AT216">
        <v>441.97199999999998</v>
      </c>
      <c r="AU216">
        <v>800.01700000000005</v>
      </c>
      <c r="AV216">
        <v>23.975000000000001</v>
      </c>
      <c r="AW216">
        <v>0.20363999999999999</v>
      </c>
      <c r="AX216">
        <v>442.21199999999999</v>
      </c>
      <c r="AY216">
        <v>23.812200000000001</v>
      </c>
      <c r="AZ216">
        <v>300.07499999999999</v>
      </c>
      <c r="BA216">
        <v>99.081400000000002</v>
      </c>
      <c r="BB216">
        <v>9.9948999999999996E-2</v>
      </c>
      <c r="BC216">
        <v>26.3718</v>
      </c>
      <c r="BD216">
        <v>27.006699999999999</v>
      </c>
      <c r="BE216">
        <v>27.528300000000002</v>
      </c>
      <c r="BF216">
        <v>0</v>
      </c>
      <c r="BG216">
        <v>0</v>
      </c>
      <c r="BH216">
        <v>9979.3799999999992</v>
      </c>
      <c r="BI216">
        <v>1075.52</v>
      </c>
      <c r="BJ216">
        <v>1.5137799999999999</v>
      </c>
      <c r="BK216">
        <v>-358.04399999999998</v>
      </c>
      <c r="BL216">
        <v>452.82900000000001</v>
      </c>
      <c r="BM216">
        <v>800.18</v>
      </c>
      <c r="BN216">
        <v>23.7714</v>
      </c>
      <c r="BO216">
        <v>800.01700000000005</v>
      </c>
      <c r="BP216">
        <v>0.20363999999999999</v>
      </c>
      <c r="BQ216">
        <v>2.37547</v>
      </c>
      <c r="BR216">
        <v>2.0176900000000001E-2</v>
      </c>
      <c r="BS216">
        <v>20.197600000000001</v>
      </c>
      <c r="BT216">
        <v>-39.340699999999998</v>
      </c>
      <c r="BU216">
        <v>1799.99</v>
      </c>
      <c r="BV216">
        <v>0.90999099999999999</v>
      </c>
      <c r="BW216">
        <v>3.3992099999999997E-2</v>
      </c>
      <c r="BX216">
        <v>2.20079E-2</v>
      </c>
      <c r="BY216">
        <v>3.4009299999999999E-2</v>
      </c>
      <c r="BZ216">
        <v>26</v>
      </c>
      <c r="CA216">
        <v>33528.199999999997</v>
      </c>
      <c r="CB216">
        <v>1690220522.5999999</v>
      </c>
      <c r="CC216" t="s">
        <v>332</v>
      </c>
      <c r="CD216">
        <v>1690220522.5999999</v>
      </c>
      <c r="CE216">
        <v>1690220510.5999999</v>
      </c>
      <c r="CF216">
        <v>10</v>
      </c>
      <c r="CG216">
        <v>-0.22</v>
      </c>
      <c r="CH216">
        <v>-2.7E-2</v>
      </c>
      <c r="CI216">
        <v>-0.49299999999999999</v>
      </c>
      <c r="CJ216">
        <v>0.152</v>
      </c>
      <c r="CK216">
        <v>800</v>
      </c>
      <c r="CL216">
        <v>19</v>
      </c>
      <c r="CM216">
        <v>0.1</v>
      </c>
      <c r="CN216">
        <v>0.03</v>
      </c>
      <c r="CO216">
        <v>-357.73399999999998</v>
      </c>
      <c r="CP216">
        <v>-1.6446271776999819</v>
      </c>
      <c r="CQ216">
        <v>0.16480779640567891</v>
      </c>
      <c r="CR216">
        <v>-1</v>
      </c>
      <c r="CS216">
        <v>23.761385365853659</v>
      </c>
      <c r="CT216">
        <v>7.0059930313564667E-2</v>
      </c>
      <c r="CU216">
        <v>7.0152294601350546E-3</v>
      </c>
      <c r="CV216">
        <v>-1</v>
      </c>
      <c r="CW216">
        <v>0</v>
      </c>
      <c r="CX216">
        <v>0</v>
      </c>
      <c r="CY216" t="s">
        <v>333</v>
      </c>
      <c r="CZ216">
        <v>2.3643999999999998</v>
      </c>
      <c r="DA216">
        <v>2.7137199999999999</v>
      </c>
      <c r="DB216">
        <v>9.6543299999999999E-2</v>
      </c>
      <c r="DC216">
        <v>0.14600199999999999</v>
      </c>
      <c r="DD216">
        <v>0.113925</v>
      </c>
      <c r="DE216">
        <v>1.70995E-3</v>
      </c>
      <c r="DF216">
        <v>32995.599999999999</v>
      </c>
      <c r="DG216">
        <v>27531.5</v>
      </c>
      <c r="DH216">
        <v>31178.2</v>
      </c>
      <c r="DI216">
        <v>28091.7</v>
      </c>
      <c r="DJ216">
        <v>37502.800000000003</v>
      </c>
      <c r="DK216">
        <v>39883.800000000003</v>
      </c>
      <c r="DL216">
        <v>44371.5</v>
      </c>
      <c r="DM216">
        <v>42576</v>
      </c>
      <c r="DN216">
        <v>1.4868699999999999</v>
      </c>
      <c r="DO216">
        <v>2.0274299999999998</v>
      </c>
      <c r="DP216">
        <v>0.108041</v>
      </c>
      <c r="DQ216">
        <v>0.15002499999999999</v>
      </c>
      <c r="DR216">
        <v>25.237300000000001</v>
      </c>
      <c r="DS216">
        <v>25.071999999999999</v>
      </c>
      <c r="DT216">
        <v>22.4</v>
      </c>
      <c r="DU216">
        <v>29.7</v>
      </c>
      <c r="DV216">
        <v>9.4660700000000002</v>
      </c>
      <c r="DW216">
        <v>62.008699999999997</v>
      </c>
      <c r="DX216">
        <v>36.782899999999998</v>
      </c>
      <c r="DY216">
        <v>1</v>
      </c>
      <c r="DZ216">
        <v>-9.8043699999999998E-2</v>
      </c>
      <c r="EA216">
        <v>-6.2687900000000005E-2</v>
      </c>
      <c r="EB216">
        <v>20.189399999999999</v>
      </c>
      <c r="EC216">
        <v>5.2406499999999996</v>
      </c>
      <c r="ED216">
        <v>12.039899999999999</v>
      </c>
      <c r="EE216">
        <v>5.01675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1.8689100000000001</v>
      </c>
      <c r="EL216">
        <v>1.86463</v>
      </c>
      <c r="EM216">
        <v>1.8692</v>
      </c>
      <c r="EN216">
        <v>1.8672299999999999</v>
      </c>
      <c r="EO216">
        <v>1.8633999999999999</v>
      </c>
      <c r="EP216">
        <v>1.86453</v>
      </c>
      <c r="EQ216">
        <v>1.87018</v>
      </c>
      <c r="ER216">
        <v>1.86947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-0.24</v>
      </c>
      <c r="FG216">
        <v>0.1628</v>
      </c>
      <c r="FH216">
        <v>5.8509882529719233E-2</v>
      </c>
      <c r="FI216">
        <v>-6.1462078757559423E-4</v>
      </c>
      <c r="FJ216">
        <v>-1.8861989874597051E-7</v>
      </c>
      <c r="FK216">
        <v>1.1980462299894961E-10</v>
      </c>
      <c r="FL216">
        <v>0.16277811159127681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42</v>
      </c>
      <c r="FU216">
        <v>42.2</v>
      </c>
      <c r="FV216">
        <v>1.7675799999999999</v>
      </c>
      <c r="FW216">
        <v>2.5878899999999998</v>
      </c>
      <c r="FX216">
        <v>1.5490699999999999</v>
      </c>
      <c r="FY216">
        <v>2.3290999999999999</v>
      </c>
      <c r="FZ216">
        <v>1.50146</v>
      </c>
      <c r="GA216">
        <v>2.34619</v>
      </c>
      <c r="GB216">
        <v>33.941299999999998</v>
      </c>
      <c r="GC216">
        <v>23.982399999999998</v>
      </c>
      <c r="GD216">
        <v>19</v>
      </c>
      <c r="GE216">
        <v>287.15699999999998</v>
      </c>
      <c r="GF216">
        <v>574.98299999999995</v>
      </c>
      <c r="GG216">
        <v>24.706900000000001</v>
      </c>
      <c r="GH216">
        <v>26.155899999999999</v>
      </c>
      <c r="GI216">
        <v>30.0001</v>
      </c>
      <c r="GJ216">
        <v>26.284199999999998</v>
      </c>
      <c r="GK216">
        <v>26.264299999999999</v>
      </c>
      <c r="GL216">
        <v>35.332500000000003</v>
      </c>
      <c r="GM216">
        <v>100</v>
      </c>
      <c r="GN216">
        <v>11.222</v>
      </c>
      <c r="GO216">
        <v>24.7364</v>
      </c>
      <c r="GP216">
        <v>800</v>
      </c>
      <c r="GQ216">
        <v>0</v>
      </c>
      <c r="GR216">
        <v>99.759600000000006</v>
      </c>
      <c r="GS216">
        <v>99.601200000000006</v>
      </c>
    </row>
    <row r="217" spans="1:201" x14ac:dyDescent="0.25">
      <c r="A217">
        <v>201</v>
      </c>
      <c r="B217">
        <v>1690223055.0999999</v>
      </c>
      <c r="C217">
        <v>2172.599999904633</v>
      </c>
      <c r="D217" t="s">
        <v>733</v>
      </c>
      <c r="E217" t="s">
        <v>734</v>
      </c>
      <c r="F217" t="s">
        <v>330</v>
      </c>
      <c r="H217">
        <v>1690223055.0999999</v>
      </c>
      <c r="I217">
        <f t="shared" si="90"/>
        <v>2.3449334631472814E-3</v>
      </c>
      <c r="J217">
        <f t="shared" si="91"/>
        <v>2.3449334631472816</v>
      </c>
      <c r="K217">
        <f t="shared" si="92"/>
        <v>33.432760777100484</v>
      </c>
      <c r="L217">
        <f t="shared" si="93"/>
        <v>441.654</v>
      </c>
      <c r="M217">
        <f t="shared" si="94"/>
        <v>117.05686373563444</v>
      </c>
      <c r="N217">
        <f t="shared" si="95"/>
        <v>11.610034059703052</v>
      </c>
      <c r="O217">
        <f t="shared" si="96"/>
        <v>43.804505083823997</v>
      </c>
      <c r="P217">
        <f t="shared" si="97"/>
        <v>0.1743519256111869</v>
      </c>
      <c r="Q217">
        <f t="shared" si="98"/>
        <v>2.1962484623583314</v>
      </c>
      <c r="R217">
        <f t="shared" si="99"/>
        <v>0.16701125244847057</v>
      </c>
      <c r="S217">
        <f t="shared" si="100"/>
        <v>0.10501580842548384</v>
      </c>
      <c r="T217">
        <f t="shared" si="101"/>
        <v>276.11619956999999</v>
      </c>
      <c r="U217">
        <f t="shared" si="102"/>
        <v>27.702442084042474</v>
      </c>
      <c r="V217">
        <f t="shared" si="103"/>
        <v>27.702442084042474</v>
      </c>
      <c r="W217">
        <f t="shared" si="104"/>
        <v>3.7295081011454916</v>
      </c>
      <c r="X217">
        <f t="shared" si="105"/>
        <v>68.988539151481703</v>
      </c>
      <c r="Y217">
        <f t="shared" si="106"/>
        <v>2.3798132834352002</v>
      </c>
      <c r="Z217">
        <f t="shared" si="107"/>
        <v>3.4495777308890703</v>
      </c>
      <c r="AA217">
        <f t="shared" si="108"/>
        <v>1.3496948177102914</v>
      </c>
      <c r="AB217">
        <f t="shared" si="109"/>
        <v>-103.41156572479511</v>
      </c>
      <c r="AC217">
        <f t="shared" si="110"/>
        <v>-157.34041359517352</v>
      </c>
      <c r="AD217">
        <f t="shared" si="111"/>
        <v>-15.466820006198461</v>
      </c>
      <c r="AE217">
        <f t="shared" si="112"/>
        <v>-0.10259975616710904</v>
      </c>
      <c r="AF217">
        <v>0</v>
      </c>
      <c r="AG217">
        <v>0</v>
      </c>
      <c r="AH217">
        <f t="shared" si="113"/>
        <v>1</v>
      </c>
      <c r="AI217">
        <f t="shared" si="114"/>
        <v>0</v>
      </c>
      <c r="AJ217">
        <f t="shared" si="115"/>
        <v>52583.363057816852</v>
      </c>
      <c r="AK217">
        <f t="shared" si="116"/>
        <v>1800</v>
      </c>
      <c r="AL217">
        <f t="shared" si="117"/>
        <v>1499.1126839999999</v>
      </c>
      <c r="AM217">
        <f t="shared" si="118"/>
        <v>0.83284037999999994</v>
      </c>
      <c r="AN217">
        <f t="shared" si="119"/>
        <v>0.15339788864999998</v>
      </c>
      <c r="AO217">
        <v>31.2</v>
      </c>
      <c r="AP217">
        <v>0.5</v>
      </c>
      <c r="AQ217" t="s">
        <v>331</v>
      </c>
      <c r="AR217">
        <v>2</v>
      </c>
      <c r="AS217">
        <v>1690223055.0999999</v>
      </c>
      <c r="AT217">
        <v>441.654</v>
      </c>
      <c r="AU217">
        <v>799.96900000000005</v>
      </c>
      <c r="AV217">
        <v>23.994199999999999</v>
      </c>
      <c r="AW217">
        <v>0.202435</v>
      </c>
      <c r="AX217">
        <v>441.89400000000001</v>
      </c>
      <c r="AY217">
        <v>23.831399999999999</v>
      </c>
      <c r="AZ217">
        <v>300.13099999999997</v>
      </c>
      <c r="BA217">
        <v>99.082800000000006</v>
      </c>
      <c r="BB217">
        <v>0.10005600000000001</v>
      </c>
      <c r="BC217">
        <v>26.3736</v>
      </c>
      <c r="BD217">
        <v>27.002400000000002</v>
      </c>
      <c r="BE217">
        <v>27.55</v>
      </c>
      <c r="BF217">
        <v>0</v>
      </c>
      <c r="BG217">
        <v>0</v>
      </c>
      <c r="BH217">
        <v>10016.200000000001</v>
      </c>
      <c r="BI217">
        <v>1075.42</v>
      </c>
      <c r="BJ217">
        <v>1.5137799999999999</v>
      </c>
      <c r="BK217">
        <v>-358.31400000000002</v>
      </c>
      <c r="BL217">
        <v>452.512</v>
      </c>
      <c r="BM217">
        <v>800.13099999999997</v>
      </c>
      <c r="BN217">
        <v>23.791799999999999</v>
      </c>
      <c r="BO217">
        <v>799.96900000000005</v>
      </c>
      <c r="BP217">
        <v>0.202435</v>
      </c>
      <c r="BQ217">
        <v>2.3774099999999998</v>
      </c>
      <c r="BR217">
        <v>2.00579E-2</v>
      </c>
      <c r="BS217">
        <v>20.210699999999999</v>
      </c>
      <c r="BT217">
        <v>-39.3977</v>
      </c>
      <c r="BU217">
        <v>1800</v>
      </c>
      <c r="BV217">
        <v>0.90999200000000002</v>
      </c>
      <c r="BW217">
        <v>3.3991500000000001E-2</v>
      </c>
      <c r="BX217">
        <v>2.2007499999999999E-2</v>
      </c>
      <c r="BY217">
        <v>3.4008700000000003E-2</v>
      </c>
      <c r="BZ217">
        <v>26</v>
      </c>
      <c r="CA217">
        <v>33528.300000000003</v>
      </c>
      <c r="CB217">
        <v>1690220522.5999999</v>
      </c>
      <c r="CC217" t="s">
        <v>332</v>
      </c>
      <c r="CD217">
        <v>1690220522.5999999</v>
      </c>
      <c r="CE217">
        <v>1690220510.5999999</v>
      </c>
      <c r="CF217">
        <v>10</v>
      </c>
      <c r="CG217">
        <v>-0.22</v>
      </c>
      <c r="CH217">
        <v>-2.7E-2</v>
      </c>
      <c r="CI217">
        <v>-0.49299999999999999</v>
      </c>
      <c r="CJ217">
        <v>0.152</v>
      </c>
      <c r="CK217">
        <v>800</v>
      </c>
      <c r="CL217">
        <v>19</v>
      </c>
      <c r="CM217">
        <v>0.1</v>
      </c>
      <c r="CN217">
        <v>0.03</v>
      </c>
      <c r="CO217">
        <v>-358.02775609756088</v>
      </c>
      <c r="CP217">
        <v>-1.9115540069686909</v>
      </c>
      <c r="CQ217">
        <v>0.190528377053967</v>
      </c>
      <c r="CR217">
        <v>-1</v>
      </c>
      <c r="CS217">
        <v>23.77408780487805</v>
      </c>
      <c r="CT217">
        <v>8.1539372822325026E-2</v>
      </c>
      <c r="CU217">
        <v>8.3829151202395469E-3</v>
      </c>
      <c r="CV217">
        <v>-1</v>
      </c>
      <c r="CW217">
        <v>0</v>
      </c>
      <c r="CX217">
        <v>0</v>
      </c>
      <c r="CY217" t="s">
        <v>333</v>
      </c>
      <c r="CZ217">
        <v>2.3645800000000001</v>
      </c>
      <c r="DA217">
        <v>2.7138599999999999</v>
      </c>
      <c r="DB217">
        <v>9.6493300000000004E-2</v>
      </c>
      <c r="DC217">
        <v>0.14599799999999999</v>
      </c>
      <c r="DD217">
        <v>0.113992</v>
      </c>
      <c r="DE217">
        <v>1.69999E-3</v>
      </c>
      <c r="DF217">
        <v>32996.9</v>
      </c>
      <c r="DG217">
        <v>27531.5</v>
      </c>
      <c r="DH217">
        <v>31177.7</v>
      </c>
      <c r="DI217">
        <v>28091.599999999999</v>
      </c>
      <c r="DJ217">
        <v>37499.1</v>
      </c>
      <c r="DK217">
        <v>39884.1</v>
      </c>
      <c r="DL217">
        <v>44370.5</v>
      </c>
      <c r="DM217">
        <v>42575.9</v>
      </c>
      <c r="DN217">
        <v>1.4869300000000001</v>
      </c>
      <c r="DO217">
        <v>2.0274999999999999</v>
      </c>
      <c r="DP217">
        <v>0.107553</v>
      </c>
      <c r="DQ217">
        <v>0.151001</v>
      </c>
      <c r="DR217">
        <v>25.241</v>
      </c>
      <c r="DS217">
        <v>25.0778</v>
      </c>
      <c r="DT217">
        <v>22.2</v>
      </c>
      <c r="DU217">
        <v>29.7</v>
      </c>
      <c r="DV217">
        <v>9.3839000000000006</v>
      </c>
      <c r="DW217">
        <v>61.788699999999999</v>
      </c>
      <c r="DX217">
        <v>37.087299999999999</v>
      </c>
      <c r="DY217">
        <v>1</v>
      </c>
      <c r="DZ217">
        <v>-9.8531499999999994E-2</v>
      </c>
      <c r="EA217">
        <v>1.3453199999999999E-3</v>
      </c>
      <c r="EB217">
        <v>20.189599999999999</v>
      </c>
      <c r="EC217">
        <v>5.2411000000000003</v>
      </c>
      <c r="ED217">
        <v>12.039899999999999</v>
      </c>
      <c r="EE217">
        <v>5.0170500000000002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1.8689199999999999</v>
      </c>
      <c r="EL217">
        <v>1.8646199999999999</v>
      </c>
      <c r="EM217">
        <v>1.8691899999999999</v>
      </c>
      <c r="EN217">
        <v>1.8672200000000001</v>
      </c>
      <c r="EO217">
        <v>1.8633999999999999</v>
      </c>
      <c r="EP217">
        <v>1.8645700000000001</v>
      </c>
      <c r="EQ217">
        <v>1.87018</v>
      </c>
      <c r="ER217">
        <v>1.86947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-0.24</v>
      </c>
      <c r="FG217">
        <v>0.1628</v>
      </c>
      <c r="FH217">
        <v>5.8509882529719233E-2</v>
      </c>
      <c r="FI217">
        <v>-6.1462078757559423E-4</v>
      </c>
      <c r="FJ217">
        <v>-1.8861989874597051E-7</v>
      </c>
      <c r="FK217">
        <v>1.1980462299894961E-10</v>
      </c>
      <c r="FL217">
        <v>0.16277811159127681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42.2</v>
      </c>
      <c r="FU217">
        <v>42.4</v>
      </c>
      <c r="FV217">
        <v>1.7675799999999999</v>
      </c>
      <c r="FW217">
        <v>2.5793499999999998</v>
      </c>
      <c r="FX217">
        <v>1.5490699999999999</v>
      </c>
      <c r="FY217">
        <v>2.3290999999999999</v>
      </c>
      <c r="FZ217">
        <v>1.50146</v>
      </c>
      <c r="GA217">
        <v>2.3779300000000001</v>
      </c>
      <c r="GB217">
        <v>33.941299999999998</v>
      </c>
      <c r="GC217">
        <v>23.991199999999999</v>
      </c>
      <c r="GD217">
        <v>19</v>
      </c>
      <c r="GE217">
        <v>287.16800000000001</v>
      </c>
      <c r="GF217">
        <v>575.04399999999998</v>
      </c>
      <c r="GG217">
        <v>24.732500000000002</v>
      </c>
      <c r="GH217">
        <v>26.155899999999999</v>
      </c>
      <c r="GI217">
        <v>29.9999</v>
      </c>
      <c r="GJ217">
        <v>26.2819</v>
      </c>
      <c r="GK217">
        <v>26.264299999999999</v>
      </c>
      <c r="GL217">
        <v>35.331699999999998</v>
      </c>
      <c r="GM217">
        <v>100</v>
      </c>
      <c r="GN217">
        <v>10.8401</v>
      </c>
      <c r="GO217">
        <v>24.729700000000001</v>
      </c>
      <c r="GP217">
        <v>800</v>
      </c>
      <c r="GQ217">
        <v>0</v>
      </c>
      <c r="GR217">
        <v>99.757599999999996</v>
      </c>
      <c r="GS217">
        <v>99.600899999999996</v>
      </c>
    </row>
    <row r="218" spans="1:201" x14ac:dyDescent="0.25">
      <c r="A218">
        <v>202</v>
      </c>
      <c r="B218">
        <v>1690223065.0999999</v>
      </c>
      <c r="C218">
        <v>2182.599999904633</v>
      </c>
      <c r="D218" t="s">
        <v>735</v>
      </c>
      <c r="E218" t="s">
        <v>736</v>
      </c>
      <c r="F218" t="s">
        <v>330</v>
      </c>
      <c r="H218">
        <v>1690223065.0999999</v>
      </c>
      <c r="I218">
        <f t="shared" si="90"/>
        <v>2.3465964348646749E-3</v>
      </c>
      <c r="J218">
        <f t="shared" si="91"/>
        <v>2.3465964348646748</v>
      </c>
      <c r="K218">
        <f t="shared" si="92"/>
        <v>33.469549745476002</v>
      </c>
      <c r="L218">
        <f t="shared" si="93"/>
        <v>441.26900000000001</v>
      </c>
      <c r="M218">
        <f t="shared" si="94"/>
        <v>116.7988025620358</v>
      </c>
      <c r="N218">
        <f t="shared" si="95"/>
        <v>11.584545686387171</v>
      </c>
      <c r="O218">
        <f t="shared" si="96"/>
        <v>43.766723445398995</v>
      </c>
      <c r="P218">
        <f t="shared" si="97"/>
        <v>0.17461047635089788</v>
      </c>
      <c r="Q218">
        <f t="shared" si="98"/>
        <v>2.1982585355779962</v>
      </c>
      <c r="R218">
        <f t="shared" si="99"/>
        <v>0.16725493675035019</v>
      </c>
      <c r="S218">
        <f t="shared" si="100"/>
        <v>0.10516938064844211</v>
      </c>
      <c r="T218">
        <f t="shared" si="101"/>
        <v>276.11608167000003</v>
      </c>
      <c r="U218">
        <f t="shared" si="102"/>
        <v>27.705264972584526</v>
      </c>
      <c r="V218">
        <f t="shared" si="103"/>
        <v>27.705264972584526</v>
      </c>
      <c r="W218">
        <f t="shared" si="104"/>
        <v>3.7301232510321993</v>
      </c>
      <c r="X218">
        <f t="shared" si="105"/>
        <v>69.017425803847402</v>
      </c>
      <c r="Y218">
        <f t="shared" si="106"/>
        <v>2.3814420152183997</v>
      </c>
      <c r="Z218">
        <f t="shared" si="107"/>
        <v>3.4504938245402443</v>
      </c>
      <c r="AA218">
        <f t="shared" si="108"/>
        <v>1.3486812358137996</v>
      </c>
      <c r="AB218">
        <f t="shared" si="109"/>
        <v>-103.48490277753217</v>
      </c>
      <c r="AC218">
        <f t="shared" si="110"/>
        <v>-157.28565761945876</v>
      </c>
      <c r="AD218">
        <f t="shared" si="111"/>
        <v>-15.447864903598735</v>
      </c>
      <c r="AE218">
        <f t="shared" si="112"/>
        <v>-0.10234363058961549</v>
      </c>
      <c r="AF218">
        <v>0</v>
      </c>
      <c r="AG218">
        <v>0</v>
      </c>
      <c r="AH218">
        <f t="shared" si="113"/>
        <v>1</v>
      </c>
      <c r="AI218">
        <f t="shared" si="114"/>
        <v>0</v>
      </c>
      <c r="AJ218">
        <f t="shared" si="115"/>
        <v>52665.071634318374</v>
      </c>
      <c r="AK218">
        <f t="shared" si="116"/>
        <v>1800</v>
      </c>
      <c r="AL218">
        <f t="shared" si="117"/>
        <v>1499.1128369999999</v>
      </c>
      <c r="AM218">
        <f t="shared" si="118"/>
        <v>0.83284046499999997</v>
      </c>
      <c r="AN218">
        <f t="shared" si="119"/>
        <v>0.15339782315</v>
      </c>
      <c r="AO218">
        <v>31.2</v>
      </c>
      <c r="AP218">
        <v>0.5</v>
      </c>
      <c r="AQ218" t="s">
        <v>331</v>
      </c>
      <c r="AR218">
        <v>2</v>
      </c>
      <c r="AS218">
        <v>1690223065.0999999</v>
      </c>
      <c r="AT218">
        <v>441.26900000000001</v>
      </c>
      <c r="AU218">
        <v>799.98500000000001</v>
      </c>
      <c r="AV218">
        <v>24.010400000000001</v>
      </c>
      <c r="AW218">
        <v>0.20080899999999999</v>
      </c>
      <c r="AX218">
        <v>441.50799999999998</v>
      </c>
      <c r="AY218">
        <v>23.8476</v>
      </c>
      <c r="AZ218">
        <v>300.11399999999998</v>
      </c>
      <c r="BA218">
        <v>99.083699999999993</v>
      </c>
      <c r="BB218">
        <v>0.10007099999999999</v>
      </c>
      <c r="BC218">
        <v>26.3781</v>
      </c>
      <c r="BD218">
        <v>27.008199999999999</v>
      </c>
      <c r="BE218">
        <v>27.5623</v>
      </c>
      <c r="BF218">
        <v>0</v>
      </c>
      <c r="BG218">
        <v>0</v>
      </c>
      <c r="BH218">
        <v>10032.5</v>
      </c>
      <c r="BI218">
        <v>1075.4000000000001</v>
      </c>
      <c r="BJ218">
        <v>1.5137799999999999</v>
      </c>
      <c r="BK218">
        <v>-358.71600000000001</v>
      </c>
      <c r="BL218">
        <v>452.125</v>
      </c>
      <c r="BM218">
        <v>800.14599999999996</v>
      </c>
      <c r="BN218">
        <v>23.8096</v>
      </c>
      <c r="BO218">
        <v>799.98500000000001</v>
      </c>
      <c r="BP218">
        <v>0.20080899999999999</v>
      </c>
      <c r="BQ218">
        <v>2.3790399999999998</v>
      </c>
      <c r="BR218">
        <v>1.9896899999999999E-2</v>
      </c>
      <c r="BS218">
        <v>20.221800000000002</v>
      </c>
      <c r="BT218">
        <v>-39.475299999999997</v>
      </c>
      <c r="BU218">
        <v>1800</v>
      </c>
      <c r="BV218">
        <v>0.90999399999999997</v>
      </c>
      <c r="BW218">
        <v>3.3990699999999999E-2</v>
      </c>
      <c r="BX218">
        <v>2.2006999999999999E-2</v>
      </c>
      <c r="BY218">
        <v>3.4007900000000001E-2</v>
      </c>
      <c r="BZ218">
        <v>26</v>
      </c>
      <c r="CA218">
        <v>33528.300000000003</v>
      </c>
      <c r="CB218">
        <v>1690220522.5999999</v>
      </c>
      <c r="CC218" t="s">
        <v>332</v>
      </c>
      <c r="CD218">
        <v>1690220522.5999999</v>
      </c>
      <c r="CE218">
        <v>1690220510.5999999</v>
      </c>
      <c r="CF218">
        <v>10</v>
      </c>
      <c r="CG218">
        <v>-0.22</v>
      </c>
      <c r="CH218">
        <v>-2.7E-2</v>
      </c>
      <c r="CI218">
        <v>-0.49299999999999999</v>
      </c>
      <c r="CJ218">
        <v>0.152</v>
      </c>
      <c r="CK218">
        <v>800</v>
      </c>
      <c r="CL218">
        <v>19</v>
      </c>
      <c r="CM218">
        <v>0.1</v>
      </c>
      <c r="CN218">
        <v>0.03</v>
      </c>
      <c r="CO218">
        <v>-358.29239024390239</v>
      </c>
      <c r="CP218">
        <v>-1.6552473867596771</v>
      </c>
      <c r="CQ218">
        <v>0.16692672235602829</v>
      </c>
      <c r="CR218">
        <v>-1</v>
      </c>
      <c r="CS218">
        <v>23.78798048780488</v>
      </c>
      <c r="CT218">
        <v>0.1125930313589084</v>
      </c>
      <c r="CU218">
        <v>1.116757544077766E-2</v>
      </c>
      <c r="CV218">
        <v>-1</v>
      </c>
      <c r="CW218">
        <v>0</v>
      </c>
      <c r="CX218">
        <v>0</v>
      </c>
      <c r="CY218" t="s">
        <v>333</v>
      </c>
      <c r="CZ218">
        <v>2.3645200000000002</v>
      </c>
      <c r="DA218">
        <v>2.7138900000000001</v>
      </c>
      <c r="DB218">
        <v>9.6431199999999995E-2</v>
      </c>
      <c r="DC218">
        <v>0.14600099999999999</v>
      </c>
      <c r="DD218">
        <v>0.114047</v>
      </c>
      <c r="DE218">
        <v>1.68651E-3</v>
      </c>
      <c r="DF218">
        <v>32999.199999999997</v>
      </c>
      <c r="DG218">
        <v>27531.3</v>
      </c>
      <c r="DH218">
        <v>31177.7</v>
      </c>
      <c r="DI218">
        <v>28091.4</v>
      </c>
      <c r="DJ218">
        <v>37496.800000000003</v>
      </c>
      <c r="DK218">
        <v>39884.400000000001</v>
      </c>
      <c r="DL218">
        <v>44370.6</v>
      </c>
      <c r="DM218">
        <v>42575.6</v>
      </c>
      <c r="DN218">
        <v>1.4871000000000001</v>
      </c>
      <c r="DO218">
        <v>2.0274700000000001</v>
      </c>
      <c r="DP218">
        <v>0.10774300000000001</v>
      </c>
      <c r="DQ218">
        <v>0.151396</v>
      </c>
      <c r="DR218">
        <v>25.243600000000001</v>
      </c>
      <c r="DS218">
        <v>25.083600000000001</v>
      </c>
      <c r="DT218">
        <v>22.1</v>
      </c>
      <c r="DU218">
        <v>29.7</v>
      </c>
      <c r="DV218">
        <v>9.3389600000000002</v>
      </c>
      <c r="DW218">
        <v>61.508699999999997</v>
      </c>
      <c r="DX218">
        <v>37.063299999999998</v>
      </c>
      <c r="DY218">
        <v>1</v>
      </c>
      <c r="DZ218">
        <v>-9.8462900000000006E-2</v>
      </c>
      <c r="EA218">
        <v>-2.0261400000000001E-3</v>
      </c>
      <c r="EB218">
        <v>20.189599999999999</v>
      </c>
      <c r="EC218">
        <v>5.2406499999999996</v>
      </c>
      <c r="ED218">
        <v>12.039899999999999</v>
      </c>
      <c r="EE218">
        <v>5.0168999999999997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1.86893</v>
      </c>
      <c r="EL218">
        <v>1.86463</v>
      </c>
      <c r="EM218">
        <v>1.8692</v>
      </c>
      <c r="EN218">
        <v>1.8672299999999999</v>
      </c>
      <c r="EO218">
        <v>1.8633999999999999</v>
      </c>
      <c r="EP218">
        <v>1.8645499999999999</v>
      </c>
      <c r="EQ218">
        <v>1.8701700000000001</v>
      </c>
      <c r="ER218">
        <v>1.86944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-0.23899999999999999</v>
      </c>
      <c r="FG218">
        <v>0.1628</v>
      </c>
      <c r="FH218">
        <v>5.8509882529719233E-2</v>
      </c>
      <c r="FI218">
        <v>-6.1462078757559423E-4</v>
      </c>
      <c r="FJ218">
        <v>-1.8861989874597051E-7</v>
      </c>
      <c r="FK218">
        <v>1.1980462299894961E-10</v>
      </c>
      <c r="FL218">
        <v>0.16277811159127681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42.4</v>
      </c>
      <c r="FU218">
        <v>42.6</v>
      </c>
      <c r="FV218">
        <v>1.7675799999999999</v>
      </c>
      <c r="FW218">
        <v>2.5878899999999998</v>
      </c>
      <c r="FX218">
        <v>1.5490699999999999</v>
      </c>
      <c r="FY218">
        <v>2.3290999999999999</v>
      </c>
      <c r="FZ218">
        <v>1.50024</v>
      </c>
      <c r="GA218">
        <v>2.2912599999999999</v>
      </c>
      <c r="GB218">
        <v>33.941299999999998</v>
      </c>
      <c r="GC218">
        <v>23.973700000000001</v>
      </c>
      <c r="GD218">
        <v>19</v>
      </c>
      <c r="GE218">
        <v>287.24400000000003</v>
      </c>
      <c r="GF218">
        <v>575.024</v>
      </c>
      <c r="GG218">
        <v>24.731400000000001</v>
      </c>
      <c r="GH218">
        <v>26.155899999999999</v>
      </c>
      <c r="GI218">
        <v>30.0001</v>
      </c>
      <c r="GJ218">
        <v>26.2819</v>
      </c>
      <c r="GK218">
        <v>26.264299999999999</v>
      </c>
      <c r="GL218">
        <v>35.3352</v>
      </c>
      <c r="GM218">
        <v>100</v>
      </c>
      <c r="GN218">
        <v>10.0625</v>
      </c>
      <c r="GO218">
        <v>24.695799999999998</v>
      </c>
      <c r="GP218">
        <v>800</v>
      </c>
      <c r="GQ218">
        <v>0</v>
      </c>
      <c r="GR218">
        <v>99.7577</v>
      </c>
      <c r="GS218">
        <v>99.600399999999993</v>
      </c>
    </row>
    <row r="219" spans="1:201" x14ac:dyDescent="0.25">
      <c r="A219">
        <v>203</v>
      </c>
      <c r="B219">
        <v>1690223075.0999999</v>
      </c>
      <c r="C219">
        <v>2192.599999904633</v>
      </c>
      <c r="D219" t="s">
        <v>737</v>
      </c>
      <c r="E219" t="s">
        <v>738</v>
      </c>
      <c r="F219" t="s">
        <v>330</v>
      </c>
      <c r="H219">
        <v>1690223075.0999999</v>
      </c>
      <c r="I219">
        <f t="shared" si="90"/>
        <v>2.3496886986880106E-3</v>
      </c>
      <c r="J219">
        <f t="shared" si="91"/>
        <v>2.3496886986880106</v>
      </c>
      <c r="K219">
        <f t="shared" si="92"/>
        <v>33.50137895317927</v>
      </c>
      <c r="L219">
        <f t="shared" si="93"/>
        <v>441.06200000000001</v>
      </c>
      <c r="M219">
        <f t="shared" si="94"/>
        <v>116.95164705613841</v>
      </c>
      <c r="N219">
        <f t="shared" si="95"/>
        <v>11.599620823648035</v>
      </c>
      <c r="O219">
        <f t="shared" si="96"/>
        <v>43.745873516976005</v>
      </c>
      <c r="P219">
        <f t="shared" si="97"/>
        <v>0.17500540389704516</v>
      </c>
      <c r="Q219">
        <f t="shared" si="98"/>
        <v>2.1914936790444917</v>
      </c>
      <c r="R219">
        <f t="shared" si="99"/>
        <v>0.16759554259755119</v>
      </c>
      <c r="S219">
        <f t="shared" si="100"/>
        <v>0.10538681601200274</v>
      </c>
      <c r="T219">
        <f t="shared" si="101"/>
        <v>276.11618254199999</v>
      </c>
      <c r="U219">
        <f t="shared" si="102"/>
        <v>27.708944820370853</v>
      </c>
      <c r="V219">
        <f t="shared" si="103"/>
        <v>27.708944820370853</v>
      </c>
      <c r="W219">
        <f t="shared" si="104"/>
        <v>3.7309252781626583</v>
      </c>
      <c r="X219">
        <f t="shared" si="105"/>
        <v>69.065449926945973</v>
      </c>
      <c r="Y219">
        <f t="shared" si="106"/>
        <v>2.3832397054776</v>
      </c>
      <c r="Z219">
        <f t="shared" si="107"/>
        <v>3.4506974297546362</v>
      </c>
      <c r="AA219">
        <f t="shared" si="108"/>
        <v>1.3476855726850583</v>
      </c>
      <c r="AB219">
        <f t="shared" si="109"/>
        <v>-103.62127161214127</v>
      </c>
      <c r="AC219">
        <f t="shared" si="110"/>
        <v>-157.11824947587021</v>
      </c>
      <c r="AD219">
        <f t="shared" si="111"/>
        <v>-15.479420110196838</v>
      </c>
      <c r="AE219">
        <f t="shared" si="112"/>
        <v>-0.10275865620832292</v>
      </c>
      <c r="AF219">
        <v>0</v>
      </c>
      <c r="AG219">
        <v>0</v>
      </c>
      <c r="AH219">
        <f t="shared" si="113"/>
        <v>1</v>
      </c>
      <c r="AI219">
        <f t="shared" si="114"/>
        <v>0</v>
      </c>
      <c r="AJ219">
        <f t="shared" si="115"/>
        <v>52387.611031250701</v>
      </c>
      <c r="AK219">
        <f t="shared" si="116"/>
        <v>1800</v>
      </c>
      <c r="AL219">
        <f t="shared" si="117"/>
        <v>1499.1129612</v>
      </c>
      <c r="AM219">
        <f t="shared" si="118"/>
        <v>0.83284053400000002</v>
      </c>
      <c r="AN219">
        <f t="shared" si="119"/>
        <v>0.15339787919</v>
      </c>
      <c r="AO219">
        <v>31.2</v>
      </c>
      <c r="AP219">
        <v>0.5</v>
      </c>
      <c r="AQ219" t="s">
        <v>331</v>
      </c>
      <c r="AR219">
        <v>2</v>
      </c>
      <c r="AS219">
        <v>1690223075.0999999</v>
      </c>
      <c r="AT219">
        <v>441.06200000000001</v>
      </c>
      <c r="AU219">
        <v>799.95299999999997</v>
      </c>
      <c r="AV219">
        <v>24.028700000000001</v>
      </c>
      <c r="AW219">
        <v>0.19913800000000001</v>
      </c>
      <c r="AX219">
        <v>441.30099999999999</v>
      </c>
      <c r="AY219">
        <v>23.8659</v>
      </c>
      <c r="AZ219">
        <v>300.25200000000001</v>
      </c>
      <c r="BA219">
        <v>99.082999999999998</v>
      </c>
      <c r="BB219">
        <v>0.100048</v>
      </c>
      <c r="BC219">
        <v>26.379100000000001</v>
      </c>
      <c r="BD219">
        <v>27.0242</v>
      </c>
      <c r="BE219">
        <v>27.558900000000001</v>
      </c>
      <c r="BF219">
        <v>0</v>
      </c>
      <c r="BG219">
        <v>0</v>
      </c>
      <c r="BH219">
        <v>9977.5</v>
      </c>
      <c r="BI219">
        <v>1075.55</v>
      </c>
      <c r="BJ219">
        <v>1.5137799999999999</v>
      </c>
      <c r="BK219">
        <v>-358.89100000000002</v>
      </c>
      <c r="BL219">
        <v>451.92099999999999</v>
      </c>
      <c r="BM219">
        <v>800.11199999999997</v>
      </c>
      <c r="BN219">
        <v>23.829499999999999</v>
      </c>
      <c r="BO219">
        <v>799.95299999999997</v>
      </c>
      <c r="BP219">
        <v>0.19913800000000001</v>
      </c>
      <c r="BQ219">
        <v>2.38083</v>
      </c>
      <c r="BR219">
        <v>1.9731200000000001E-2</v>
      </c>
      <c r="BS219">
        <v>20.234000000000002</v>
      </c>
      <c r="BT219">
        <v>-39.555799999999998</v>
      </c>
      <c r="BU219">
        <v>1800</v>
      </c>
      <c r="BV219">
        <v>0.90999300000000005</v>
      </c>
      <c r="BW219">
        <v>3.3992799999999997E-2</v>
      </c>
      <c r="BX219">
        <v>2.2006700000000001E-2</v>
      </c>
      <c r="BY219">
        <v>3.4007500000000003E-2</v>
      </c>
      <c r="BZ219">
        <v>26</v>
      </c>
      <c r="CA219">
        <v>33528.300000000003</v>
      </c>
      <c r="CB219">
        <v>1690220522.5999999</v>
      </c>
      <c r="CC219" t="s">
        <v>332</v>
      </c>
      <c r="CD219">
        <v>1690220522.5999999</v>
      </c>
      <c r="CE219">
        <v>1690220510.5999999</v>
      </c>
      <c r="CF219">
        <v>10</v>
      </c>
      <c r="CG219">
        <v>-0.22</v>
      </c>
      <c r="CH219">
        <v>-2.7E-2</v>
      </c>
      <c r="CI219">
        <v>-0.49299999999999999</v>
      </c>
      <c r="CJ219">
        <v>0.152</v>
      </c>
      <c r="CK219">
        <v>800</v>
      </c>
      <c r="CL219">
        <v>19</v>
      </c>
      <c r="CM219">
        <v>0.1</v>
      </c>
      <c r="CN219">
        <v>0.03</v>
      </c>
      <c r="CO219">
        <v>-358.61970000000002</v>
      </c>
      <c r="CP219">
        <v>-1.9699587242028549</v>
      </c>
      <c r="CQ219">
        <v>0.1936113633028784</v>
      </c>
      <c r="CR219">
        <v>-1</v>
      </c>
      <c r="CS219">
        <v>23.809574999999999</v>
      </c>
      <c r="CT219">
        <v>0.12569380863032381</v>
      </c>
      <c r="CU219">
        <v>1.218594990142334E-2</v>
      </c>
      <c r="CV219">
        <v>-1</v>
      </c>
      <c r="CW219">
        <v>0</v>
      </c>
      <c r="CX219">
        <v>0</v>
      </c>
      <c r="CY219" t="s">
        <v>333</v>
      </c>
      <c r="CZ219">
        <v>2.3649499999999999</v>
      </c>
      <c r="DA219">
        <v>2.7138200000000001</v>
      </c>
      <c r="DB219">
        <v>9.6396800000000005E-2</v>
      </c>
      <c r="DC219">
        <v>0.14599599999999999</v>
      </c>
      <c r="DD219">
        <v>0.114108</v>
      </c>
      <c r="DE219">
        <v>1.67264E-3</v>
      </c>
      <c r="DF219">
        <v>32999.800000000003</v>
      </c>
      <c r="DG219">
        <v>27531</v>
      </c>
      <c r="DH219">
        <v>31177.200000000001</v>
      </c>
      <c r="DI219">
        <v>28090.9</v>
      </c>
      <c r="DJ219">
        <v>37493.699999999997</v>
      </c>
      <c r="DK219">
        <v>39884.300000000003</v>
      </c>
      <c r="DL219">
        <v>44370</v>
      </c>
      <c r="DM219">
        <v>42574.9</v>
      </c>
      <c r="DN219">
        <v>1.4870000000000001</v>
      </c>
      <c r="DO219">
        <v>2.0273300000000001</v>
      </c>
      <c r="DP219">
        <v>0.108462</v>
      </c>
      <c r="DQ219">
        <v>0.150837</v>
      </c>
      <c r="DR219">
        <v>25.248000000000001</v>
      </c>
      <c r="DS219">
        <v>25.089400000000001</v>
      </c>
      <c r="DT219">
        <v>21.9</v>
      </c>
      <c r="DU219">
        <v>29.7</v>
      </c>
      <c r="DV219">
        <v>9.2552199999999996</v>
      </c>
      <c r="DW219">
        <v>62.128700000000002</v>
      </c>
      <c r="DX219">
        <v>36.522399999999998</v>
      </c>
      <c r="DY219">
        <v>1</v>
      </c>
      <c r="DZ219">
        <v>-9.7550799999999993E-2</v>
      </c>
      <c r="EA219">
        <v>0.21254400000000001</v>
      </c>
      <c r="EB219">
        <v>20.189599999999999</v>
      </c>
      <c r="EC219">
        <v>5.24125</v>
      </c>
      <c r="ED219">
        <v>12.039899999999999</v>
      </c>
      <c r="EE219">
        <v>5.0167999999999999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1.8689199999999999</v>
      </c>
      <c r="EL219">
        <v>1.86463</v>
      </c>
      <c r="EM219">
        <v>1.8692</v>
      </c>
      <c r="EN219">
        <v>1.8672299999999999</v>
      </c>
      <c r="EO219">
        <v>1.8633999999999999</v>
      </c>
      <c r="EP219">
        <v>1.8645499999999999</v>
      </c>
      <c r="EQ219">
        <v>1.8701399999999999</v>
      </c>
      <c r="ER219">
        <v>1.86947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-0.23899999999999999</v>
      </c>
      <c r="FG219">
        <v>0.1628</v>
      </c>
      <c r="FH219">
        <v>5.8509882529719233E-2</v>
      </c>
      <c r="FI219">
        <v>-6.1462078757559423E-4</v>
      </c>
      <c r="FJ219">
        <v>-1.8861989874597051E-7</v>
      </c>
      <c r="FK219">
        <v>1.1980462299894961E-10</v>
      </c>
      <c r="FL219">
        <v>0.16277811159127681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42.5</v>
      </c>
      <c r="FU219">
        <v>42.7</v>
      </c>
      <c r="FV219">
        <v>1.7675799999999999</v>
      </c>
      <c r="FW219">
        <v>2.5756800000000002</v>
      </c>
      <c r="FX219">
        <v>1.5490699999999999</v>
      </c>
      <c r="FY219">
        <v>2.3290999999999999</v>
      </c>
      <c r="FZ219">
        <v>1.50146</v>
      </c>
      <c r="GA219">
        <v>2.4121100000000002</v>
      </c>
      <c r="GB219">
        <v>33.941299999999998</v>
      </c>
      <c r="GC219">
        <v>23.991199999999999</v>
      </c>
      <c r="GD219">
        <v>19</v>
      </c>
      <c r="GE219">
        <v>287.20100000000002</v>
      </c>
      <c r="GF219">
        <v>574.90200000000004</v>
      </c>
      <c r="GG219">
        <v>24.669899999999998</v>
      </c>
      <c r="GH219">
        <v>26.155899999999999</v>
      </c>
      <c r="GI219">
        <v>30.000499999999999</v>
      </c>
      <c r="GJ219">
        <v>26.2819</v>
      </c>
      <c r="GK219">
        <v>26.264299999999999</v>
      </c>
      <c r="GL219">
        <v>35.336399999999998</v>
      </c>
      <c r="GM219">
        <v>100</v>
      </c>
      <c r="GN219">
        <v>9.6889299999999992</v>
      </c>
      <c r="GO219">
        <v>24.6265</v>
      </c>
      <c r="GP219">
        <v>800</v>
      </c>
      <c r="GQ219">
        <v>0</v>
      </c>
      <c r="GR219">
        <v>99.756200000000007</v>
      </c>
      <c r="GS219">
        <v>99.598600000000005</v>
      </c>
    </row>
    <row r="220" spans="1:201" x14ac:dyDescent="0.25">
      <c r="A220">
        <v>204</v>
      </c>
      <c r="B220">
        <v>1690223085.0999999</v>
      </c>
      <c r="C220">
        <v>2202.599999904633</v>
      </c>
      <c r="D220" t="s">
        <v>739</v>
      </c>
      <c r="E220" t="s">
        <v>740</v>
      </c>
      <c r="F220" t="s">
        <v>330</v>
      </c>
      <c r="H220">
        <v>1690223085.0999999</v>
      </c>
      <c r="I220">
        <f t="shared" si="90"/>
        <v>2.3482459443332428E-3</v>
      </c>
      <c r="J220">
        <f t="shared" si="91"/>
        <v>2.3482459443332426</v>
      </c>
      <c r="K220">
        <f t="shared" si="92"/>
        <v>33.507112428873697</v>
      </c>
      <c r="L220">
        <f t="shared" si="93"/>
        <v>440.82400000000001</v>
      </c>
      <c r="M220">
        <f t="shared" si="94"/>
        <v>117.22862162089388</v>
      </c>
      <c r="N220">
        <f t="shared" si="95"/>
        <v>11.627162823009275</v>
      </c>
      <c r="O220">
        <f t="shared" si="96"/>
        <v>43.722534253330402</v>
      </c>
      <c r="P220">
        <f t="shared" si="97"/>
        <v>0.17530289417511641</v>
      </c>
      <c r="Q220">
        <f t="shared" si="98"/>
        <v>2.1981850065636799</v>
      </c>
      <c r="R220">
        <f t="shared" si="99"/>
        <v>0.16788999676062646</v>
      </c>
      <c r="S220">
        <f t="shared" si="100"/>
        <v>0.10557114567802611</v>
      </c>
      <c r="T220">
        <f t="shared" si="101"/>
        <v>276.11457114563825</v>
      </c>
      <c r="U220">
        <f t="shared" si="102"/>
        <v>27.694646483995044</v>
      </c>
      <c r="V220">
        <f t="shared" si="103"/>
        <v>27.694646483995044</v>
      </c>
      <c r="W220">
        <f t="shared" si="104"/>
        <v>3.7278097823523257</v>
      </c>
      <c r="X220">
        <f t="shared" si="105"/>
        <v>69.111985670589021</v>
      </c>
      <c r="Y220">
        <f t="shared" si="106"/>
        <v>2.3832839763108997</v>
      </c>
      <c r="Z220">
        <f t="shared" si="107"/>
        <v>3.4484379998433741</v>
      </c>
      <c r="AA220">
        <f t="shared" si="108"/>
        <v>1.344525806041426</v>
      </c>
      <c r="AB220">
        <f t="shared" si="109"/>
        <v>-103.557646145096</v>
      </c>
      <c r="AC220">
        <f t="shared" si="110"/>
        <v>-157.2189512788386</v>
      </c>
      <c r="AD220">
        <f t="shared" si="111"/>
        <v>-15.440230394227497</v>
      </c>
      <c r="AE220">
        <f t="shared" si="112"/>
        <v>-0.10225667252385051</v>
      </c>
      <c r="AF220">
        <v>0</v>
      </c>
      <c r="AG220">
        <v>0</v>
      </c>
      <c r="AH220">
        <f t="shared" si="113"/>
        <v>1</v>
      </c>
      <c r="AI220">
        <f t="shared" si="114"/>
        <v>0</v>
      </c>
      <c r="AJ220">
        <f t="shared" si="115"/>
        <v>52663.829834063188</v>
      </c>
      <c r="AK220">
        <f t="shared" si="116"/>
        <v>1799.99</v>
      </c>
      <c r="AL220">
        <f t="shared" si="117"/>
        <v>1499.1029840038202</v>
      </c>
      <c r="AM220">
        <f t="shared" si="118"/>
        <v>0.83283961800000006</v>
      </c>
      <c r="AN220">
        <f t="shared" si="119"/>
        <v>0.15339783618000002</v>
      </c>
      <c r="AO220">
        <v>31.2</v>
      </c>
      <c r="AP220">
        <v>0.5</v>
      </c>
      <c r="AQ220" t="s">
        <v>331</v>
      </c>
      <c r="AR220">
        <v>2</v>
      </c>
      <c r="AS220">
        <v>1690223085.0999999</v>
      </c>
      <c r="AT220">
        <v>440.82400000000001</v>
      </c>
      <c r="AU220">
        <v>800.005</v>
      </c>
      <c r="AV220">
        <v>24.029</v>
      </c>
      <c r="AW220">
        <v>0.197965</v>
      </c>
      <c r="AX220">
        <v>441.06299999999999</v>
      </c>
      <c r="AY220">
        <v>23.866199999999999</v>
      </c>
      <c r="AZ220">
        <v>300.04899999999998</v>
      </c>
      <c r="BA220">
        <v>99.083699999999993</v>
      </c>
      <c r="BB220">
        <v>9.9952100000000002E-2</v>
      </c>
      <c r="BC220">
        <v>26.367999999999999</v>
      </c>
      <c r="BD220">
        <v>27.023299999999999</v>
      </c>
      <c r="BE220">
        <v>27.532</v>
      </c>
      <c r="BF220">
        <v>0</v>
      </c>
      <c r="BG220">
        <v>0</v>
      </c>
      <c r="BH220">
        <v>10031.9</v>
      </c>
      <c r="BI220">
        <v>1075.49</v>
      </c>
      <c r="BJ220">
        <v>1.4451000000000001</v>
      </c>
      <c r="BK220">
        <v>-359.18099999999998</v>
      </c>
      <c r="BL220">
        <v>451.67700000000002</v>
      </c>
      <c r="BM220">
        <v>800.16300000000001</v>
      </c>
      <c r="BN220">
        <v>23.831</v>
      </c>
      <c r="BO220">
        <v>800.005</v>
      </c>
      <c r="BP220">
        <v>0.197965</v>
      </c>
      <c r="BQ220">
        <v>2.3808799999999999</v>
      </c>
      <c r="BR220">
        <v>1.96151E-2</v>
      </c>
      <c r="BS220">
        <v>20.234300000000001</v>
      </c>
      <c r="BT220">
        <v>-39.6126</v>
      </c>
      <c r="BU220">
        <v>1799.99</v>
      </c>
      <c r="BV220">
        <v>0.90998900000000005</v>
      </c>
      <c r="BW220">
        <v>3.3997199999999998E-2</v>
      </c>
      <c r="BX220">
        <v>2.2006399999999999E-2</v>
      </c>
      <c r="BY220">
        <v>3.4007000000000003E-2</v>
      </c>
      <c r="BZ220">
        <v>26</v>
      </c>
      <c r="CA220">
        <v>33528.199999999997</v>
      </c>
      <c r="CB220">
        <v>1690220522.5999999</v>
      </c>
      <c r="CC220" t="s">
        <v>332</v>
      </c>
      <c r="CD220">
        <v>1690220522.5999999</v>
      </c>
      <c r="CE220">
        <v>1690220510.5999999</v>
      </c>
      <c r="CF220">
        <v>10</v>
      </c>
      <c r="CG220">
        <v>-0.22</v>
      </c>
      <c r="CH220">
        <v>-2.7E-2</v>
      </c>
      <c r="CI220">
        <v>-0.49299999999999999</v>
      </c>
      <c r="CJ220">
        <v>0.152</v>
      </c>
      <c r="CK220">
        <v>800</v>
      </c>
      <c r="CL220">
        <v>19</v>
      </c>
      <c r="CM220">
        <v>0.1</v>
      </c>
      <c r="CN220">
        <v>0.03</v>
      </c>
      <c r="CO220">
        <v>-358.88819512195118</v>
      </c>
      <c r="CP220">
        <v>-1.5033031358887039</v>
      </c>
      <c r="CQ220">
        <v>0.15214149696304571</v>
      </c>
      <c r="CR220">
        <v>-1</v>
      </c>
      <c r="CS220">
        <v>23.823707317073168</v>
      </c>
      <c r="CT220">
        <v>6.4958885017453893E-2</v>
      </c>
      <c r="CU220">
        <v>7.2857492121533819E-3</v>
      </c>
      <c r="CV220">
        <v>-1</v>
      </c>
      <c r="CW220">
        <v>0</v>
      </c>
      <c r="CX220">
        <v>0</v>
      </c>
      <c r="CY220" t="s">
        <v>333</v>
      </c>
      <c r="CZ220">
        <v>2.3643000000000001</v>
      </c>
      <c r="DA220">
        <v>2.7137699999999998</v>
      </c>
      <c r="DB220">
        <v>9.6358399999999997E-2</v>
      </c>
      <c r="DC220">
        <v>0.14600399999999999</v>
      </c>
      <c r="DD220">
        <v>0.11411</v>
      </c>
      <c r="DE220">
        <v>1.66292E-3</v>
      </c>
      <c r="DF220">
        <v>33001</v>
      </c>
      <c r="DG220">
        <v>27530.9</v>
      </c>
      <c r="DH220">
        <v>31177</v>
      </c>
      <c r="DI220">
        <v>28091.1</v>
      </c>
      <c r="DJ220">
        <v>37493.199999999997</v>
      </c>
      <c r="DK220">
        <v>39884.9</v>
      </c>
      <c r="DL220">
        <v>44369.5</v>
      </c>
      <c r="DM220">
        <v>42575.199999999997</v>
      </c>
      <c r="DN220">
        <v>1.4866200000000001</v>
      </c>
      <c r="DO220">
        <v>2.0274299999999998</v>
      </c>
      <c r="DP220">
        <v>0.10814500000000001</v>
      </c>
      <c r="DQ220">
        <v>0.1489</v>
      </c>
      <c r="DR220">
        <v>25.252199999999998</v>
      </c>
      <c r="DS220">
        <v>25.094200000000001</v>
      </c>
      <c r="DT220">
        <v>21.7</v>
      </c>
      <c r="DU220">
        <v>29.7</v>
      </c>
      <c r="DV220">
        <v>9.1709300000000002</v>
      </c>
      <c r="DW220">
        <v>61.548699999999997</v>
      </c>
      <c r="DX220">
        <v>37.540100000000002</v>
      </c>
      <c r="DY220">
        <v>1</v>
      </c>
      <c r="DZ220">
        <v>-9.7436499999999995E-2</v>
      </c>
      <c r="EA220">
        <v>0.22822200000000001</v>
      </c>
      <c r="EB220">
        <v>20.189399999999999</v>
      </c>
      <c r="EC220">
        <v>5.24125</v>
      </c>
      <c r="ED220">
        <v>12.039899999999999</v>
      </c>
      <c r="EE220">
        <v>5.0167999999999999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1.86894</v>
      </c>
      <c r="EL220">
        <v>1.86463</v>
      </c>
      <c r="EM220">
        <v>1.8691899999999999</v>
      </c>
      <c r="EN220">
        <v>1.86724</v>
      </c>
      <c r="EO220">
        <v>1.8633999999999999</v>
      </c>
      <c r="EP220">
        <v>1.86453</v>
      </c>
      <c r="EQ220">
        <v>1.87016</v>
      </c>
      <c r="ER220">
        <v>1.8694500000000001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-0.23899999999999999</v>
      </c>
      <c r="FG220">
        <v>0.1628</v>
      </c>
      <c r="FH220">
        <v>5.8509882529719233E-2</v>
      </c>
      <c r="FI220">
        <v>-6.1462078757559423E-4</v>
      </c>
      <c r="FJ220">
        <v>-1.8861989874597051E-7</v>
      </c>
      <c r="FK220">
        <v>1.1980462299894961E-10</v>
      </c>
      <c r="FL220">
        <v>0.16277811159127681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42.7</v>
      </c>
      <c r="FU220">
        <v>42.9</v>
      </c>
      <c r="FV220">
        <v>1.7675799999999999</v>
      </c>
      <c r="FW220">
        <v>2.5866699999999998</v>
      </c>
      <c r="FX220">
        <v>1.5490699999999999</v>
      </c>
      <c r="FY220">
        <v>2.3290999999999999</v>
      </c>
      <c r="FZ220">
        <v>1.50146</v>
      </c>
      <c r="GA220">
        <v>2.2741699999999998</v>
      </c>
      <c r="GB220">
        <v>33.941299999999998</v>
      </c>
      <c r="GC220">
        <v>23.982399999999998</v>
      </c>
      <c r="GD220">
        <v>19</v>
      </c>
      <c r="GE220">
        <v>287.04000000000002</v>
      </c>
      <c r="GF220">
        <v>574.98299999999995</v>
      </c>
      <c r="GG220">
        <v>24.598099999999999</v>
      </c>
      <c r="GH220">
        <v>26.155899999999999</v>
      </c>
      <c r="GI220">
        <v>30.0001</v>
      </c>
      <c r="GJ220">
        <v>26.2819</v>
      </c>
      <c r="GK220">
        <v>26.264299999999999</v>
      </c>
      <c r="GL220">
        <v>35.334699999999998</v>
      </c>
      <c r="GM220">
        <v>100</v>
      </c>
      <c r="GN220">
        <v>9.3105200000000004</v>
      </c>
      <c r="GO220">
        <v>24.575299999999999</v>
      </c>
      <c r="GP220">
        <v>800</v>
      </c>
      <c r="GQ220">
        <v>0</v>
      </c>
      <c r="GR220">
        <v>99.755300000000005</v>
      </c>
      <c r="GS220">
        <v>99.599299999999999</v>
      </c>
    </row>
    <row r="221" spans="1:201" x14ac:dyDescent="0.25">
      <c r="A221">
        <v>205</v>
      </c>
      <c r="B221">
        <v>1690223095.0999999</v>
      </c>
      <c r="C221">
        <v>2212.599999904633</v>
      </c>
      <c r="D221" t="s">
        <v>741</v>
      </c>
      <c r="E221" t="s">
        <v>742</v>
      </c>
      <c r="F221" t="s">
        <v>330</v>
      </c>
      <c r="H221">
        <v>1690223095.0999999</v>
      </c>
      <c r="I221">
        <f t="shared" si="90"/>
        <v>2.350052365348335E-3</v>
      </c>
      <c r="J221">
        <f t="shared" si="91"/>
        <v>2.3500523653483349</v>
      </c>
      <c r="K221">
        <f t="shared" si="92"/>
        <v>33.545073250079241</v>
      </c>
      <c r="L221">
        <f t="shared" si="93"/>
        <v>440.62799999999999</v>
      </c>
      <c r="M221">
        <f t="shared" si="94"/>
        <v>116.9972429057547</v>
      </c>
      <c r="N221">
        <f t="shared" si="95"/>
        <v>11.604393228896114</v>
      </c>
      <c r="O221">
        <f t="shared" si="96"/>
        <v>43.703769872431202</v>
      </c>
      <c r="P221">
        <f t="shared" si="97"/>
        <v>0.17550458795628365</v>
      </c>
      <c r="Q221">
        <f t="shared" si="98"/>
        <v>2.1917524309307943</v>
      </c>
      <c r="R221">
        <f t="shared" si="99"/>
        <v>0.1680542017302033</v>
      </c>
      <c r="S221">
        <f t="shared" si="100"/>
        <v>0.10567690728064512</v>
      </c>
      <c r="T221">
        <f t="shared" si="101"/>
        <v>276.11615528999999</v>
      </c>
      <c r="U221">
        <f t="shared" si="102"/>
        <v>27.695293890147735</v>
      </c>
      <c r="V221">
        <f t="shared" si="103"/>
        <v>27.695293890147735</v>
      </c>
      <c r="W221">
        <f t="shared" si="104"/>
        <v>3.7279507980134627</v>
      </c>
      <c r="X221">
        <f t="shared" si="105"/>
        <v>69.133078628410345</v>
      </c>
      <c r="Y221">
        <f t="shared" si="106"/>
        <v>2.3836878051625798</v>
      </c>
      <c r="Z221">
        <f t="shared" si="107"/>
        <v>3.4479699912901025</v>
      </c>
      <c r="AA221">
        <f t="shared" si="108"/>
        <v>1.3442629928508829</v>
      </c>
      <c r="AB221">
        <f t="shared" si="109"/>
        <v>-103.63730931186157</v>
      </c>
      <c r="AC221">
        <f t="shared" si="110"/>
        <v>-157.10715023123188</v>
      </c>
      <c r="AD221">
        <f t="shared" si="111"/>
        <v>-15.474406388550413</v>
      </c>
      <c r="AE221">
        <f t="shared" si="112"/>
        <v>-0.1027106416438528</v>
      </c>
      <c r="AF221">
        <v>0</v>
      </c>
      <c r="AG221">
        <v>0</v>
      </c>
      <c r="AH221">
        <f t="shared" si="113"/>
        <v>1</v>
      </c>
      <c r="AI221">
        <f t="shared" si="114"/>
        <v>0</v>
      </c>
      <c r="AJ221">
        <f t="shared" si="115"/>
        <v>52400.592567439788</v>
      </c>
      <c r="AK221">
        <f t="shared" si="116"/>
        <v>1800</v>
      </c>
      <c r="AL221">
        <f t="shared" si="117"/>
        <v>1499.1134939999999</v>
      </c>
      <c r="AM221">
        <f t="shared" si="118"/>
        <v>0.83284082999999998</v>
      </c>
      <c r="AN221">
        <f t="shared" si="119"/>
        <v>0.15339786405</v>
      </c>
      <c r="AO221">
        <v>31.2</v>
      </c>
      <c r="AP221">
        <v>0.5</v>
      </c>
      <c r="AQ221" t="s">
        <v>331</v>
      </c>
      <c r="AR221">
        <v>2</v>
      </c>
      <c r="AS221">
        <v>1690223095.0999999</v>
      </c>
      <c r="AT221">
        <v>440.62799999999999</v>
      </c>
      <c r="AU221">
        <v>800.00599999999997</v>
      </c>
      <c r="AV221">
        <v>24.032699999999998</v>
      </c>
      <c r="AW221">
        <v>0.196769</v>
      </c>
      <c r="AX221">
        <v>440.86700000000002</v>
      </c>
      <c r="AY221">
        <v>23.869900000000001</v>
      </c>
      <c r="AZ221">
        <v>300.21699999999998</v>
      </c>
      <c r="BA221">
        <v>99.0852</v>
      </c>
      <c r="BB221">
        <v>9.9985400000000002E-2</v>
      </c>
      <c r="BC221">
        <v>26.3657</v>
      </c>
      <c r="BD221">
        <v>27.0124</v>
      </c>
      <c r="BE221">
        <v>27.514199999999999</v>
      </c>
      <c r="BF221">
        <v>0</v>
      </c>
      <c r="BG221">
        <v>0</v>
      </c>
      <c r="BH221">
        <v>9979.3799999999992</v>
      </c>
      <c r="BI221">
        <v>1075.3900000000001</v>
      </c>
      <c r="BJ221">
        <v>1.54182</v>
      </c>
      <c r="BK221">
        <v>-359.37799999999999</v>
      </c>
      <c r="BL221">
        <v>451.47800000000001</v>
      </c>
      <c r="BM221">
        <v>800.16300000000001</v>
      </c>
      <c r="BN221">
        <v>23.835899999999999</v>
      </c>
      <c r="BO221">
        <v>800.00599999999997</v>
      </c>
      <c r="BP221">
        <v>0.196769</v>
      </c>
      <c r="BQ221">
        <v>2.3812899999999999</v>
      </c>
      <c r="BR221">
        <v>1.9496900000000001E-2</v>
      </c>
      <c r="BS221">
        <v>20.237100000000002</v>
      </c>
      <c r="BT221">
        <v>-39.6706</v>
      </c>
      <c r="BU221">
        <v>1800</v>
      </c>
      <c r="BV221">
        <v>0.909995</v>
      </c>
      <c r="BW221">
        <v>3.3991500000000001E-2</v>
      </c>
      <c r="BX221">
        <v>2.2006499999999998E-2</v>
      </c>
      <c r="BY221">
        <v>3.4007099999999998E-2</v>
      </c>
      <c r="BZ221">
        <v>26</v>
      </c>
      <c r="CA221">
        <v>33528.300000000003</v>
      </c>
      <c r="CB221">
        <v>1690220522.5999999</v>
      </c>
      <c r="CC221" t="s">
        <v>332</v>
      </c>
      <c r="CD221">
        <v>1690220522.5999999</v>
      </c>
      <c r="CE221">
        <v>1690220510.5999999</v>
      </c>
      <c r="CF221">
        <v>10</v>
      </c>
      <c r="CG221">
        <v>-0.22</v>
      </c>
      <c r="CH221">
        <v>-2.7E-2</v>
      </c>
      <c r="CI221">
        <v>-0.49299999999999999</v>
      </c>
      <c r="CJ221">
        <v>0.152</v>
      </c>
      <c r="CK221">
        <v>800</v>
      </c>
      <c r="CL221">
        <v>19</v>
      </c>
      <c r="CM221">
        <v>0.1</v>
      </c>
      <c r="CN221">
        <v>0.03</v>
      </c>
      <c r="CO221">
        <v>-359.17345</v>
      </c>
      <c r="CP221">
        <v>-1.7377936210125231</v>
      </c>
      <c r="CQ221">
        <v>0.1732962708773603</v>
      </c>
      <c r="CR221">
        <v>-1</v>
      </c>
      <c r="CS221">
        <v>23.831552500000001</v>
      </c>
      <c r="CT221">
        <v>2.9978611632255299E-2</v>
      </c>
      <c r="CU221">
        <v>3.227459333593548E-3</v>
      </c>
      <c r="CV221">
        <v>-1</v>
      </c>
      <c r="CW221">
        <v>0</v>
      </c>
      <c r="CX221">
        <v>0</v>
      </c>
      <c r="CY221" t="s">
        <v>333</v>
      </c>
      <c r="CZ221">
        <v>2.3648400000000001</v>
      </c>
      <c r="DA221">
        <v>2.7137600000000002</v>
      </c>
      <c r="DB221">
        <v>9.6327700000000002E-2</v>
      </c>
      <c r="DC221">
        <v>0.146006</v>
      </c>
      <c r="DD221">
        <v>0.114124</v>
      </c>
      <c r="DE221">
        <v>1.6530200000000001E-3</v>
      </c>
      <c r="DF221">
        <v>33002.5</v>
      </c>
      <c r="DG221">
        <v>27530.6</v>
      </c>
      <c r="DH221">
        <v>31177.3</v>
      </c>
      <c r="DI221">
        <v>28090.9</v>
      </c>
      <c r="DJ221">
        <v>37492.9</v>
      </c>
      <c r="DK221">
        <v>39885.199999999997</v>
      </c>
      <c r="DL221">
        <v>44369.9</v>
      </c>
      <c r="DM221">
        <v>42575</v>
      </c>
      <c r="DN221">
        <v>1.4871000000000001</v>
      </c>
      <c r="DO221">
        <v>2.02752</v>
      </c>
      <c r="DP221">
        <v>0.107221</v>
      </c>
      <c r="DQ221">
        <v>0.14755099999999999</v>
      </c>
      <c r="DR221">
        <v>25.256399999999999</v>
      </c>
      <c r="DS221">
        <v>25.098400000000002</v>
      </c>
      <c r="DT221">
        <v>21.6</v>
      </c>
      <c r="DU221">
        <v>29.7</v>
      </c>
      <c r="DV221">
        <v>9.1305300000000003</v>
      </c>
      <c r="DW221">
        <v>61.9587</v>
      </c>
      <c r="DX221">
        <v>36.394199999999998</v>
      </c>
      <c r="DY221">
        <v>1</v>
      </c>
      <c r="DZ221">
        <v>-9.7627000000000005E-2</v>
      </c>
      <c r="EA221">
        <v>0.16483900000000001</v>
      </c>
      <c r="EB221">
        <v>20.189399999999999</v>
      </c>
      <c r="EC221">
        <v>5.2408000000000001</v>
      </c>
      <c r="ED221">
        <v>12.039899999999999</v>
      </c>
      <c r="EE221">
        <v>5.0166000000000004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1.86894</v>
      </c>
      <c r="EL221">
        <v>1.86463</v>
      </c>
      <c r="EM221">
        <v>1.8691800000000001</v>
      </c>
      <c r="EN221">
        <v>1.8672299999999999</v>
      </c>
      <c r="EO221">
        <v>1.8633999999999999</v>
      </c>
      <c r="EP221">
        <v>1.86449</v>
      </c>
      <c r="EQ221">
        <v>1.87016</v>
      </c>
      <c r="ER221">
        <v>1.86941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-0.23899999999999999</v>
      </c>
      <c r="FG221">
        <v>0.1628</v>
      </c>
      <c r="FH221">
        <v>5.8509882529719233E-2</v>
      </c>
      <c r="FI221">
        <v>-6.1462078757559423E-4</v>
      </c>
      <c r="FJ221">
        <v>-1.8861989874597051E-7</v>
      </c>
      <c r="FK221">
        <v>1.1980462299894961E-10</v>
      </c>
      <c r="FL221">
        <v>0.16277811159127681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42.9</v>
      </c>
      <c r="FU221">
        <v>43.1</v>
      </c>
      <c r="FV221">
        <v>1.7675799999999999</v>
      </c>
      <c r="FW221">
        <v>2.5805699999999998</v>
      </c>
      <c r="FX221">
        <v>1.5490699999999999</v>
      </c>
      <c r="FY221">
        <v>2.3290999999999999</v>
      </c>
      <c r="FZ221">
        <v>1.50146</v>
      </c>
      <c r="GA221">
        <v>2.3571800000000001</v>
      </c>
      <c r="GB221">
        <v>33.941299999999998</v>
      </c>
      <c r="GC221">
        <v>23.991199999999999</v>
      </c>
      <c r="GD221">
        <v>19</v>
      </c>
      <c r="GE221">
        <v>287.24400000000003</v>
      </c>
      <c r="GF221">
        <v>575.05399999999997</v>
      </c>
      <c r="GG221">
        <v>24.5594</v>
      </c>
      <c r="GH221">
        <v>26.155899999999999</v>
      </c>
      <c r="GI221">
        <v>30</v>
      </c>
      <c r="GJ221">
        <v>26.2819</v>
      </c>
      <c r="GK221">
        <v>26.263300000000001</v>
      </c>
      <c r="GL221">
        <v>35.333599999999997</v>
      </c>
      <c r="GM221">
        <v>100</v>
      </c>
      <c r="GN221">
        <v>8.9354600000000008</v>
      </c>
      <c r="GO221">
        <v>24.5579</v>
      </c>
      <c r="GP221">
        <v>800</v>
      </c>
      <c r="GQ221">
        <v>0</v>
      </c>
      <c r="GR221">
        <v>99.756200000000007</v>
      </c>
      <c r="GS221">
        <v>99.598799999999997</v>
      </c>
    </row>
    <row r="222" spans="1:201" x14ac:dyDescent="0.25">
      <c r="A222">
        <v>206</v>
      </c>
      <c r="B222">
        <v>1690223105.0999999</v>
      </c>
      <c r="C222">
        <v>2222.599999904633</v>
      </c>
      <c r="D222" t="s">
        <v>743</v>
      </c>
      <c r="E222" t="s">
        <v>744</v>
      </c>
      <c r="F222" t="s">
        <v>330</v>
      </c>
      <c r="H222">
        <v>1690223105.0999999</v>
      </c>
      <c r="I222">
        <f t="shared" si="90"/>
        <v>2.3501215285113581E-3</v>
      </c>
      <c r="J222">
        <f t="shared" si="91"/>
        <v>2.3501215285113579</v>
      </c>
      <c r="K222">
        <f t="shared" si="92"/>
        <v>33.565853237016768</v>
      </c>
      <c r="L222">
        <f t="shared" si="93"/>
        <v>440.28</v>
      </c>
      <c r="M222">
        <f t="shared" si="94"/>
        <v>117.22076762489728</v>
      </c>
      <c r="N222">
        <f t="shared" si="95"/>
        <v>11.626557169351841</v>
      </c>
      <c r="O222">
        <f t="shared" si="96"/>
        <v>43.669229388623997</v>
      </c>
      <c r="P222">
        <f t="shared" si="97"/>
        <v>0.17591560922138644</v>
      </c>
      <c r="Q222">
        <f t="shared" si="98"/>
        <v>2.1988162435108984</v>
      </c>
      <c r="R222">
        <f t="shared" si="99"/>
        <v>0.168454033363369</v>
      </c>
      <c r="S222">
        <f t="shared" si="100"/>
        <v>0.10592778997060641</v>
      </c>
      <c r="T222">
        <f t="shared" si="101"/>
        <v>276.11624386799997</v>
      </c>
      <c r="U222">
        <f t="shared" si="102"/>
        <v>27.683788270447707</v>
      </c>
      <c r="V222">
        <f t="shared" si="103"/>
        <v>27.683788270447707</v>
      </c>
      <c r="W222">
        <f t="shared" si="104"/>
        <v>3.7254453792273039</v>
      </c>
      <c r="X222">
        <f t="shared" si="105"/>
        <v>69.18247236334436</v>
      </c>
      <c r="Y222">
        <f t="shared" si="106"/>
        <v>2.3843212778142804</v>
      </c>
      <c r="Z222">
        <f t="shared" si="107"/>
        <v>3.4464239226547058</v>
      </c>
      <c r="AA222">
        <f t="shared" si="108"/>
        <v>1.3411241014130235</v>
      </c>
      <c r="AB222">
        <f t="shared" si="109"/>
        <v>-103.64035940735089</v>
      </c>
      <c r="AC222">
        <f t="shared" si="110"/>
        <v>-157.15050960472894</v>
      </c>
      <c r="AD222">
        <f t="shared" si="111"/>
        <v>-15.427476904320233</v>
      </c>
      <c r="AE222">
        <f t="shared" si="112"/>
        <v>-0.10210204840012693</v>
      </c>
      <c r="AF222">
        <v>0</v>
      </c>
      <c r="AG222">
        <v>0</v>
      </c>
      <c r="AH222">
        <f t="shared" si="113"/>
        <v>1</v>
      </c>
      <c r="AI222">
        <f t="shared" si="114"/>
        <v>0</v>
      </c>
      <c r="AJ222">
        <f t="shared" si="115"/>
        <v>52691.523360747218</v>
      </c>
      <c r="AK222">
        <f t="shared" si="116"/>
        <v>1800</v>
      </c>
      <c r="AL222">
        <f t="shared" si="117"/>
        <v>1499.1103008</v>
      </c>
      <c r="AM222">
        <f t="shared" si="118"/>
        <v>0.83283905599999997</v>
      </c>
      <c r="AN222">
        <f t="shared" si="119"/>
        <v>0.15339791325999999</v>
      </c>
      <c r="AO222">
        <v>31.2</v>
      </c>
      <c r="AP222">
        <v>0.5</v>
      </c>
      <c r="AQ222" t="s">
        <v>331</v>
      </c>
      <c r="AR222">
        <v>2</v>
      </c>
      <c r="AS222">
        <v>1690223105.0999999</v>
      </c>
      <c r="AT222">
        <v>440.28</v>
      </c>
      <c r="AU222">
        <v>799.976</v>
      </c>
      <c r="AV222">
        <v>24.039100000000001</v>
      </c>
      <c r="AW222">
        <v>0.19531699999999999</v>
      </c>
      <c r="AX222">
        <v>440.51799999999997</v>
      </c>
      <c r="AY222">
        <v>23.876300000000001</v>
      </c>
      <c r="AZ222">
        <v>300.125</v>
      </c>
      <c r="BA222">
        <v>99.0852</v>
      </c>
      <c r="BB222">
        <v>9.99308E-2</v>
      </c>
      <c r="BC222">
        <v>26.3581</v>
      </c>
      <c r="BD222">
        <v>27.008500000000002</v>
      </c>
      <c r="BE222">
        <v>27.529699999999998</v>
      </c>
      <c r="BF222">
        <v>0</v>
      </c>
      <c r="BG222">
        <v>0</v>
      </c>
      <c r="BH222">
        <v>10036.9</v>
      </c>
      <c r="BI222">
        <v>1075.3900000000001</v>
      </c>
      <c r="BJ222">
        <v>1.62592</v>
      </c>
      <c r="BK222">
        <v>-359.69600000000003</v>
      </c>
      <c r="BL222">
        <v>451.12400000000002</v>
      </c>
      <c r="BM222">
        <v>800.13199999999995</v>
      </c>
      <c r="BN222">
        <v>23.843800000000002</v>
      </c>
      <c r="BO222">
        <v>799.976</v>
      </c>
      <c r="BP222">
        <v>0.19531699999999999</v>
      </c>
      <c r="BQ222">
        <v>2.38192</v>
      </c>
      <c r="BR222">
        <v>1.9352999999999999E-2</v>
      </c>
      <c r="BS222">
        <v>20.241399999999999</v>
      </c>
      <c r="BT222">
        <v>-39.741799999999998</v>
      </c>
      <c r="BU222">
        <v>1800</v>
      </c>
      <c r="BV222">
        <v>0.90998400000000002</v>
      </c>
      <c r="BW222">
        <v>3.4004E-2</v>
      </c>
      <c r="BX222">
        <v>2.2005799999999999E-2</v>
      </c>
      <c r="BY222">
        <v>3.40062E-2</v>
      </c>
      <c r="BZ222">
        <v>26</v>
      </c>
      <c r="CA222">
        <v>33528.199999999997</v>
      </c>
      <c r="CB222">
        <v>1690220522.5999999</v>
      </c>
      <c r="CC222" t="s">
        <v>332</v>
      </c>
      <c r="CD222">
        <v>1690220522.5999999</v>
      </c>
      <c r="CE222">
        <v>1690220510.5999999</v>
      </c>
      <c r="CF222">
        <v>10</v>
      </c>
      <c r="CG222">
        <v>-0.22</v>
      </c>
      <c r="CH222">
        <v>-2.7E-2</v>
      </c>
      <c r="CI222">
        <v>-0.49299999999999999</v>
      </c>
      <c r="CJ222">
        <v>0.152</v>
      </c>
      <c r="CK222">
        <v>800</v>
      </c>
      <c r="CL222">
        <v>19</v>
      </c>
      <c r="CM222">
        <v>0.1</v>
      </c>
      <c r="CN222">
        <v>0.03</v>
      </c>
      <c r="CO222">
        <v>-359.41812195121952</v>
      </c>
      <c r="CP222">
        <v>-1.483797909408084</v>
      </c>
      <c r="CQ222">
        <v>0.1557448186699445</v>
      </c>
      <c r="CR222">
        <v>-1</v>
      </c>
      <c r="CS222">
        <v>23.836551219512199</v>
      </c>
      <c r="CT222">
        <v>3.921951219505844E-2</v>
      </c>
      <c r="CU222">
        <v>4.1579264268773904E-3</v>
      </c>
      <c r="CV222">
        <v>-1</v>
      </c>
      <c r="CW222">
        <v>0</v>
      </c>
      <c r="CX222">
        <v>0</v>
      </c>
      <c r="CY222" t="s">
        <v>333</v>
      </c>
      <c r="CZ222">
        <v>2.36456</v>
      </c>
      <c r="DA222">
        <v>2.7137500000000001</v>
      </c>
      <c r="DB222">
        <v>9.6270700000000001E-2</v>
      </c>
      <c r="DC222">
        <v>0.14600199999999999</v>
      </c>
      <c r="DD222">
        <v>0.114145</v>
      </c>
      <c r="DE222">
        <v>1.6409599999999999E-3</v>
      </c>
      <c r="DF222">
        <v>33005.1</v>
      </c>
      <c r="DG222">
        <v>27531.3</v>
      </c>
      <c r="DH222">
        <v>31177.8</v>
      </c>
      <c r="DI222">
        <v>28091.5</v>
      </c>
      <c r="DJ222">
        <v>37492.699999999997</v>
      </c>
      <c r="DK222">
        <v>39886.199999999997</v>
      </c>
      <c r="DL222">
        <v>44370.6</v>
      </c>
      <c r="DM222">
        <v>42575.6</v>
      </c>
      <c r="DN222">
        <v>1.4869300000000001</v>
      </c>
      <c r="DO222">
        <v>2.0276800000000001</v>
      </c>
      <c r="DP222">
        <v>0.106789</v>
      </c>
      <c r="DQ222">
        <v>0.148337</v>
      </c>
      <c r="DR222">
        <v>25.259599999999999</v>
      </c>
      <c r="DS222">
        <v>25.100999999999999</v>
      </c>
      <c r="DT222">
        <v>21.4</v>
      </c>
      <c r="DU222">
        <v>29.7</v>
      </c>
      <c r="DV222">
        <v>9.0441599999999998</v>
      </c>
      <c r="DW222">
        <v>61.558700000000002</v>
      </c>
      <c r="DX222">
        <v>37.375799999999998</v>
      </c>
      <c r="DY222">
        <v>1</v>
      </c>
      <c r="DZ222">
        <v>-9.7848099999999993E-2</v>
      </c>
      <c r="EA222">
        <v>-0.17674000000000001</v>
      </c>
      <c r="EB222">
        <v>20.189399999999999</v>
      </c>
      <c r="EC222">
        <v>5.2409499999999998</v>
      </c>
      <c r="ED222">
        <v>12.039899999999999</v>
      </c>
      <c r="EE222">
        <v>5.0168499999999998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1.8689199999999999</v>
      </c>
      <c r="EL222">
        <v>1.86463</v>
      </c>
      <c r="EM222">
        <v>1.8691800000000001</v>
      </c>
      <c r="EN222">
        <v>1.8672299999999999</v>
      </c>
      <c r="EO222">
        <v>1.8633999999999999</v>
      </c>
      <c r="EP222">
        <v>1.8645099999999999</v>
      </c>
      <c r="EQ222">
        <v>1.87015</v>
      </c>
      <c r="ER222">
        <v>1.8694299999999999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-0.23799999999999999</v>
      </c>
      <c r="FG222">
        <v>0.1628</v>
      </c>
      <c r="FH222">
        <v>5.8509882529719233E-2</v>
      </c>
      <c r="FI222">
        <v>-6.1462078757559423E-4</v>
      </c>
      <c r="FJ222">
        <v>-1.8861989874597051E-7</v>
      </c>
      <c r="FK222">
        <v>1.1980462299894961E-10</v>
      </c>
      <c r="FL222">
        <v>0.16277811159127681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43</v>
      </c>
      <c r="FU222">
        <v>43.2</v>
      </c>
      <c r="FV222">
        <v>1.7675799999999999</v>
      </c>
      <c r="FW222">
        <v>2.5744600000000002</v>
      </c>
      <c r="FX222">
        <v>1.5490699999999999</v>
      </c>
      <c r="FY222">
        <v>2.3290999999999999</v>
      </c>
      <c r="FZ222">
        <v>1.50146</v>
      </c>
      <c r="GA222">
        <v>2.36206</v>
      </c>
      <c r="GB222">
        <v>33.941299999999998</v>
      </c>
      <c r="GC222">
        <v>23.991199999999999</v>
      </c>
      <c r="GD222">
        <v>19</v>
      </c>
      <c r="GE222">
        <v>287.16899999999998</v>
      </c>
      <c r="GF222">
        <v>575.18700000000001</v>
      </c>
      <c r="GG222">
        <v>24.605699999999999</v>
      </c>
      <c r="GH222">
        <v>26.155899999999999</v>
      </c>
      <c r="GI222">
        <v>30.0002</v>
      </c>
      <c r="GJ222">
        <v>26.2819</v>
      </c>
      <c r="GK222">
        <v>26.264299999999999</v>
      </c>
      <c r="GL222">
        <v>35.337400000000002</v>
      </c>
      <c r="GM222">
        <v>100</v>
      </c>
      <c r="GN222">
        <v>8.1800700000000006</v>
      </c>
      <c r="GO222">
        <v>24.623699999999999</v>
      </c>
      <c r="GP222">
        <v>800</v>
      </c>
      <c r="GQ222">
        <v>0</v>
      </c>
      <c r="GR222">
        <v>99.757900000000006</v>
      </c>
      <c r="GS222">
        <v>99.600399999999993</v>
      </c>
    </row>
    <row r="223" spans="1:201" x14ac:dyDescent="0.25">
      <c r="A223">
        <v>207</v>
      </c>
      <c r="B223">
        <v>1690223115.0999999</v>
      </c>
      <c r="C223">
        <v>2232.599999904633</v>
      </c>
      <c r="D223" t="s">
        <v>745</v>
      </c>
      <c r="E223" t="s">
        <v>746</v>
      </c>
      <c r="F223" t="s">
        <v>330</v>
      </c>
      <c r="H223">
        <v>1690223115.0999999</v>
      </c>
      <c r="I223">
        <f t="shared" si="90"/>
        <v>2.3528099475799411E-3</v>
      </c>
      <c r="J223">
        <f t="shared" si="91"/>
        <v>2.3528099475799413</v>
      </c>
      <c r="K223">
        <f t="shared" si="92"/>
        <v>33.596927930196372</v>
      </c>
      <c r="L223">
        <f t="shared" si="93"/>
        <v>440.04399999999998</v>
      </c>
      <c r="M223">
        <f t="shared" si="94"/>
        <v>117.43291514648834</v>
      </c>
      <c r="N223">
        <f t="shared" si="95"/>
        <v>11.647551159886948</v>
      </c>
      <c r="O223">
        <f t="shared" si="96"/>
        <v>43.645642247811992</v>
      </c>
      <c r="P223">
        <f t="shared" si="97"/>
        <v>0.17634474536778288</v>
      </c>
      <c r="Q223">
        <f t="shared" si="98"/>
        <v>2.1969713618834614</v>
      </c>
      <c r="R223">
        <f t="shared" si="99"/>
        <v>0.16884154723831521</v>
      </c>
      <c r="S223">
        <f t="shared" si="100"/>
        <v>0.10617349543801624</v>
      </c>
      <c r="T223">
        <f t="shared" si="101"/>
        <v>276.11639964</v>
      </c>
      <c r="U223">
        <f t="shared" si="102"/>
        <v>27.686588547851962</v>
      </c>
      <c r="V223">
        <f t="shared" si="103"/>
        <v>27.686588547851962</v>
      </c>
      <c r="W223">
        <f t="shared" si="104"/>
        <v>3.7260550213704056</v>
      </c>
      <c r="X223">
        <f t="shared" si="105"/>
        <v>69.234756922932775</v>
      </c>
      <c r="Y223">
        <f t="shared" si="106"/>
        <v>2.3865034570475996</v>
      </c>
      <c r="Z223">
        <f t="shared" si="107"/>
        <v>3.4469731145356461</v>
      </c>
      <c r="AA223">
        <f t="shared" si="108"/>
        <v>1.339551564322806</v>
      </c>
      <c r="AB223">
        <f t="shared" si="109"/>
        <v>-103.7589186882754</v>
      </c>
      <c r="AC223">
        <f t="shared" si="110"/>
        <v>-157.03053214987031</v>
      </c>
      <c r="AD223">
        <f t="shared" si="111"/>
        <v>-15.429068159332212</v>
      </c>
      <c r="AE223">
        <f t="shared" si="112"/>
        <v>-0.10211935747790335</v>
      </c>
      <c r="AF223">
        <v>0</v>
      </c>
      <c r="AG223">
        <v>0</v>
      </c>
      <c r="AH223">
        <f t="shared" si="113"/>
        <v>1</v>
      </c>
      <c r="AI223">
        <f t="shared" si="114"/>
        <v>0</v>
      </c>
      <c r="AJ223">
        <f t="shared" si="115"/>
        <v>52615.308473620753</v>
      </c>
      <c r="AK223">
        <f t="shared" si="116"/>
        <v>1800</v>
      </c>
      <c r="AL223">
        <f t="shared" si="117"/>
        <v>1499.1106319999997</v>
      </c>
      <c r="AM223">
        <f t="shared" si="118"/>
        <v>0.83283923999999987</v>
      </c>
      <c r="AN223">
        <f t="shared" si="119"/>
        <v>0.15339799979999999</v>
      </c>
      <c r="AO223">
        <v>31.2</v>
      </c>
      <c r="AP223">
        <v>0.5</v>
      </c>
      <c r="AQ223" t="s">
        <v>331</v>
      </c>
      <c r="AR223">
        <v>2</v>
      </c>
      <c r="AS223">
        <v>1690223115.0999999</v>
      </c>
      <c r="AT223">
        <v>440.04399999999998</v>
      </c>
      <c r="AU223">
        <v>800.01800000000003</v>
      </c>
      <c r="AV223">
        <v>24.061199999999999</v>
      </c>
      <c r="AW223">
        <v>0.194101</v>
      </c>
      <c r="AX223">
        <v>440.28199999999998</v>
      </c>
      <c r="AY223">
        <v>23.898399999999999</v>
      </c>
      <c r="AZ223">
        <v>300.16800000000001</v>
      </c>
      <c r="BA223">
        <v>99.084699999999998</v>
      </c>
      <c r="BB223">
        <v>0.100023</v>
      </c>
      <c r="BC223">
        <v>26.360800000000001</v>
      </c>
      <c r="BD223">
        <v>26.983699999999999</v>
      </c>
      <c r="BE223">
        <v>27.533999999999999</v>
      </c>
      <c r="BF223">
        <v>0</v>
      </c>
      <c r="BG223">
        <v>0</v>
      </c>
      <c r="BH223">
        <v>10021.9</v>
      </c>
      <c r="BI223">
        <v>1075.3699999999999</v>
      </c>
      <c r="BJ223">
        <v>1.19841</v>
      </c>
      <c r="BK223">
        <v>-359.97500000000002</v>
      </c>
      <c r="BL223">
        <v>450.89299999999997</v>
      </c>
      <c r="BM223">
        <v>800.17399999999998</v>
      </c>
      <c r="BN223">
        <v>23.867100000000001</v>
      </c>
      <c r="BO223">
        <v>800.01800000000003</v>
      </c>
      <c r="BP223">
        <v>0.194101</v>
      </c>
      <c r="BQ223">
        <v>2.3841000000000001</v>
      </c>
      <c r="BR223">
        <v>1.92325E-2</v>
      </c>
      <c r="BS223">
        <v>20.2562</v>
      </c>
      <c r="BT223">
        <v>-39.8018</v>
      </c>
      <c r="BU223">
        <v>1800</v>
      </c>
      <c r="BV223">
        <v>0.90998299999999999</v>
      </c>
      <c r="BW223">
        <v>3.4005000000000001E-2</v>
      </c>
      <c r="BX223">
        <v>2.2006000000000001E-2</v>
      </c>
      <c r="BY223">
        <v>3.4006399999999999E-2</v>
      </c>
      <c r="BZ223">
        <v>26</v>
      </c>
      <c r="CA223">
        <v>33528.199999999997</v>
      </c>
      <c r="CB223">
        <v>1690220522.5999999</v>
      </c>
      <c r="CC223" t="s">
        <v>332</v>
      </c>
      <c r="CD223">
        <v>1690220522.5999999</v>
      </c>
      <c r="CE223">
        <v>1690220510.5999999</v>
      </c>
      <c r="CF223">
        <v>10</v>
      </c>
      <c r="CG223">
        <v>-0.22</v>
      </c>
      <c r="CH223">
        <v>-2.7E-2</v>
      </c>
      <c r="CI223">
        <v>-0.49299999999999999</v>
      </c>
      <c r="CJ223">
        <v>0.152</v>
      </c>
      <c r="CK223">
        <v>800</v>
      </c>
      <c r="CL223">
        <v>19</v>
      </c>
      <c r="CM223">
        <v>0.1</v>
      </c>
      <c r="CN223">
        <v>0.03</v>
      </c>
      <c r="CO223">
        <v>-359.67812195121962</v>
      </c>
      <c r="CP223">
        <v>-1.929867595819502</v>
      </c>
      <c r="CQ223">
        <v>0.19429286357253739</v>
      </c>
      <c r="CR223">
        <v>-1</v>
      </c>
      <c r="CS223">
        <v>23.846334146341459</v>
      </c>
      <c r="CT223">
        <v>8.8350522648126345E-2</v>
      </c>
      <c r="CU223">
        <v>9.0767892076464816E-3</v>
      </c>
      <c r="CV223">
        <v>-1</v>
      </c>
      <c r="CW223">
        <v>0</v>
      </c>
      <c r="CX223">
        <v>0</v>
      </c>
      <c r="CY223" t="s">
        <v>333</v>
      </c>
      <c r="CZ223">
        <v>2.36469</v>
      </c>
      <c r="DA223">
        <v>2.7138300000000002</v>
      </c>
      <c r="DB223">
        <v>9.6231700000000003E-2</v>
      </c>
      <c r="DC223">
        <v>0.146007</v>
      </c>
      <c r="DD223">
        <v>0.114219</v>
      </c>
      <c r="DE223">
        <v>1.63086E-3</v>
      </c>
      <c r="DF223">
        <v>33006.800000000003</v>
      </c>
      <c r="DG223">
        <v>27531.4</v>
      </c>
      <c r="DH223">
        <v>31178</v>
      </c>
      <c r="DI223">
        <v>28091.7</v>
      </c>
      <c r="DJ223">
        <v>37489.599999999999</v>
      </c>
      <c r="DK223">
        <v>39886.9</v>
      </c>
      <c r="DL223">
        <v>44370.7</v>
      </c>
      <c r="DM223">
        <v>42575.9</v>
      </c>
      <c r="DN223">
        <v>1.48675</v>
      </c>
      <c r="DO223">
        <v>2.0274299999999998</v>
      </c>
      <c r="DP223">
        <v>0.105076</v>
      </c>
      <c r="DQ223">
        <v>0.148535</v>
      </c>
      <c r="DR223">
        <v>25.262799999999999</v>
      </c>
      <c r="DS223">
        <v>25.1021</v>
      </c>
      <c r="DT223">
        <v>21.2</v>
      </c>
      <c r="DU223">
        <v>29.7</v>
      </c>
      <c r="DV223">
        <v>8.9596599999999995</v>
      </c>
      <c r="DW223">
        <v>61.398699999999998</v>
      </c>
      <c r="DX223">
        <v>36.402200000000001</v>
      </c>
      <c r="DY223">
        <v>1</v>
      </c>
      <c r="DZ223">
        <v>-9.8076700000000003E-2</v>
      </c>
      <c r="EA223">
        <v>3.7973899999999998E-2</v>
      </c>
      <c r="EB223">
        <v>20.189499999999999</v>
      </c>
      <c r="EC223">
        <v>5.2411000000000003</v>
      </c>
      <c r="ED223">
        <v>12.039899999999999</v>
      </c>
      <c r="EE223">
        <v>5.0170500000000002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1.86893</v>
      </c>
      <c r="EL223">
        <v>1.8646400000000001</v>
      </c>
      <c r="EM223">
        <v>1.8691599999999999</v>
      </c>
      <c r="EN223">
        <v>1.8672200000000001</v>
      </c>
      <c r="EO223">
        <v>1.8633999999999999</v>
      </c>
      <c r="EP223">
        <v>1.86452</v>
      </c>
      <c r="EQ223">
        <v>1.87019</v>
      </c>
      <c r="ER223">
        <v>1.8694200000000001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-0.23799999999999999</v>
      </c>
      <c r="FG223">
        <v>0.1628</v>
      </c>
      <c r="FH223">
        <v>5.8509882529719233E-2</v>
      </c>
      <c r="FI223">
        <v>-6.1462078757559423E-4</v>
      </c>
      <c r="FJ223">
        <v>-1.8861989874597051E-7</v>
      </c>
      <c r="FK223">
        <v>1.1980462299894961E-10</v>
      </c>
      <c r="FL223">
        <v>0.16277811159127681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43.2</v>
      </c>
      <c r="FU223">
        <v>43.4</v>
      </c>
      <c r="FV223">
        <v>1.7675799999999999</v>
      </c>
      <c r="FW223">
        <v>2.5805699999999998</v>
      </c>
      <c r="FX223">
        <v>1.5490699999999999</v>
      </c>
      <c r="FY223">
        <v>2.3303199999999999</v>
      </c>
      <c r="FZ223">
        <v>1.50146</v>
      </c>
      <c r="GA223">
        <v>2.36572</v>
      </c>
      <c r="GB223">
        <v>33.941299999999998</v>
      </c>
      <c r="GC223">
        <v>23.982399999999998</v>
      </c>
      <c r="GD223">
        <v>19</v>
      </c>
      <c r="GE223">
        <v>287.09399999999999</v>
      </c>
      <c r="GF223">
        <v>574.98299999999995</v>
      </c>
      <c r="GG223">
        <v>24.6343</v>
      </c>
      <c r="GH223">
        <v>26.155899999999999</v>
      </c>
      <c r="GI223">
        <v>30</v>
      </c>
      <c r="GJ223">
        <v>26.2819</v>
      </c>
      <c r="GK223">
        <v>26.264299999999999</v>
      </c>
      <c r="GL223">
        <v>35.333100000000002</v>
      </c>
      <c r="GM223">
        <v>100</v>
      </c>
      <c r="GN223">
        <v>7.7927799999999996</v>
      </c>
      <c r="GO223">
        <v>24.6386</v>
      </c>
      <c r="GP223">
        <v>800</v>
      </c>
      <c r="GQ223">
        <v>0</v>
      </c>
      <c r="GR223">
        <v>99.758300000000006</v>
      </c>
      <c r="GS223">
        <v>99.600999999999999</v>
      </c>
    </row>
    <row r="224" spans="1:201" x14ac:dyDescent="0.25">
      <c r="A224">
        <v>208</v>
      </c>
      <c r="B224">
        <v>1690223125.0999999</v>
      </c>
      <c r="C224">
        <v>2242.599999904633</v>
      </c>
      <c r="D224" t="s">
        <v>747</v>
      </c>
      <c r="E224" t="s">
        <v>748</v>
      </c>
      <c r="F224" t="s">
        <v>330</v>
      </c>
      <c r="H224">
        <v>1690223125.0999999</v>
      </c>
      <c r="I224">
        <f t="shared" si="90"/>
        <v>2.3537692076912378E-3</v>
      </c>
      <c r="J224">
        <f t="shared" si="91"/>
        <v>2.3537692076912378</v>
      </c>
      <c r="K224">
        <f t="shared" si="92"/>
        <v>33.601325012625288</v>
      </c>
      <c r="L224">
        <f t="shared" si="93"/>
        <v>439.85300000000001</v>
      </c>
      <c r="M224">
        <f t="shared" si="94"/>
        <v>117.47859626958332</v>
      </c>
      <c r="N224">
        <f t="shared" si="95"/>
        <v>11.652031325665304</v>
      </c>
      <c r="O224">
        <f t="shared" si="96"/>
        <v>43.6265081251642</v>
      </c>
      <c r="P224">
        <f t="shared" si="97"/>
        <v>0.17650598798947842</v>
      </c>
      <c r="Q224">
        <f t="shared" si="98"/>
        <v>2.1960461577492145</v>
      </c>
      <c r="R224">
        <f t="shared" si="99"/>
        <v>0.16898635498955522</v>
      </c>
      <c r="S224">
        <f t="shared" si="100"/>
        <v>0.10626538456868007</v>
      </c>
      <c r="T224">
        <f t="shared" si="101"/>
        <v>276.11628323399998</v>
      </c>
      <c r="U224">
        <f t="shared" si="102"/>
        <v>27.689068278625758</v>
      </c>
      <c r="V224">
        <f t="shared" si="103"/>
        <v>27.689068278625758</v>
      </c>
      <c r="W224">
        <f t="shared" si="104"/>
        <v>3.7265949506965605</v>
      </c>
      <c r="X224">
        <f t="shared" si="105"/>
        <v>69.259008158715304</v>
      </c>
      <c r="Y224">
        <f t="shared" si="106"/>
        <v>2.3876634468722</v>
      </c>
      <c r="Z224">
        <f t="shared" si="107"/>
        <v>3.4474410049312048</v>
      </c>
      <c r="AA224">
        <f t="shared" si="108"/>
        <v>1.3389315038243605</v>
      </c>
      <c r="AB224">
        <f t="shared" si="109"/>
        <v>-103.80122205918359</v>
      </c>
      <c r="AC224">
        <f t="shared" si="110"/>
        <v>-156.98568124913115</v>
      </c>
      <c r="AD224">
        <f t="shared" si="111"/>
        <v>-15.431528580844633</v>
      </c>
      <c r="AE224">
        <f t="shared" si="112"/>
        <v>-0.10214865515942506</v>
      </c>
      <c r="AF224">
        <v>0</v>
      </c>
      <c r="AG224">
        <v>0</v>
      </c>
      <c r="AH224">
        <f t="shared" si="113"/>
        <v>1</v>
      </c>
      <c r="AI224">
        <f t="shared" si="114"/>
        <v>0</v>
      </c>
      <c r="AJ224">
        <f t="shared" si="115"/>
        <v>52576.942998184837</v>
      </c>
      <c r="AK224">
        <f t="shared" si="116"/>
        <v>1800</v>
      </c>
      <c r="AL224">
        <f t="shared" si="117"/>
        <v>1499.1094854</v>
      </c>
      <c r="AM224">
        <f t="shared" si="118"/>
        <v>0.83283860300000001</v>
      </c>
      <c r="AN224">
        <f t="shared" si="119"/>
        <v>0.15339793513</v>
      </c>
      <c r="AO224">
        <v>31.2</v>
      </c>
      <c r="AP224">
        <v>0.5</v>
      </c>
      <c r="AQ224" t="s">
        <v>331</v>
      </c>
      <c r="AR224">
        <v>2</v>
      </c>
      <c r="AS224">
        <v>1690223125.0999999</v>
      </c>
      <c r="AT224">
        <v>439.85300000000001</v>
      </c>
      <c r="AU224">
        <v>799.92399999999998</v>
      </c>
      <c r="AV224">
        <v>24.073</v>
      </c>
      <c r="AW224">
        <v>0.19303799999999999</v>
      </c>
      <c r="AX224">
        <v>440.09100000000001</v>
      </c>
      <c r="AY224">
        <v>23.9102</v>
      </c>
      <c r="AZ224">
        <v>300.125</v>
      </c>
      <c r="BA224">
        <v>99.084299999999999</v>
      </c>
      <c r="BB224">
        <v>9.9991399999999994E-2</v>
      </c>
      <c r="BC224">
        <v>26.363099999999999</v>
      </c>
      <c r="BD224">
        <v>27.001100000000001</v>
      </c>
      <c r="BE224">
        <v>27.5318</v>
      </c>
      <c r="BF224">
        <v>0</v>
      </c>
      <c r="BG224">
        <v>0</v>
      </c>
      <c r="BH224">
        <v>10014.4</v>
      </c>
      <c r="BI224">
        <v>1075.3699999999999</v>
      </c>
      <c r="BJ224">
        <v>1.36941</v>
      </c>
      <c r="BK224">
        <v>-360.072</v>
      </c>
      <c r="BL224">
        <v>450.702</v>
      </c>
      <c r="BM224">
        <v>800.07899999999995</v>
      </c>
      <c r="BN224">
        <v>23.879899999999999</v>
      </c>
      <c r="BO224">
        <v>799.92399999999998</v>
      </c>
      <c r="BP224">
        <v>0.19303799999999999</v>
      </c>
      <c r="BQ224">
        <v>2.3852600000000002</v>
      </c>
      <c r="BR224">
        <v>1.9127000000000002E-2</v>
      </c>
      <c r="BS224">
        <v>20.263999999999999</v>
      </c>
      <c r="BT224">
        <v>-39.854500000000002</v>
      </c>
      <c r="BU224">
        <v>1800</v>
      </c>
      <c r="BV224">
        <v>0.90998100000000004</v>
      </c>
      <c r="BW224">
        <v>3.4008200000000002E-2</v>
      </c>
      <c r="BX224">
        <v>2.2005400000000001E-2</v>
      </c>
      <c r="BY224">
        <v>3.4005500000000001E-2</v>
      </c>
      <c r="BZ224">
        <v>26</v>
      </c>
      <c r="CA224">
        <v>33528.199999999997</v>
      </c>
      <c r="CB224">
        <v>1690220522.5999999</v>
      </c>
      <c r="CC224" t="s">
        <v>332</v>
      </c>
      <c r="CD224">
        <v>1690220522.5999999</v>
      </c>
      <c r="CE224">
        <v>1690220510.5999999</v>
      </c>
      <c r="CF224">
        <v>10</v>
      </c>
      <c r="CG224">
        <v>-0.22</v>
      </c>
      <c r="CH224">
        <v>-2.7E-2</v>
      </c>
      <c r="CI224">
        <v>-0.49299999999999999</v>
      </c>
      <c r="CJ224">
        <v>0.152</v>
      </c>
      <c r="CK224">
        <v>800</v>
      </c>
      <c r="CL224">
        <v>19</v>
      </c>
      <c r="CM224">
        <v>0.1</v>
      </c>
      <c r="CN224">
        <v>0.03</v>
      </c>
      <c r="CO224">
        <v>-359.94437499999998</v>
      </c>
      <c r="CP224">
        <v>-1.171238273920739</v>
      </c>
      <c r="CQ224">
        <v>0.1224803428105916</v>
      </c>
      <c r="CR224">
        <v>-1</v>
      </c>
      <c r="CS224">
        <v>23.863737499999999</v>
      </c>
      <c r="CT224">
        <v>0.1093744840525108</v>
      </c>
      <c r="CU224">
        <v>1.069106373332413E-2</v>
      </c>
      <c r="CV224">
        <v>-1</v>
      </c>
      <c r="CW224">
        <v>0</v>
      </c>
      <c r="CX224">
        <v>0</v>
      </c>
      <c r="CY224" t="s">
        <v>333</v>
      </c>
      <c r="CZ224">
        <v>2.36456</v>
      </c>
      <c r="DA224">
        <v>2.7137899999999999</v>
      </c>
      <c r="DB224">
        <v>9.6200099999999997E-2</v>
      </c>
      <c r="DC224">
        <v>0.14599500000000001</v>
      </c>
      <c r="DD224">
        <v>0.114258</v>
      </c>
      <c r="DE224">
        <v>1.62203E-3</v>
      </c>
      <c r="DF224">
        <v>33007.5</v>
      </c>
      <c r="DG224">
        <v>27531.9</v>
      </c>
      <c r="DH224">
        <v>31177.599999999999</v>
      </c>
      <c r="DI224">
        <v>28091.9</v>
      </c>
      <c r="DJ224">
        <v>37487.599999999999</v>
      </c>
      <c r="DK224">
        <v>39887.599999999999</v>
      </c>
      <c r="DL224">
        <v>44370.400000000001</v>
      </c>
      <c r="DM224">
        <v>42576.3</v>
      </c>
      <c r="DN224">
        <v>1.48705</v>
      </c>
      <c r="DO224">
        <v>2.0275500000000002</v>
      </c>
      <c r="DP224">
        <v>0.106007</v>
      </c>
      <c r="DQ224">
        <v>0.148177</v>
      </c>
      <c r="DR224">
        <v>25.265000000000001</v>
      </c>
      <c r="DS224">
        <v>25.105799999999999</v>
      </c>
      <c r="DT224">
        <v>21.1</v>
      </c>
      <c r="DU224">
        <v>29.7</v>
      </c>
      <c r="DV224">
        <v>8.9171300000000002</v>
      </c>
      <c r="DW224">
        <v>61.718699999999998</v>
      </c>
      <c r="DX224">
        <v>37.1995</v>
      </c>
      <c r="DY224">
        <v>1</v>
      </c>
      <c r="DZ224">
        <v>-9.8135200000000006E-2</v>
      </c>
      <c r="EA224">
        <v>3.1604E-2</v>
      </c>
      <c r="EB224">
        <v>20.189699999999998</v>
      </c>
      <c r="EC224">
        <v>5.24125</v>
      </c>
      <c r="ED224">
        <v>12.039899999999999</v>
      </c>
      <c r="EE224">
        <v>5.0171000000000001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1.8689100000000001</v>
      </c>
      <c r="EL224">
        <v>1.8646400000000001</v>
      </c>
      <c r="EM224">
        <v>1.8691599999999999</v>
      </c>
      <c r="EN224">
        <v>1.86724</v>
      </c>
      <c r="EO224">
        <v>1.8633999999999999</v>
      </c>
      <c r="EP224">
        <v>1.86453</v>
      </c>
      <c r="EQ224">
        <v>1.87016</v>
      </c>
      <c r="ER224">
        <v>1.8694500000000001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-0.23799999999999999</v>
      </c>
      <c r="FG224">
        <v>0.1628</v>
      </c>
      <c r="FH224">
        <v>5.8509882529719233E-2</v>
      </c>
      <c r="FI224">
        <v>-6.1462078757559423E-4</v>
      </c>
      <c r="FJ224">
        <v>-1.8861989874597051E-7</v>
      </c>
      <c r="FK224">
        <v>1.1980462299894961E-10</v>
      </c>
      <c r="FL224">
        <v>0.16277811159127681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43.4</v>
      </c>
      <c r="FU224">
        <v>43.6</v>
      </c>
      <c r="FV224">
        <v>1.7675799999999999</v>
      </c>
      <c r="FW224">
        <v>2.5781200000000002</v>
      </c>
      <c r="FX224">
        <v>1.5490699999999999</v>
      </c>
      <c r="FY224">
        <v>2.3303199999999999</v>
      </c>
      <c r="FZ224">
        <v>1.50146</v>
      </c>
      <c r="GA224">
        <v>2.35229</v>
      </c>
      <c r="GB224">
        <v>33.941299999999998</v>
      </c>
      <c r="GC224">
        <v>23.991199999999999</v>
      </c>
      <c r="GD224">
        <v>19</v>
      </c>
      <c r="GE224">
        <v>287.22199999999998</v>
      </c>
      <c r="GF224">
        <v>575.08500000000004</v>
      </c>
      <c r="GG224">
        <v>24.645499999999998</v>
      </c>
      <c r="GH224">
        <v>26.155899999999999</v>
      </c>
      <c r="GI224">
        <v>30</v>
      </c>
      <c r="GJ224">
        <v>26.2819</v>
      </c>
      <c r="GK224">
        <v>26.264299999999999</v>
      </c>
      <c r="GL224">
        <v>35.335500000000003</v>
      </c>
      <c r="GM224">
        <v>100</v>
      </c>
      <c r="GN224">
        <v>7.40923</v>
      </c>
      <c r="GO224">
        <v>24.648599999999998</v>
      </c>
      <c r="GP224">
        <v>800</v>
      </c>
      <c r="GQ224">
        <v>0</v>
      </c>
      <c r="GR224">
        <v>99.757300000000001</v>
      </c>
      <c r="GS224">
        <v>99.601900000000001</v>
      </c>
    </row>
    <row r="225" spans="1:201" x14ac:dyDescent="0.25">
      <c r="A225">
        <v>209</v>
      </c>
      <c r="B225">
        <v>1690223135.0999999</v>
      </c>
      <c r="C225">
        <v>2252.599999904633</v>
      </c>
      <c r="D225" t="s">
        <v>749</v>
      </c>
      <c r="E225" t="s">
        <v>750</v>
      </c>
      <c r="F225" t="s">
        <v>330</v>
      </c>
      <c r="H225">
        <v>1690223135.0999999</v>
      </c>
      <c r="I225">
        <f t="shared" si="90"/>
        <v>2.3549798038104441E-3</v>
      </c>
      <c r="J225">
        <f t="shared" si="91"/>
        <v>2.3549798038104441</v>
      </c>
      <c r="K225">
        <f t="shared" si="92"/>
        <v>33.623553997273739</v>
      </c>
      <c r="L225">
        <f t="shared" si="93"/>
        <v>439.59</v>
      </c>
      <c r="M225">
        <f t="shared" si="94"/>
        <v>117.4160456957554</v>
      </c>
      <c r="N225">
        <f t="shared" si="95"/>
        <v>11.645721652107207</v>
      </c>
      <c r="O225">
        <f t="shared" si="96"/>
        <v>43.600027157402998</v>
      </c>
      <c r="P225">
        <f t="shared" si="97"/>
        <v>0.17674439290588675</v>
      </c>
      <c r="Q225">
        <f t="shared" si="98"/>
        <v>2.1941902471893977</v>
      </c>
      <c r="R225">
        <f t="shared" si="99"/>
        <v>0.16919881479032639</v>
      </c>
      <c r="S225">
        <f t="shared" si="100"/>
        <v>0.10640035463266816</v>
      </c>
      <c r="T225">
        <f t="shared" si="101"/>
        <v>276.11607752999998</v>
      </c>
      <c r="U225">
        <f t="shared" si="102"/>
        <v>27.690176661861951</v>
      </c>
      <c r="V225">
        <f t="shared" si="103"/>
        <v>27.690176661861951</v>
      </c>
      <c r="W225">
        <f t="shared" si="104"/>
        <v>3.7268363088976226</v>
      </c>
      <c r="X225">
        <f t="shared" si="105"/>
        <v>69.293448781381812</v>
      </c>
      <c r="Y225">
        <f t="shared" si="106"/>
        <v>2.3889212541470295</v>
      </c>
      <c r="Z225">
        <f t="shared" si="107"/>
        <v>3.4475427275729698</v>
      </c>
      <c r="AA225">
        <f t="shared" si="108"/>
        <v>1.3379150547505931</v>
      </c>
      <c r="AB225">
        <f t="shared" si="109"/>
        <v>-103.85460934804058</v>
      </c>
      <c r="AC225">
        <f t="shared" si="110"/>
        <v>-156.92497795627671</v>
      </c>
      <c r="AD225">
        <f t="shared" si="111"/>
        <v>-15.438733117867153</v>
      </c>
      <c r="AE225">
        <f t="shared" si="112"/>
        <v>-0.1022428921844778</v>
      </c>
      <c r="AF225">
        <v>0</v>
      </c>
      <c r="AG225">
        <v>0</v>
      </c>
      <c r="AH225">
        <f t="shared" si="113"/>
        <v>1</v>
      </c>
      <c r="AI225">
        <f t="shared" si="114"/>
        <v>0</v>
      </c>
      <c r="AJ225">
        <f t="shared" si="115"/>
        <v>52500.75526079</v>
      </c>
      <c r="AK225">
        <f t="shared" si="116"/>
        <v>1800</v>
      </c>
      <c r="AL225">
        <f t="shared" si="117"/>
        <v>1499.108931</v>
      </c>
      <c r="AM225">
        <f t="shared" si="118"/>
        <v>0.83283829499999995</v>
      </c>
      <c r="AN225">
        <f t="shared" si="119"/>
        <v>0.15339782084999998</v>
      </c>
      <c r="AO225">
        <v>31.2</v>
      </c>
      <c r="AP225">
        <v>0.5</v>
      </c>
      <c r="AQ225" t="s">
        <v>331</v>
      </c>
      <c r="AR225">
        <v>2</v>
      </c>
      <c r="AS225">
        <v>1690223135.0999999</v>
      </c>
      <c r="AT225">
        <v>439.59</v>
      </c>
      <c r="AU225">
        <v>799.92600000000004</v>
      </c>
      <c r="AV225">
        <v>24.085899999999999</v>
      </c>
      <c r="AW225">
        <v>0.191663</v>
      </c>
      <c r="AX225">
        <v>439.82799999999997</v>
      </c>
      <c r="AY225">
        <v>23.923200000000001</v>
      </c>
      <c r="AZ225">
        <v>300.096</v>
      </c>
      <c r="BA225">
        <v>99.083399999999997</v>
      </c>
      <c r="BB225">
        <v>9.9991700000000003E-2</v>
      </c>
      <c r="BC225">
        <v>26.363600000000002</v>
      </c>
      <c r="BD225">
        <v>27.0139</v>
      </c>
      <c r="BE225">
        <v>27.526700000000002</v>
      </c>
      <c r="BF225">
        <v>0</v>
      </c>
      <c r="BG225">
        <v>0</v>
      </c>
      <c r="BH225">
        <v>9999.3799999999992</v>
      </c>
      <c r="BI225">
        <v>1075.31</v>
      </c>
      <c r="BJ225">
        <v>1.4254800000000001</v>
      </c>
      <c r="BK225">
        <v>-360.33600000000001</v>
      </c>
      <c r="BL225">
        <v>450.44</v>
      </c>
      <c r="BM225">
        <v>800.08</v>
      </c>
      <c r="BN225">
        <v>23.894300000000001</v>
      </c>
      <c r="BO225">
        <v>799.92600000000004</v>
      </c>
      <c r="BP225">
        <v>0.191663</v>
      </c>
      <c r="BQ225">
        <v>2.38652</v>
      </c>
      <c r="BR225">
        <v>1.89906E-2</v>
      </c>
      <c r="BS225">
        <v>20.272600000000001</v>
      </c>
      <c r="BT225">
        <v>-39.923099999999998</v>
      </c>
      <c r="BU225">
        <v>1800</v>
      </c>
      <c r="BV225">
        <v>0.90998199999999996</v>
      </c>
      <c r="BW225">
        <v>3.4007700000000002E-2</v>
      </c>
      <c r="BX225">
        <v>2.2005E-2</v>
      </c>
      <c r="BY225">
        <v>3.4004899999999998E-2</v>
      </c>
      <c r="BZ225">
        <v>26</v>
      </c>
      <c r="CA225">
        <v>33528.300000000003</v>
      </c>
      <c r="CB225">
        <v>1690220522.5999999</v>
      </c>
      <c r="CC225" t="s">
        <v>332</v>
      </c>
      <c r="CD225">
        <v>1690220522.5999999</v>
      </c>
      <c r="CE225">
        <v>1690220510.5999999</v>
      </c>
      <c r="CF225">
        <v>10</v>
      </c>
      <c r="CG225">
        <v>-0.22</v>
      </c>
      <c r="CH225">
        <v>-2.7E-2</v>
      </c>
      <c r="CI225">
        <v>-0.49299999999999999</v>
      </c>
      <c r="CJ225">
        <v>0.152</v>
      </c>
      <c r="CK225">
        <v>800</v>
      </c>
      <c r="CL225">
        <v>19</v>
      </c>
      <c r="CM225">
        <v>0.1</v>
      </c>
      <c r="CN225">
        <v>0.03</v>
      </c>
      <c r="CO225">
        <v>-360.14341463414638</v>
      </c>
      <c r="CP225">
        <v>-1.1896724738681881</v>
      </c>
      <c r="CQ225">
        <v>0.1253673578727276</v>
      </c>
      <c r="CR225">
        <v>-1</v>
      </c>
      <c r="CS225">
        <v>23.880643902439029</v>
      </c>
      <c r="CT225">
        <v>8.9784668989569466E-2</v>
      </c>
      <c r="CU225">
        <v>8.9290167918160204E-3</v>
      </c>
      <c r="CV225">
        <v>-1</v>
      </c>
      <c r="CW225">
        <v>0</v>
      </c>
      <c r="CX225">
        <v>0</v>
      </c>
      <c r="CY225" t="s">
        <v>333</v>
      </c>
      <c r="CZ225">
        <v>2.3644599999999998</v>
      </c>
      <c r="DA225">
        <v>2.7137799999999999</v>
      </c>
      <c r="DB225">
        <v>9.6156199999999997E-2</v>
      </c>
      <c r="DC225">
        <v>0.14599400000000001</v>
      </c>
      <c r="DD225">
        <v>0.1143</v>
      </c>
      <c r="DE225">
        <v>1.6106E-3</v>
      </c>
      <c r="DF225">
        <v>33009.4</v>
      </c>
      <c r="DG225">
        <v>27531.9</v>
      </c>
      <c r="DH225">
        <v>31178</v>
      </c>
      <c r="DI225">
        <v>28091.8</v>
      </c>
      <c r="DJ225">
        <v>37486.300000000003</v>
      </c>
      <c r="DK225">
        <v>39888</v>
      </c>
      <c r="DL225">
        <v>44371</v>
      </c>
      <c r="DM225">
        <v>42576.2</v>
      </c>
      <c r="DN225">
        <v>1.48665</v>
      </c>
      <c r="DO225">
        <v>2.0276800000000001</v>
      </c>
      <c r="DP225">
        <v>0.10656599999999999</v>
      </c>
      <c r="DQ225">
        <v>0.14760699999999999</v>
      </c>
      <c r="DR225">
        <v>25.268699999999999</v>
      </c>
      <c r="DS225">
        <v>25.11</v>
      </c>
      <c r="DT225">
        <v>21</v>
      </c>
      <c r="DU225">
        <v>29.7</v>
      </c>
      <c r="DV225">
        <v>8.8753100000000007</v>
      </c>
      <c r="DW225">
        <v>61.768700000000003</v>
      </c>
      <c r="DX225">
        <v>37.031199999999998</v>
      </c>
      <c r="DY225">
        <v>1</v>
      </c>
      <c r="DZ225">
        <v>-9.7952200000000003E-2</v>
      </c>
      <c r="EA225">
        <v>8.3646499999999999E-2</v>
      </c>
      <c r="EB225">
        <v>20.189699999999998</v>
      </c>
      <c r="EC225">
        <v>5.24125</v>
      </c>
      <c r="ED225">
        <v>12.039899999999999</v>
      </c>
      <c r="EE225">
        <v>5.0169499999999996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1.8689100000000001</v>
      </c>
      <c r="EL225">
        <v>1.86463</v>
      </c>
      <c r="EM225">
        <v>1.8691800000000001</v>
      </c>
      <c r="EN225">
        <v>1.8672299999999999</v>
      </c>
      <c r="EO225">
        <v>1.8633999999999999</v>
      </c>
      <c r="EP225">
        <v>1.8645499999999999</v>
      </c>
      <c r="EQ225">
        <v>1.87016</v>
      </c>
      <c r="ER225">
        <v>1.86947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-0.23799999999999999</v>
      </c>
      <c r="FG225">
        <v>0.16270000000000001</v>
      </c>
      <c r="FH225">
        <v>5.8509882529719233E-2</v>
      </c>
      <c r="FI225">
        <v>-6.1462078757559423E-4</v>
      </c>
      <c r="FJ225">
        <v>-1.8861989874597051E-7</v>
      </c>
      <c r="FK225">
        <v>1.1980462299894961E-10</v>
      </c>
      <c r="FL225">
        <v>0.16277811159127681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43.5</v>
      </c>
      <c r="FU225">
        <v>43.7</v>
      </c>
      <c r="FV225">
        <v>1.7675799999999999</v>
      </c>
      <c r="FW225">
        <v>2.5854499999999998</v>
      </c>
      <c r="FX225">
        <v>1.5490699999999999</v>
      </c>
      <c r="FY225">
        <v>2.3303199999999999</v>
      </c>
      <c r="FZ225">
        <v>1.50146</v>
      </c>
      <c r="GA225">
        <v>2.2973599999999998</v>
      </c>
      <c r="GB225">
        <v>33.941299999999998</v>
      </c>
      <c r="GC225">
        <v>23.982399999999998</v>
      </c>
      <c r="GD225">
        <v>19</v>
      </c>
      <c r="GE225">
        <v>287.05</v>
      </c>
      <c r="GF225">
        <v>575.18700000000001</v>
      </c>
      <c r="GG225">
        <v>24.645</v>
      </c>
      <c r="GH225">
        <v>26.158100000000001</v>
      </c>
      <c r="GI225">
        <v>30.0002</v>
      </c>
      <c r="GJ225">
        <v>26.2819</v>
      </c>
      <c r="GK225">
        <v>26.264299999999999</v>
      </c>
      <c r="GL225">
        <v>35.337400000000002</v>
      </c>
      <c r="GM225">
        <v>100</v>
      </c>
      <c r="GN225">
        <v>7.0380799999999999</v>
      </c>
      <c r="GO225">
        <v>24.599699999999999</v>
      </c>
      <c r="GP225">
        <v>800</v>
      </c>
      <c r="GQ225">
        <v>0</v>
      </c>
      <c r="GR225">
        <v>99.758499999999998</v>
      </c>
      <c r="GS225">
        <v>99.601799999999997</v>
      </c>
    </row>
    <row r="226" spans="1:201" x14ac:dyDescent="0.25">
      <c r="A226">
        <v>210</v>
      </c>
      <c r="B226">
        <v>1690223145.0999999</v>
      </c>
      <c r="C226">
        <v>2262.599999904633</v>
      </c>
      <c r="D226" t="s">
        <v>751</v>
      </c>
      <c r="E226" t="s">
        <v>752</v>
      </c>
      <c r="F226" t="s">
        <v>330</v>
      </c>
      <c r="H226">
        <v>1690223145.0999999</v>
      </c>
      <c r="I226">
        <f t="shared" si="90"/>
        <v>2.3567002545830233E-3</v>
      </c>
      <c r="J226">
        <f t="shared" si="91"/>
        <v>2.3567002545830231</v>
      </c>
      <c r="K226">
        <f t="shared" si="92"/>
        <v>33.67190597420948</v>
      </c>
      <c r="L226">
        <f t="shared" si="93"/>
        <v>439.22300000000001</v>
      </c>
      <c r="M226">
        <f t="shared" si="94"/>
        <v>116.95580676003618</v>
      </c>
      <c r="N226">
        <f t="shared" si="95"/>
        <v>11.600101580994735</v>
      </c>
      <c r="O226">
        <f t="shared" si="96"/>
        <v>43.563731958713007</v>
      </c>
      <c r="P226">
        <f t="shared" si="97"/>
        <v>0.1769525888339453</v>
      </c>
      <c r="Q226">
        <f t="shared" si="98"/>
        <v>2.1925006137787113</v>
      </c>
      <c r="R226">
        <f t="shared" si="99"/>
        <v>0.16938407219035601</v>
      </c>
      <c r="S226">
        <f t="shared" si="100"/>
        <v>0.10651806967019296</v>
      </c>
      <c r="T226">
        <f t="shared" si="101"/>
        <v>276.11454355179148</v>
      </c>
      <c r="U226">
        <f t="shared" si="102"/>
        <v>27.692309247364335</v>
      </c>
      <c r="V226">
        <f t="shared" si="103"/>
        <v>27.692309247364335</v>
      </c>
      <c r="W226">
        <f t="shared" si="104"/>
        <v>3.7273007326754888</v>
      </c>
      <c r="X226">
        <f t="shared" si="105"/>
        <v>69.313871534110589</v>
      </c>
      <c r="Y226">
        <f t="shared" si="106"/>
        <v>2.3898791807605004</v>
      </c>
      <c r="Z226">
        <f t="shared" si="107"/>
        <v>3.4479089507854117</v>
      </c>
      <c r="AA226">
        <f t="shared" si="108"/>
        <v>1.3374215519149883</v>
      </c>
      <c r="AB226">
        <f t="shared" si="109"/>
        <v>-103.93048122711133</v>
      </c>
      <c r="AC226">
        <f t="shared" si="110"/>
        <v>-156.84345037899109</v>
      </c>
      <c r="AD226">
        <f t="shared" si="111"/>
        <v>-15.442907414885605</v>
      </c>
      <c r="AE226">
        <f t="shared" si="112"/>
        <v>-0.10229546919654808</v>
      </c>
      <c r="AF226">
        <v>0</v>
      </c>
      <c r="AG226">
        <v>0</v>
      </c>
      <c r="AH226">
        <f t="shared" si="113"/>
        <v>1</v>
      </c>
      <c r="AI226">
        <f t="shared" si="114"/>
        <v>0</v>
      </c>
      <c r="AJ226">
        <f t="shared" si="115"/>
        <v>52431.238191730343</v>
      </c>
      <c r="AK226">
        <f t="shared" si="116"/>
        <v>1799.99</v>
      </c>
      <c r="AL226">
        <f t="shared" si="117"/>
        <v>1499.1006026170498</v>
      </c>
      <c r="AM226">
        <f t="shared" si="118"/>
        <v>0.83283829499999995</v>
      </c>
      <c r="AN226">
        <f t="shared" si="119"/>
        <v>0.15339782084999998</v>
      </c>
      <c r="AO226">
        <v>31.2</v>
      </c>
      <c r="AP226">
        <v>0.5</v>
      </c>
      <c r="AQ226" t="s">
        <v>331</v>
      </c>
      <c r="AR226">
        <v>2</v>
      </c>
      <c r="AS226">
        <v>1690223145.0999999</v>
      </c>
      <c r="AT226">
        <v>439.22300000000001</v>
      </c>
      <c r="AU226">
        <v>799.96199999999999</v>
      </c>
      <c r="AV226">
        <v>24.095500000000001</v>
      </c>
      <c r="AW226">
        <v>0.19057399999999999</v>
      </c>
      <c r="AX226">
        <v>439.46100000000001</v>
      </c>
      <c r="AY226">
        <v>23.932700000000001</v>
      </c>
      <c r="AZ226">
        <v>300.178</v>
      </c>
      <c r="BA226">
        <v>99.083600000000004</v>
      </c>
      <c r="BB226">
        <v>0.10003099999999999</v>
      </c>
      <c r="BC226">
        <v>26.365400000000001</v>
      </c>
      <c r="BD226">
        <v>26.994700000000002</v>
      </c>
      <c r="BE226">
        <v>27.541599999999999</v>
      </c>
      <c r="BF226">
        <v>0</v>
      </c>
      <c r="BG226">
        <v>0</v>
      </c>
      <c r="BH226">
        <v>9985.6200000000008</v>
      </c>
      <c r="BI226">
        <v>1075.3</v>
      </c>
      <c r="BJ226">
        <v>1.5684499999999999</v>
      </c>
      <c r="BK226">
        <v>-360.73899999999998</v>
      </c>
      <c r="BL226">
        <v>450.06799999999998</v>
      </c>
      <c r="BM226">
        <v>800.11500000000001</v>
      </c>
      <c r="BN226">
        <v>23.904900000000001</v>
      </c>
      <c r="BO226">
        <v>799.96199999999999</v>
      </c>
      <c r="BP226">
        <v>0.19057399999999999</v>
      </c>
      <c r="BQ226">
        <v>2.3874599999999999</v>
      </c>
      <c r="BR226">
        <v>1.8882800000000002E-2</v>
      </c>
      <c r="BS226">
        <v>20.279</v>
      </c>
      <c r="BT226">
        <v>-39.977699999999999</v>
      </c>
      <c r="BU226">
        <v>1799.99</v>
      </c>
      <c r="BV226">
        <v>0.90998199999999996</v>
      </c>
      <c r="BW226">
        <v>3.4007700000000002E-2</v>
      </c>
      <c r="BX226">
        <v>2.2005E-2</v>
      </c>
      <c r="BY226">
        <v>3.4004899999999998E-2</v>
      </c>
      <c r="BZ226">
        <v>26</v>
      </c>
      <c r="CA226">
        <v>33528.1</v>
      </c>
      <c r="CB226">
        <v>1690220522.5999999</v>
      </c>
      <c r="CC226" t="s">
        <v>332</v>
      </c>
      <c r="CD226">
        <v>1690220522.5999999</v>
      </c>
      <c r="CE226">
        <v>1690220510.5999999</v>
      </c>
      <c r="CF226">
        <v>10</v>
      </c>
      <c r="CG226">
        <v>-0.22</v>
      </c>
      <c r="CH226">
        <v>-2.7E-2</v>
      </c>
      <c r="CI226">
        <v>-0.49299999999999999</v>
      </c>
      <c r="CJ226">
        <v>0.152</v>
      </c>
      <c r="CK226">
        <v>800</v>
      </c>
      <c r="CL226">
        <v>19</v>
      </c>
      <c r="CM226">
        <v>0.1</v>
      </c>
      <c r="CN226">
        <v>0.03</v>
      </c>
      <c r="CO226">
        <v>-360.35178048780477</v>
      </c>
      <c r="CP226">
        <v>-1.72043205575012</v>
      </c>
      <c r="CQ226">
        <v>0.17348374664786681</v>
      </c>
      <c r="CR226">
        <v>-1</v>
      </c>
      <c r="CS226">
        <v>23.892653658536581</v>
      </c>
      <c r="CT226">
        <v>7.4274564459962777E-2</v>
      </c>
      <c r="CU226">
        <v>7.487065189491336E-3</v>
      </c>
      <c r="CV226">
        <v>-1</v>
      </c>
      <c r="CW226">
        <v>0</v>
      </c>
      <c r="CX226">
        <v>0</v>
      </c>
      <c r="CY226" t="s">
        <v>333</v>
      </c>
      <c r="CZ226">
        <v>2.3647300000000002</v>
      </c>
      <c r="DA226">
        <v>2.7138100000000001</v>
      </c>
      <c r="DB226">
        <v>9.6096299999999996E-2</v>
      </c>
      <c r="DC226">
        <v>0.14599799999999999</v>
      </c>
      <c r="DD226">
        <v>0.114332</v>
      </c>
      <c r="DE226">
        <v>1.6015599999999999E-3</v>
      </c>
      <c r="DF226">
        <v>33011.599999999999</v>
      </c>
      <c r="DG226">
        <v>27531.200000000001</v>
      </c>
      <c r="DH226">
        <v>31177.9</v>
      </c>
      <c r="DI226">
        <v>28091.200000000001</v>
      </c>
      <c r="DJ226">
        <v>37484.9</v>
      </c>
      <c r="DK226">
        <v>39887.5</v>
      </c>
      <c r="DL226">
        <v>44370.9</v>
      </c>
      <c r="DM226">
        <v>42575.3</v>
      </c>
      <c r="DN226">
        <v>1.48682</v>
      </c>
      <c r="DO226">
        <v>2.0278800000000001</v>
      </c>
      <c r="DP226">
        <v>0.10523200000000001</v>
      </c>
      <c r="DQ226">
        <v>0.14838599999999999</v>
      </c>
      <c r="DR226">
        <v>25.2713</v>
      </c>
      <c r="DS226">
        <v>25.112200000000001</v>
      </c>
      <c r="DT226">
        <v>20.8</v>
      </c>
      <c r="DU226">
        <v>29.7</v>
      </c>
      <c r="DV226">
        <v>8.7919199999999993</v>
      </c>
      <c r="DW226">
        <v>61.758699999999997</v>
      </c>
      <c r="DX226">
        <v>36.610599999999998</v>
      </c>
      <c r="DY226">
        <v>1</v>
      </c>
      <c r="DZ226">
        <v>-9.72967E-2</v>
      </c>
      <c r="EA226">
        <v>0.197432</v>
      </c>
      <c r="EB226">
        <v>20.189499999999999</v>
      </c>
      <c r="EC226">
        <v>5.2409499999999998</v>
      </c>
      <c r="ED226">
        <v>12.039899999999999</v>
      </c>
      <c r="EE226">
        <v>5.0170000000000003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1.8689199999999999</v>
      </c>
      <c r="EL226">
        <v>1.8646199999999999</v>
      </c>
      <c r="EM226">
        <v>1.86917</v>
      </c>
      <c r="EN226">
        <v>1.86724</v>
      </c>
      <c r="EO226">
        <v>1.8633999999999999</v>
      </c>
      <c r="EP226">
        <v>1.86453</v>
      </c>
      <c r="EQ226">
        <v>1.87015</v>
      </c>
      <c r="ER226">
        <v>1.8694500000000001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-0.23799999999999999</v>
      </c>
      <c r="FG226">
        <v>0.1628</v>
      </c>
      <c r="FH226">
        <v>5.8509882529719233E-2</v>
      </c>
      <c r="FI226">
        <v>-6.1462078757559423E-4</v>
      </c>
      <c r="FJ226">
        <v>-1.8861989874597051E-7</v>
      </c>
      <c r="FK226">
        <v>1.1980462299894961E-10</v>
      </c>
      <c r="FL226">
        <v>0.16277811159127681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43.7</v>
      </c>
      <c r="FU226">
        <v>43.9</v>
      </c>
      <c r="FV226">
        <v>1.7675799999999999</v>
      </c>
      <c r="FW226">
        <v>2.5781200000000002</v>
      </c>
      <c r="FX226">
        <v>1.5490699999999999</v>
      </c>
      <c r="FY226">
        <v>2.3303199999999999</v>
      </c>
      <c r="FZ226">
        <v>1.50146</v>
      </c>
      <c r="GA226">
        <v>2.4206500000000002</v>
      </c>
      <c r="GB226">
        <v>33.941299999999998</v>
      </c>
      <c r="GC226">
        <v>23.991199999999999</v>
      </c>
      <c r="GD226">
        <v>19</v>
      </c>
      <c r="GE226">
        <v>287.12599999999998</v>
      </c>
      <c r="GF226">
        <v>575.351</v>
      </c>
      <c r="GG226">
        <v>24.5869</v>
      </c>
      <c r="GH226">
        <v>26.158100000000001</v>
      </c>
      <c r="GI226">
        <v>30.000299999999999</v>
      </c>
      <c r="GJ226">
        <v>26.2819</v>
      </c>
      <c r="GK226">
        <v>26.264299999999999</v>
      </c>
      <c r="GL226">
        <v>35.339100000000002</v>
      </c>
      <c r="GM226">
        <v>100</v>
      </c>
      <c r="GN226">
        <v>6.6611200000000004</v>
      </c>
      <c r="GO226">
        <v>24.613099999999999</v>
      </c>
      <c r="GP226">
        <v>800</v>
      </c>
      <c r="GQ226">
        <v>0</v>
      </c>
      <c r="GR226">
        <v>99.758399999999995</v>
      </c>
      <c r="GS226">
        <v>99.599599999999995</v>
      </c>
    </row>
    <row r="227" spans="1:201" x14ac:dyDescent="0.25">
      <c r="A227">
        <v>211</v>
      </c>
      <c r="B227">
        <v>1690223155.0999999</v>
      </c>
      <c r="C227">
        <v>2272.599999904633</v>
      </c>
      <c r="D227" t="s">
        <v>753</v>
      </c>
      <c r="E227" t="s">
        <v>754</v>
      </c>
      <c r="F227" t="s">
        <v>330</v>
      </c>
      <c r="H227">
        <v>1690223155.0999999</v>
      </c>
      <c r="I227">
        <f t="shared" si="90"/>
        <v>2.3567841261624648E-3</v>
      </c>
      <c r="J227">
        <f t="shared" si="91"/>
        <v>2.3567841261624647</v>
      </c>
      <c r="K227">
        <f t="shared" si="92"/>
        <v>33.687233879669961</v>
      </c>
      <c r="L227">
        <f t="shared" si="93"/>
        <v>438.96100000000001</v>
      </c>
      <c r="M227">
        <f t="shared" si="94"/>
        <v>116.74493996937051</v>
      </c>
      <c r="N227">
        <f t="shared" si="95"/>
        <v>11.579114058102727</v>
      </c>
      <c r="O227">
        <f t="shared" si="96"/>
        <v>43.537471408973808</v>
      </c>
      <c r="P227">
        <f t="shared" si="97"/>
        <v>0.17705315421020756</v>
      </c>
      <c r="Q227">
        <f t="shared" si="98"/>
        <v>2.195024452986662</v>
      </c>
      <c r="R227">
        <f t="shared" si="99"/>
        <v>0.16948454204846586</v>
      </c>
      <c r="S227">
        <f t="shared" si="100"/>
        <v>0.10658088658111095</v>
      </c>
      <c r="T227">
        <f t="shared" si="101"/>
        <v>276.11605767599997</v>
      </c>
      <c r="U227">
        <f t="shared" si="102"/>
        <v>27.692800290089455</v>
      </c>
      <c r="V227">
        <f t="shared" si="103"/>
        <v>27.692800290089455</v>
      </c>
      <c r="W227">
        <f t="shared" si="104"/>
        <v>3.7274076766506448</v>
      </c>
      <c r="X227">
        <f t="shared" si="105"/>
        <v>69.331262525903341</v>
      </c>
      <c r="Y227">
        <f t="shared" si="106"/>
        <v>2.3907468450055198</v>
      </c>
      <c r="Z227">
        <f t="shared" si="107"/>
        <v>3.4482955565857405</v>
      </c>
      <c r="AA227">
        <f t="shared" si="108"/>
        <v>1.3366608316451249</v>
      </c>
      <c r="AB227">
        <f t="shared" si="109"/>
        <v>-103.93417996376469</v>
      </c>
      <c r="AC227">
        <f t="shared" si="110"/>
        <v>-156.85726316778394</v>
      </c>
      <c r="AD227">
        <f t="shared" si="111"/>
        <v>-15.426693861156016</v>
      </c>
      <c r="AE227">
        <f t="shared" si="112"/>
        <v>-0.10207931670467474</v>
      </c>
      <c r="AF227">
        <v>0</v>
      </c>
      <c r="AG227">
        <v>0</v>
      </c>
      <c r="AH227">
        <f t="shared" si="113"/>
        <v>1</v>
      </c>
      <c r="AI227">
        <f t="shared" si="114"/>
        <v>0</v>
      </c>
      <c r="AJ227">
        <f t="shared" si="115"/>
        <v>52534.288189075873</v>
      </c>
      <c r="AK227">
        <f t="shared" si="116"/>
        <v>1800</v>
      </c>
      <c r="AL227">
        <f t="shared" si="117"/>
        <v>1499.1095015999999</v>
      </c>
      <c r="AM227">
        <f t="shared" si="118"/>
        <v>0.83283861199999998</v>
      </c>
      <c r="AN227">
        <f t="shared" si="119"/>
        <v>0.15339780981999998</v>
      </c>
      <c r="AO227">
        <v>31.2</v>
      </c>
      <c r="AP227">
        <v>0.5</v>
      </c>
      <c r="AQ227" t="s">
        <v>331</v>
      </c>
      <c r="AR227">
        <v>2</v>
      </c>
      <c r="AS227">
        <v>1690223155.0999999</v>
      </c>
      <c r="AT227">
        <v>438.96100000000001</v>
      </c>
      <c r="AU227">
        <v>799.99400000000003</v>
      </c>
      <c r="AV227">
        <v>24.104399999999998</v>
      </c>
      <c r="AW227">
        <v>0.18951999999999999</v>
      </c>
      <c r="AX227">
        <v>439.19900000000001</v>
      </c>
      <c r="AY227">
        <v>23.941700000000001</v>
      </c>
      <c r="AZ227">
        <v>300.06099999999998</v>
      </c>
      <c r="BA227">
        <v>99.083100000000002</v>
      </c>
      <c r="BB227">
        <v>9.9905800000000003E-2</v>
      </c>
      <c r="BC227">
        <v>26.3673</v>
      </c>
      <c r="BD227">
        <v>26.947500000000002</v>
      </c>
      <c r="BE227">
        <v>27.539899999999999</v>
      </c>
      <c r="BF227">
        <v>0</v>
      </c>
      <c r="BG227">
        <v>0</v>
      </c>
      <c r="BH227">
        <v>10006.200000000001</v>
      </c>
      <c r="BI227">
        <v>1075.27</v>
      </c>
      <c r="BJ227">
        <v>1.56985</v>
      </c>
      <c r="BK227">
        <v>-361.03300000000002</v>
      </c>
      <c r="BL227">
        <v>449.80399999999997</v>
      </c>
      <c r="BM227">
        <v>800.14599999999996</v>
      </c>
      <c r="BN227">
        <v>23.914899999999999</v>
      </c>
      <c r="BO227">
        <v>799.99400000000003</v>
      </c>
      <c r="BP227">
        <v>0.18951999999999999</v>
      </c>
      <c r="BQ227">
        <v>2.3883399999999999</v>
      </c>
      <c r="BR227">
        <v>1.8778300000000001E-2</v>
      </c>
      <c r="BS227">
        <v>20.2849</v>
      </c>
      <c r="BT227">
        <v>-40.030799999999999</v>
      </c>
      <c r="BU227">
        <v>1800</v>
      </c>
      <c r="BV227">
        <v>0.90998400000000002</v>
      </c>
      <c r="BW227">
        <v>3.4007000000000003E-2</v>
      </c>
      <c r="BX227">
        <v>2.2004599999999999E-2</v>
      </c>
      <c r="BY227">
        <v>3.4004199999999998E-2</v>
      </c>
      <c r="BZ227">
        <v>26</v>
      </c>
      <c r="CA227">
        <v>33528.199999999997</v>
      </c>
      <c r="CB227">
        <v>1690220522.5999999</v>
      </c>
      <c r="CC227" t="s">
        <v>332</v>
      </c>
      <c r="CD227">
        <v>1690220522.5999999</v>
      </c>
      <c r="CE227">
        <v>1690220510.5999999</v>
      </c>
      <c r="CF227">
        <v>10</v>
      </c>
      <c r="CG227">
        <v>-0.22</v>
      </c>
      <c r="CH227">
        <v>-2.7E-2</v>
      </c>
      <c r="CI227">
        <v>-0.49299999999999999</v>
      </c>
      <c r="CJ227">
        <v>0.152</v>
      </c>
      <c r="CK227">
        <v>800</v>
      </c>
      <c r="CL227">
        <v>19</v>
      </c>
      <c r="CM227">
        <v>0.1</v>
      </c>
      <c r="CN227">
        <v>0.03</v>
      </c>
      <c r="CO227">
        <v>-360.66695121951221</v>
      </c>
      <c r="CP227">
        <v>-1.7162508710811151</v>
      </c>
      <c r="CQ227">
        <v>0.17598668896718461</v>
      </c>
      <c r="CR227">
        <v>-1</v>
      </c>
      <c r="CS227">
        <v>23.90351463414634</v>
      </c>
      <c r="CT227">
        <v>4.748989547038477E-2</v>
      </c>
      <c r="CU227">
        <v>4.8093182405951418E-3</v>
      </c>
      <c r="CV227">
        <v>-1</v>
      </c>
      <c r="CW227">
        <v>0</v>
      </c>
      <c r="CX227">
        <v>0</v>
      </c>
      <c r="CY227" t="s">
        <v>333</v>
      </c>
      <c r="CZ227">
        <v>2.36436</v>
      </c>
      <c r="DA227">
        <v>2.7136999999999998</v>
      </c>
      <c r="DB227">
        <v>9.6052899999999997E-2</v>
      </c>
      <c r="DC227">
        <v>0.14600099999999999</v>
      </c>
      <c r="DD227">
        <v>0.114361</v>
      </c>
      <c r="DE227">
        <v>1.5927999999999999E-3</v>
      </c>
      <c r="DF227">
        <v>33012.9</v>
      </c>
      <c r="DG227">
        <v>27531</v>
      </c>
      <c r="DH227">
        <v>31177.7</v>
      </c>
      <c r="DI227">
        <v>28091.200000000001</v>
      </c>
      <c r="DJ227">
        <v>37483.4</v>
      </c>
      <c r="DK227">
        <v>39887.800000000003</v>
      </c>
      <c r="DL227">
        <v>44370.7</v>
      </c>
      <c r="DM227">
        <v>42575.199999999997</v>
      </c>
      <c r="DN227">
        <v>1.4869000000000001</v>
      </c>
      <c r="DO227">
        <v>2.0276999999999998</v>
      </c>
      <c r="DP227">
        <v>0.102282</v>
      </c>
      <c r="DQ227">
        <v>0.14815900000000001</v>
      </c>
      <c r="DR227">
        <v>25.272300000000001</v>
      </c>
      <c r="DS227">
        <v>25.1142</v>
      </c>
      <c r="DT227">
        <v>20.7</v>
      </c>
      <c r="DU227">
        <v>29.7</v>
      </c>
      <c r="DV227">
        <v>8.7493200000000009</v>
      </c>
      <c r="DW227">
        <v>61.328699999999998</v>
      </c>
      <c r="DX227">
        <v>37.624200000000002</v>
      </c>
      <c r="DY227">
        <v>1</v>
      </c>
      <c r="DZ227">
        <v>-9.8122500000000001E-2</v>
      </c>
      <c r="EA227">
        <v>1.0914999999999999E-2</v>
      </c>
      <c r="EB227">
        <v>20.189699999999998</v>
      </c>
      <c r="EC227">
        <v>5.2408000000000001</v>
      </c>
      <c r="ED227">
        <v>12.039899999999999</v>
      </c>
      <c r="EE227">
        <v>5.0168499999999998</v>
      </c>
      <c r="EF227">
        <v>3.2879999999999998</v>
      </c>
      <c r="EG227">
        <v>9999</v>
      </c>
      <c r="EH227">
        <v>9999</v>
      </c>
      <c r="EI227">
        <v>9999</v>
      </c>
      <c r="EJ227">
        <v>999.9</v>
      </c>
      <c r="EK227">
        <v>1.8689100000000001</v>
      </c>
      <c r="EL227">
        <v>1.8646199999999999</v>
      </c>
      <c r="EM227">
        <v>1.8691599999999999</v>
      </c>
      <c r="EN227">
        <v>1.86724</v>
      </c>
      <c r="EO227">
        <v>1.8633999999999999</v>
      </c>
      <c r="EP227">
        <v>1.86452</v>
      </c>
      <c r="EQ227">
        <v>1.87015</v>
      </c>
      <c r="ER227">
        <v>1.86944</v>
      </c>
      <c r="ES227">
        <v>0</v>
      </c>
      <c r="ET227">
        <v>0</v>
      </c>
      <c r="EU227">
        <v>0</v>
      </c>
      <c r="EV227">
        <v>0</v>
      </c>
      <c r="EW227" t="s">
        <v>334</v>
      </c>
      <c r="EX227" t="s">
        <v>335</v>
      </c>
      <c r="EY227" t="s">
        <v>336</v>
      </c>
      <c r="EZ227" t="s">
        <v>336</v>
      </c>
      <c r="FA227" t="s">
        <v>336</v>
      </c>
      <c r="FB227" t="s">
        <v>336</v>
      </c>
      <c r="FC227">
        <v>0</v>
      </c>
      <c r="FD227">
        <v>100</v>
      </c>
      <c r="FE227">
        <v>100</v>
      </c>
      <c r="FF227">
        <v>-0.23799999999999999</v>
      </c>
      <c r="FG227">
        <v>0.16270000000000001</v>
      </c>
      <c r="FH227">
        <v>5.8509882529719233E-2</v>
      </c>
      <c r="FI227">
        <v>-6.1462078757559423E-4</v>
      </c>
      <c r="FJ227">
        <v>-1.8861989874597051E-7</v>
      </c>
      <c r="FK227">
        <v>1.1980462299894961E-10</v>
      </c>
      <c r="FL227">
        <v>0.16277811159127681</v>
      </c>
      <c r="FM227">
        <v>0</v>
      </c>
      <c r="FN227">
        <v>0</v>
      </c>
      <c r="FO227">
        <v>0</v>
      </c>
      <c r="FP227">
        <v>3</v>
      </c>
      <c r="FQ227">
        <v>2158</v>
      </c>
      <c r="FR227">
        <v>1</v>
      </c>
      <c r="FS227">
        <v>19</v>
      </c>
      <c r="FT227">
        <v>43.9</v>
      </c>
      <c r="FU227">
        <v>44.1</v>
      </c>
      <c r="FV227">
        <v>1.7675799999999999</v>
      </c>
      <c r="FW227">
        <v>2.5805699999999998</v>
      </c>
      <c r="FX227">
        <v>1.5490699999999999</v>
      </c>
      <c r="FY227">
        <v>2.3303199999999999</v>
      </c>
      <c r="FZ227">
        <v>1.50146</v>
      </c>
      <c r="GA227">
        <v>2.32056</v>
      </c>
      <c r="GB227">
        <v>33.941299999999998</v>
      </c>
      <c r="GC227">
        <v>23.982399999999998</v>
      </c>
      <c r="GD227">
        <v>19</v>
      </c>
      <c r="GE227">
        <v>287.15800000000002</v>
      </c>
      <c r="GF227">
        <v>575.20799999999997</v>
      </c>
      <c r="GG227">
        <v>24.614899999999999</v>
      </c>
      <c r="GH227">
        <v>26.158100000000001</v>
      </c>
      <c r="GI227">
        <v>29.9999</v>
      </c>
      <c r="GJ227">
        <v>26.2819</v>
      </c>
      <c r="GK227">
        <v>26.264299999999999</v>
      </c>
      <c r="GL227">
        <v>35.337800000000001</v>
      </c>
      <c r="GM227">
        <v>100</v>
      </c>
      <c r="GN227">
        <v>5.9171399999999998</v>
      </c>
      <c r="GO227">
        <v>24.649899999999999</v>
      </c>
      <c r="GP227">
        <v>800</v>
      </c>
      <c r="GQ227">
        <v>0</v>
      </c>
      <c r="GR227">
        <v>99.757800000000003</v>
      </c>
      <c r="GS227">
        <v>99.599400000000003</v>
      </c>
    </row>
    <row r="228" spans="1:201" x14ac:dyDescent="0.25">
      <c r="A228">
        <v>212</v>
      </c>
      <c r="B228">
        <v>1690223165.0999999</v>
      </c>
      <c r="C228">
        <v>2282.599999904633</v>
      </c>
      <c r="D228" t="s">
        <v>755</v>
      </c>
      <c r="E228" t="s">
        <v>756</v>
      </c>
      <c r="F228" t="s">
        <v>330</v>
      </c>
      <c r="H228">
        <v>1690223165.0999999</v>
      </c>
      <c r="I228">
        <f t="shared" si="90"/>
        <v>2.3601717502007161E-3</v>
      </c>
      <c r="J228">
        <f t="shared" si="91"/>
        <v>2.360171750200716</v>
      </c>
      <c r="K228">
        <f t="shared" si="92"/>
        <v>33.722225072514128</v>
      </c>
      <c r="L228">
        <f t="shared" si="93"/>
        <v>438.79199999999997</v>
      </c>
      <c r="M228">
        <f t="shared" si="94"/>
        <v>116.97804701752791</v>
      </c>
      <c r="N228">
        <f t="shared" si="95"/>
        <v>11.602300548782365</v>
      </c>
      <c r="O228">
        <f t="shared" si="96"/>
        <v>43.520957925024</v>
      </c>
      <c r="P228">
        <f t="shared" si="97"/>
        <v>0.17747770499904644</v>
      </c>
      <c r="Q228">
        <f t="shared" si="98"/>
        <v>2.1944151472392908</v>
      </c>
      <c r="R228">
        <f t="shared" si="99"/>
        <v>0.16987157606187347</v>
      </c>
      <c r="S228">
        <f t="shared" si="100"/>
        <v>0.10682595063451403</v>
      </c>
      <c r="T228">
        <f t="shared" si="101"/>
        <v>276.11621305199998</v>
      </c>
      <c r="U228">
        <f t="shared" si="102"/>
        <v>27.694982851385603</v>
      </c>
      <c r="V228">
        <f t="shared" si="103"/>
        <v>27.694982851385603</v>
      </c>
      <c r="W228">
        <f t="shared" si="104"/>
        <v>3.7278830480969667</v>
      </c>
      <c r="X228">
        <f t="shared" si="105"/>
        <v>69.365685934152282</v>
      </c>
      <c r="Y228">
        <f t="shared" si="106"/>
        <v>2.3923573484260001</v>
      </c>
      <c r="Z228">
        <f t="shared" si="107"/>
        <v>3.4489060638671201</v>
      </c>
      <c r="AA228">
        <f t="shared" si="108"/>
        <v>1.3355256996709666</v>
      </c>
      <c r="AB228">
        <f t="shared" si="109"/>
        <v>-104.08357418385158</v>
      </c>
      <c r="AC228">
        <f t="shared" si="110"/>
        <v>-156.71701461384546</v>
      </c>
      <c r="AD228">
        <f t="shared" si="111"/>
        <v>-15.417579559706745</v>
      </c>
      <c r="AE228">
        <f t="shared" si="112"/>
        <v>-0.10195530540377717</v>
      </c>
      <c r="AF228">
        <v>0</v>
      </c>
      <c r="AG228">
        <v>0</v>
      </c>
      <c r="AH228">
        <f t="shared" si="113"/>
        <v>1</v>
      </c>
      <c r="AI228">
        <f t="shared" si="114"/>
        <v>0</v>
      </c>
      <c r="AJ228">
        <f t="shared" si="115"/>
        <v>52508.798127454909</v>
      </c>
      <c r="AK228">
        <f t="shared" si="116"/>
        <v>1800</v>
      </c>
      <c r="AL228">
        <f t="shared" si="117"/>
        <v>1499.1101802000001</v>
      </c>
      <c r="AM228">
        <f t="shared" si="118"/>
        <v>0.83283898899999997</v>
      </c>
      <c r="AN228">
        <f t="shared" si="119"/>
        <v>0.15339789613999999</v>
      </c>
      <c r="AO228">
        <v>31.2</v>
      </c>
      <c r="AP228">
        <v>0.5</v>
      </c>
      <c r="AQ228" t="s">
        <v>331</v>
      </c>
      <c r="AR228">
        <v>2</v>
      </c>
      <c r="AS228">
        <v>1690223165.0999999</v>
      </c>
      <c r="AT228">
        <v>438.79199999999997</v>
      </c>
      <c r="AU228">
        <v>799.95100000000002</v>
      </c>
      <c r="AV228">
        <v>24.1205</v>
      </c>
      <c r="AW228">
        <v>0.18815000000000001</v>
      </c>
      <c r="AX228">
        <v>439.029</v>
      </c>
      <c r="AY228">
        <v>23.957699999999999</v>
      </c>
      <c r="AZ228">
        <v>300.26799999999997</v>
      </c>
      <c r="BA228">
        <v>99.083500000000001</v>
      </c>
      <c r="BB228">
        <v>0.10007199999999999</v>
      </c>
      <c r="BC228">
        <v>26.3703</v>
      </c>
      <c r="BD228">
        <v>26.992000000000001</v>
      </c>
      <c r="BE228">
        <v>27.545400000000001</v>
      </c>
      <c r="BF228">
        <v>0</v>
      </c>
      <c r="BG228">
        <v>0</v>
      </c>
      <c r="BH228">
        <v>10001.200000000001</v>
      </c>
      <c r="BI228">
        <v>1075.32</v>
      </c>
      <c r="BJ228">
        <v>1.56985</v>
      </c>
      <c r="BK228">
        <v>-361.15899999999999</v>
      </c>
      <c r="BL228">
        <v>449.637</v>
      </c>
      <c r="BM228">
        <v>800.101</v>
      </c>
      <c r="BN228">
        <v>23.932400000000001</v>
      </c>
      <c r="BO228">
        <v>799.95100000000002</v>
      </c>
      <c r="BP228">
        <v>0.18815000000000001</v>
      </c>
      <c r="BQ228">
        <v>2.3899499999999998</v>
      </c>
      <c r="BR228">
        <v>1.8642499999999999E-2</v>
      </c>
      <c r="BS228">
        <v>20.2958</v>
      </c>
      <c r="BT228">
        <v>-40.100299999999997</v>
      </c>
      <c r="BU228">
        <v>1800</v>
      </c>
      <c r="BV228">
        <v>0.90998400000000002</v>
      </c>
      <c r="BW228">
        <v>3.4007200000000001E-2</v>
      </c>
      <c r="BX228">
        <v>2.2004699999999999E-2</v>
      </c>
      <c r="BY228">
        <v>3.4004399999999997E-2</v>
      </c>
      <c r="BZ228">
        <v>26</v>
      </c>
      <c r="CA228">
        <v>33528.199999999997</v>
      </c>
      <c r="CB228">
        <v>1690220522.5999999</v>
      </c>
      <c r="CC228" t="s">
        <v>332</v>
      </c>
      <c r="CD228">
        <v>1690220522.5999999</v>
      </c>
      <c r="CE228">
        <v>1690220510.5999999</v>
      </c>
      <c r="CF228">
        <v>10</v>
      </c>
      <c r="CG228">
        <v>-0.22</v>
      </c>
      <c r="CH228">
        <v>-2.7E-2</v>
      </c>
      <c r="CI228">
        <v>-0.49299999999999999</v>
      </c>
      <c r="CJ228">
        <v>0.152</v>
      </c>
      <c r="CK228">
        <v>800</v>
      </c>
      <c r="CL228">
        <v>19</v>
      </c>
      <c r="CM228">
        <v>0.1</v>
      </c>
      <c r="CN228">
        <v>0.03</v>
      </c>
      <c r="CO228">
        <v>-360.9559512195122</v>
      </c>
      <c r="CP228">
        <v>-1.5250243902446039</v>
      </c>
      <c r="CQ228">
        <v>0.15852120750934701</v>
      </c>
      <c r="CR228">
        <v>-1</v>
      </c>
      <c r="CS228">
        <v>23.915504878048779</v>
      </c>
      <c r="CT228">
        <v>8.6738675958174832E-2</v>
      </c>
      <c r="CU228">
        <v>8.8516210784712647E-3</v>
      </c>
      <c r="CV228">
        <v>-1</v>
      </c>
      <c r="CW228">
        <v>0</v>
      </c>
      <c r="CX228">
        <v>0</v>
      </c>
      <c r="CY228" t="s">
        <v>333</v>
      </c>
      <c r="CZ228">
        <v>2.3650099999999998</v>
      </c>
      <c r="DA228">
        <v>2.71387</v>
      </c>
      <c r="DB228">
        <v>9.6025600000000003E-2</v>
      </c>
      <c r="DC228">
        <v>0.14599699999999999</v>
      </c>
      <c r="DD228">
        <v>0.114416</v>
      </c>
      <c r="DE228">
        <v>1.58142E-3</v>
      </c>
      <c r="DF228">
        <v>33014.1</v>
      </c>
      <c r="DG228">
        <v>27531.1</v>
      </c>
      <c r="DH228">
        <v>31177.9</v>
      </c>
      <c r="DI228">
        <v>28091.1</v>
      </c>
      <c r="DJ228">
        <v>37481.300000000003</v>
      </c>
      <c r="DK228">
        <v>39888.1</v>
      </c>
      <c r="DL228">
        <v>44371</v>
      </c>
      <c r="DM228">
        <v>42575</v>
      </c>
      <c r="DN228">
        <v>1.4876</v>
      </c>
      <c r="DO228">
        <v>2.0275500000000002</v>
      </c>
      <c r="DP228">
        <v>0.10480399999999999</v>
      </c>
      <c r="DQ228">
        <v>0.14849399999999999</v>
      </c>
      <c r="DR228">
        <v>25.275600000000001</v>
      </c>
      <c r="DS228">
        <v>25.1143</v>
      </c>
      <c r="DT228">
        <v>20.6</v>
      </c>
      <c r="DU228">
        <v>29.7</v>
      </c>
      <c r="DV228">
        <v>8.7073800000000006</v>
      </c>
      <c r="DW228">
        <v>61.768700000000003</v>
      </c>
      <c r="DX228">
        <v>36.442300000000003</v>
      </c>
      <c r="DY228">
        <v>1</v>
      </c>
      <c r="DZ228">
        <v>-9.7850599999999996E-2</v>
      </c>
      <c r="EA228">
        <v>-5.6481499999999997E-2</v>
      </c>
      <c r="EB228">
        <v>20.189599999999999</v>
      </c>
      <c r="EC228">
        <v>5.2406499999999996</v>
      </c>
      <c r="ED228">
        <v>12.039899999999999</v>
      </c>
      <c r="EE228">
        <v>5.0168999999999997</v>
      </c>
      <c r="EF228">
        <v>3.2879999999999998</v>
      </c>
      <c r="EG228">
        <v>9999</v>
      </c>
      <c r="EH228">
        <v>9999</v>
      </c>
      <c r="EI228">
        <v>9999</v>
      </c>
      <c r="EJ228">
        <v>999.9</v>
      </c>
      <c r="EK228">
        <v>1.8689100000000001</v>
      </c>
      <c r="EL228">
        <v>1.86463</v>
      </c>
      <c r="EM228">
        <v>1.8691899999999999</v>
      </c>
      <c r="EN228">
        <v>1.86724</v>
      </c>
      <c r="EO228">
        <v>1.8633999999999999</v>
      </c>
      <c r="EP228">
        <v>1.86453</v>
      </c>
      <c r="EQ228">
        <v>1.8702000000000001</v>
      </c>
      <c r="ER228">
        <v>1.8694599999999999</v>
      </c>
      <c r="ES228">
        <v>0</v>
      </c>
      <c r="ET228">
        <v>0</v>
      </c>
      <c r="EU228">
        <v>0</v>
      </c>
      <c r="EV228">
        <v>0</v>
      </c>
      <c r="EW228" t="s">
        <v>334</v>
      </c>
      <c r="EX228" t="s">
        <v>335</v>
      </c>
      <c r="EY228" t="s">
        <v>336</v>
      </c>
      <c r="EZ228" t="s">
        <v>336</v>
      </c>
      <c r="FA228" t="s">
        <v>336</v>
      </c>
      <c r="FB228" t="s">
        <v>336</v>
      </c>
      <c r="FC228">
        <v>0</v>
      </c>
      <c r="FD228">
        <v>100</v>
      </c>
      <c r="FE228">
        <v>100</v>
      </c>
      <c r="FF228">
        <v>-0.23699999999999999</v>
      </c>
      <c r="FG228">
        <v>0.1628</v>
      </c>
      <c r="FH228">
        <v>5.8509882529719233E-2</v>
      </c>
      <c r="FI228">
        <v>-6.1462078757559423E-4</v>
      </c>
      <c r="FJ228">
        <v>-1.8861989874597051E-7</v>
      </c>
      <c r="FK228">
        <v>1.1980462299894961E-10</v>
      </c>
      <c r="FL228">
        <v>0.16277811159127681</v>
      </c>
      <c r="FM228">
        <v>0</v>
      </c>
      <c r="FN228">
        <v>0</v>
      </c>
      <c r="FO228">
        <v>0</v>
      </c>
      <c r="FP228">
        <v>3</v>
      </c>
      <c r="FQ228">
        <v>2158</v>
      </c>
      <c r="FR228">
        <v>1</v>
      </c>
      <c r="FS228">
        <v>19</v>
      </c>
      <c r="FT228">
        <v>44</v>
      </c>
      <c r="FU228">
        <v>44.2</v>
      </c>
      <c r="FV228">
        <v>1.7675799999999999</v>
      </c>
      <c r="FW228">
        <v>2.5854499999999998</v>
      </c>
      <c r="FX228">
        <v>1.5490699999999999</v>
      </c>
      <c r="FY228">
        <v>2.3303199999999999</v>
      </c>
      <c r="FZ228">
        <v>1.50146</v>
      </c>
      <c r="GA228">
        <v>2.3559600000000001</v>
      </c>
      <c r="GB228">
        <v>33.941299999999998</v>
      </c>
      <c r="GC228">
        <v>23.982399999999998</v>
      </c>
      <c r="GD228">
        <v>19</v>
      </c>
      <c r="GE228">
        <v>287.45999999999998</v>
      </c>
      <c r="GF228">
        <v>575.08500000000004</v>
      </c>
      <c r="GG228">
        <v>24.6677</v>
      </c>
      <c r="GH228">
        <v>26.158100000000001</v>
      </c>
      <c r="GI228">
        <v>30.0002</v>
      </c>
      <c r="GJ228">
        <v>26.2819</v>
      </c>
      <c r="GK228">
        <v>26.264299999999999</v>
      </c>
      <c r="GL228">
        <v>35.338299999999997</v>
      </c>
      <c r="GM228">
        <v>100</v>
      </c>
      <c r="GN228">
        <v>5.5275800000000004</v>
      </c>
      <c r="GO228">
        <v>24.678799999999999</v>
      </c>
      <c r="GP228">
        <v>800</v>
      </c>
      <c r="GQ228">
        <v>0</v>
      </c>
      <c r="GR228">
        <v>99.758399999999995</v>
      </c>
      <c r="GS228">
        <v>99.599100000000007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2023-07-24T18:28:39Z</dcterms:created>
  <dcterms:modified xsi:type="dcterms:W3CDTF">2023-07-24T22:19:41Z</dcterms:modified>
</cp:coreProperties>
</file>