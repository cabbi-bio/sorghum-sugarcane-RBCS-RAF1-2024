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 07 25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6" i="1" l="1"/>
  <c r="AM226" i="1"/>
  <c r="AK226" i="1"/>
  <c r="AL226" i="1" s="1"/>
  <c r="AJ226" i="1"/>
  <c r="AH226" i="1" s="1"/>
  <c r="Z226" i="1"/>
  <c r="X226" i="1" s="1"/>
  <c r="Y226" i="1"/>
  <c r="T226" i="1"/>
  <c r="Q226" i="1"/>
  <c r="O226" i="1"/>
  <c r="J226" i="1"/>
  <c r="I226" i="1" s="1"/>
  <c r="AN225" i="1"/>
  <c r="AM225" i="1"/>
  <c r="AK225" i="1"/>
  <c r="AL225" i="1" s="1"/>
  <c r="AJ225" i="1"/>
  <c r="AH225" i="1"/>
  <c r="Z225" i="1"/>
  <c r="Y225" i="1"/>
  <c r="X225" i="1"/>
  <c r="Q225" i="1"/>
  <c r="AN224" i="1"/>
  <c r="AM224" i="1"/>
  <c r="AK224" i="1"/>
  <c r="AJ224" i="1"/>
  <c r="AH224" i="1"/>
  <c r="AI224" i="1" s="1"/>
  <c r="Z224" i="1"/>
  <c r="Y224" i="1"/>
  <c r="X224" i="1"/>
  <c r="Q224" i="1"/>
  <c r="O224" i="1"/>
  <c r="L224" i="1"/>
  <c r="K224" i="1"/>
  <c r="J224" i="1"/>
  <c r="I224" i="1"/>
  <c r="AN223" i="1"/>
  <c r="AM223" i="1"/>
  <c r="AL223" i="1"/>
  <c r="AK223" i="1"/>
  <c r="AJ223" i="1"/>
  <c r="AH223" i="1" s="1"/>
  <c r="AI223" i="1"/>
  <c r="Z223" i="1"/>
  <c r="Y223" i="1"/>
  <c r="X223" i="1" s="1"/>
  <c r="T223" i="1"/>
  <c r="Q223" i="1"/>
  <c r="AN222" i="1"/>
  <c r="AM222" i="1"/>
  <c r="AK222" i="1"/>
  <c r="AL222" i="1" s="1"/>
  <c r="AJ222" i="1"/>
  <c r="AH222" i="1" s="1"/>
  <c r="Z222" i="1"/>
  <c r="Y222" i="1"/>
  <c r="Q222" i="1"/>
  <c r="O222" i="1"/>
  <c r="J222" i="1"/>
  <c r="I222" i="1" s="1"/>
  <c r="AB222" i="1" s="1"/>
  <c r="AN221" i="1"/>
  <c r="AM221" i="1"/>
  <c r="AK221" i="1"/>
  <c r="AJ221" i="1"/>
  <c r="AH221" i="1"/>
  <c r="Z221" i="1"/>
  <c r="Y221" i="1"/>
  <c r="X221" i="1"/>
  <c r="Q221" i="1"/>
  <c r="AN220" i="1"/>
  <c r="AM220" i="1"/>
  <c r="AK220" i="1"/>
  <c r="AJ220" i="1"/>
  <c r="AI220" i="1"/>
  <c r="AH220" i="1"/>
  <c r="Z220" i="1"/>
  <c r="Y220" i="1"/>
  <c r="X220" i="1" s="1"/>
  <c r="Q220" i="1"/>
  <c r="O220" i="1"/>
  <c r="L220" i="1"/>
  <c r="K220" i="1"/>
  <c r="J220" i="1"/>
  <c r="I220" i="1"/>
  <c r="AN219" i="1"/>
  <c r="AM219" i="1"/>
  <c r="AL219" i="1"/>
  <c r="AK219" i="1"/>
  <c r="AJ219" i="1"/>
  <c r="AH219" i="1" s="1"/>
  <c r="AI219" i="1"/>
  <c r="Z219" i="1"/>
  <c r="Y219" i="1"/>
  <c r="X219" i="1" s="1"/>
  <c r="T219" i="1"/>
  <c r="Q219" i="1"/>
  <c r="AN218" i="1"/>
  <c r="AM218" i="1"/>
  <c r="AK218" i="1"/>
  <c r="AL218" i="1" s="1"/>
  <c r="AJ218" i="1"/>
  <c r="AH218" i="1" s="1"/>
  <c r="Z218" i="1"/>
  <c r="Y218" i="1"/>
  <c r="Q218" i="1"/>
  <c r="J218" i="1"/>
  <c r="I218" i="1" s="1"/>
  <c r="AN217" i="1"/>
  <c r="AM217" i="1"/>
  <c r="AK217" i="1"/>
  <c r="AJ217" i="1"/>
  <c r="AH217" i="1"/>
  <c r="Z217" i="1"/>
  <c r="Y217" i="1"/>
  <c r="X217" i="1"/>
  <c r="Q217" i="1"/>
  <c r="AN216" i="1"/>
  <c r="AM216" i="1"/>
  <c r="AK216" i="1"/>
  <c r="AJ216" i="1"/>
  <c r="AH216" i="1" s="1"/>
  <c r="Z216" i="1"/>
  <c r="Y216" i="1"/>
  <c r="X216" i="1" s="1"/>
  <c r="Q216" i="1"/>
  <c r="AN215" i="1"/>
  <c r="AM215" i="1"/>
  <c r="AL215" i="1"/>
  <c r="AK215" i="1"/>
  <c r="AJ215" i="1"/>
  <c r="AH215" i="1" s="1"/>
  <c r="AI215" i="1"/>
  <c r="Z215" i="1"/>
  <c r="Y215" i="1"/>
  <c r="X215" i="1" s="1"/>
  <c r="T215" i="1"/>
  <c r="Q215" i="1"/>
  <c r="L215" i="1"/>
  <c r="AN214" i="1"/>
  <c r="AM214" i="1"/>
  <c r="AK214" i="1"/>
  <c r="AL214" i="1" s="1"/>
  <c r="AJ214" i="1"/>
  <c r="AH214" i="1" s="1"/>
  <c r="Z214" i="1"/>
  <c r="Y214" i="1"/>
  <c r="X214" i="1" s="1"/>
  <c r="Q214" i="1"/>
  <c r="O214" i="1"/>
  <c r="J214" i="1"/>
  <c r="I214" i="1" s="1"/>
  <c r="AB214" i="1" s="1"/>
  <c r="AN213" i="1"/>
  <c r="AM213" i="1"/>
  <c r="AK213" i="1"/>
  <c r="AL213" i="1" s="1"/>
  <c r="AJ213" i="1"/>
  <c r="AH213" i="1"/>
  <c r="Z213" i="1"/>
  <c r="Y213" i="1"/>
  <c r="X213" i="1"/>
  <c r="Q213" i="1"/>
  <c r="AN212" i="1"/>
  <c r="AM212" i="1"/>
  <c r="AK212" i="1"/>
  <c r="AJ212" i="1"/>
  <c r="AH212" i="1" s="1"/>
  <c r="Z212" i="1"/>
  <c r="Y212" i="1"/>
  <c r="X212" i="1" s="1"/>
  <c r="Q212" i="1"/>
  <c r="K212" i="1"/>
  <c r="AN211" i="1"/>
  <c r="AM211" i="1"/>
  <c r="AL211" i="1"/>
  <c r="AK211" i="1"/>
  <c r="AJ211" i="1"/>
  <c r="AH211" i="1" s="1"/>
  <c r="AI211" i="1" s="1"/>
  <c r="Z211" i="1"/>
  <c r="Y211" i="1"/>
  <c r="X211" i="1" s="1"/>
  <c r="T211" i="1"/>
  <c r="Q211" i="1"/>
  <c r="L211" i="1"/>
  <c r="AN210" i="1"/>
  <c r="AM210" i="1"/>
  <c r="AK210" i="1"/>
  <c r="AL210" i="1" s="1"/>
  <c r="AJ210" i="1"/>
  <c r="AH210" i="1" s="1"/>
  <c r="Z210" i="1"/>
  <c r="Y210" i="1"/>
  <c r="X210" i="1" s="1"/>
  <c r="Q210" i="1"/>
  <c r="J210" i="1"/>
  <c r="I210" i="1" s="1"/>
  <c r="AN209" i="1"/>
  <c r="AM209" i="1"/>
  <c r="AK209" i="1"/>
  <c r="AL209" i="1" s="1"/>
  <c r="AJ209" i="1"/>
  <c r="AH209" i="1"/>
  <c r="Z209" i="1"/>
  <c r="Y209" i="1"/>
  <c r="X209" i="1"/>
  <c r="Q209" i="1"/>
  <c r="AN208" i="1"/>
  <c r="AM208" i="1"/>
  <c r="AK208" i="1"/>
  <c r="AJ208" i="1"/>
  <c r="AH208" i="1" s="1"/>
  <c r="Z208" i="1"/>
  <c r="Y208" i="1"/>
  <c r="X208" i="1" s="1"/>
  <c r="Q208" i="1"/>
  <c r="K208" i="1"/>
  <c r="AN207" i="1"/>
  <c r="AM207" i="1"/>
  <c r="AL207" i="1"/>
  <c r="AK207" i="1"/>
  <c r="AJ207" i="1"/>
  <c r="AI207" i="1"/>
  <c r="AH207" i="1"/>
  <c r="J207" i="1" s="1"/>
  <c r="Z207" i="1"/>
  <c r="Y207" i="1"/>
  <c r="X207" i="1" s="1"/>
  <c r="T207" i="1"/>
  <c r="Q207" i="1"/>
  <c r="O207" i="1"/>
  <c r="L207" i="1"/>
  <c r="K207" i="1"/>
  <c r="I207" i="1"/>
  <c r="AN206" i="1"/>
  <c r="AM206" i="1"/>
  <c r="AK206" i="1"/>
  <c r="AL206" i="1" s="1"/>
  <c r="AJ206" i="1"/>
  <c r="AH206" i="1" s="1"/>
  <c r="Z206" i="1"/>
  <c r="Y206" i="1"/>
  <c r="Q206" i="1"/>
  <c r="J206" i="1"/>
  <c r="I206" i="1" s="1"/>
  <c r="AB206" i="1" s="1"/>
  <c r="AN205" i="1"/>
  <c r="AM205" i="1"/>
  <c r="AK205" i="1"/>
  <c r="AJ205" i="1"/>
  <c r="AH205" i="1"/>
  <c r="Z205" i="1"/>
  <c r="Y205" i="1"/>
  <c r="X205" i="1"/>
  <c r="Q205" i="1"/>
  <c r="AN204" i="1"/>
  <c r="AM204" i="1"/>
  <c r="AK204" i="1"/>
  <c r="AJ204" i="1"/>
  <c r="AH204" i="1" s="1"/>
  <c r="Z204" i="1"/>
  <c r="Y204" i="1"/>
  <c r="X204" i="1" s="1"/>
  <c r="Q204" i="1"/>
  <c r="K204" i="1"/>
  <c r="AN203" i="1"/>
  <c r="AM203" i="1"/>
  <c r="AL203" i="1"/>
  <c r="AK203" i="1"/>
  <c r="AJ203" i="1"/>
  <c r="AI203" i="1"/>
  <c r="AH203" i="1"/>
  <c r="J203" i="1" s="1"/>
  <c r="Z203" i="1"/>
  <c r="Y203" i="1"/>
  <c r="X203" i="1" s="1"/>
  <c r="T203" i="1"/>
  <c r="Q203" i="1"/>
  <c r="O203" i="1"/>
  <c r="L203" i="1"/>
  <c r="K203" i="1"/>
  <c r="I203" i="1"/>
  <c r="AN202" i="1"/>
  <c r="AM202" i="1"/>
  <c r="AK202" i="1"/>
  <c r="AJ202" i="1"/>
  <c r="AH202" i="1" s="1"/>
  <c r="L202" i="1" s="1"/>
  <c r="AI202" i="1"/>
  <c r="Z202" i="1"/>
  <c r="Y202" i="1"/>
  <c r="Q202" i="1"/>
  <c r="O202" i="1"/>
  <c r="J202" i="1"/>
  <c r="I202" i="1" s="1"/>
  <c r="AN201" i="1"/>
  <c r="AM201" i="1"/>
  <c r="AK201" i="1"/>
  <c r="AJ201" i="1"/>
  <c r="AI201" i="1"/>
  <c r="AH201" i="1"/>
  <c r="Z201" i="1"/>
  <c r="Y201" i="1"/>
  <c r="X201" i="1"/>
  <c r="Q201" i="1"/>
  <c r="O201" i="1"/>
  <c r="K201" i="1"/>
  <c r="AN200" i="1"/>
  <c r="AM200" i="1"/>
  <c r="AK200" i="1"/>
  <c r="AJ200" i="1"/>
  <c r="AH200" i="1" s="1"/>
  <c r="Z200" i="1"/>
  <c r="Y200" i="1"/>
  <c r="X200" i="1" s="1"/>
  <c r="Q200" i="1"/>
  <c r="J200" i="1"/>
  <c r="I200" i="1"/>
  <c r="AN199" i="1"/>
  <c r="AM199" i="1"/>
  <c r="AK199" i="1"/>
  <c r="T199" i="1" s="1"/>
  <c r="AJ199" i="1"/>
  <c r="AH199" i="1"/>
  <c r="K199" i="1" s="1"/>
  <c r="Z199" i="1"/>
  <c r="Y199" i="1"/>
  <c r="X199" i="1" s="1"/>
  <c r="Q199" i="1"/>
  <c r="L199" i="1"/>
  <c r="AN198" i="1"/>
  <c r="AM198" i="1"/>
  <c r="AK198" i="1"/>
  <c r="AJ198" i="1"/>
  <c r="AH198" i="1" s="1"/>
  <c r="Z198" i="1"/>
  <c r="Y198" i="1"/>
  <c r="Q198" i="1"/>
  <c r="AN197" i="1"/>
  <c r="AM197" i="1"/>
  <c r="AK197" i="1"/>
  <c r="AL197" i="1" s="1"/>
  <c r="AJ197" i="1"/>
  <c r="AH197" i="1"/>
  <c r="Z197" i="1"/>
  <c r="Y197" i="1"/>
  <c r="X197" i="1"/>
  <c r="T197" i="1"/>
  <c r="Q197" i="1"/>
  <c r="O197" i="1"/>
  <c r="AN196" i="1"/>
  <c r="AM196" i="1"/>
  <c r="AL196" i="1"/>
  <c r="AK196" i="1"/>
  <c r="AJ196" i="1"/>
  <c r="AH196" i="1"/>
  <c r="K196" i="1" s="1"/>
  <c r="Z196" i="1"/>
  <c r="Y196" i="1"/>
  <c r="X196" i="1"/>
  <c r="T196" i="1"/>
  <c r="Q196" i="1"/>
  <c r="O196" i="1"/>
  <c r="L196" i="1"/>
  <c r="AN195" i="1"/>
  <c r="AM195" i="1"/>
  <c r="AK195" i="1"/>
  <c r="AJ195" i="1"/>
  <c r="AH195" i="1" s="1"/>
  <c r="Z195" i="1"/>
  <c r="X195" i="1" s="1"/>
  <c r="Y195" i="1"/>
  <c r="Q195" i="1"/>
  <c r="K195" i="1"/>
  <c r="J195" i="1"/>
  <c r="I195" i="1" s="1"/>
  <c r="AB195" i="1" s="1"/>
  <c r="AN194" i="1"/>
  <c r="AM194" i="1"/>
  <c r="AK194" i="1"/>
  <c r="AJ194" i="1"/>
  <c r="AH194" i="1"/>
  <c r="Z194" i="1"/>
  <c r="Y194" i="1"/>
  <c r="X194" i="1"/>
  <c r="Q194" i="1"/>
  <c r="K194" i="1"/>
  <c r="AN193" i="1"/>
  <c r="AM193" i="1"/>
  <c r="AK193" i="1"/>
  <c r="AL193" i="1" s="1"/>
  <c r="AJ193" i="1"/>
  <c r="AH193" i="1" s="1"/>
  <c r="AI193" i="1"/>
  <c r="Z193" i="1"/>
  <c r="Y193" i="1"/>
  <c r="X193" i="1" s="1"/>
  <c r="Q193" i="1"/>
  <c r="AN192" i="1"/>
  <c r="AM192" i="1"/>
  <c r="AL192" i="1"/>
  <c r="AK192" i="1"/>
  <c r="AJ192" i="1"/>
  <c r="AH192" i="1"/>
  <c r="K192" i="1" s="1"/>
  <c r="Z192" i="1"/>
  <c r="Y192" i="1"/>
  <c r="X192" i="1"/>
  <c r="T192" i="1"/>
  <c r="Q192" i="1"/>
  <c r="O192" i="1"/>
  <c r="L192" i="1"/>
  <c r="AN191" i="1"/>
  <c r="AM191" i="1"/>
  <c r="AK191" i="1"/>
  <c r="AJ191" i="1"/>
  <c r="AH191" i="1" s="1"/>
  <c r="Z191" i="1"/>
  <c r="X191" i="1" s="1"/>
  <c r="Y191" i="1"/>
  <c r="Q191" i="1"/>
  <c r="K191" i="1"/>
  <c r="J191" i="1"/>
  <c r="I191" i="1" s="1"/>
  <c r="AB191" i="1" s="1"/>
  <c r="AN190" i="1"/>
  <c r="AM190" i="1"/>
  <c r="AK190" i="1"/>
  <c r="AJ190" i="1"/>
  <c r="AH190" i="1"/>
  <c r="Z190" i="1"/>
  <c r="Y190" i="1"/>
  <c r="X190" i="1"/>
  <c r="Q190" i="1"/>
  <c r="K190" i="1"/>
  <c r="AN189" i="1"/>
  <c r="AM189" i="1"/>
  <c r="AK189" i="1"/>
  <c r="AL189" i="1" s="1"/>
  <c r="AJ189" i="1"/>
  <c r="AH189" i="1" s="1"/>
  <c r="AI189" i="1"/>
  <c r="Z189" i="1"/>
  <c r="Y189" i="1"/>
  <c r="X189" i="1" s="1"/>
  <c r="Q189" i="1"/>
  <c r="O189" i="1"/>
  <c r="AN188" i="1"/>
  <c r="AM188" i="1"/>
  <c r="AL188" i="1"/>
  <c r="AK188" i="1"/>
  <c r="AJ188" i="1"/>
  <c r="AH188" i="1"/>
  <c r="K188" i="1" s="1"/>
  <c r="Z188" i="1"/>
  <c r="Y188" i="1"/>
  <c r="X188" i="1" s="1"/>
  <c r="T188" i="1"/>
  <c r="Q188" i="1"/>
  <c r="O188" i="1"/>
  <c r="L188" i="1"/>
  <c r="AN187" i="1"/>
  <c r="AM187" i="1"/>
  <c r="AK187" i="1"/>
  <c r="AJ187" i="1"/>
  <c r="AH187" i="1" s="1"/>
  <c r="Z187" i="1"/>
  <c r="Y187" i="1"/>
  <c r="Q187" i="1"/>
  <c r="AN186" i="1"/>
  <c r="AM186" i="1"/>
  <c r="AK186" i="1"/>
  <c r="AJ186" i="1"/>
  <c r="AI186" i="1"/>
  <c r="AH186" i="1"/>
  <c r="Z186" i="1"/>
  <c r="Y186" i="1"/>
  <c r="X186" i="1"/>
  <c r="Q186" i="1"/>
  <c r="K186" i="1"/>
  <c r="AN185" i="1"/>
  <c r="AM185" i="1"/>
  <c r="AK185" i="1"/>
  <c r="AL185" i="1" s="1"/>
  <c r="AJ185" i="1"/>
  <c r="AH185" i="1" s="1"/>
  <c r="AI185" i="1" s="1"/>
  <c r="Z185" i="1"/>
  <c r="Y185" i="1"/>
  <c r="X185" i="1" s="1"/>
  <c r="Q185" i="1"/>
  <c r="AN184" i="1"/>
  <c r="AM184" i="1"/>
  <c r="AL184" i="1" s="1"/>
  <c r="AK184" i="1"/>
  <c r="AJ184" i="1"/>
  <c r="AI184" i="1"/>
  <c r="AH184" i="1"/>
  <c r="K184" i="1" s="1"/>
  <c r="Z184" i="1"/>
  <c r="Y184" i="1"/>
  <c r="X184" i="1" s="1"/>
  <c r="T184" i="1"/>
  <c r="Q184" i="1"/>
  <c r="O184" i="1"/>
  <c r="L184" i="1"/>
  <c r="AN183" i="1"/>
  <c r="AM183" i="1"/>
  <c r="AK183" i="1"/>
  <c r="AJ183" i="1"/>
  <c r="AH183" i="1" s="1"/>
  <c r="Z183" i="1"/>
  <c r="Y183" i="1"/>
  <c r="X183" i="1" s="1"/>
  <c r="Q183" i="1"/>
  <c r="O183" i="1"/>
  <c r="K183" i="1"/>
  <c r="J183" i="1"/>
  <c r="I183" i="1" s="1"/>
  <c r="AN182" i="1"/>
  <c r="AM182" i="1"/>
  <c r="AK182" i="1"/>
  <c r="AJ182" i="1"/>
  <c r="AH182" i="1"/>
  <c r="Z182" i="1"/>
  <c r="Y182" i="1"/>
  <c r="X182" i="1"/>
  <c r="Q182" i="1"/>
  <c r="L182" i="1"/>
  <c r="AN181" i="1"/>
  <c r="AM181" i="1"/>
  <c r="AK181" i="1"/>
  <c r="AJ181" i="1"/>
  <c r="AH181" i="1" s="1"/>
  <c r="AI181" i="1"/>
  <c r="Z181" i="1"/>
  <c r="Y181" i="1"/>
  <c r="Q181" i="1"/>
  <c r="J181" i="1"/>
  <c r="I181" i="1"/>
  <c r="AN180" i="1"/>
  <c r="AM180" i="1"/>
  <c r="AL180" i="1" s="1"/>
  <c r="AK180" i="1"/>
  <c r="AJ180" i="1"/>
  <c r="AH180" i="1"/>
  <c r="Z180" i="1"/>
  <c r="Y180" i="1"/>
  <c r="X180" i="1"/>
  <c r="T180" i="1"/>
  <c r="Q180" i="1"/>
  <c r="K180" i="1"/>
  <c r="AN179" i="1"/>
  <c r="AM179" i="1"/>
  <c r="AK179" i="1"/>
  <c r="AJ179" i="1"/>
  <c r="AH179" i="1" s="1"/>
  <c r="L179" i="1" s="1"/>
  <c r="AI179" i="1"/>
  <c r="Z179" i="1"/>
  <c r="Y179" i="1"/>
  <c r="Q179" i="1"/>
  <c r="O179" i="1"/>
  <c r="K179" i="1"/>
  <c r="J179" i="1"/>
  <c r="I179" i="1"/>
  <c r="AB179" i="1" s="1"/>
  <c r="AN178" i="1"/>
  <c r="AM178" i="1"/>
  <c r="AL178" i="1" s="1"/>
  <c r="AK178" i="1"/>
  <c r="AJ178" i="1"/>
  <c r="AI178" i="1"/>
  <c r="AH178" i="1"/>
  <c r="O178" i="1" s="1"/>
  <c r="Z178" i="1"/>
  <c r="Y178" i="1"/>
  <c r="X178" i="1"/>
  <c r="U178" i="1"/>
  <c r="V178" i="1" s="1"/>
  <c r="T178" i="1"/>
  <c r="Q178" i="1"/>
  <c r="AC178" i="1" s="1"/>
  <c r="L178" i="1"/>
  <c r="K178" i="1"/>
  <c r="J178" i="1"/>
  <c r="I178" i="1" s="1"/>
  <c r="AN177" i="1"/>
  <c r="AM177" i="1"/>
  <c r="AL177" i="1"/>
  <c r="AK177" i="1"/>
  <c r="AJ177" i="1"/>
  <c r="AH177" i="1"/>
  <c r="Z177" i="1"/>
  <c r="X177" i="1" s="1"/>
  <c r="Y177" i="1"/>
  <c r="T177" i="1"/>
  <c r="Q177" i="1"/>
  <c r="O177" i="1"/>
  <c r="AN176" i="1"/>
  <c r="T176" i="1" s="1"/>
  <c r="AM176" i="1"/>
  <c r="AK176" i="1"/>
  <c r="AL176" i="1" s="1"/>
  <c r="AJ176" i="1"/>
  <c r="AH176" i="1"/>
  <c r="Z176" i="1"/>
  <c r="Y176" i="1"/>
  <c r="X176" i="1"/>
  <c r="Q176" i="1"/>
  <c r="AN175" i="1"/>
  <c r="AM175" i="1"/>
  <c r="AL175" i="1" s="1"/>
  <c r="AK175" i="1"/>
  <c r="AJ175" i="1"/>
  <c r="AH175" i="1"/>
  <c r="J175" i="1" s="1"/>
  <c r="I175" i="1" s="1"/>
  <c r="AB175" i="1"/>
  <c r="Z175" i="1"/>
  <c r="Y175" i="1"/>
  <c r="X175" i="1"/>
  <c r="T175" i="1"/>
  <c r="Q175" i="1"/>
  <c r="L175" i="1"/>
  <c r="K175" i="1"/>
  <c r="AN174" i="1"/>
  <c r="AM174" i="1"/>
  <c r="AK174" i="1"/>
  <c r="T174" i="1" s="1"/>
  <c r="AJ174" i="1"/>
  <c r="AH174" i="1" s="1"/>
  <c r="Z174" i="1"/>
  <c r="Y174" i="1"/>
  <c r="X174" i="1" s="1"/>
  <c r="Q174" i="1"/>
  <c r="AN173" i="1"/>
  <c r="AM173" i="1"/>
  <c r="AL173" i="1"/>
  <c r="AK173" i="1"/>
  <c r="AJ173" i="1"/>
  <c r="AH173" i="1" s="1"/>
  <c r="Z173" i="1"/>
  <c r="X173" i="1" s="1"/>
  <c r="Y173" i="1"/>
  <c r="T173" i="1"/>
  <c r="Q173" i="1"/>
  <c r="O173" i="1"/>
  <c r="J173" i="1"/>
  <c r="I173" i="1"/>
  <c r="AN172" i="1"/>
  <c r="AM172" i="1"/>
  <c r="AK172" i="1"/>
  <c r="AL172" i="1" s="1"/>
  <c r="AJ172" i="1"/>
  <c r="AH172" i="1"/>
  <c r="Z172" i="1"/>
  <c r="Y172" i="1"/>
  <c r="X172" i="1"/>
  <c r="Q172" i="1"/>
  <c r="AN171" i="1"/>
  <c r="AM171" i="1"/>
  <c r="AL171" i="1"/>
  <c r="AK171" i="1"/>
  <c r="T171" i="1" s="1"/>
  <c r="AJ171" i="1"/>
  <c r="AH171" i="1"/>
  <c r="J171" i="1" s="1"/>
  <c r="I171" i="1" s="1"/>
  <c r="AB171" i="1"/>
  <c r="Z171" i="1"/>
  <c r="Y171" i="1"/>
  <c r="X171" i="1"/>
  <c r="Q171" i="1"/>
  <c r="L171" i="1"/>
  <c r="K171" i="1"/>
  <c r="AN170" i="1"/>
  <c r="AM170" i="1"/>
  <c r="AK170" i="1"/>
  <c r="AJ170" i="1"/>
  <c r="AH170" i="1" s="1"/>
  <c r="AI170" i="1"/>
  <c r="Z170" i="1"/>
  <c r="Y170" i="1"/>
  <c r="Q170" i="1"/>
  <c r="J170" i="1"/>
  <c r="I170" i="1" s="1"/>
  <c r="AN169" i="1"/>
  <c r="AM169" i="1"/>
  <c r="AL169" i="1"/>
  <c r="AK169" i="1"/>
  <c r="AJ169" i="1"/>
  <c r="AH169" i="1"/>
  <c r="Z169" i="1"/>
  <c r="X169" i="1" s="1"/>
  <c r="Y169" i="1"/>
  <c r="T169" i="1"/>
  <c r="Q169" i="1"/>
  <c r="O169" i="1"/>
  <c r="AN168" i="1"/>
  <c r="AM168" i="1"/>
  <c r="AK168" i="1"/>
  <c r="AL168" i="1" s="1"/>
  <c r="AJ168" i="1"/>
  <c r="AH168" i="1" s="1"/>
  <c r="Z168" i="1"/>
  <c r="Y168" i="1"/>
  <c r="X168" i="1"/>
  <c r="Q168" i="1"/>
  <c r="AN167" i="1"/>
  <c r="AM167" i="1"/>
  <c r="AL167" i="1"/>
  <c r="AK167" i="1"/>
  <c r="AJ167" i="1"/>
  <c r="AH167" i="1"/>
  <c r="Z167" i="1"/>
  <c r="Y167" i="1"/>
  <c r="X167" i="1"/>
  <c r="T167" i="1"/>
  <c r="Q167" i="1"/>
  <c r="AN166" i="1"/>
  <c r="AM166" i="1"/>
  <c r="AK166" i="1"/>
  <c r="AL166" i="1" s="1"/>
  <c r="AJ166" i="1"/>
  <c r="AH166" i="1" s="1"/>
  <c r="O166" i="1" s="1"/>
  <c r="AI166" i="1"/>
  <c r="AB166" i="1"/>
  <c r="Z166" i="1"/>
  <c r="Y166" i="1"/>
  <c r="X166" i="1" s="1"/>
  <c r="Q166" i="1"/>
  <c r="K166" i="1"/>
  <c r="J166" i="1"/>
  <c r="I166" i="1" s="1"/>
  <c r="AN165" i="1"/>
  <c r="AM165" i="1"/>
  <c r="AL165" i="1"/>
  <c r="AK165" i="1"/>
  <c r="AJ165" i="1"/>
  <c r="AH165" i="1"/>
  <c r="K165" i="1" s="1"/>
  <c r="AB165" i="1"/>
  <c r="Z165" i="1"/>
  <c r="Y165" i="1"/>
  <c r="X165" i="1"/>
  <c r="T165" i="1"/>
  <c r="Q165" i="1"/>
  <c r="O165" i="1"/>
  <c r="L165" i="1"/>
  <c r="J165" i="1"/>
  <c r="I165" i="1" s="1"/>
  <c r="AN164" i="1"/>
  <c r="AM164" i="1"/>
  <c r="AK164" i="1"/>
  <c r="AJ164" i="1"/>
  <c r="AH164" i="1" s="1"/>
  <c r="Z164" i="1"/>
  <c r="Y164" i="1"/>
  <c r="X164" i="1"/>
  <c r="Q164" i="1"/>
  <c r="AN163" i="1"/>
  <c r="AM163" i="1"/>
  <c r="AK163" i="1"/>
  <c r="AJ163" i="1"/>
  <c r="AI163" i="1"/>
  <c r="AH163" i="1"/>
  <c r="Z163" i="1"/>
  <c r="Y163" i="1"/>
  <c r="X163" i="1"/>
  <c r="Q163" i="1"/>
  <c r="O163" i="1"/>
  <c r="AN162" i="1"/>
  <c r="AM162" i="1"/>
  <c r="AK162" i="1"/>
  <c r="AL162" i="1" s="1"/>
  <c r="AJ162" i="1"/>
  <c r="AH162" i="1" s="1"/>
  <c r="AI162" i="1"/>
  <c r="Z162" i="1"/>
  <c r="Y162" i="1"/>
  <c r="T162" i="1"/>
  <c r="Q162" i="1"/>
  <c r="O162" i="1"/>
  <c r="L162" i="1"/>
  <c r="K162" i="1"/>
  <c r="J162" i="1"/>
  <c r="I162" i="1"/>
  <c r="AN161" i="1"/>
  <c r="AM161" i="1"/>
  <c r="AK161" i="1"/>
  <c r="T161" i="1" s="1"/>
  <c r="AJ161" i="1"/>
  <c r="AH161" i="1"/>
  <c r="Z161" i="1"/>
  <c r="Y161" i="1"/>
  <c r="X161" i="1"/>
  <c r="Q161" i="1"/>
  <c r="AN160" i="1"/>
  <c r="AM160" i="1"/>
  <c r="AK160" i="1"/>
  <c r="AJ160" i="1"/>
  <c r="AH160" i="1"/>
  <c r="J160" i="1" s="1"/>
  <c r="I160" i="1" s="1"/>
  <c r="AB160" i="1" s="1"/>
  <c r="Z160" i="1"/>
  <c r="Y160" i="1"/>
  <c r="X160" i="1"/>
  <c r="Q160" i="1"/>
  <c r="L160" i="1"/>
  <c r="K160" i="1"/>
  <c r="AN159" i="1"/>
  <c r="AM159" i="1"/>
  <c r="AK159" i="1"/>
  <c r="AL159" i="1" s="1"/>
  <c r="AJ159" i="1"/>
  <c r="AH159" i="1" s="1"/>
  <c r="AI159" i="1"/>
  <c r="Z159" i="1"/>
  <c r="Y159" i="1"/>
  <c r="X159" i="1" s="1"/>
  <c r="Q159" i="1"/>
  <c r="AN158" i="1"/>
  <c r="AM158" i="1"/>
  <c r="AL158" i="1"/>
  <c r="AK158" i="1"/>
  <c r="AJ158" i="1"/>
  <c r="AH158" i="1" s="1"/>
  <c r="Z158" i="1"/>
  <c r="Y158" i="1"/>
  <c r="X158" i="1"/>
  <c r="T158" i="1"/>
  <c r="Q158" i="1"/>
  <c r="AN157" i="1"/>
  <c r="AM157" i="1"/>
  <c r="AK157" i="1"/>
  <c r="AJ157" i="1"/>
  <c r="AH157" i="1"/>
  <c r="Z157" i="1"/>
  <c r="Y157" i="1"/>
  <c r="X157" i="1"/>
  <c r="Q157" i="1"/>
  <c r="O157" i="1"/>
  <c r="AN156" i="1"/>
  <c r="AM156" i="1"/>
  <c r="AK156" i="1"/>
  <c r="T156" i="1" s="1"/>
  <c r="AJ156" i="1"/>
  <c r="AH156" i="1"/>
  <c r="J156" i="1" s="1"/>
  <c r="Z156" i="1"/>
  <c r="Y156" i="1"/>
  <c r="X156" i="1"/>
  <c r="Q156" i="1"/>
  <c r="L156" i="1"/>
  <c r="K156" i="1"/>
  <c r="I156" i="1"/>
  <c r="AN155" i="1"/>
  <c r="AM155" i="1"/>
  <c r="AL155" i="1"/>
  <c r="AK155" i="1"/>
  <c r="AJ155" i="1"/>
  <c r="AH155" i="1" s="1"/>
  <c r="O155" i="1" s="1"/>
  <c r="AI155" i="1"/>
  <c r="Z155" i="1"/>
  <c r="Y155" i="1"/>
  <c r="X155" i="1" s="1"/>
  <c r="T155" i="1"/>
  <c r="Q155" i="1"/>
  <c r="AN154" i="1"/>
  <c r="AM154" i="1"/>
  <c r="AL154" i="1" s="1"/>
  <c r="AK154" i="1"/>
  <c r="AJ154" i="1"/>
  <c r="AH154" i="1"/>
  <c r="K154" i="1" s="1"/>
  <c r="AB154" i="1"/>
  <c r="Z154" i="1"/>
  <c r="Y154" i="1"/>
  <c r="X154" i="1" s="1"/>
  <c r="T154" i="1"/>
  <c r="Q154" i="1"/>
  <c r="O154" i="1"/>
  <c r="J154" i="1"/>
  <c r="I154" i="1" s="1"/>
  <c r="AN153" i="1"/>
  <c r="AM153" i="1"/>
  <c r="AK153" i="1"/>
  <c r="AJ153" i="1"/>
  <c r="AH153" i="1" s="1"/>
  <c r="Z153" i="1"/>
  <c r="Y153" i="1"/>
  <c r="X153" i="1"/>
  <c r="Q153" i="1"/>
  <c r="AN152" i="1"/>
  <c r="AM152" i="1"/>
  <c r="AL152" i="1" s="1"/>
  <c r="AK152" i="1"/>
  <c r="T152" i="1" s="1"/>
  <c r="AJ152" i="1"/>
  <c r="AH152" i="1"/>
  <c r="K152" i="1" s="1"/>
  <c r="Z152" i="1"/>
  <c r="Y152" i="1"/>
  <c r="X152" i="1"/>
  <c r="Q152" i="1"/>
  <c r="L152" i="1"/>
  <c r="AN151" i="1"/>
  <c r="AM151" i="1"/>
  <c r="AL151" i="1"/>
  <c r="AK151" i="1"/>
  <c r="T151" i="1" s="1"/>
  <c r="AJ151" i="1"/>
  <c r="AH151" i="1" s="1"/>
  <c r="J151" i="1" s="1"/>
  <c r="I151" i="1" s="1"/>
  <c r="AI151" i="1"/>
  <c r="AB151" i="1"/>
  <c r="Z151" i="1"/>
  <c r="Y151" i="1"/>
  <c r="Q151" i="1"/>
  <c r="O151" i="1"/>
  <c r="L151" i="1"/>
  <c r="K151" i="1"/>
  <c r="AN150" i="1"/>
  <c r="AM150" i="1"/>
  <c r="AL150" i="1"/>
  <c r="AK150" i="1"/>
  <c r="AJ150" i="1"/>
  <c r="AH150" i="1" s="1"/>
  <c r="Z150" i="1"/>
  <c r="X150" i="1" s="1"/>
  <c r="Y150" i="1"/>
  <c r="T150" i="1"/>
  <c r="Q150" i="1"/>
  <c r="AN149" i="1"/>
  <c r="AM149" i="1"/>
  <c r="AK149" i="1"/>
  <c r="AJ149" i="1"/>
  <c r="AH149" i="1"/>
  <c r="K149" i="1" s="1"/>
  <c r="Z149" i="1"/>
  <c r="X149" i="1" s="1"/>
  <c r="Y149" i="1"/>
  <c r="Q149" i="1"/>
  <c r="J149" i="1"/>
  <c r="I149" i="1" s="1"/>
  <c r="AB149" i="1" s="1"/>
  <c r="AN148" i="1"/>
  <c r="AM148" i="1"/>
  <c r="AL148" i="1"/>
  <c r="AK148" i="1"/>
  <c r="AJ148" i="1"/>
  <c r="AI148" i="1"/>
  <c r="AH148" i="1"/>
  <c r="Z148" i="1"/>
  <c r="Y148" i="1"/>
  <c r="X148" i="1"/>
  <c r="T148" i="1"/>
  <c r="Q148" i="1"/>
  <c r="L148" i="1"/>
  <c r="K148" i="1"/>
  <c r="AN147" i="1"/>
  <c r="T147" i="1" s="1"/>
  <c r="AM147" i="1"/>
  <c r="AK147" i="1"/>
  <c r="AL147" i="1" s="1"/>
  <c r="AJ147" i="1"/>
  <c r="AH147" i="1" s="1"/>
  <c r="O147" i="1" s="1"/>
  <c r="Z147" i="1"/>
  <c r="Y147" i="1"/>
  <c r="X147" i="1" s="1"/>
  <c r="Q147" i="1"/>
  <c r="L147" i="1"/>
  <c r="J147" i="1"/>
  <c r="I147" i="1"/>
  <c r="AB147" i="1" s="1"/>
  <c r="AN146" i="1"/>
  <c r="AM146" i="1"/>
  <c r="AL146" i="1" s="1"/>
  <c r="AK146" i="1"/>
  <c r="AJ146" i="1"/>
  <c r="AH146" i="1"/>
  <c r="O146" i="1" s="1"/>
  <c r="Z146" i="1"/>
  <c r="Y146" i="1"/>
  <c r="X146" i="1"/>
  <c r="T146" i="1"/>
  <c r="Q146" i="1"/>
  <c r="K146" i="1"/>
  <c r="J146" i="1"/>
  <c r="I146" i="1"/>
  <c r="AB146" i="1" s="1"/>
  <c r="AN145" i="1"/>
  <c r="AM145" i="1"/>
  <c r="AK145" i="1"/>
  <c r="AJ145" i="1"/>
  <c r="AH145" i="1"/>
  <c r="L145" i="1" s="1"/>
  <c r="Z145" i="1"/>
  <c r="Y145" i="1"/>
  <c r="X145" i="1" s="1"/>
  <c r="Q145" i="1"/>
  <c r="K145" i="1"/>
  <c r="J145" i="1"/>
  <c r="I145" i="1" s="1"/>
  <c r="AN144" i="1"/>
  <c r="AM144" i="1"/>
  <c r="AK144" i="1"/>
  <c r="AJ144" i="1"/>
  <c r="AH144" i="1"/>
  <c r="K144" i="1" s="1"/>
  <c r="Z144" i="1"/>
  <c r="Y144" i="1"/>
  <c r="X144" i="1" s="1"/>
  <c r="Q144" i="1"/>
  <c r="AN143" i="1"/>
  <c r="AM143" i="1"/>
  <c r="AK143" i="1"/>
  <c r="AL143" i="1" s="1"/>
  <c r="AJ143" i="1"/>
  <c r="AI143" i="1"/>
  <c r="AH143" i="1"/>
  <c r="Z143" i="1"/>
  <c r="Y143" i="1"/>
  <c r="X143" i="1" s="1"/>
  <c r="Q143" i="1"/>
  <c r="O143" i="1"/>
  <c r="AN142" i="1"/>
  <c r="AM142" i="1"/>
  <c r="AL142" i="1"/>
  <c r="AK142" i="1"/>
  <c r="AJ142" i="1"/>
  <c r="AH142" i="1" s="1"/>
  <c r="Z142" i="1"/>
  <c r="Y142" i="1"/>
  <c r="X142" i="1" s="1"/>
  <c r="T142" i="1"/>
  <c r="Q142" i="1"/>
  <c r="L142" i="1"/>
  <c r="AN141" i="1"/>
  <c r="AM141" i="1"/>
  <c r="AK141" i="1"/>
  <c r="AJ141" i="1"/>
  <c r="AH141" i="1" s="1"/>
  <c r="Z141" i="1"/>
  <c r="X141" i="1" s="1"/>
  <c r="Y141" i="1"/>
  <c r="Q141" i="1"/>
  <c r="L141" i="1"/>
  <c r="K141" i="1"/>
  <c r="J141" i="1"/>
  <c r="I141" i="1" s="1"/>
  <c r="AN140" i="1"/>
  <c r="AM140" i="1"/>
  <c r="AK140" i="1"/>
  <c r="AJ140" i="1"/>
  <c r="AH140" i="1" s="1"/>
  <c r="Z140" i="1"/>
  <c r="Y140" i="1"/>
  <c r="X140" i="1" s="1"/>
  <c r="Q140" i="1"/>
  <c r="K140" i="1"/>
  <c r="AN139" i="1"/>
  <c r="AM139" i="1"/>
  <c r="AK139" i="1"/>
  <c r="AL139" i="1" s="1"/>
  <c r="AJ139" i="1"/>
  <c r="AH139" i="1"/>
  <c r="Z139" i="1"/>
  <c r="Y139" i="1"/>
  <c r="X139" i="1"/>
  <c r="Q139" i="1"/>
  <c r="AN138" i="1"/>
  <c r="T138" i="1" s="1"/>
  <c r="AM138" i="1"/>
  <c r="AL138" i="1" s="1"/>
  <c r="AK138" i="1"/>
  <c r="AJ138" i="1"/>
  <c r="AH138" i="1" s="1"/>
  <c r="Z138" i="1"/>
  <c r="Y138" i="1"/>
  <c r="X138" i="1" s="1"/>
  <c r="Q138" i="1"/>
  <c r="L138" i="1"/>
  <c r="AN137" i="1"/>
  <c r="AM137" i="1"/>
  <c r="AK137" i="1"/>
  <c r="AL137" i="1" s="1"/>
  <c r="AJ137" i="1"/>
  <c r="AH137" i="1" s="1"/>
  <c r="Z137" i="1"/>
  <c r="X137" i="1" s="1"/>
  <c r="Y137" i="1"/>
  <c r="T137" i="1"/>
  <c r="Q137" i="1"/>
  <c r="L137" i="1"/>
  <c r="K137" i="1"/>
  <c r="AN136" i="1"/>
  <c r="AM136" i="1"/>
  <c r="AK136" i="1"/>
  <c r="AJ136" i="1"/>
  <c r="AH136" i="1"/>
  <c r="Z136" i="1"/>
  <c r="Y136" i="1"/>
  <c r="X136" i="1" s="1"/>
  <c r="Q136" i="1"/>
  <c r="AN135" i="1"/>
  <c r="AM135" i="1"/>
  <c r="AK135" i="1"/>
  <c r="AJ135" i="1"/>
  <c r="AH135" i="1"/>
  <c r="Z135" i="1"/>
  <c r="Y135" i="1"/>
  <c r="X135" i="1" s="1"/>
  <c r="Q135" i="1"/>
  <c r="O135" i="1"/>
  <c r="AN134" i="1"/>
  <c r="T134" i="1" s="1"/>
  <c r="AM134" i="1"/>
  <c r="AL134" i="1" s="1"/>
  <c r="AK134" i="1"/>
  <c r="AJ134" i="1"/>
  <c r="AH134" i="1" s="1"/>
  <c r="AI134" i="1" s="1"/>
  <c r="Z134" i="1"/>
  <c r="Y134" i="1"/>
  <c r="X134" i="1" s="1"/>
  <c r="Q134" i="1"/>
  <c r="L134" i="1"/>
  <c r="AN133" i="1"/>
  <c r="AM133" i="1"/>
  <c r="AL133" i="1"/>
  <c r="AK133" i="1"/>
  <c r="AJ133" i="1"/>
  <c r="AH133" i="1" s="1"/>
  <c r="AI133" i="1" s="1"/>
  <c r="Z133" i="1"/>
  <c r="X133" i="1" s="1"/>
  <c r="Y133" i="1"/>
  <c r="T133" i="1"/>
  <c r="Q133" i="1"/>
  <c r="O133" i="1"/>
  <c r="L133" i="1"/>
  <c r="K133" i="1"/>
  <c r="J133" i="1"/>
  <c r="I133" i="1" s="1"/>
  <c r="AN132" i="1"/>
  <c r="AM132" i="1"/>
  <c r="AK132" i="1"/>
  <c r="AJ132" i="1"/>
  <c r="AI132" i="1"/>
  <c r="AH132" i="1"/>
  <c r="Z132" i="1"/>
  <c r="Y132" i="1"/>
  <c r="X132" i="1" s="1"/>
  <c r="Q132" i="1"/>
  <c r="AN131" i="1"/>
  <c r="AM131" i="1"/>
  <c r="AL131" i="1"/>
  <c r="AK131" i="1"/>
  <c r="T131" i="1" s="1"/>
  <c r="AJ131" i="1"/>
  <c r="AH131" i="1"/>
  <c r="J131" i="1" s="1"/>
  <c r="Z131" i="1"/>
  <c r="Y131" i="1"/>
  <c r="X131" i="1" s="1"/>
  <c r="Q131" i="1"/>
  <c r="O131" i="1"/>
  <c r="L131" i="1"/>
  <c r="K131" i="1"/>
  <c r="I131" i="1"/>
  <c r="AB131" i="1" s="1"/>
  <c r="AN130" i="1"/>
  <c r="AM130" i="1"/>
  <c r="AL130" i="1"/>
  <c r="AK130" i="1"/>
  <c r="AJ130" i="1"/>
  <c r="AH130" i="1" s="1"/>
  <c r="K130" i="1" s="1"/>
  <c r="AI130" i="1"/>
  <c r="Z130" i="1"/>
  <c r="Y130" i="1"/>
  <c r="X130" i="1" s="1"/>
  <c r="T130" i="1"/>
  <c r="Q130" i="1"/>
  <c r="O130" i="1"/>
  <c r="L130" i="1"/>
  <c r="J130" i="1"/>
  <c r="I130" i="1" s="1"/>
  <c r="AN129" i="1"/>
  <c r="AM129" i="1"/>
  <c r="AK129" i="1"/>
  <c r="T129" i="1" s="1"/>
  <c r="AJ129" i="1"/>
  <c r="AH129" i="1"/>
  <c r="AI129" i="1" s="1"/>
  <c r="Z129" i="1"/>
  <c r="X129" i="1" s="1"/>
  <c r="Y129" i="1"/>
  <c r="Q129" i="1"/>
  <c r="L129" i="1"/>
  <c r="K129" i="1"/>
  <c r="AN128" i="1"/>
  <c r="AM128" i="1"/>
  <c r="AK128" i="1"/>
  <c r="AJ128" i="1"/>
  <c r="AH128" i="1"/>
  <c r="Z128" i="1"/>
  <c r="Y128" i="1"/>
  <c r="Q128" i="1"/>
  <c r="AN127" i="1"/>
  <c r="AM127" i="1"/>
  <c r="AK127" i="1"/>
  <c r="T127" i="1" s="1"/>
  <c r="AJ127" i="1"/>
  <c r="AH127" i="1"/>
  <c r="Z127" i="1"/>
  <c r="Y127" i="1"/>
  <c r="X127" i="1"/>
  <c r="Q127" i="1"/>
  <c r="L127" i="1"/>
  <c r="AN126" i="1"/>
  <c r="T126" i="1" s="1"/>
  <c r="AM126" i="1"/>
  <c r="AL126" i="1" s="1"/>
  <c r="AK126" i="1"/>
  <c r="AJ126" i="1"/>
  <c r="AH126" i="1" s="1"/>
  <c r="K126" i="1" s="1"/>
  <c r="AI126" i="1"/>
  <c r="AB126" i="1"/>
  <c r="Z126" i="1"/>
  <c r="Y126" i="1"/>
  <c r="Q126" i="1"/>
  <c r="O126" i="1"/>
  <c r="L126" i="1"/>
  <c r="J126" i="1"/>
  <c r="I126" i="1" s="1"/>
  <c r="AN125" i="1"/>
  <c r="AM125" i="1"/>
  <c r="AL125" i="1" s="1"/>
  <c r="AK125" i="1"/>
  <c r="AJ125" i="1"/>
  <c r="AH125" i="1"/>
  <c r="Z125" i="1"/>
  <c r="X125" i="1" s="1"/>
  <c r="Y125" i="1"/>
  <c r="T125" i="1"/>
  <c r="Q125" i="1"/>
  <c r="J125" i="1"/>
  <c r="I125" i="1" s="1"/>
  <c r="AN124" i="1"/>
  <c r="AM124" i="1"/>
  <c r="AK124" i="1"/>
  <c r="AJ124" i="1"/>
  <c r="AH124" i="1" s="1"/>
  <c r="AI124" i="1" s="1"/>
  <c r="Z124" i="1"/>
  <c r="X124" i="1" s="1"/>
  <c r="Y124" i="1"/>
  <c r="Q124" i="1"/>
  <c r="AN123" i="1"/>
  <c r="T123" i="1" s="1"/>
  <c r="AM123" i="1"/>
  <c r="AL123" i="1"/>
  <c r="AK123" i="1"/>
  <c r="AJ123" i="1"/>
  <c r="AI123" i="1"/>
  <c r="AH123" i="1"/>
  <c r="J123" i="1" s="1"/>
  <c r="AB123" i="1"/>
  <c r="Z123" i="1"/>
  <c r="Y123" i="1"/>
  <c r="X123" i="1"/>
  <c r="Q123" i="1"/>
  <c r="O123" i="1"/>
  <c r="L123" i="1"/>
  <c r="I123" i="1"/>
  <c r="AN122" i="1"/>
  <c r="AM122" i="1"/>
  <c r="AL122" i="1" s="1"/>
  <c r="AK122" i="1"/>
  <c r="AJ122" i="1"/>
  <c r="AH122" i="1" s="1"/>
  <c r="Z122" i="1"/>
  <c r="Y122" i="1"/>
  <c r="X122" i="1" s="1"/>
  <c r="T122" i="1"/>
  <c r="Q122" i="1"/>
  <c r="AN121" i="1"/>
  <c r="AM121" i="1"/>
  <c r="AK121" i="1"/>
  <c r="AJ121" i="1"/>
  <c r="AH121" i="1" s="1"/>
  <c r="AB121" i="1"/>
  <c r="Z121" i="1"/>
  <c r="Y121" i="1"/>
  <c r="X121" i="1"/>
  <c r="T121" i="1"/>
  <c r="Q121" i="1"/>
  <c r="J121" i="1"/>
  <c r="I121" i="1" s="1"/>
  <c r="AN120" i="1"/>
  <c r="AM120" i="1"/>
  <c r="AK120" i="1"/>
  <c r="AJ120" i="1"/>
  <c r="AH120" i="1" s="1"/>
  <c r="Z120" i="1"/>
  <c r="Y120" i="1"/>
  <c r="X120" i="1"/>
  <c r="Q120" i="1"/>
  <c r="AN119" i="1"/>
  <c r="AM119" i="1"/>
  <c r="AK119" i="1"/>
  <c r="AJ119" i="1"/>
  <c r="AI119" i="1"/>
  <c r="AH119" i="1"/>
  <c r="J119" i="1" s="1"/>
  <c r="AB119" i="1"/>
  <c r="Z119" i="1"/>
  <c r="Y119" i="1"/>
  <c r="X119" i="1"/>
  <c r="Q119" i="1"/>
  <c r="O119" i="1"/>
  <c r="L119" i="1"/>
  <c r="K119" i="1"/>
  <c r="I119" i="1"/>
  <c r="AN118" i="1"/>
  <c r="AM118" i="1"/>
  <c r="AL118" i="1"/>
  <c r="AK118" i="1"/>
  <c r="AJ118" i="1"/>
  <c r="AH118" i="1" s="1"/>
  <c r="Z118" i="1"/>
  <c r="Y118" i="1"/>
  <c r="X118" i="1" s="1"/>
  <c r="T118" i="1"/>
  <c r="Q118" i="1"/>
  <c r="AN117" i="1"/>
  <c r="AM117" i="1"/>
  <c r="AL117" i="1"/>
  <c r="AK117" i="1"/>
  <c r="AJ117" i="1"/>
  <c r="AH117" i="1" s="1"/>
  <c r="AI117" i="1" s="1"/>
  <c r="Z117" i="1"/>
  <c r="Y117" i="1"/>
  <c r="X117" i="1" s="1"/>
  <c r="T117" i="1"/>
  <c r="Q117" i="1"/>
  <c r="O117" i="1"/>
  <c r="L117" i="1"/>
  <c r="K117" i="1"/>
  <c r="AN116" i="1"/>
  <c r="AM116" i="1"/>
  <c r="AK116" i="1"/>
  <c r="AJ116" i="1"/>
  <c r="AH116" i="1"/>
  <c r="Z116" i="1"/>
  <c r="X116" i="1" s="1"/>
  <c r="Y116" i="1"/>
  <c r="Q116" i="1"/>
  <c r="AN115" i="1"/>
  <c r="AM115" i="1"/>
  <c r="AK115" i="1"/>
  <c r="AL115" i="1" s="1"/>
  <c r="AJ115" i="1"/>
  <c r="AH115" i="1"/>
  <c r="Z115" i="1"/>
  <c r="Y115" i="1"/>
  <c r="X115" i="1"/>
  <c r="T115" i="1"/>
  <c r="Q115" i="1"/>
  <c r="O115" i="1"/>
  <c r="K115" i="1"/>
  <c r="AN114" i="1"/>
  <c r="AM114" i="1"/>
  <c r="AK114" i="1"/>
  <c r="AL114" i="1" s="1"/>
  <c r="AJ114" i="1"/>
  <c r="AH114" i="1" s="1"/>
  <c r="Z114" i="1"/>
  <c r="Y114" i="1"/>
  <c r="Q114" i="1"/>
  <c r="O114" i="1"/>
  <c r="AN113" i="1"/>
  <c r="AM113" i="1"/>
  <c r="AK113" i="1"/>
  <c r="AJ113" i="1"/>
  <c r="AH113" i="1" s="1"/>
  <c r="AI113" i="1" s="1"/>
  <c r="Z113" i="1"/>
  <c r="Y113" i="1"/>
  <c r="X113" i="1" s="1"/>
  <c r="Q113" i="1"/>
  <c r="AN112" i="1"/>
  <c r="AM112" i="1"/>
  <c r="AK112" i="1"/>
  <c r="T112" i="1" s="1"/>
  <c r="AJ112" i="1"/>
  <c r="AH112" i="1" s="1"/>
  <c r="Z112" i="1"/>
  <c r="Y112" i="1"/>
  <c r="Q112" i="1"/>
  <c r="AN111" i="1"/>
  <c r="AM111" i="1"/>
  <c r="AL111" i="1"/>
  <c r="AK111" i="1"/>
  <c r="AJ111" i="1"/>
  <c r="AI111" i="1"/>
  <c r="AH111" i="1"/>
  <c r="Z111" i="1"/>
  <c r="Y111" i="1"/>
  <c r="X111" i="1" s="1"/>
  <c r="T111" i="1"/>
  <c r="Q111" i="1"/>
  <c r="AN110" i="1"/>
  <c r="AM110" i="1"/>
  <c r="AK110" i="1"/>
  <c r="AJ110" i="1"/>
  <c r="AH110" i="1" s="1"/>
  <c r="Z110" i="1"/>
  <c r="X110" i="1" s="1"/>
  <c r="Y110" i="1"/>
  <c r="Q110" i="1"/>
  <c r="AN109" i="1"/>
  <c r="AM109" i="1"/>
  <c r="AK109" i="1"/>
  <c r="AL109" i="1" s="1"/>
  <c r="AJ109" i="1"/>
  <c r="AH109" i="1"/>
  <c r="J109" i="1" s="1"/>
  <c r="I109" i="1" s="1"/>
  <c r="Z109" i="1"/>
  <c r="Y109" i="1"/>
  <c r="X109" i="1"/>
  <c r="Q109" i="1"/>
  <c r="L109" i="1"/>
  <c r="K109" i="1"/>
  <c r="AN108" i="1"/>
  <c r="AM108" i="1"/>
  <c r="AK108" i="1"/>
  <c r="AJ108" i="1"/>
  <c r="AH108" i="1" s="1"/>
  <c r="AI108" i="1"/>
  <c r="Z108" i="1"/>
  <c r="Y108" i="1"/>
  <c r="Q108" i="1"/>
  <c r="K108" i="1"/>
  <c r="J108" i="1"/>
  <c r="I108" i="1" s="1"/>
  <c r="AB108" i="1" s="1"/>
  <c r="AN107" i="1"/>
  <c r="AM107" i="1"/>
  <c r="AL107" i="1"/>
  <c r="AK107" i="1"/>
  <c r="AJ107" i="1"/>
  <c r="AH107" i="1"/>
  <c r="O107" i="1" s="1"/>
  <c r="Z107" i="1"/>
  <c r="Y107" i="1"/>
  <c r="X107" i="1"/>
  <c r="T107" i="1"/>
  <c r="Q107" i="1"/>
  <c r="AN106" i="1"/>
  <c r="AM106" i="1"/>
  <c r="AK106" i="1"/>
  <c r="AJ106" i="1"/>
  <c r="AH106" i="1" s="1"/>
  <c r="Z106" i="1"/>
  <c r="X106" i="1" s="1"/>
  <c r="Y106" i="1"/>
  <c r="Q106" i="1"/>
  <c r="AN105" i="1"/>
  <c r="AM105" i="1"/>
  <c r="AK105" i="1"/>
  <c r="T105" i="1" s="1"/>
  <c r="AJ105" i="1"/>
  <c r="AH105" i="1"/>
  <c r="J105" i="1" s="1"/>
  <c r="I105" i="1" s="1"/>
  <c r="AB105" i="1" s="1"/>
  <c r="Z105" i="1"/>
  <c r="Y105" i="1"/>
  <c r="X105" i="1"/>
  <c r="Q105" i="1"/>
  <c r="L105" i="1"/>
  <c r="K105" i="1"/>
  <c r="AN104" i="1"/>
  <c r="AM104" i="1"/>
  <c r="AK104" i="1"/>
  <c r="AJ104" i="1"/>
  <c r="AH104" i="1" s="1"/>
  <c r="AI104" i="1" s="1"/>
  <c r="Z104" i="1"/>
  <c r="Y104" i="1"/>
  <c r="X104" i="1" s="1"/>
  <c r="Q104" i="1"/>
  <c r="K104" i="1"/>
  <c r="AN103" i="1"/>
  <c r="AM103" i="1"/>
  <c r="AL103" i="1"/>
  <c r="AK103" i="1"/>
  <c r="AJ103" i="1"/>
  <c r="AI103" i="1"/>
  <c r="AH103" i="1"/>
  <c r="O103" i="1" s="1"/>
  <c r="Z103" i="1"/>
  <c r="Y103" i="1"/>
  <c r="X103" i="1"/>
  <c r="T103" i="1"/>
  <c r="Q103" i="1"/>
  <c r="AN102" i="1"/>
  <c r="AM102" i="1"/>
  <c r="AK102" i="1"/>
  <c r="AJ102" i="1"/>
  <c r="AH102" i="1" s="1"/>
  <c r="O102" i="1" s="1"/>
  <c r="Z102" i="1"/>
  <c r="X102" i="1" s="1"/>
  <c r="Y102" i="1"/>
  <c r="Q102" i="1"/>
  <c r="AN101" i="1"/>
  <c r="AM101" i="1"/>
  <c r="AK101" i="1"/>
  <c r="AJ101" i="1"/>
  <c r="AH101" i="1"/>
  <c r="J101" i="1" s="1"/>
  <c r="I101" i="1" s="1"/>
  <c r="AB101" i="1"/>
  <c r="Z101" i="1"/>
  <c r="Y101" i="1"/>
  <c r="X101" i="1"/>
  <c r="Q101" i="1"/>
  <c r="L101" i="1"/>
  <c r="K101" i="1"/>
  <c r="AN100" i="1"/>
  <c r="AM100" i="1"/>
  <c r="AK100" i="1"/>
  <c r="AJ100" i="1"/>
  <c r="AH100" i="1" s="1"/>
  <c r="AI100" i="1"/>
  <c r="Z100" i="1"/>
  <c r="Y100" i="1"/>
  <c r="Q100" i="1"/>
  <c r="K100" i="1"/>
  <c r="J100" i="1"/>
  <c r="I100" i="1"/>
  <c r="AN99" i="1"/>
  <c r="AM99" i="1"/>
  <c r="AL99" i="1"/>
  <c r="AK99" i="1"/>
  <c r="AJ99" i="1"/>
  <c r="AH99" i="1"/>
  <c r="Z99" i="1"/>
  <c r="Y99" i="1"/>
  <c r="X99" i="1"/>
  <c r="T99" i="1"/>
  <c r="Q99" i="1"/>
  <c r="O99" i="1"/>
  <c r="AN98" i="1"/>
  <c r="AM98" i="1"/>
  <c r="AK98" i="1"/>
  <c r="AJ98" i="1"/>
  <c r="AH98" i="1" s="1"/>
  <c r="Z98" i="1"/>
  <c r="Y98" i="1"/>
  <c r="X98" i="1" s="1"/>
  <c r="Q98" i="1"/>
  <c r="O98" i="1"/>
  <c r="AN97" i="1"/>
  <c r="AM97" i="1"/>
  <c r="AL97" i="1" s="1"/>
  <c r="AK97" i="1"/>
  <c r="AJ97" i="1"/>
  <c r="AH97" i="1"/>
  <c r="J97" i="1" s="1"/>
  <c r="I97" i="1" s="1"/>
  <c r="Z97" i="1"/>
  <c r="Y97" i="1"/>
  <c r="X97" i="1"/>
  <c r="T97" i="1"/>
  <c r="Q97" i="1"/>
  <c r="L97" i="1"/>
  <c r="K97" i="1"/>
  <c r="AN96" i="1"/>
  <c r="AM96" i="1"/>
  <c r="AK96" i="1"/>
  <c r="AJ96" i="1"/>
  <c r="AH96" i="1" s="1"/>
  <c r="AI96" i="1"/>
  <c r="Z96" i="1"/>
  <c r="Y96" i="1"/>
  <c r="Q96" i="1"/>
  <c r="K96" i="1"/>
  <c r="AN95" i="1"/>
  <c r="AM95" i="1"/>
  <c r="AL95" i="1" s="1"/>
  <c r="AK95" i="1"/>
  <c r="AJ95" i="1"/>
  <c r="AH95" i="1"/>
  <c r="Z95" i="1"/>
  <c r="Y95" i="1"/>
  <c r="X95" i="1" s="1"/>
  <c r="T95" i="1"/>
  <c r="Q95" i="1"/>
  <c r="AN94" i="1"/>
  <c r="AM94" i="1"/>
  <c r="AK94" i="1"/>
  <c r="AJ94" i="1"/>
  <c r="AH94" i="1" s="1"/>
  <c r="Z94" i="1"/>
  <c r="Y94" i="1"/>
  <c r="Q94" i="1"/>
  <c r="O94" i="1"/>
  <c r="K94" i="1"/>
  <c r="J94" i="1"/>
  <c r="I94" i="1" s="1"/>
  <c r="AB94" i="1" s="1"/>
  <c r="AN93" i="1"/>
  <c r="AM93" i="1"/>
  <c r="AK93" i="1"/>
  <c r="AJ93" i="1"/>
  <c r="AI93" i="1"/>
  <c r="AH93" i="1"/>
  <c r="Z93" i="1"/>
  <c r="Y93" i="1"/>
  <c r="X93" i="1" s="1"/>
  <c r="Q93" i="1"/>
  <c r="L93" i="1"/>
  <c r="K93" i="1"/>
  <c r="AN92" i="1"/>
  <c r="AM92" i="1"/>
  <c r="AK92" i="1"/>
  <c r="AJ92" i="1"/>
  <c r="AH92" i="1" s="1"/>
  <c r="L92" i="1" s="1"/>
  <c r="Z92" i="1"/>
  <c r="Y92" i="1"/>
  <c r="X92" i="1" s="1"/>
  <c r="Q92" i="1"/>
  <c r="O92" i="1"/>
  <c r="K92" i="1"/>
  <c r="J92" i="1"/>
  <c r="I92" i="1" s="1"/>
  <c r="AB92" i="1" s="1"/>
  <c r="AN91" i="1"/>
  <c r="AM91" i="1"/>
  <c r="AL91" i="1" s="1"/>
  <c r="AK91" i="1"/>
  <c r="AJ91" i="1"/>
  <c r="AI91" i="1"/>
  <c r="AH91" i="1"/>
  <c r="Z91" i="1"/>
  <c r="Y91" i="1"/>
  <c r="X91" i="1" s="1"/>
  <c r="T91" i="1"/>
  <c r="Q91" i="1"/>
  <c r="O91" i="1"/>
  <c r="AN90" i="1"/>
  <c r="AM90" i="1"/>
  <c r="AK90" i="1"/>
  <c r="AJ90" i="1"/>
  <c r="AH90" i="1" s="1"/>
  <c r="Z90" i="1"/>
  <c r="Y90" i="1"/>
  <c r="Q90" i="1"/>
  <c r="K90" i="1"/>
  <c r="J90" i="1"/>
  <c r="I90" i="1" s="1"/>
  <c r="AN89" i="1"/>
  <c r="AM89" i="1"/>
  <c r="AL89" i="1"/>
  <c r="AK89" i="1"/>
  <c r="AJ89" i="1"/>
  <c r="AH89" i="1"/>
  <c r="Z89" i="1"/>
  <c r="Y89" i="1"/>
  <c r="X89" i="1" s="1"/>
  <c r="T89" i="1"/>
  <c r="Q89" i="1"/>
  <c r="AN88" i="1"/>
  <c r="AM88" i="1"/>
  <c r="AK88" i="1"/>
  <c r="AJ88" i="1"/>
  <c r="AH88" i="1" s="1"/>
  <c r="L88" i="1" s="1"/>
  <c r="AI88" i="1"/>
  <c r="Z88" i="1"/>
  <c r="Y88" i="1"/>
  <c r="X88" i="1" s="1"/>
  <c r="Q88" i="1"/>
  <c r="O88" i="1"/>
  <c r="K88" i="1"/>
  <c r="J88" i="1"/>
  <c r="I88" i="1" s="1"/>
  <c r="AN87" i="1"/>
  <c r="AM87" i="1"/>
  <c r="AL87" i="1" s="1"/>
  <c r="AK87" i="1"/>
  <c r="AJ87" i="1"/>
  <c r="AI87" i="1"/>
  <c r="AH87" i="1"/>
  <c r="Z87" i="1"/>
  <c r="Y87" i="1"/>
  <c r="X87" i="1" s="1"/>
  <c r="T87" i="1"/>
  <c r="Q87" i="1"/>
  <c r="O87" i="1"/>
  <c r="L87" i="1"/>
  <c r="AN86" i="1"/>
  <c r="AM86" i="1"/>
  <c r="AK86" i="1"/>
  <c r="AJ86" i="1"/>
  <c r="AH86" i="1" s="1"/>
  <c r="AI86" i="1" s="1"/>
  <c r="Z86" i="1"/>
  <c r="Y86" i="1"/>
  <c r="Q86" i="1"/>
  <c r="K86" i="1"/>
  <c r="AN85" i="1"/>
  <c r="AM85" i="1"/>
  <c r="AL85" i="1" s="1"/>
  <c r="AK85" i="1"/>
  <c r="AJ85" i="1"/>
  <c r="AI85" i="1"/>
  <c r="AH85" i="1"/>
  <c r="Z85" i="1"/>
  <c r="Y85" i="1"/>
  <c r="X85" i="1"/>
  <c r="T85" i="1"/>
  <c r="Q85" i="1"/>
  <c r="O85" i="1"/>
  <c r="AN84" i="1"/>
  <c r="AM84" i="1"/>
  <c r="AL84" i="1"/>
  <c r="AK84" i="1"/>
  <c r="T84" i="1" s="1"/>
  <c r="AJ84" i="1"/>
  <c r="AH84" i="1" s="1"/>
  <c r="AI84" i="1"/>
  <c r="Z84" i="1"/>
  <c r="Y84" i="1"/>
  <c r="Q84" i="1"/>
  <c r="O84" i="1"/>
  <c r="L84" i="1"/>
  <c r="K84" i="1"/>
  <c r="J84" i="1"/>
  <c r="I84" i="1"/>
  <c r="AN83" i="1"/>
  <c r="AM83" i="1"/>
  <c r="AL83" i="1"/>
  <c r="AK83" i="1"/>
  <c r="AJ83" i="1"/>
  <c r="AH83" i="1"/>
  <c r="L83" i="1" s="1"/>
  <c r="Z83" i="1"/>
  <c r="Y83" i="1"/>
  <c r="X83" i="1" s="1"/>
  <c r="T83" i="1"/>
  <c r="Q83" i="1"/>
  <c r="K83" i="1"/>
  <c r="AN82" i="1"/>
  <c r="AM82" i="1"/>
  <c r="AK82" i="1"/>
  <c r="AJ82" i="1"/>
  <c r="AI82" i="1"/>
  <c r="AH82" i="1"/>
  <c r="Z82" i="1"/>
  <c r="Y82" i="1"/>
  <c r="X82" i="1" s="1"/>
  <c r="Q82" i="1"/>
  <c r="O82" i="1"/>
  <c r="AN81" i="1"/>
  <c r="AM81" i="1"/>
  <c r="AK81" i="1"/>
  <c r="AJ81" i="1"/>
  <c r="AH81" i="1"/>
  <c r="J81" i="1" s="1"/>
  <c r="AC81" i="1"/>
  <c r="AB81" i="1"/>
  <c r="Z81" i="1"/>
  <c r="Y81" i="1"/>
  <c r="X81" i="1"/>
  <c r="U81" i="1"/>
  <c r="V81" i="1" s="1"/>
  <c r="T81" i="1"/>
  <c r="Q81" i="1"/>
  <c r="O81" i="1"/>
  <c r="L81" i="1"/>
  <c r="K81" i="1"/>
  <c r="I81" i="1"/>
  <c r="AN80" i="1"/>
  <c r="AM80" i="1"/>
  <c r="AL80" i="1" s="1"/>
  <c r="AK80" i="1"/>
  <c r="T80" i="1" s="1"/>
  <c r="U80" i="1" s="1"/>
  <c r="V80" i="1" s="1"/>
  <c r="AJ80" i="1"/>
  <c r="AH80" i="1" s="1"/>
  <c r="K80" i="1" s="1"/>
  <c r="AI80" i="1"/>
  <c r="Z80" i="1"/>
  <c r="Y80" i="1"/>
  <c r="Q80" i="1"/>
  <c r="O80" i="1"/>
  <c r="L80" i="1"/>
  <c r="J80" i="1"/>
  <c r="I80" i="1" s="1"/>
  <c r="AN79" i="1"/>
  <c r="AM79" i="1"/>
  <c r="AK79" i="1"/>
  <c r="AJ79" i="1"/>
  <c r="AH79" i="1" s="1"/>
  <c r="Z79" i="1"/>
  <c r="Y79" i="1"/>
  <c r="Q79" i="1"/>
  <c r="AN78" i="1"/>
  <c r="AM78" i="1"/>
  <c r="AK78" i="1"/>
  <c r="AJ78" i="1"/>
  <c r="AH78" i="1" s="1"/>
  <c r="Z78" i="1"/>
  <c r="Y78" i="1"/>
  <c r="X78" i="1" s="1"/>
  <c r="Q78" i="1"/>
  <c r="K78" i="1"/>
  <c r="J78" i="1"/>
  <c r="I78" i="1"/>
  <c r="AN77" i="1"/>
  <c r="AM77" i="1"/>
  <c r="AL77" i="1" s="1"/>
  <c r="AK77" i="1"/>
  <c r="AJ77" i="1"/>
  <c r="AI77" i="1"/>
  <c r="AH77" i="1"/>
  <c r="O77" i="1" s="1"/>
  <c r="Z77" i="1"/>
  <c r="Y77" i="1"/>
  <c r="X77" i="1"/>
  <c r="T77" i="1"/>
  <c r="Q77" i="1"/>
  <c r="AN76" i="1"/>
  <c r="AM76" i="1"/>
  <c r="AL76" i="1"/>
  <c r="AK76" i="1"/>
  <c r="T76" i="1" s="1"/>
  <c r="AJ76" i="1"/>
  <c r="AH76" i="1" s="1"/>
  <c r="AI76" i="1"/>
  <c r="AB76" i="1"/>
  <c r="Z76" i="1"/>
  <c r="Y76" i="1"/>
  <c r="Q76" i="1"/>
  <c r="O76" i="1"/>
  <c r="L76" i="1"/>
  <c r="K76" i="1"/>
  <c r="J76" i="1"/>
  <c r="I76" i="1"/>
  <c r="AN75" i="1"/>
  <c r="AM75" i="1"/>
  <c r="AL75" i="1"/>
  <c r="AK75" i="1"/>
  <c r="AJ75" i="1"/>
  <c r="AH75" i="1"/>
  <c r="Z75" i="1"/>
  <c r="X75" i="1" s="1"/>
  <c r="Y75" i="1"/>
  <c r="T75" i="1"/>
  <c r="Q75" i="1"/>
  <c r="AN74" i="1"/>
  <c r="AM74" i="1"/>
  <c r="AK74" i="1"/>
  <c r="AJ74" i="1"/>
  <c r="AH74" i="1" s="1"/>
  <c r="O74" i="1" s="1"/>
  <c r="Z74" i="1"/>
  <c r="Y74" i="1"/>
  <c r="X74" i="1" s="1"/>
  <c r="Q74" i="1"/>
  <c r="AN73" i="1"/>
  <c r="AM73" i="1"/>
  <c r="AK73" i="1"/>
  <c r="AL73" i="1" s="1"/>
  <c r="AJ73" i="1"/>
  <c r="AI73" i="1"/>
  <c r="AH73" i="1"/>
  <c r="J73" i="1" s="1"/>
  <c r="Z73" i="1"/>
  <c r="Y73" i="1"/>
  <c r="X73" i="1" s="1"/>
  <c r="Q73" i="1"/>
  <c r="O73" i="1"/>
  <c r="L73" i="1"/>
  <c r="K73" i="1"/>
  <c r="I73" i="1"/>
  <c r="AN72" i="1"/>
  <c r="AM72" i="1"/>
  <c r="AL72" i="1" s="1"/>
  <c r="AK72" i="1"/>
  <c r="T72" i="1" s="1"/>
  <c r="AJ72" i="1"/>
  <c r="AH72" i="1" s="1"/>
  <c r="L72" i="1" s="1"/>
  <c r="AI72" i="1"/>
  <c r="Z72" i="1"/>
  <c r="Y72" i="1"/>
  <c r="X72" i="1" s="1"/>
  <c r="Q72" i="1"/>
  <c r="O72" i="1"/>
  <c r="K72" i="1"/>
  <c r="J72" i="1"/>
  <c r="I72" i="1" s="1"/>
  <c r="AN71" i="1"/>
  <c r="AM71" i="1"/>
  <c r="AK71" i="1"/>
  <c r="AL71" i="1" s="1"/>
  <c r="AJ71" i="1"/>
  <c r="AI71" i="1"/>
  <c r="AH71" i="1"/>
  <c r="J71" i="1" s="1"/>
  <c r="AB71" i="1"/>
  <c r="Z71" i="1"/>
  <c r="Y71" i="1"/>
  <c r="X71" i="1" s="1"/>
  <c r="T71" i="1"/>
  <c r="Q71" i="1"/>
  <c r="L71" i="1"/>
  <c r="K71" i="1"/>
  <c r="I71" i="1"/>
  <c r="AN70" i="1"/>
  <c r="AM70" i="1"/>
  <c r="AK70" i="1"/>
  <c r="AJ70" i="1"/>
  <c r="AH70" i="1" s="1"/>
  <c r="L70" i="1" s="1"/>
  <c r="AI70" i="1"/>
  <c r="Z70" i="1"/>
  <c r="Y70" i="1"/>
  <c r="Q70" i="1"/>
  <c r="J70" i="1"/>
  <c r="I70" i="1" s="1"/>
  <c r="AN69" i="1"/>
  <c r="AM69" i="1"/>
  <c r="AL69" i="1" s="1"/>
  <c r="AK69" i="1"/>
  <c r="AJ69" i="1"/>
  <c r="AH69" i="1"/>
  <c r="Z69" i="1"/>
  <c r="Y69" i="1"/>
  <c r="X69" i="1" s="1"/>
  <c r="T69" i="1"/>
  <c r="Q69" i="1"/>
  <c r="O69" i="1"/>
  <c r="AN68" i="1"/>
  <c r="AM68" i="1"/>
  <c r="AK68" i="1"/>
  <c r="AJ68" i="1"/>
  <c r="AH68" i="1" s="1"/>
  <c r="J68" i="1" s="1"/>
  <c r="I68" i="1" s="1"/>
  <c r="Z68" i="1"/>
  <c r="X68" i="1" s="1"/>
  <c r="Y68" i="1"/>
  <c r="Q68" i="1"/>
  <c r="O68" i="1"/>
  <c r="K68" i="1"/>
  <c r="AN67" i="1"/>
  <c r="AM67" i="1"/>
  <c r="AK67" i="1"/>
  <c r="AJ67" i="1"/>
  <c r="AH67" i="1"/>
  <c r="Z67" i="1"/>
  <c r="Y67" i="1"/>
  <c r="X67" i="1" s="1"/>
  <c r="Q67" i="1"/>
  <c r="L67" i="1"/>
  <c r="AN66" i="1"/>
  <c r="AM66" i="1"/>
  <c r="AK66" i="1"/>
  <c r="AJ66" i="1"/>
  <c r="AH66" i="1" s="1"/>
  <c r="L66" i="1" s="1"/>
  <c r="Z66" i="1"/>
  <c r="Y66" i="1"/>
  <c r="Q66" i="1"/>
  <c r="J66" i="1"/>
  <c r="I66" i="1" s="1"/>
  <c r="AB66" i="1" s="1"/>
  <c r="AN65" i="1"/>
  <c r="AM65" i="1"/>
  <c r="AL65" i="1" s="1"/>
  <c r="AK65" i="1"/>
  <c r="AJ65" i="1"/>
  <c r="AH65" i="1"/>
  <c r="Z65" i="1"/>
  <c r="Y65" i="1"/>
  <c r="X65" i="1"/>
  <c r="T65" i="1"/>
  <c r="Q65" i="1"/>
  <c r="AN64" i="1"/>
  <c r="AM64" i="1"/>
  <c r="AK64" i="1"/>
  <c r="AJ64" i="1"/>
  <c r="AH64" i="1" s="1"/>
  <c r="Z64" i="1"/>
  <c r="X64" i="1" s="1"/>
  <c r="Y64" i="1"/>
  <c r="Q64" i="1"/>
  <c r="AN63" i="1"/>
  <c r="AM63" i="1"/>
  <c r="AK63" i="1"/>
  <c r="AL63" i="1" s="1"/>
  <c r="AJ63" i="1"/>
  <c r="AH63" i="1"/>
  <c r="Z63" i="1"/>
  <c r="Y63" i="1"/>
  <c r="X63" i="1" s="1"/>
  <c r="T63" i="1"/>
  <c r="Q63" i="1"/>
  <c r="AN62" i="1"/>
  <c r="AM62" i="1"/>
  <c r="AK62" i="1"/>
  <c r="AJ62" i="1"/>
  <c r="AH62" i="1" s="1"/>
  <c r="L62" i="1" s="1"/>
  <c r="Z62" i="1"/>
  <c r="Y62" i="1"/>
  <c r="Q62" i="1"/>
  <c r="AN61" i="1"/>
  <c r="AM61" i="1"/>
  <c r="AL61" i="1" s="1"/>
  <c r="AK61" i="1"/>
  <c r="AJ61" i="1"/>
  <c r="AH61" i="1"/>
  <c r="Z61" i="1"/>
  <c r="Y61" i="1"/>
  <c r="X61" i="1"/>
  <c r="T61" i="1"/>
  <c r="Q61" i="1"/>
  <c r="O61" i="1"/>
  <c r="L61" i="1"/>
  <c r="AN60" i="1"/>
  <c r="AM60" i="1"/>
  <c r="AK60" i="1"/>
  <c r="AJ60" i="1"/>
  <c r="AH60" i="1" s="1"/>
  <c r="Z60" i="1"/>
  <c r="Y60" i="1"/>
  <c r="X60" i="1"/>
  <c r="Q60" i="1"/>
  <c r="K60" i="1"/>
  <c r="AN59" i="1"/>
  <c r="AM59" i="1"/>
  <c r="AL59" i="1"/>
  <c r="AK59" i="1"/>
  <c r="AJ59" i="1"/>
  <c r="AI59" i="1"/>
  <c r="AH59" i="1"/>
  <c r="J59" i="1" s="1"/>
  <c r="AB59" i="1"/>
  <c r="Z59" i="1"/>
  <c r="Y59" i="1"/>
  <c r="X59" i="1" s="1"/>
  <c r="T59" i="1"/>
  <c r="Q59" i="1"/>
  <c r="O59" i="1"/>
  <c r="L59" i="1"/>
  <c r="K59" i="1"/>
  <c r="I59" i="1"/>
  <c r="AN58" i="1"/>
  <c r="AM58" i="1"/>
  <c r="AK58" i="1"/>
  <c r="AL58" i="1" s="1"/>
  <c r="AJ58" i="1"/>
  <c r="AH58" i="1" s="1"/>
  <c r="AI58" i="1" s="1"/>
  <c r="Z58" i="1"/>
  <c r="Y58" i="1"/>
  <c r="X58" i="1" s="1"/>
  <c r="T58" i="1"/>
  <c r="Q58" i="1"/>
  <c r="O58" i="1"/>
  <c r="J58" i="1"/>
  <c r="I58" i="1" s="1"/>
  <c r="AN57" i="1"/>
  <c r="AM57" i="1"/>
  <c r="AK57" i="1"/>
  <c r="T57" i="1" s="1"/>
  <c r="AJ57" i="1"/>
  <c r="AH57" i="1"/>
  <c r="Z57" i="1"/>
  <c r="Y57" i="1"/>
  <c r="X57" i="1" s="1"/>
  <c r="Q57" i="1"/>
  <c r="AN56" i="1"/>
  <c r="AM56" i="1"/>
  <c r="AK56" i="1"/>
  <c r="AJ56" i="1"/>
  <c r="AH56" i="1" s="1"/>
  <c r="Z56" i="1"/>
  <c r="Y56" i="1"/>
  <c r="X56" i="1" s="1"/>
  <c r="Q56" i="1"/>
  <c r="AN55" i="1"/>
  <c r="AM55" i="1"/>
  <c r="AK55" i="1"/>
  <c r="AL55" i="1" s="1"/>
  <c r="AJ55" i="1"/>
  <c r="AH55" i="1"/>
  <c r="L55" i="1" s="1"/>
  <c r="Z55" i="1"/>
  <c r="Y55" i="1"/>
  <c r="X55" i="1"/>
  <c r="Q55" i="1"/>
  <c r="AN54" i="1"/>
  <c r="AM54" i="1"/>
  <c r="AK54" i="1"/>
  <c r="AJ54" i="1"/>
  <c r="AH54" i="1"/>
  <c r="J54" i="1" s="1"/>
  <c r="I54" i="1" s="1"/>
  <c r="Z54" i="1"/>
  <c r="Y54" i="1"/>
  <c r="X54" i="1"/>
  <c r="Q54" i="1"/>
  <c r="K54" i="1"/>
  <c r="AN53" i="1"/>
  <c r="AM53" i="1"/>
  <c r="AL53" i="1"/>
  <c r="AK53" i="1"/>
  <c r="AJ53" i="1"/>
  <c r="AH53" i="1" s="1"/>
  <c r="AI53" i="1"/>
  <c r="Z53" i="1"/>
  <c r="Y53" i="1"/>
  <c r="X53" i="1" s="1"/>
  <c r="T53" i="1"/>
  <c r="Q53" i="1"/>
  <c r="AN52" i="1"/>
  <c r="AM52" i="1"/>
  <c r="AL52" i="1"/>
  <c r="AK52" i="1"/>
  <c r="AJ52" i="1"/>
  <c r="AH52" i="1" s="1"/>
  <c r="Z52" i="1"/>
  <c r="Y52" i="1"/>
  <c r="X52" i="1" s="1"/>
  <c r="T52" i="1"/>
  <c r="Q52" i="1"/>
  <c r="AN51" i="1"/>
  <c r="AM51" i="1"/>
  <c r="AK51" i="1"/>
  <c r="AJ51" i="1"/>
  <c r="AH51" i="1"/>
  <c r="L51" i="1" s="1"/>
  <c r="Z51" i="1"/>
  <c r="Y51" i="1"/>
  <c r="X51" i="1"/>
  <c r="Q51" i="1"/>
  <c r="AN50" i="1"/>
  <c r="AM50" i="1"/>
  <c r="AK50" i="1"/>
  <c r="AJ50" i="1"/>
  <c r="AH50" i="1"/>
  <c r="J50" i="1" s="1"/>
  <c r="I50" i="1" s="1"/>
  <c r="Z50" i="1"/>
  <c r="Y50" i="1"/>
  <c r="X50" i="1"/>
  <c r="Q50" i="1"/>
  <c r="K50" i="1"/>
  <c r="AN49" i="1"/>
  <c r="AM49" i="1"/>
  <c r="AL49" i="1"/>
  <c r="AK49" i="1"/>
  <c r="AJ49" i="1"/>
  <c r="AH49" i="1" s="1"/>
  <c r="AI49" i="1"/>
  <c r="Z49" i="1"/>
  <c r="Y49" i="1"/>
  <c r="X49" i="1" s="1"/>
  <c r="T49" i="1"/>
  <c r="Q49" i="1"/>
  <c r="AN48" i="1"/>
  <c r="AM48" i="1"/>
  <c r="AL48" i="1"/>
  <c r="AK48" i="1"/>
  <c r="AJ48" i="1"/>
  <c r="AH48" i="1" s="1"/>
  <c r="J48" i="1" s="1"/>
  <c r="I48" i="1" s="1"/>
  <c r="Z48" i="1"/>
  <c r="Y48" i="1"/>
  <c r="T48" i="1"/>
  <c r="Q48" i="1"/>
  <c r="O48" i="1"/>
  <c r="AN47" i="1"/>
  <c r="AM47" i="1"/>
  <c r="AK47" i="1"/>
  <c r="AJ47" i="1"/>
  <c r="AH47" i="1"/>
  <c r="Z47" i="1"/>
  <c r="Y47" i="1"/>
  <c r="X47" i="1"/>
  <c r="Q47" i="1"/>
  <c r="AN46" i="1"/>
  <c r="AM46" i="1"/>
  <c r="AK46" i="1"/>
  <c r="AJ46" i="1"/>
  <c r="AH46" i="1"/>
  <c r="J46" i="1" s="1"/>
  <c r="I46" i="1" s="1"/>
  <c r="Z46" i="1"/>
  <c r="Y46" i="1"/>
  <c r="X46" i="1"/>
  <c r="Q46" i="1"/>
  <c r="K46" i="1"/>
  <c r="AN45" i="1"/>
  <c r="AM45" i="1"/>
  <c r="AL45" i="1"/>
  <c r="AK45" i="1"/>
  <c r="AJ45" i="1"/>
  <c r="AH45" i="1" s="1"/>
  <c r="AI45" i="1" s="1"/>
  <c r="Z45" i="1"/>
  <c r="Y45" i="1"/>
  <c r="X45" i="1" s="1"/>
  <c r="T45" i="1"/>
  <c r="Q45" i="1"/>
  <c r="AN44" i="1"/>
  <c r="AM44" i="1"/>
  <c r="AL44" i="1"/>
  <c r="AK44" i="1"/>
  <c r="AJ44" i="1"/>
  <c r="AH44" i="1" s="1"/>
  <c r="Z44" i="1"/>
  <c r="Y44" i="1"/>
  <c r="X44" i="1" s="1"/>
  <c r="T44" i="1"/>
  <c r="Q44" i="1"/>
  <c r="AN43" i="1"/>
  <c r="AM43" i="1"/>
  <c r="AK43" i="1"/>
  <c r="AJ43" i="1"/>
  <c r="AH43" i="1"/>
  <c r="Z43" i="1"/>
  <c r="Y43" i="1"/>
  <c r="X43" i="1"/>
  <c r="Q43" i="1"/>
  <c r="AN42" i="1"/>
  <c r="AM42" i="1"/>
  <c r="AK42" i="1"/>
  <c r="AJ42" i="1"/>
  <c r="AH42" i="1"/>
  <c r="J42" i="1" s="1"/>
  <c r="I42" i="1" s="1"/>
  <c r="Z42" i="1"/>
  <c r="Y42" i="1"/>
  <c r="X42" i="1"/>
  <c r="Q42" i="1"/>
  <c r="K42" i="1"/>
  <c r="AN41" i="1"/>
  <c r="AM41" i="1"/>
  <c r="AL41" i="1"/>
  <c r="AK41" i="1"/>
  <c r="AJ41" i="1"/>
  <c r="AH41" i="1" s="1"/>
  <c r="AI41" i="1"/>
  <c r="Z41" i="1"/>
  <c r="Y41" i="1"/>
  <c r="X41" i="1" s="1"/>
  <c r="T41" i="1"/>
  <c r="Q41" i="1"/>
  <c r="L41" i="1"/>
  <c r="AN40" i="1"/>
  <c r="AM40" i="1"/>
  <c r="AL40" i="1"/>
  <c r="AK40" i="1"/>
  <c r="AJ40" i="1"/>
  <c r="AH40" i="1" s="1"/>
  <c r="O40" i="1" s="1"/>
  <c r="Z40" i="1"/>
  <c r="Y40" i="1"/>
  <c r="T40" i="1"/>
  <c r="Q40" i="1"/>
  <c r="L40" i="1"/>
  <c r="AN39" i="1"/>
  <c r="AM39" i="1"/>
  <c r="AK39" i="1"/>
  <c r="AJ39" i="1"/>
  <c r="AH39" i="1"/>
  <c r="Z39" i="1"/>
  <c r="X39" i="1" s="1"/>
  <c r="Y39" i="1"/>
  <c r="Q39" i="1"/>
  <c r="J39" i="1"/>
  <c r="I39" i="1" s="1"/>
  <c r="AB39" i="1" s="1"/>
  <c r="AN38" i="1"/>
  <c r="AM38" i="1"/>
  <c r="AK38" i="1"/>
  <c r="AJ38" i="1"/>
  <c r="AH38" i="1"/>
  <c r="Z38" i="1"/>
  <c r="Y38" i="1"/>
  <c r="X38" i="1"/>
  <c r="Q38" i="1"/>
  <c r="K38" i="1"/>
  <c r="AN37" i="1"/>
  <c r="T37" i="1" s="1"/>
  <c r="AM37" i="1"/>
  <c r="AL37" i="1"/>
  <c r="AK37" i="1"/>
  <c r="AJ37" i="1"/>
  <c r="AH37" i="1" s="1"/>
  <c r="AI37" i="1"/>
  <c r="Z37" i="1"/>
  <c r="Y37" i="1"/>
  <c r="X37" i="1" s="1"/>
  <c r="Q37" i="1"/>
  <c r="L37" i="1"/>
  <c r="AN36" i="1"/>
  <c r="AM36" i="1"/>
  <c r="AL36" i="1"/>
  <c r="AK36" i="1"/>
  <c r="AJ36" i="1"/>
  <c r="AH36" i="1" s="1"/>
  <c r="Z36" i="1"/>
  <c r="Y36" i="1"/>
  <c r="T36" i="1"/>
  <c r="Q36" i="1"/>
  <c r="O36" i="1"/>
  <c r="L36" i="1"/>
  <c r="J36" i="1"/>
  <c r="I36" i="1" s="1"/>
  <c r="AN35" i="1"/>
  <c r="AM35" i="1"/>
  <c r="AK35" i="1"/>
  <c r="AL35" i="1" s="1"/>
  <c r="AJ35" i="1"/>
  <c r="AH35" i="1"/>
  <c r="Z35" i="1"/>
  <c r="X35" i="1" s="1"/>
  <c r="Y35" i="1"/>
  <c r="Q35" i="1"/>
  <c r="J35" i="1"/>
  <c r="I35" i="1" s="1"/>
  <c r="AB35" i="1" s="1"/>
  <c r="AN34" i="1"/>
  <c r="AM34" i="1"/>
  <c r="AK34" i="1"/>
  <c r="AJ34" i="1"/>
  <c r="AH34" i="1"/>
  <c r="Z34" i="1"/>
  <c r="Y34" i="1"/>
  <c r="X34" i="1"/>
  <c r="Q34" i="1"/>
  <c r="K34" i="1"/>
  <c r="AN33" i="1"/>
  <c r="T33" i="1" s="1"/>
  <c r="AM33" i="1"/>
  <c r="AL33" i="1"/>
  <c r="AK33" i="1"/>
  <c r="AJ33" i="1"/>
  <c r="AH33" i="1" s="1"/>
  <c r="AI33" i="1"/>
  <c r="Z33" i="1"/>
  <c r="Y33" i="1"/>
  <c r="X33" i="1" s="1"/>
  <c r="Q33" i="1"/>
  <c r="L33" i="1"/>
  <c r="AN32" i="1"/>
  <c r="AM32" i="1"/>
  <c r="AL32" i="1"/>
  <c r="AK32" i="1"/>
  <c r="AJ32" i="1"/>
  <c r="AH32" i="1" s="1"/>
  <c r="Z32" i="1"/>
  <c r="Y32" i="1"/>
  <c r="X32" i="1" s="1"/>
  <c r="T32" i="1"/>
  <c r="Q32" i="1"/>
  <c r="O32" i="1"/>
  <c r="L32" i="1"/>
  <c r="J32" i="1"/>
  <c r="I32" i="1" s="1"/>
  <c r="AN31" i="1"/>
  <c r="AM31" i="1"/>
  <c r="AK31" i="1"/>
  <c r="AJ31" i="1"/>
  <c r="AH31" i="1" s="1"/>
  <c r="Z31" i="1"/>
  <c r="Y31" i="1"/>
  <c r="X31" i="1"/>
  <c r="Q31" i="1"/>
  <c r="AN30" i="1"/>
  <c r="AM30" i="1"/>
  <c r="AK30" i="1"/>
  <c r="AJ30" i="1"/>
  <c r="AH30" i="1"/>
  <c r="K30" i="1" s="1"/>
  <c r="Z30" i="1"/>
  <c r="Y30" i="1"/>
  <c r="X30" i="1"/>
  <c r="Q30" i="1"/>
  <c r="AN29" i="1"/>
  <c r="T29" i="1" s="1"/>
  <c r="AM29" i="1"/>
  <c r="AL29" i="1"/>
  <c r="AK29" i="1"/>
  <c r="AJ29" i="1"/>
  <c r="AH29" i="1" s="1"/>
  <c r="AI29" i="1" s="1"/>
  <c r="Z29" i="1"/>
  <c r="Y29" i="1"/>
  <c r="X29" i="1" s="1"/>
  <c r="Q29" i="1"/>
  <c r="L29" i="1"/>
  <c r="AN28" i="1"/>
  <c r="AM28" i="1"/>
  <c r="AK28" i="1"/>
  <c r="AL28" i="1" s="1"/>
  <c r="AJ28" i="1"/>
  <c r="AH28" i="1" s="1"/>
  <c r="AI28" i="1" s="1"/>
  <c r="Z28" i="1"/>
  <c r="Y28" i="1"/>
  <c r="X28" i="1" s="1"/>
  <c r="T28" i="1"/>
  <c r="Q28" i="1"/>
  <c r="K28" i="1"/>
  <c r="AN27" i="1"/>
  <c r="AM27" i="1"/>
  <c r="AK27" i="1"/>
  <c r="AL27" i="1" s="1"/>
  <c r="AJ27" i="1"/>
  <c r="AH27" i="1"/>
  <c r="O27" i="1" s="1"/>
  <c r="Z27" i="1"/>
  <c r="Y27" i="1"/>
  <c r="X27" i="1"/>
  <c r="Q27" i="1"/>
  <c r="J27" i="1"/>
  <c r="I27" i="1" s="1"/>
  <c r="AN26" i="1"/>
  <c r="AM26" i="1"/>
  <c r="AK26" i="1"/>
  <c r="AJ26" i="1"/>
  <c r="AH26" i="1"/>
  <c r="Z26" i="1"/>
  <c r="Y26" i="1"/>
  <c r="X26" i="1"/>
  <c r="Q26" i="1"/>
  <c r="K26" i="1"/>
  <c r="AN25" i="1"/>
  <c r="AM25" i="1"/>
  <c r="AK25" i="1"/>
  <c r="AL25" i="1" s="1"/>
  <c r="AJ25" i="1"/>
  <c r="AH25" i="1" s="1"/>
  <c r="AI25" i="1" s="1"/>
  <c r="Z25" i="1"/>
  <c r="Y25" i="1"/>
  <c r="X25" i="1" s="1"/>
  <c r="Q25" i="1"/>
  <c r="L25" i="1"/>
  <c r="K25" i="1"/>
  <c r="AN24" i="1"/>
  <c r="AM24" i="1"/>
  <c r="AL24" i="1"/>
  <c r="AK24" i="1"/>
  <c r="AJ24" i="1"/>
  <c r="AH24" i="1" s="1"/>
  <c r="O24" i="1" s="1"/>
  <c r="AI24" i="1"/>
  <c r="Z24" i="1"/>
  <c r="Y24" i="1"/>
  <c r="X24" i="1" s="1"/>
  <c r="T24" i="1"/>
  <c r="Q24" i="1"/>
  <c r="L24" i="1"/>
  <c r="K24" i="1"/>
  <c r="J24" i="1"/>
  <c r="I24" i="1" s="1"/>
  <c r="AN23" i="1"/>
  <c r="AM23" i="1"/>
  <c r="AK23" i="1"/>
  <c r="AL23" i="1" s="1"/>
  <c r="AJ23" i="1"/>
  <c r="AH23" i="1"/>
  <c r="O23" i="1" s="1"/>
  <c r="Z23" i="1"/>
  <c r="X23" i="1" s="1"/>
  <c r="Y23" i="1"/>
  <c r="T23" i="1"/>
  <c r="Q23" i="1"/>
  <c r="AN22" i="1"/>
  <c r="AM22" i="1"/>
  <c r="AK22" i="1"/>
  <c r="AJ22" i="1"/>
  <c r="AH22" i="1"/>
  <c r="Z22" i="1"/>
  <c r="Y22" i="1"/>
  <c r="X22" i="1"/>
  <c r="Q22" i="1"/>
  <c r="O22" i="1"/>
  <c r="K22" i="1"/>
  <c r="AN21" i="1"/>
  <c r="AM21" i="1"/>
  <c r="AL21" i="1"/>
  <c r="AK21" i="1"/>
  <c r="T21" i="1" s="1"/>
  <c r="AJ21" i="1"/>
  <c r="AI21" i="1"/>
  <c r="AH21" i="1"/>
  <c r="J21" i="1" s="1"/>
  <c r="AB21" i="1"/>
  <c r="Z21" i="1"/>
  <c r="Y21" i="1"/>
  <c r="X21" i="1" s="1"/>
  <c r="Q21" i="1"/>
  <c r="O21" i="1"/>
  <c r="L21" i="1"/>
  <c r="K21" i="1"/>
  <c r="I21" i="1"/>
  <c r="AN20" i="1"/>
  <c r="AM20" i="1"/>
  <c r="AL20" i="1"/>
  <c r="AK20" i="1"/>
  <c r="AJ20" i="1"/>
  <c r="AH20" i="1" s="1"/>
  <c r="J20" i="1" s="1"/>
  <c r="I20" i="1" s="1"/>
  <c r="Z20" i="1"/>
  <c r="Y20" i="1"/>
  <c r="X20" i="1" s="1"/>
  <c r="T20" i="1"/>
  <c r="Q20" i="1"/>
  <c r="L20" i="1"/>
  <c r="K20" i="1"/>
  <c r="AN19" i="1"/>
  <c r="AM19" i="1"/>
  <c r="AK19" i="1"/>
  <c r="AL19" i="1" s="1"/>
  <c r="AJ19" i="1"/>
  <c r="AH19" i="1"/>
  <c r="K19" i="1" s="1"/>
  <c r="Z19" i="1"/>
  <c r="X19" i="1" s="1"/>
  <c r="Y19" i="1"/>
  <c r="T19" i="1"/>
  <c r="Q19" i="1"/>
  <c r="AN18" i="1"/>
  <c r="AM18" i="1"/>
  <c r="AK18" i="1"/>
  <c r="AJ18" i="1"/>
  <c r="AH18" i="1" s="1"/>
  <c r="Z18" i="1"/>
  <c r="Y18" i="1"/>
  <c r="X18" i="1" s="1"/>
  <c r="Q18" i="1"/>
  <c r="AN17" i="1"/>
  <c r="T17" i="1" s="1"/>
  <c r="AM17" i="1"/>
  <c r="AK17" i="1"/>
  <c r="AL17" i="1" s="1"/>
  <c r="AJ17" i="1"/>
  <c r="AH17" i="1" s="1"/>
  <c r="Z17" i="1"/>
  <c r="Y17" i="1"/>
  <c r="X17" i="1" s="1"/>
  <c r="Q17" i="1"/>
  <c r="AI18" i="1" l="1"/>
  <c r="J18" i="1"/>
  <c r="I18" i="1" s="1"/>
  <c r="L18" i="1"/>
  <c r="O18" i="1"/>
  <c r="K18" i="1"/>
  <c r="AI17" i="1"/>
  <c r="O17" i="1"/>
  <c r="J17" i="1"/>
  <c r="I17" i="1" s="1"/>
  <c r="L17" i="1"/>
  <c r="K17" i="1"/>
  <c r="AB20" i="1"/>
  <c r="U21" i="1"/>
  <c r="V21" i="1" s="1"/>
  <c r="AB24" i="1"/>
  <c r="AB27" i="1"/>
  <c r="U17" i="1"/>
  <c r="V17" i="1" s="1"/>
  <c r="AC21" i="1"/>
  <c r="L31" i="1"/>
  <c r="K31" i="1"/>
  <c r="AI31" i="1"/>
  <c r="O31" i="1"/>
  <c r="J31" i="1"/>
  <c r="I31" i="1" s="1"/>
  <c r="AB48" i="1"/>
  <c r="AB36" i="1"/>
  <c r="L19" i="1"/>
  <c r="O20" i="1"/>
  <c r="J23" i="1"/>
  <c r="I23" i="1" s="1"/>
  <c r="T25" i="1"/>
  <c r="J26" i="1"/>
  <c r="I26" i="1" s="1"/>
  <c r="AI26" i="1"/>
  <c r="L26" i="1"/>
  <c r="AB32" i="1"/>
  <c r="L39" i="1"/>
  <c r="K39" i="1"/>
  <c r="AI39" i="1"/>
  <c r="O39" i="1"/>
  <c r="L43" i="1"/>
  <c r="K43" i="1"/>
  <c r="J43" i="1"/>
  <c r="I43" i="1" s="1"/>
  <c r="AI43" i="1"/>
  <c r="O43" i="1"/>
  <c r="U48" i="1"/>
  <c r="V48" i="1" s="1"/>
  <c r="O49" i="1"/>
  <c r="L49" i="1"/>
  <c r="K49" i="1"/>
  <c r="J49" i="1"/>
  <c r="I49" i="1" s="1"/>
  <c r="L56" i="1"/>
  <c r="AI56" i="1"/>
  <c r="O56" i="1"/>
  <c r="K56" i="1"/>
  <c r="J56" i="1"/>
  <c r="I56" i="1" s="1"/>
  <c r="L64" i="1"/>
  <c r="AI64" i="1"/>
  <c r="J64" i="1"/>
  <c r="I64" i="1" s="1"/>
  <c r="O64" i="1"/>
  <c r="T67" i="1"/>
  <c r="AL67" i="1"/>
  <c r="AB68" i="1"/>
  <c r="U72" i="1"/>
  <c r="V72" i="1" s="1"/>
  <c r="AB78" i="1"/>
  <c r="AB97" i="1"/>
  <c r="U58" i="1"/>
  <c r="V58" i="1" s="1"/>
  <c r="J75" i="1"/>
  <c r="I75" i="1" s="1"/>
  <c r="AI75" i="1"/>
  <c r="O75" i="1"/>
  <c r="L75" i="1"/>
  <c r="K75" i="1"/>
  <c r="J19" i="1"/>
  <c r="I19" i="1" s="1"/>
  <c r="AI19" i="1"/>
  <c r="R21" i="1"/>
  <c r="P21" i="1" s="1"/>
  <c r="S21" i="1" s="1"/>
  <c r="M21" i="1" s="1"/>
  <c r="N21" i="1" s="1"/>
  <c r="L35" i="1"/>
  <c r="K35" i="1"/>
  <c r="AI35" i="1"/>
  <c r="O35" i="1"/>
  <c r="K36" i="1"/>
  <c r="AI36" i="1"/>
  <c r="O37" i="1"/>
  <c r="K37" i="1"/>
  <c r="J37" i="1"/>
  <c r="I37" i="1" s="1"/>
  <c r="U37" i="1" s="1"/>
  <c r="V37" i="1" s="1"/>
  <c r="J38" i="1"/>
  <c r="I38" i="1" s="1"/>
  <c r="AI38" i="1"/>
  <c r="O38" i="1"/>
  <c r="L38" i="1"/>
  <c r="AL47" i="1"/>
  <c r="L57" i="1"/>
  <c r="K57" i="1"/>
  <c r="J57" i="1"/>
  <c r="I57" i="1" s="1"/>
  <c r="AI57" i="1"/>
  <c r="O57" i="1"/>
  <c r="AB100" i="1"/>
  <c r="L44" i="1"/>
  <c r="K44" i="1"/>
  <c r="AI44" i="1"/>
  <c r="AC48" i="1"/>
  <c r="L74" i="1"/>
  <c r="K74" i="1"/>
  <c r="J74" i="1"/>
  <c r="I74" i="1" s="1"/>
  <c r="AB141" i="1"/>
  <c r="AI23" i="1"/>
  <c r="O19" i="1"/>
  <c r="J22" i="1"/>
  <c r="I22" i="1" s="1"/>
  <c r="AI22" i="1"/>
  <c r="L22" i="1"/>
  <c r="O25" i="1"/>
  <c r="J25" i="1"/>
  <c r="I25" i="1" s="1"/>
  <c r="O26" i="1"/>
  <c r="AL26" i="1"/>
  <c r="T26" i="1"/>
  <c r="J28" i="1"/>
  <c r="I28" i="1" s="1"/>
  <c r="AC32" i="1"/>
  <c r="K32" i="1"/>
  <c r="AI32" i="1"/>
  <c r="O33" i="1"/>
  <c r="K33" i="1"/>
  <c r="J33" i="1"/>
  <c r="I33" i="1" s="1"/>
  <c r="J34" i="1"/>
  <c r="I34" i="1" s="1"/>
  <c r="AI34" i="1"/>
  <c r="O34" i="1"/>
  <c r="L34" i="1"/>
  <c r="AL39" i="1"/>
  <c r="AL43" i="1"/>
  <c r="AB46" i="1"/>
  <c r="X48" i="1"/>
  <c r="AL51" i="1"/>
  <c r="L60" i="1"/>
  <c r="AI60" i="1"/>
  <c r="J60" i="1"/>
  <c r="I60" i="1" s="1"/>
  <c r="O60" i="1"/>
  <c r="T93" i="1"/>
  <c r="AL93" i="1"/>
  <c r="T160" i="1"/>
  <c r="AL160" i="1"/>
  <c r="O53" i="1"/>
  <c r="L53" i="1"/>
  <c r="K53" i="1"/>
  <c r="J53" i="1"/>
  <c r="I53" i="1" s="1"/>
  <c r="AL18" i="1"/>
  <c r="T18" i="1"/>
  <c r="AI20" i="1"/>
  <c r="L27" i="1"/>
  <c r="K27" i="1"/>
  <c r="O29" i="1"/>
  <c r="K29" i="1"/>
  <c r="J29" i="1"/>
  <c r="I29" i="1" s="1"/>
  <c r="J30" i="1"/>
  <c r="I30" i="1" s="1"/>
  <c r="AI30" i="1"/>
  <c r="O30" i="1"/>
  <c r="L30" i="1"/>
  <c r="U36" i="1"/>
  <c r="V36" i="1" s="1"/>
  <c r="AL38" i="1"/>
  <c r="T38" i="1"/>
  <c r="AB42" i="1"/>
  <c r="O45" i="1"/>
  <c r="K45" i="1"/>
  <c r="J45" i="1"/>
  <c r="I45" i="1" s="1"/>
  <c r="AB54" i="1"/>
  <c r="U57" i="1"/>
  <c r="V57" i="1" s="1"/>
  <c r="K64" i="1"/>
  <c r="AD80" i="1"/>
  <c r="W80" i="1"/>
  <c r="AA80" i="1" s="1"/>
  <c r="AI112" i="1"/>
  <c r="O112" i="1"/>
  <c r="L112" i="1"/>
  <c r="K112" i="1"/>
  <c r="J112" i="1"/>
  <c r="I112" i="1" s="1"/>
  <c r="L23" i="1"/>
  <c r="K23" i="1"/>
  <c r="K40" i="1"/>
  <c r="AI40" i="1"/>
  <c r="L47" i="1"/>
  <c r="K47" i="1"/>
  <c r="J47" i="1"/>
  <c r="I47" i="1" s="1"/>
  <c r="AI47" i="1"/>
  <c r="O47" i="1"/>
  <c r="T79" i="1"/>
  <c r="AL79" i="1"/>
  <c r="U20" i="1"/>
  <c r="V20" i="1" s="1"/>
  <c r="AC20" i="1" s="1"/>
  <c r="AL22" i="1"/>
  <c r="T22" i="1"/>
  <c r="U24" i="1"/>
  <c r="V24" i="1" s="1"/>
  <c r="AC24" i="1" s="1"/>
  <c r="AI27" i="1"/>
  <c r="L28" i="1"/>
  <c r="AL31" i="1"/>
  <c r="U32" i="1"/>
  <c r="V32" i="1" s="1"/>
  <c r="R32" i="1" s="1"/>
  <c r="P32" i="1" s="1"/>
  <c r="S32" i="1" s="1"/>
  <c r="M32" i="1" s="1"/>
  <c r="N32" i="1" s="1"/>
  <c r="AL34" i="1"/>
  <c r="T34" i="1"/>
  <c r="X40" i="1"/>
  <c r="O41" i="1"/>
  <c r="K41" i="1"/>
  <c r="J41" i="1"/>
  <c r="I41" i="1" s="1"/>
  <c r="L45" i="1"/>
  <c r="AL46" i="1"/>
  <c r="T46" i="1"/>
  <c r="AB50" i="1"/>
  <c r="L52" i="1"/>
  <c r="K52" i="1"/>
  <c r="J52" i="1"/>
  <c r="I52" i="1" s="1"/>
  <c r="AI52" i="1"/>
  <c r="AL81" i="1"/>
  <c r="AL120" i="1"/>
  <c r="T120" i="1"/>
  <c r="O44" i="1"/>
  <c r="AL50" i="1"/>
  <c r="T50" i="1"/>
  <c r="J63" i="1"/>
  <c r="I63" i="1" s="1"/>
  <c r="U63" i="1" s="1"/>
  <c r="V63" i="1" s="1"/>
  <c r="O63" i="1"/>
  <c r="L63" i="1"/>
  <c r="K63" i="1"/>
  <c r="AI63" i="1"/>
  <c r="U41" i="1"/>
  <c r="V41" i="1" s="1"/>
  <c r="AC41" i="1" s="1"/>
  <c r="U52" i="1"/>
  <c r="V52" i="1" s="1"/>
  <c r="AB70" i="1"/>
  <c r="O28" i="1"/>
  <c r="AL30" i="1"/>
  <c r="T30" i="1"/>
  <c r="X36" i="1"/>
  <c r="J40" i="1"/>
  <c r="I40" i="1" s="1"/>
  <c r="AL42" i="1"/>
  <c r="T42" i="1"/>
  <c r="J44" i="1"/>
  <c r="I44" i="1" s="1"/>
  <c r="L48" i="1"/>
  <c r="K48" i="1"/>
  <c r="AI48" i="1"/>
  <c r="O52" i="1"/>
  <c r="AL54" i="1"/>
  <c r="T54" i="1"/>
  <c r="AC57" i="1"/>
  <c r="AB58" i="1"/>
  <c r="AI74" i="1"/>
  <c r="AB88" i="1"/>
  <c r="L42" i="1"/>
  <c r="L46" i="1"/>
  <c r="L50" i="1"/>
  <c r="L54" i="1"/>
  <c r="AL56" i="1"/>
  <c r="T56" i="1"/>
  <c r="K58" i="1"/>
  <c r="O62" i="1"/>
  <c r="AL64" i="1"/>
  <c r="T64" i="1"/>
  <c r="AI66" i="1"/>
  <c r="AB72" i="1"/>
  <c r="R72" i="1"/>
  <c r="P72" i="1" s="1"/>
  <c r="S72" i="1" s="1"/>
  <c r="M72" i="1" s="1"/>
  <c r="N72" i="1" s="1"/>
  <c r="T73" i="1"/>
  <c r="AC80" i="1"/>
  <c r="U105" i="1"/>
  <c r="V105" i="1" s="1"/>
  <c r="U125" i="1"/>
  <c r="V125" i="1" s="1"/>
  <c r="R125" i="1" s="1"/>
  <c r="P125" i="1" s="1"/>
  <c r="S125" i="1" s="1"/>
  <c r="M125" i="1" s="1"/>
  <c r="N125" i="1" s="1"/>
  <c r="AB125" i="1"/>
  <c r="O51" i="1"/>
  <c r="O55" i="1"/>
  <c r="L58" i="1"/>
  <c r="R59" i="1"/>
  <c r="P59" i="1" s="1"/>
  <c r="S59" i="1" s="1"/>
  <c r="M59" i="1" s="1"/>
  <c r="N59" i="1" s="1"/>
  <c r="AL70" i="1"/>
  <c r="T70" i="1"/>
  <c r="J77" i="1"/>
  <c r="I77" i="1" s="1"/>
  <c r="L77" i="1"/>
  <c r="K77" i="1"/>
  <c r="L82" i="1"/>
  <c r="K82" i="1"/>
  <c r="J82" i="1"/>
  <c r="I82" i="1" s="1"/>
  <c r="J86" i="1"/>
  <c r="I86" i="1" s="1"/>
  <c r="J87" i="1"/>
  <c r="I87" i="1" s="1"/>
  <c r="K87" i="1"/>
  <c r="AL88" i="1"/>
  <c r="T88" i="1"/>
  <c r="AB90" i="1"/>
  <c r="X94" i="1"/>
  <c r="U95" i="1"/>
  <c r="V95" i="1" s="1"/>
  <c r="O96" i="1"/>
  <c r="L96" i="1"/>
  <c r="U97" i="1"/>
  <c r="V97" i="1" s="1"/>
  <c r="R97" i="1" s="1"/>
  <c r="P97" i="1" s="1"/>
  <c r="S97" i="1" s="1"/>
  <c r="M97" i="1" s="1"/>
  <c r="N97" i="1" s="1"/>
  <c r="L99" i="1"/>
  <c r="K99" i="1"/>
  <c r="J99" i="1"/>
  <c r="I99" i="1" s="1"/>
  <c r="AI99" i="1"/>
  <c r="AL105" i="1"/>
  <c r="T109" i="1"/>
  <c r="AL112" i="1"/>
  <c r="U131" i="1"/>
  <c r="V131" i="1" s="1"/>
  <c r="K65" i="1"/>
  <c r="J65" i="1"/>
  <c r="I65" i="1" s="1"/>
  <c r="AL66" i="1"/>
  <c r="T66" i="1"/>
  <c r="J83" i="1"/>
  <c r="I83" i="1" s="1"/>
  <c r="AI83" i="1"/>
  <c r="O83" i="1"/>
  <c r="AL96" i="1"/>
  <c r="T96" i="1"/>
  <c r="L106" i="1"/>
  <c r="K106" i="1"/>
  <c r="J106" i="1"/>
  <c r="I106" i="1" s="1"/>
  <c r="AI106" i="1"/>
  <c r="O106" i="1"/>
  <c r="L110" i="1"/>
  <c r="K110" i="1"/>
  <c r="J110" i="1"/>
  <c r="I110" i="1" s="1"/>
  <c r="AI110" i="1"/>
  <c r="O42" i="1"/>
  <c r="O46" i="1"/>
  <c r="U49" i="1"/>
  <c r="V49" i="1" s="1"/>
  <c r="AC49" i="1" s="1"/>
  <c r="O50" i="1"/>
  <c r="AI51" i="1"/>
  <c r="U53" i="1"/>
  <c r="V53" i="1" s="1"/>
  <c r="O54" i="1"/>
  <c r="AI55" i="1"/>
  <c r="AL57" i="1"/>
  <c r="U59" i="1"/>
  <c r="V59" i="1" s="1"/>
  <c r="AL60" i="1"/>
  <c r="T60" i="1"/>
  <c r="AI62" i="1"/>
  <c r="AI65" i="1"/>
  <c r="K66" i="1"/>
  <c r="X66" i="1"/>
  <c r="X70" i="1"/>
  <c r="U71" i="1"/>
  <c r="V71" i="1" s="1"/>
  <c r="U76" i="1"/>
  <c r="V76" i="1" s="1"/>
  <c r="AC76" i="1" s="1"/>
  <c r="L78" i="1"/>
  <c r="AI78" i="1"/>
  <c r="O78" i="1"/>
  <c r="X79" i="1"/>
  <c r="AB80" i="1"/>
  <c r="R80" i="1"/>
  <c r="P80" i="1" s="1"/>
  <c r="S80" i="1" s="1"/>
  <c r="M80" i="1" s="1"/>
  <c r="N80" i="1" s="1"/>
  <c r="AB84" i="1"/>
  <c r="J85" i="1"/>
  <c r="I85" i="1" s="1"/>
  <c r="L85" i="1"/>
  <c r="K85" i="1"/>
  <c r="J89" i="1"/>
  <c r="I89" i="1" s="1"/>
  <c r="O89" i="1"/>
  <c r="L89" i="1"/>
  <c r="K89" i="1"/>
  <c r="AI89" i="1"/>
  <c r="L90" i="1"/>
  <c r="AI90" i="1"/>
  <c r="O90" i="1"/>
  <c r="J96" i="1"/>
  <c r="I96" i="1" s="1"/>
  <c r="AL106" i="1"/>
  <c r="AL108" i="1"/>
  <c r="T108" i="1"/>
  <c r="O110" i="1"/>
  <c r="L111" i="1"/>
  <c r="K111" i="1"/>
  <c r="J111" i="1"/>
  <c r="I111" i="1" s="1"/>
  <c r="U111" i="1" s="1"/>
  <c r="V111" i="1" s="1"/>
  <c r="O111" i="1"/>
  <c r="L116" i="1"/>
  <c r="K116" i="1"/>
  <c r="O116" i="1"/>
  <c r="K118" i="1"/>
  <c r="AI118" i="1"/>
  <c r="L118" i="1"/>
  <c r="O118" i="1"/>
  <c r="J118" i="1"/>
  <c r="I118" i="1" s="1"/>
  <c r="AL144" i="1"/>
  <c r="T144" i="1"/>
  <c r="AL170" i="1"/>
  <c r="T170" i="1"/>
  <c r="J51" i="1"/>
  <c r="I51" i="1" s="1"/>
  <c r="J55" i="1"/>
  <c r="I55" i="1" s="1"/>
  <c r="L65" i="1"/>
  <c r="J67" i="1"/>
  <c r="I67" i="1" s="1"/>
  <c r="O67" i="1"/>
  <c r="L68" i="1"/>
  <c r="AI68" i="1"/>
  <c r="R71" i="1"/>
  <c r="P71" i="1" s="1"/>
  <c r="S71" i="1" s="1"/>
  <c r="M71" i="1" s="1"/>
  <c r="N71" i="1" s="1"/>
  <c r="W81" i="1"/>
  <c r="AA81" i="1" s="1"/>
  <c r="AD81" i="1"/>
  <c r="AE81" i="1" s="1"/>
  <c r="L86" i="1"/>
  <c r="O86" i="1"/>
  <c r="AL94" i="1"/>
  <c r="T94" i="1"/>
  <c r="AI116" i="1"/>
  <c r="O128" i="1"/>
  <c r="L128" i="1"/>
  <c r="AI128" i="1"/>
  <c r="K128" i="1"/>
  <c r="J128" i="1"/>
  <c r="I128" i="1" s="1"/>
  <c r="AI42" i="1"/>
  <c r="AI46" i="1"/>
  <c r="AI50" i="1"/>
  <c r="K51" i="1"/>
  <c r="AI54" i="1"/>
  <c r="K55" i="1"/>
  <c r="K61" i="1"/>
  <c r="J61" i="1"/>
  <c r="I61" i="1" s="1"/>
  <c r="U61" i="1" s="1"/>
  <c r="V61" i="1" s="1"/>
  <c r="J62" i="1"/>
  <c r="I62" i="1" s="1"/>
  <c r="AL62" i="1"/>
  <c r="T62" i="1"/>
  <c r="O66" i="1"/>
  <c r="AI67" i="1"/>
  <c r="AL68" i="1"/>
  <c r="T68" i="1"/>
  <c r="L69" i="1"/>
  <c r="K69" i="1"/>
  <c r="J69" i="1"/>
  <c r="I69" i="1" s="1"/>
  <c r="K70" i="1"/>
  <c r="AC72" i="1"/>
  <c r="AB73" i="1"/>
  <c r="R81" i="1"/>
  <c r="P81" i="1" s="1"/>
  <c r="S81" i="1" s="1"/>
  <c r="M81" i="1" s="1"/>
  <c r="N81" i="1" s="1"/>
  <c r="AC84" i="1"/>
  <c r="K95" i="1"/>
  <c r="J95" i="1"/>
  <c r="I95" i="1" s="1"/>
  <c r="O95" i="1"/>
  <c r="L95" i="1"/>
  <c r="T27" i="1"/>
  <c r="T31" i="1"/>
  <c r="T35" i="1"/>
  <c r="T39" i="1"/>
  <c r="T43" i="1"/>
  <c r="T47" i="1"/>
  <c r="T51" i="1"/>
  <c r="T55" i="1"/>
  <c r="AI61" i="1"/>
  <c r="K62" i="1"/>
  <c r="X62" i="1"/>
  <c r="O65" i="1"/>
  <c r="K67" i="1"/>
  <c r="AI69" i="1"/>
  <c r="O70" i="1"/>
  <c r="AI79" i="1"/>
  <c r="O79" i="1"/>
  <c r="L79" i="1"/>
  <c r="K79" i="1"/>
  <c r="J79" i="1"/>
  <c r="I79" i="1" s="1"/>
  <c r="U84" i="1"/>
  <c r="V84" i="1" s="1"/>
  <c r="R84" i="1" s="1"/>
  <c r="P84" i="1" s="1"/>
  <c r="S84" i="1" s="1"/>
  <c r="M84" i="1" s="1"/>
  <c r="N84" i="1" s="1"/>
  <c r="U89" i="1"/>
  <c r="V89" i="1" s="1"/>
  <c r="AI95" i="1"/>
  <c r="AL101" i="1"/>
  <c r="AB109" i="1"/>
  <c r="J116" i="1"/>
  <c r="I116" i="1" s="1"/>
  <c r="T141" i="1"/>
  <c r="AL141" i="1"/>
  <c r="AL74" i="1"/>
  <c r="T74" i="1"/>
  <c r="X80" i="1"/>
  <c r="AL82" i="1"/>
  <c r="T82" i="1"/>
  <c r="X86" i="1"/>
  <c r="AL86" i="1"/>
  <c r="T86" i="1"/>
  <c r="AL90" i="1"/>
  <c r="T90" i="1"/>
  <c r="AI92" i="1"/>
  <c r="O100" i="1"/>
  <c r="L100" i="1"/>
  <c r="X108" i="1"/>
  <c r="AL110" i="1"/>
  <c r="O71" i="1"/>
  <c r="X90" i="1"/>
  <c r="L98" i="1"/>
  <c r="K98" i="1"/>
  <c r="J98" i="1"/>
  <c r="I98" i="1" s="1"/>
  <c r="AI98" i="1"/>
  <c r="U99" i="1"/>
  <c r="V99" i="1" s="1"/>
  <c r="AC99" i="1" s="1"/>
  <c r="AL100" i="1"/>
  <c r="T100" i="1"/>
  <c r="T101" i="1"/>
  <c r="L103" i="1"/>
  <c r="K103" i="1"/>
  <c r="J103" i="1"/>
  <c r="I103" i="1" s="1"/>
  <c r="U103" i="1" s="1"/>
  <c r="V103" i="1" s="1"/>
  <c r="J104" i="1"/>
  <c r="I104" i="1" s="1"/>
  <c r="U133" i="1"/>
  <c r="V133" i="1" s="1"/>
  <c r="K91" i="1"/>
  <c r="J91" i="1"/>
  <c r="I91" i="1" s="1"/>
  <c r="AL92" i="1"/>
  <c r="T92" i="1"/>
  <c r="X96" i="1"/>
  <c r="AL98" i="1"/>
  <c r="O104" i="1"/>
  <c r="L104" i="1"/>
  <c r="X112" i="1"/>
  <c r="L113" i="1"/>
  <c r="U118" i="1"/>
  <c r="V118" i="1" s="1"/>
  <c r="AL119" i="1"/>
  <c r="T119" i="1"/>
  <c r="AL135" i="1"/>
  <c r="T135" i="1"/>
  <c r="L139" i="1"/>
  <c r="K139" i="1"/>
  <c r="J139" i="1"/>
  <c r="I139" i="1" s="1"/>
  <c r="AI139" i="1"/>
  <c r="AI81" i="1"/>
  <c r="L102" i="1"/>
  <c r="K102" i="1"/>
  <c r="J102" i="1"/>
  <c r="I102" i="1" s="1"/>
  <c r="AI102" i="1"/>
  <c r="AL104" i="1"/>
  <c r="T104" i="1"/>
  <c r="R105" i="1"/>
  <c r="P105" i="1" s="1"/>
  <c r="S105" i="1" s="1"/>
  <c r="M105" i="1" s="1"/>
  <c r="N105" i="1" s="1"/>
  <c r="L107" i="1"/>
  <c r="K107" i="1"/>
  <c r="J107" i="1"/>
  <c r="I107" i="1" s="1"/>
  <c r="K113" i="1"/>
  <c r="J113" i="1"/>
  <c r="I113" i="1" s="1"/>
  <c r="O113" i="1"/>
  <c r="R133" i="1"/>
  <c r="P133" i="1" s="1"/>
  <c r="S133" i="1" s="1"/>
  <c r="M133" i="1" s="1"/>
  <c r="N133" i="1" s="1"/>
  <c r="AB133" i="1"/>
  <c r="O139" i="1"/>
  <c r="X76" i="1"/>
  <c r="AL78" i="1"/>
  <c r="T78" i="1"/>
  <c r="X84" i="1"/>
  <c r="U87" i="1"/>
  <c r="V87" i="1" s="1"/>
  <c r="L91" i="1"/>
  <c r="J93" i="1"/>
  <c r="I93" i="1" s="1"/>
  <c r="O93" i="1"/>
  <c r="L94" i="1"/>
  <c r="AI94" i="1"/>
  <c r="X100" i="1"/>
  <c r="AL102" i="1"/>
  <c r="AI107" i="1"/>
  <c r="O108" i="1"/>
  <c r="L108" i="1"/>
  <c r="AL113" i="1"/>
  <c r="T113" i="1"/>
  <c r="O120" i="1"/>
  <c r="L120" i="1"/>
  <c r="AI120" i="1"/>
  <c r="K120" i="1"/>
  <c r="J120" i="1"/>
  <c r="I120" i="1" s="1"/>
  <c r="U123" i="1"/>
  <c r="V123" i="1" s="1"/>
  <c r="U126" i="1"/>
  <c r="V126" i="1" s="1"/>
  <c r="R126" i="1" s="1"/>
  <c r="P126" i="1" s="1"/>
  <c r="S126" i="1" s="1"/>
  <c r="M126" i="1" s="1"/>
  <c r="N126" i="1" s="1"/>
  <c r="U142" i="1"/>
  <c r="V142" i="1" s="1"/>
  <c r="J115" i="1"/>
  <c r="I115" i="1" s="1"/>
  <c r="U115" i="1" s="1"/>
  <c r="V115" i="1" s="1"/>
  <c r="AI115" i="1"/>
  <c r="L115" i="1"/>
  <c r="AI121" i="1"/>
  <c r="L121" i="1"/>
  <c r="K122" i="1"/>
  <c r="O122" i="1"/>
  <c r="AI122" i="1"/>
  <c r="L122" i="1"/>
  <c r="J122" i="1"/>
  <c r="I122" i="1" s="1"/>
  <c r="AC123" i="1"/>
  <c r="K124" i="1"/>
  <c r="AC131" i="1"/>
  <c r="O136" i="1"/>
  <c r="L136" i="1"/>
  <c r="K136" i="1"/>
  <c r="J136" i="1"/>
  <c r="I136" i="1" s="1"/>
  <c r="AL149" i="1"/>
  <c r="T149" i="1"/>
  <c r="U154" i="1"/>
  <c r="V154" i="1" s="1"/>
  <c r="R154" i="1" s="1"/>
  <c r="P154" i="1" s="1"/>
  <c r="S154" i="1" s="1"/>
  <c r="M154" i="1" s="1"/>
  <c r="N154" i="1" s="1"/>
  <c r="AB170" i="1"/>
  <c r="O97" i="1"/>
  <c r="O101" i="1"/>
  <c r="O105" i="1"/>
  <c r="O109" i="1"/>
  <c r="T114" i="1"/>
  <c r="AL116" i="1"/>
  <c r="T116" i="1"/>
  <c r="U121" i="1"/>
  <c r="V121" i="1" s="1"/>
  <c r="AL121" i="1"/>
  <c r="U122" i="1"/>
  <c r="V122" i="1" s="1"/>
  <c r="AI125" i="1"/>
  <c r="O125" i="1"/>
  <c r="L125" i="1"/>
  <c r="K125" i="1"/>
  <c r="J127" i="1"/>
  <c r="I127" i="1" s="1"/>
  <c r="O127" i="1"/>
  <c r="AI127" i="1"/>
  <c r="K127" i="1"/>
  <c r="AL128" i="1"/>
  <c r="T128" i="1"/>
  <c r="AL129" i="1"/>
  <c r="AI136" i="1"/>
  <c r="U162" i="1"/>
  <c r="V162" i="1" s="1"/>
  <c r="L168" i="1"/>
  <c r="K168" i="1"/>
  <c r="AI168" i="1"/>
  <c r="J168" i="1"/>
  <c r="I168" i="1" s="1"/>
  <c r="AL187" i="1"/>
  <c r="T187" i="1"/>
  <c r="J114" i="1"/>
  <c r="I114" i="1" s="1"/>
  <c r="AI114" i="1"/>
  <c r="O124" i="1"/>
  <c r="L124" i="1"/>
  <c r="J124" i="1"/>
  <c r="I124" i="1" s="1"/>
  <c r="K134" i="1"/>
  <c r="J134" i="1"/>
  <c r="I134" i="1" s="1"/>
  <c r="O134" i="1"/>
  <c r="K138" i="1"/>
  <c r="J138" i="1"/>
  <c r="I138" i="1" s="1"/>
  <c r="AI138" i="1"/>
  <c r="O138" i="1"/>
  <c r="O140" i="1"/>
  <c r="L140" i="1"/>
  <c r="AI140" i="1"/>
  <c r="U158" i="1"/>
  <c r="V158" i="1" s="1"/>
  <c r="AL186" i="1"/>
  <c r="T186" i="1"/>
  <c r="AI97" i="1"/>
  <c r="AI101" i="1"/>
  <c r="AI105" i="1"/>
  <c r="AI109" i="1"/>
  <c r="K114" i="1"/>
  <c r="K121" i="1"/>
  <c r="U127" i="1"/>
  <c r="V127" i="1" s="1"/>
  <c r="U146" i="1"/>
  <c r="V146" i="1" s="1"/>
  <c r="U156" i="1"/>
  <c r="V156" i="1" s="1"/>
  <c r="AB162" i="1"/>
  <c r="T98" i="1"/>
  <c r="T102" i="1"/>
  <c r="T106" i="1"/>
  <c r="T110" i="1"/>
  <c r="L114" i="1"/>
  <c r="X114" i="1"/>
  <c r="J117" i="1"/>
  <c r="I117" i="1" s="1"/>
  <c r="O121" i="1"/>
  <c r="R123" i="1"/>
  <c r="P123" i="1" s="1"/>
  <c r="S123" i="1" s="1"/>
  <c r="M123" i="1" s="1"/>
  <c r="N123" i="1" s="1"/>
  <c r="AL127" i="1"/>
  <c r="X128" i="1"/>
  <c r="U130" i="1"/>
  <c r="V130" i="1" s="1"/>
  <c r="R130" i="1"/>
  <c r="P130" i="1" s="1"/>
  <c r="S130" i="1" s="1"/>
  <c r="M130" i="1" s="1"/>
  <c r="N130" i="1" s="1"/>
  <c r="AB130" i="1"/>
  <c r="J140" i="1"/>
  <c r="I140" i="1" s="1"/>
  <c r="O168" i="1"/>
  <c r="K123" i="1"/>
  <c r="J129" i="1"/>
  <c r="I129" i="1" s="1"/>
  <c r="K142" i="1"/>
  <c r="J142" i="1"/>
  <c r="I142" i="1" s="1"/>
  <c r="AI142" i="1"/>
  <c r="J144" i="1"/>
  <c r="I144" i="1" s="1"/>
  <c r="AB145" i="1"/>
  <c r="U152" i="1"/>
  <c r="V152" i="1" s="1"/>
  <c r="AC152" i="1" s="1"/>
  <c r="O159" i="1"/>
  <c r="K159" i="1"/>
  <c r="J159" i="1"/>
  <c r="I159" i="1" s="1"/>
  <c r="J167" i="1"/>
  <c r="I167" i="1" s="1"/>
  <c r="AI167" i="1"/>
  <c r="O167" i="1"/>
  <c r="L167" i="1"/>
  <c r="K167" i="1"/>
  <c r="AB173" i="1"/>
  <c r="R131" i="1"/>
  <c r="P131" i="1" s="1"/>
  <c r="S131" i="1" s="1"/>
  <c r="M131" i="1" s="1"/>
  <c r="N131" i="1" s="1"/>
  <c r="O132" i="1"/>
  <c r="L132" i="1"/>
  <c r="AL136" i="1"/>
  <c r="T136" i="1"/>
  <c r="L143" i="1"/>
  <c r="K143" i="1"/>
  <c r="J143" i="1"/>
  <c r="I143" i="1" s="1"/>
  <c r="U147" i="1"/>
  <c r="V147" i="1" s="1"/>
  <c r="K150" i="1"/>
  <c r="O150" i="1"/>
  <c r="AI150" i="1"/>
  <c r="L150" i="1"/>
  <c r="J150" i="1"/>
  <c r="I150" i="1" s="1"/>
  <c r="U151" i="1"/>
  <c r="V151" i="1" s="1"/>
  <c r="R156" i="1"/>
  <c r="P156" i="1" s="1"/>
  <c r="S156" i="1" s="1"/>
  <c r="M156" i="1" s="1"/>
  <c r="N156" i="1" s="1"/>
  <c r="AB156" i="1"/>
  <c r="L159" i="1"/>
  <c r="L164" i="1"/>
  <c r="AI164" i="1"/>
  <c r="J164" i="1"/>
  <c r="I164" i="1" s="1"/>
  <c r="O164" i="1"/>
  <c r="O174" i="1"/>
  <c r="AI174" i="1"/>
  <c r="L174" i="1"/>
  <c r="K174" i="1"/>
  <c r="J174" i="1"/>
  <c r="I174" i="1" s="1"/>
  <c r="AD178" i="1"/>
  <c r="AE178" i="1" s="1"/>
  <c r="W178" i="1"/>
  <c r="AA178" i="1" s="1"/>
  <c r="L135" i="1"/>
  <c r="J135" i="1"/>
  <c r="I135" i="1" s="1"/>
  <c r="AI137" i="1"/>
  <c r="O137" i="1"/>
  <c r="O144" i="1"/>
  <c r="L144" i="1"/>
  <c r="L153" i="1"/>
  <c r="AI153" i="1"/>
  <c r="K153" i="1"/>
  <c r="J153" i="1"/>
  <c r="I153" i="1" s="1"/>
  <c r="L161" i="1"/>
  <c r="K161" i="1"/>
  <c r="J161" i="1"/>
  <c r="I161" i="1" s="1"/>
  <c r="O161" i="1"/>
  <c r="AI161" i="1"/>
  <c r="K164" i="1"/>
  <c r="U174" i="1"/>
  <c r="V174" i="1" s="1"/>
  <c r="AC174" i="1" s="1"/>
  <c r="U175" i="1"/>
  <c r="V175" i="1" s="1"/>
  <c r="J132" i="1"/>
  <c r="I132" i="1" s="1"/>
  <c r="AI135" i="1"/>
  <c r="AL140" i="1"/>
  <c r="T140" i="1"/>
  <c r="AI144" i="1"/>
  <c r="AL153" i="1"/>
  <c r="T153" i="1"/>
  <c r="AL174" i="1"/>
  <c r="L176" i="1"/>
  <c r="K176" i="1"/>
  <c r="J176" i="1"/>
  <c r="I176" i="1" s="1"/>
  <c r="AI176" i="1"/>
  <c r="O176" i="1"/>
  <c r="L193" i="1"/>
  <c r="K193" i="1"/>
  <c r="J193" i="1"/>
  <c r="I193" i="1" s="1"/>
  <c r="O193" i="1"/>
  <c r="AL124" i="1"/>
  <c r="T124" i="1"/>
  <c r="X126" i="1"/>
  <c r="O129" i="1"/>
  <c r="AI131" i="1"/>
  <c r="K132" i="1"/>
  <c r="AL132" i="1"/>
  <c r="T132" i="1"/>
  <c r="K135" i="1"/>
  <c r="J137" i="1"/>
  <c r="I137" i="1" s="1"/>
  <c r="U137" i="1"/>
  <c r="V137" i="1" s="1"/>
  <c r="AI141" i="1"/>
  <c r="O141" i="1"/>
  <c r="O142" i="1"/>
  <c r="U150" i="1"/>
  <c r="V150" i="1" s="1"/>
  <c r="AC150" i="1" s="1"/>
  <c r="O153" i="1"/>
  <c r="L158" i="1"/>
  <c r="K158" i="1"/>
  <c r="AI158" i="1"/>
  <c r="O158" i="1"/>
  <c r="J158" i="1"/>
  <c r="I158" i="1" s="1"/>
  <c r="R178" i="1"/>
  <c r="P178" i="1" s="1"/>
  <c r="S178" i="1" s="1"/>
  <c r="M178" i="1" s="1"/>
  <c r="N178" i="1" s="1"/>
  <c r="AB178" i="1"/>
  <c r="AI187" i="1"/>
  <c r="O187" i="1"/>
  <c r="L187" i="1"/>
  <c r="K187" i="1"/>
  <c r="J187" i="1"/>
  <c r="I187" i="1" s="1"/>
  <c r="AB181" i="1"/>
  <c r="O145" i="1"/>
  <c r="AI145" i="1"/>
  <c r="L146" i="1"/>
  <c r="AI146" i="1"/>
  <c r="K147" i="1"/>
  <c r="AI147" i="1"/>
  <c r="J148" i="1"/>
  <c r="I148" i="1" s="1"/>
  <c r="U148" i="1" s="1"/>
  <c r="V148" i="1" s="1"/>
  <c r="O148" i="1"/>
  <c r="J155" i="1"/>
  <c r="I155" i="1" s="1"/>
  <c r="AL156" i="1"/>
  <c r="T159" i="1"/>
  <c r="J163" i="1"/>
  <c r="I163" i="1" s="1"/>
  <c r="L163" i="1"/>
  <c r="K163" i="1"/>
  <c r="L173" i="1"/>
  <c r="K173" i="1"/>
  <c r="AI173" i="1"/>
  <c r="AL183" i="1"/>
  <c r="T183" i="1"/>
  <c r="AL191" i="1"/>
  <c r="T191" i="1"/>
  <c r="J152" i="1"/>
  <c r="I152" i="1" s="1"/>
  <c r="O152" i="1"/>
  <c r="K155" i="1"/>
  <c r="L157" i="1"/>
  <c r="K157" i="1"/>
  <c r="J157" i="1"/>
  <c r="I157" i="1" s="1"/>
  <c r="AI157" i="1"/>
  <c r="L172" i="1"/>
  <c r="K172" i="1"/>
  <c r="J172" i="1"/>
  <c r="I172" i="1" s="1"/>
  <c r="AI172" i="1"/>
  <c r="O172" i="1"/>
  <c r="L177" i="1"/>
  <c r="K177" i="1"/>
  <c r="J177" i="1"/>
  <c r="I177" i="1" s="1"/>
  <c r="U177" i="1" s="1"/>
  <c r="V177" i="1" s="1"/>
  <c r="L185" i="1"/>
  <c r="K185" i="1"/>
  <c r="J185" i="1"/>
  <c r="I185" i="1" s="1"/>
  <c r="L213" i="1"/>
  <c r="K213" i="1"/>
  <c r="J213" i="1"/>
  <c r="I213" i="1" s="1"/>
  <c r="AI213" i="1"/>
  <c r="O213" i="1"/>
  <c r="T139" i="1"/>
  <c r="T143" i="1"/>
  <c r="AL145" i="1"/>
  <c r="T145" i="1"/>
  <c r="L149" i="1"/>
  <c r="AI149" i="1"/>
  <c r="AI152" i="1"/>
  <c r="L154" i="1"/>
  <c r="AI154" i="1"/>
  <c r="L155" i="1"/>
  <c r="K169" i="1"/>
  <c r="L169" i="1"/>
  <c r="J169" i="1"/>
  <c r="I169" i="1" s="1"/>
  <c r="AI169" i="1"/>
  <c r="AI177" i="1"/>
  <c r="O182" i="1"/>
  <c r="J182" i="1"/>
  <c r="I182" i="1" s="1"/>
  <c r="K182" i="1"/>
  <c r="AI182" i="1"/>
  <c r="AB210" i="1"/>
  <c r="O149" i="1"/>
  <c r="X151" i="1"/>
  <c r="AL157" i="1"/>
  <c r="T163" i="1"/>
  <c r="AL163" i="1"/>
  <c r="O170" i="1"/>
  <c r="L170" i="1"/>
  <c r="K170" i="1"/>
  <c r="U171" i="1"/>
  <c r="V171" i="1" s="1"/>
  <c r="O185" i="1"/>
  <c r="L189" i="1"/>
  <c r="K189" i="1"/>
  <c r="J189" i="1"/>
  <c r="I189" i="1" s="1"/>
  <c r="AL195" i="1"/>
  <c r="T195" i="1"/>
  <c r="AC211" i="1"/>
  <c r="O156" i="1"/>
  <c r="O160" i="1"/>
  <c r="AL164" i="1"/>
  <c r="T166" i="1"/>
  <c r="X170" i="1"/>
  <c r="AC173" i="1"/>
  <c r="J180" i="1"/>
  <c r="I180" i="1" s="1"/>
  <c r="O180" i="1"/>
  <c r="AI180" i="1"/>
  <c r="L180" i="1"/>
  <c r="L181" i="1"/>
  <c r="O181" i="1"/>
  <c r="K181" i="1"/>
  <c r="L197" i="1"/>
  <c r="K197" i="1"/>
  <c r="J197" i="1"/>
  <c r="I197" i="1" s="1"/>
  <c r="AI197" i="1"/>
  <c r="R175" i="1"/>
  <c r="P175" i="1" s="1"/>
  <c r="S175" i="1" s="1"/>
  <c r="M175" i="1" s="1"/>
  <c r="N175" i="1" s="1"/>
  <c r="AL181" i="1"/>
  <c r="T181" i="1"/>
  <c r="AB218" i="1"/>
  <c r="AI156" i="1"/>
  <c r="AI160" i="1"/>
  <c r="AL161" i="1"/>
  <c r="U165" i="1"/>
  <c r="V165" i="1" s="1"/>
  <c r="R165" i="1" s="1"/>
  <c r="P165" i="1" s="1"/>
  <c r="S165" i="1" s="1"/>
  <c r="M165" i="1" s="1"/>
  <c r="N165" i="1" s="1"/>
  <c r="AI165" i="1"/>
  <c r="U173" i="1"/>
  <c r="V173" i="1" s="1"/>
  <c r="AB183" i="1"/>
  <c r="AL190" i="1"/>
  <c r="T190" i="1"/>
  <c r="AB200" i="1"/>
  <c r="T157" i="1"/>
  <c r="X162" i="1"/>
  <c r="L166" i="1"/>
  <c r="R171" i="1"/>
  <c r="P171" i="1" s="1"/>
  <c r="S171" i="1" s="1"/>
  <c r="M171" i="1" s="1"/>
  <c r="N171" i="1" s="1"/>
  <c r="AL194" i="1"/>
  <c r="T194" i="1"/>
  <c r="U197" i="1"/>
  <c r="V197" i="1" s="1"/>
  <c r="L198" i="1"/>
  <c r="O198" i="1"/>
  <c r="AI198" i="1"/>
  <c r="K198" i="1"/>
  <c r="J198" i="1"/>
  <c r="I198" i="1" s="1"/>
  <c r="AB202" i="1"/>
  <c r="J216" i="1"/>
  <c r="I216" i="1" s="1"/>
  <c r="AI216" i="1"/>
  <c r="O216" i="1"/>
  <c r="L216" i="1"/>
  <c r="K216" i="1"/>
  <c r="O171" i="1"/>
  <c r="O175" i="1"/>
  <c r="X181" i="1"/>
  <c r="X187" i="1"/>
  <c r="AL208" i="1"/>
  <c r="T208" i="1"/>
  <c r="AL216" i="1"/>
  <c r="T216" i="1"/>
  <c r="U226" i="1"/>
  <c r="V226" i="1" s="1"/>
  <c r="AB226" i="1"/>
  <c r="R226" i="1"/>
  <c r="P226" i="1" s="1"/>
  <c r="S226" i="1" s="1"/>
  <c r="J199" i="1"/>
  <c r="I199" i="1" s="1"/>
  <c r="AI199" i="1"/>
  <c r="L200" i="1"/>
  <c r="O200" i="1"/>
  <c r="AI200" i="1"/>
  <c r="K200" i="1"/>
  <c r="AL201" i="1"/>
  <c r="T201" i="1"/>
  <c r="R203" i="1"/>
  <c r="P203" i="1" s="1"/>
  <c r="S203" i="1" s="1"/>
  <c r="M203" i="1" s="1"/>
  <c r="N203" i="1" s="1"/>
  <c r="U203" i="1"/>
  <c r="V203" i="1" s="1"/>
  <c r="AB203" i="1"/>
  <c r="AB207" i="1"/>
  <c r="L210" i="1"/>
  <c r="K210" i="1"/>
  <c r="AI210" i="1"/>
  <c r="O210" i="1"/>
  <c r="AI171" i="1"/>
  <c r="AI175" i="1"/>
  <c r="AL182" i="1"/>
  <c r="T182" i="1"/>
  <c r="O190" i="1"/>
  <c r="L190" i="1"/>
  <c r="J190" i="1"/>
  <c r="I190" i="1" s="1"/>
  <c r="O194" i="1"/>
  <c r="L194" i="1"/>
  <c r="J194" i="1"/>
  <c r="I194" i="1" s="1"/>
  <c r="O199" i="1"/>
  <c r="L205" i="1"/>
  <c r="K205" i="1"/>
  <c r="J205" i="1"/>
  <c r="I205" i="1" s="1"/>
  <c r="AI205" i="1"/>
  <c r="O205" i="1"/>
  <c r="L218" i="1"/>
  <c r="K218" i="1"/>
  <c r="AI218" i="1"/>
  <c r="O218" i="1"/>
  <c r="T164" i="1"/>
  <c r="T168" i="1"/>
  <c r="T172" i="1"/>
  <c r="X179" i="1"/>
  <c r="AL179" i="1"/>
  <c r="T179" i="1"/>
  <c r="AI183" i="1"/>
  <c r="L183" i="1"/>
  <c r="O186" i="1"/>
  <c r="L186" i="1"/>
  <c r="J186" i="1"/>
  <c r="I186" i="1" s="1"/>
  <c r="AI190" i="1"/>
  <c r="AI191" i="1"/>
  <c r="O191" i="1"/>
  <c r="L191" i="1"/>
  <c r="AI194" i="1"/>
  <c r="AI195" i="1"/>
  <c r="O195" i="1"/>
  <c r="L195" i="1"/>
  <c r="AL224" i="1"/>
  <c r="T224" i="1"/>
  <c r="AL205" i="1"/>
  <c r="X206" i="1"/>
  <c r="J208" i="1"/>
  <c r="I208" i="1" s="1"/>
  <c r="AI208" i="1"/>
  <c r="O208" i="1"/>
  <c r="L208" i="1"/>
  <c r="U211" i="1"/>
  <c r="V211" i="1" s="1"/>
  <c r="O215" i="1"/>
  <c r="K215" i="1"/>
  <c r="J215" i="1"/>
  <c r="I215" i="1" s="1"/>
  <c r="AL220" i="1"/>
  <c r="T220" i="1"/>
  <c r="L222" i="1"/>
  <c r="K222" i="1"/>
  <c r="AI222" i="1"/>
  <c r="X198" i="1"/>
  <c r="AL198" i="1"/>
  <c r="T198" i="1"/>
  <c r="AL200" i="1"/>
  <c r="T200" i="1"/>
  <c r="J204" i="1"/>
  <c r="I204" i="1" s="1"/>
  <c r="AI204" i="1"/>
  <c r="O204" i="1"/>
  <c r="L204" i="1"/>
  <c r="L217" i="1"/>
  <c r="K217" i="1"/>
  <c r="J217" i="1"/>
  <c r="I217" i="1" s="1"/>
  <c r="AI217" i="1"/>
  <c r="O217" i="1"/>
  <c r="L226" i="1"/>
  <c r="K226" i="1"/>
  <c r="AI226" i="1"/>
  <c r="AI188" i="1"/>
  <c r="AI192" i="1"/>
  <c r="AI196" i="1"/>
  <c r="AL199" i="1"/>
  <c r="AL202" i="1"/>
  <c r="T202" i="1"/>
  <c r="AL204" i="1"/>
  <c r="T204" i="1"/>
  <c r="L206" i="1"/>
  <c r="K206" i="1"/>
  <c r="AI206" i="1"/>
  <c r="J212" i="1"/>
  <c r="I212" i="1" s="1"/>
  <c r="AI212" i="1"/>
  <c r="O212" i="1"/>
  <c r="L212" i="1"/>
  <c r="U215" i="1"/>
  <c r="V215" i="1" s="1"/>
  <c r="O219" i="1"/>
  <c r="K219" i="1"/>
  <c r="J219" i="1"/>
  <c r="I219" i="1" s="1"/>
  <c r="U219" i="1" s="1"/>
  <c r="V219" i="1" s="1"/>
  <c r="L221" i="1"/>
  <c r="K221" i="1"/>
  <c r="J221" i="1"/>
  <c r="I221" i="1" s="1"/>
  <c r="AI221" i="1"/>
  <c r="O221" i="1"/>
  <c r="J184" i="1"/>
  <c r="I184" i="1" s="1"/>
  <c r="T185" i="1"/>
  <c r="J188" i="1"/>
  <c r="I188" i="1" s="1"/>
  <c r="T189" i="1"/>
  <c r="J192" i="1"/>
  <c r="I192" i="1" s="1"/>
  <c r="T193" i="1"/>
  <c r="J196" i="1"/>
  <c r="I196" i="1" s="1"/>
  <c r="L201" i="1"/>
  <c r="J201" i="1"/>
  <c r="I201" i="1" s="1"/>
  <c r="K202" i="1"/>
  <c r="X202" i="1"/>
  <c r="O206" i="1"/>
  <c r="U207" i="1"/>
  <c r="V207" i="1" s="1"/>
  <c r="L209" i="1"/>
  <c r="K209" i="1"/>
  <c r="J209" i="1"/>
  <c r="I209" i="1" s="1"/>
  <c r="AI209" i="1"/>
  <c r="O209" i="1"/>
  <c r="AL212" i="1"/>
  <c r="T212" i="1"/>
  <c r="L214" i="1"/>
  <c r="K214" i="1"/>
  <c r="AI214" i="1"/>
  <c r="AL217" i="1"/>
  <c r="X218" i="1"/>
  <c r="L219" i="1"/>
  <c r="O223" i="1"/>
  <c r="K223" i="1"/>
  <c r="J223" i="1"/>
  <c r="I223" i="1" s="1"/>
  <c r="L225" i="1"/>
  <c r="K225" i="1"/>
  <c r="J225" i="1"/>
  <c r="I225" i="1" s="1"/>
  <c r="AI225" i="1"/>
  <c r="O225" i="1"/>
  <c r="O211" i="1"/>
  <c r="K211" i="1"/>
  <c r="J211" i="1"/>
  <c r="I211" i="1" s="1"/>
  <c r="AL221" i="1"/>
  <c r="X222" i="1"/>
  <c r="L223" i="1"/>
  <c r="AB220" i="1"/>
  <c r="AB224" i="1"/>
  <c r="T206" i="1"/>
  <c r="T210" i="1"/>
  <c r="T214" i="1"/>
  <c r="T218" i="1"/>
  <c r="T222" i="1"/>
  <c r="T205" i="1"/>
  <c r="T209" i="1"/>
  <c r="T213" i="1"/>
  <c r="T217" i="1"/>
  <c r="T221" i="1"/>
  <c r="T225" i="1"/>
  <c r="AD177" i="1" l="1"/>
  <c r="W177" i="1"/>
  <c r="AA177" i="1" s="1"/>
  <c r="AC177" i="1"/>
  <c r="AD61" i="1"/>
  <c r="W61" i="1"/>
  <c r="AA61" i="1" s="1"/>
  <c r="AC61" i="1"/>
  <c r="W37" i="1"/>
  <c r="AA37" i="1" s="1"/>
  <c r="AD37" i="1"/>
  <c r="AC37" i="1"/>
  <c r="AD111" i="1"/>
  <c r="W111" i="1"/>
  <c r="AA111" i="1" s="1"/>
  <c r="AC111" i="1"/>
  <c r="W219" i="1"/>
  <c r="AA219" i="1" s="1"/>
  <c r="AD219" i="1"/>
  <c r="AC219" i="1"/>
  <c r="W63" i="1"/>
  <c r="AA63" i="1" s="1"/>
  <c r="AD63" i="1"/>
  <c r="AC63" i="1"/>
  <c r="W148" i="1"/>
  <c r="AA148" i="1" s="1"/>
  <c r="AD148" i="1"/>
  <c r="AC148" i="1"/>
  <c r="W115" i="1"/>
  <c r="AA115" i="1" s="1"/>
  <c r="AD115" i="1"/>
  <c r="AC115" i="1"/>
  <c r="AD103" i="1"/>
  <c r="W103" i="1"/>
  <c r="AA103" i="1" s="1"/>
  <c r="AC103" i="1"/>
  <c r="U217" i="1"/>
  <c r="V217" i="1" s="1"/>
  <c r="U206" i="1"/>
  <c r="V206" i="1" s="1"/>
  <c r="AB223" i="1"/>
  <c r="W207" i="1"/>
  <c r="AA207" i="1" s="1"/>
  <c r="AD207" i="1"/>
  <c r="AB196" i="1"/>
  <c r="U196" i="1"/>
  <c r="V196" i="1" s="1"/>
  <c r="AC207" i="1"/>
  <c r="W211" i="1"/>
  <c r="AA211" i="1" s="1"/>
  <c r="AD211" i="1"/>
  <c r="U224" i="1"/>
  <c r="V224" i="1" s="1"/>
  <c r="R207" i="1"/>
  <c r="P207" i="1" s="1"/>
  <c r="S207" i="1" s="1"/>
  <c r="M207" i="1" s="1"/>
  <c r="N207" i="1" s="1"/>
  <c r="AD226" i="1"/>
  <c r="W226" i="1"/>
  <c r="AA226" i="1" s="1"/>
  <c r="AB198" i="1"/>
  <c r="AC165" i="1"/>
  <c r="AB189" i="1"/>
  <c r="AB182" i="1"/>
  <c r="U143" i="1"/>
  <c r="V143" i="1" s="1"/>
  <c r="AB167" i="1"/>
  <c r="AB144" i="1"/>
  <c r="U110" i="1"/>
  <c r="V110" i="1" s="1"/>
  <c r="AB168" i="1"/>
  <c r="W123" i="1"/>
  <c r="AA123" i="1" s="1"/>
  <c r="AD123" i="1"/>
  <c r="AE123" i="1" s="1"/>
  <c r="AD133" i="1"/>
  <c r="W133" i="1"/>
  <c r="AA133" i="1" s="1"/>
  <c r="AC133" i="1"/>
  <c r="U100" i="1"/>
  <c r="V100" i="1" s="1"/>
  <c r="AB79" i="1"/>
  <c r="U43" i="1"/>
  <c r="V43" i="1" s="1"/>
  <c r="U62" i="1"/>
  <c r="V62" i="1" s="1"/>
  <c r="AB118" i="1"/>
  <c r="R118" i="1"/>
  <c r="P118" i="1" s="1"/>
  <c r="S118" i="1" s="1"/>
  <c r="M118" i="1" s="1"/>
  <c r="N118" i="1" s="1"/>
  <c r="W71" i="1"/>
  <c r="AA71" i="1" s="1"/>
  <c r="AD71" i="1"/>
  <c r="AE71" i="1" s="1"/>
  <c r="AC71" i="1"/>
  <c r="W59" i="1"/>
  <c r="AA59" i="1" s="1"/>
  <c r="AD59" i="1"/>
  <c r="U65" i="1"/>
  <c r="V65" i="1" s="1"/>
  <c r="AB65" i="1"/>
  <c r="U64" i="1"/>
  <c r="V64" i="1" s="1"/>
  <c r="U38" i="1"/>
  <c r="V38" i="1" s="1"/>
  <c r="AB29" i="1"/>
  <c r="AB53" i="1"/>
  <c r="R53" i="1"/>
  <c r="P53" i="1" s="1"/>
  <c r="S53" i="1" s="1"/>
  <c r="M53" i="1" s="1"/>
  <c r="N53" i="1" s="1"/>
  <c r="AB26" i="1"/>
  <c r="AB31" i="1"/>
  <c r="W17" i="1"/>
  <c r="AA17" i="1" s="1"/>
  <c r="AD17" i="1"/>
  <c r="U213" i="1"/>
  <c r="V213" i="1" s="1"/>
  <c r="U212" i="1"/>
  <c r="V212" i="1" s="1"/>
  <c r="U193" i="1"/>
  <c r="V193" i="1" s="1"/>
  <c r="W215" i="1"/>
  <c r="AA215" i="1" s="1"/>
  <c r="AD215" i="1"/>
  <c r="AB204" i="1"/>
  <c r="U179" i="1"/>
  <c r="V179" i="1" s="1"/>
  <c r="AB194" i="1"/>
  <c r="U216" i="1"/>
  <c r="V216" i="1" s="1"/>
  <c r="U139" i="1"/>
  <c r="V139" i="1" s="1"/>
  <c r="AB185" i="1"/>
  <c r="AB172" i="1"/>
  <c r="AB155" i="1"/>
  <c r="W137" i="1"/>
  <c r="AA137" i="1" s="1"/>
  <c r="AD137" i="1"/>
  <c r="AC137" i="1"/>
  <c r="U153" i="1"/>
  <c r="V153" i="1" s="1"/>
  <c r="AB132" i="1"/>
  <c r="U223" i="1"/>
  <c r="V223" i="1" s="1"/>
  <c r="R223" i="1" s="1"/>
  <c r="P223" i="1" s="1"/>
  <c r="S223" i="1" s="1"/>
  <c r="M223" i="1" s="1"/>
  <c r="N223" i="1" s="1"/>
  <c r="AB159" i="1"/>
  <c r="U106" i="1"/>
  <c r="V106" i="1" s="1"/>
  <c r="AD146" i="1"/>
  <c r="W146" i="1"/>
  <c r="AA146" i="1" s="1"/>
  <c r="R146" i="1"/>
  <c r="P146" i="1" s="1"/>
  <c r="S146" i="1" s="1"/>
  <c r="M146" i="1" s="1"/>
  <c r="N146" i="1" s="1"/>
  <c r="AB124" i="1"/>
  <c r="U128" i="1"/>
  <c r="V128" i="1" s="1"/>
  <c r="U116" i="1"/>
  <c r="V116" i="1" s="1"/>
  <c r="AB136" i="1"/>
  <c r="R122" i="1"/>
  <c r="P122" i="1" s="1"/>
  <c r="S122" i="1" s="1"/>
  <c r="M122" i="1" s="1"/>
  <c r="N122" i="1" s="1"/>
  <c r="AB122" i="1"/>
  <c r="AB120" i="1"/>
  <c r="AB93" i="1"/>
  <c r="AB107" i="1"/>
  <c r="U119" i="1"/>
  <c r="V119" i="1" s="1"/>
  <c r="U39" i="1"/>
  <c r="V39" i="1" s="1"/>
  <c r="AB69" i="1"/>
  <c r="U69" i="1"/>
  <c r="V69" i="1" s="1"/>
  <c r="AB96" i="1"/>
  <c r="AD95" i="1"/>
  <c r="W95" i="1"/>
  <c r="AA95" i="1" s="1"/>
  <c r="R87" i="1"/>
  <c r="P87" i="1" s="1"/>
  <c r="S87" i="1" s="1"/>
  <c r="M87" i="1" s="1"/>
  <c r="N87" i="1" s="1"/>
  <c r="AB87" i="1"/>
  <c r="U77" i="1"/>
  <c r="V77" i="1" s="1"/>
  <c r="AB77" i="1"/>
  <c r="W105" i="1"/>
  <c r="AA105" i="1" s="1"/>
  <c r="AD105" i="1"/>
  <c r="AC105" i="1"/>
  <c r="AB44" i="1"/>
  <c r="U120" i="1"/>
  <c r="V120" i="1" s="1"/>
  <c r="R120" i="1" s="1"/>
  <c r="P120" i="1" s="1"/>
  <c r="S120" i="1" s="1"/>
  <c r="M120" i="1" s="1"/>
  <c r="N120" i="1" s="1"/>
  <c r="AD24" i="1"/>
  <c r="AE24" i="1" s="1"/>
  <c r="W24" i="1"/>
  <c r="AA24" i="1" s="1"/>
  <c r="AB47" i="1"/>
  <c r="AB112" i="1"/>
  <c r="AB56" i="1"/>
  <c r="U25" i="1"/>
  <c r="V25" i="1" s="1"/>
  <c r="R20" i="1"/>
  <c r="P20" i="1" s="1"/>
  <c r="S20" i="1" s="1"/>
  <c r="M20" i="1" s="1"/>
  <c r="N20" i="1" s="1"/>
  <c r="U209" i="1"/>
  <c r="V209" i="1" s="1"/>
  <c r="R192" i="1"/>
  <c r="P192" i="1" s="1"/>
  <c r="S192" i="1" s="1"/>
  <c r="M192" i="1" s="1"/>
  <c r="N192" i="1" s="1"/>
  <c r="AB192" i="1"/>
  <c r="U192" i="1"/>
  <c r="V192" i="1" s="1"/>
  <c r="AB217" i="1"/>
  <c r="R217" i="1"/>
  <c r="P217" i="1" s="1"/>
  <c r="S217" i="1" s="1"/>
  <c r="M217" i="1" s="1"/>
  <c r="N217" i="1" s="1"/>
  <c r="U200" i="1"/>
  <c r="V200" i="1" s="1"/>
  <c r="U220" i="1"/>
  <c r="V220" i="1" s="1"/>
  <c r="W203" i="1"/>
  <c r="AA203" i="1" s="1"/>
  <c r="AD203" i="1"/>
  <c r="AC203" i="1"/>
  <c r="AD173" i="1"/>
  <c r="AE173" i="1" s="1"/>
  <c r="W173" i="1"/>
  <c r="AA173" i="1" s="1"/>
  <c r="R180" i="1"/>
  <c r="P180" i="1" s="1"/>
  <c r="S180" i="1" s="1"/>
  <c r="M180" i="1" s="1"/>
  <c r="N180" i="1" s="1"/>
  <c r="U180" i="1"/>
  <c r="V180" i="1" s="1"/>
  <c r="AB180" i="1"/>
  <c r="R152" i="1"/>
  <c r="P152" i="1" s="1"/>
  <c r="S152" i="1" s="1"/>
  <c r="M152" i="1" s="1"/>
  <c r="N152" i="1" s="1"/>
  <c r="AB152" i="1"/>
  <c r="R137" i="1"/>
  <c r="P137" i="1" s="1"/>
  <c r="S137" i="1" s="1"/>
  <c r="M137" i="1" s="1"/>
  <c r="N137" i="1" s="1"/>
  <c r="AB137" i="1"/>
  <c r="U124" i="1"/>
  <c r="V124" i="1" s="1"/>
  <c r="W175" i="1"/>
  <c r="AA175" i="1" s="1"/>
  <c r="AD175" i="1"/>
  <c r="AE175" i="1" s="1"/>
  <c r="AC175" i="1"/>
  <c r="AB161" i="1"/>
  <c r="U161" i="1"/>
  <c r="V161" i="1" s="1"/>
  <c r="AC154" i="1"/>
  <c r="U136" i="1"/>
  <c r="V136" i="1" s="1"/>
  <c r="R173" i="1"/>
  <c r="P173" i="1" s="1"/>
  <c r="S173" i="1" s="1"/>
  <c r="M173" i="1" s="1"/>
  <c r="N173" i="1" s="1"/>
  <c r="R142" i="1"/>
  <c r="P142" i="1" s="1"/>
  <c r="S142" i="1" s="1"/>
  <c r="M142" i="1" s="1"/>
  <c r="N142" i="1" s="1"/>
  <c r="AB142" i="1"/>
  <c r="AB140" i="1"/>
  <c r="U102" i="1"/>
  <c r="V102" i="1" s="1"/>
  <c r="U186" i="1"/>
  <c r="V186" i="1" s="1"/>
  <c r="R115" i="1"/>
  <c r="P115" i="1" s="1"/>
  <c r="S115" i="1" s="1"/>
  <c r="M115" i="1" s="1"/>
  <c r="N115" i="1" s="1"/>
  <c r="AB115" i="1"/>
  <c r="AB102" i="1"/>
  <c r="R102" i="1"/>
  <c r="P102" i="1" s="1"/>
  <c r="S102" i="1" s="1"/>
  <c r="M102" i="1" s="1"/>
  <c r="N102" i="1" s="1"/>
  <c r="AB104" i="1"/>
  <c r="U90" i="1"/>
  <c r="V90" i="1" s="1"/>
  <c r="U74" i="1"/>
  <c r="V74" i="1" s="1"/>
  <c r="U35" i="1"/>
  <c r="V35" i="1" s="1"/>
  <c r="AB95" i="1"/>
  <c r="R95" i="1"/>
  <c r="P95" i="1" s="1"/>
  <c r="S95" i="1" s="1"/>
  <c r="M95" i="1" s="1"/>
  <c r="N95" i="1" s="1"/>
  <c r="AB62" i="1"/>
  <c r="R62" i="1"/>
  <c r="P62" i="1" s="1"/>
  <c r="S62" i="1" s="1"/>
  <c r="M62" i="1" s="1"/>
  <c r="N62" i="1" s="1"/>
  <c r="AB55" i="1"/>
  <c r="AB111" i="1"/>
  <c r="R111" i="1"/>
  <c r="P111" i="1" s="1"/>
  <c r="S111" i="1" s="1"/>
  <c r="M111" i="1" s="1"/>
  <c r="N111" i="1" s="1"/>
  <c r="R89" i="1"/>
  <c r="P89" i="1" s="1"/>
  <c r="S89" i="1" s="1"/>
  <c r="M89" i="1" s="1"/>
  <c r="N89" i="1" s="1"/>
  <c r="AB89" i="1"/>
  <c r="AB106" i="1"/>
  <c r="R106" i="1"/>
  <c r="P106" i="1" s="1"/>
  <c r="S106" i="1" s="1"/>
  <c r="M106" i="1" s="1"/>
  <c r="N106" i="1" s="1"/>
  <c r="AB83" i="1"/>
  <c r="U83" i="1"/>
  <c r="V83" i="1" s="1"/>
  <c r="AB99" i="1"/>
  <c r="R99" i="1"/>
  <c r="P99" i="1" s="1"/>
  <c r="S99" i="1" s="1"/>
  <c r="M99" i="1" s="1"/>
  <c r="N99" i="1" s="1"/>
  <c r="AB86" i="1"/>
  <c r="U70" i="1"/>
  <c r="V70" i="1" s="1"/>
  <c r="U54" i="1"/>
  <c r="V54" i="1" s="1"/>
  <c r="U42" i="1"/>
  <c r="V42" i="1" s="1"/>
  <c r="U22" i="1"/>
  <c r="V22" i="1" s="1"/>
  <c r="AD36" i="1"/>
  <c r="W36" i="1"/>
  <c r="AA36" i="1" s="1"/>
  <c r="AB34" i="1"/>
  <c r="AB28" i="1"/>
  <c r="R22" i="1"/>
  <c r="P22" i="1" s="1"/>
  <c r="S22" i="1" s="1"/>
  <c r="M22" i="1" s="1"/>
  <c r="N22" i="1" s="1"/>
  <c r="AB22" i="1"/>
  <c r="AC36" i="1"/>
  <c r="U67" i="1"/>
  <c r="V67" i="1" s="1"/>
  <c r="AD48" i="1"/>
  <c r="AE48" i="1" s="1"/>
  <c r="W48" i="1"/>
  <c r="AA48" i="1" s="1"/>
  <c r="AB23" i="1"/>
  <c r="R23" i="1"/>
  <c r="P23" i="1" s="1"/>
  <c r="S23" i="1" s="1"/>
  <c r="M23" i="1" s="1"/>
  <c r="N23" i="1" s="1"/>
  <c r="U23" i="1"/>
  <c r="V23" i="1" s="1"/>
  <c r="R36" i="1"/>
  <c r="P36" i="1" s="1"/>
  <c r="S36" i="1" s="1"/>
  <c r="M36" i="1" s="1"/>
  <c r="N36" i="1" s="1"/>
  <c r="U205" i="1"/>
  <c r="V205" i="1" s="1"/>
  <c r="U189" i="1"/>
  <c r="V189" i="1" s="1"/>
  <c r="AB221" i="1"/>
  <c r="AB186" i="1"/>
  <c r="R186" i="1"/>
  <c r="P186" i="1" s="1"/>
  <c r="S186" i="1" s="1"/>
  <c r="M186" i="1" s="1"/>
  <c r="N186" i="1" s="1"/>
  <c r="U208" i="1"/>
  <c r="V208" i="1" s="1"/>
  <c r="U181" i="1"/>
  <c r="V181" i="1" s="1"/>
  <c r="R148" i="1"/>
  <c r="P148" i="1" s="1"/>
  <c r="S148" i="1" s="1"/>
  <c r="M148" i="1" s="1"/>
  <c r="N148" i="1" s="1"/>
  <c r="AB148" i="1"/>
  <c r="AB176" i="1"/>
  <c r="R176" i="1"/>
  <c r="P176" i="1" s="1"/>
  <c r="S176" i="1" s="1"/>
  <c r="M176" i="1" s="1"/>
  <c r="N176" i="1" s="1"/>
  <c r="U176" i="1"/>
  <c r="V176" i="1" s="1"/>
  <c r="U98" i="1"/>
  <c r="V98" i="1" s="1"/>
  <c r="AD127" i="1"/>
  <c r="W127" i="1"/>
  <c r="AA127" i="1" s="1"/>
  <c r="AB138" i="1"/>
  <c r="U114" i="1"/>
  <c r="V114" i="1" s="1"/>
  <c r="W142" i="1"/>
  <c r="AA142" i="1" s="1"/>
  <c r="AD142" i="1"/>
  <c r="AC142" i="1"/>
  <c r="AD87" i="1"/>
  <c r="AC87" i="1"/>
  <c r="W87" i="1"/>
  <c r="AA87" i="1" s="1"/>
  <c r="U138" i="1"/>
  <c r="V138" i="1" s="1"/>
  <c r="AC118" i="1"/>
  <c r="W118" i="1"/>
  <c r="AA118" i="1" s="1"/>
  <c r="AD118" i="1"/>
  <c r="AE118" i="1" s="1"/>
  <c r="U92" i="1"/>
  <c r="V92" i="1" s="1"/>
  <c r="AB103" i="1"/>
  <c r="R103" i="1"/>
  <c r="P103" i="1" s="1"/>
  <c r="S103" i="1" s="1"/>
  <c r="M103" i="1" s="1"/>
  <c r="N103" i="1" s="1"/>
  <c r="AD99" i="1"/>
  <c r="AE99" i="1" s="1"/>
  <c r="W99" i="1"/>
  <c r="AA99" i="1" s="1"/>
  <c r="W89" i="1"/>
  <c r="AA89" i="1" s="1"/>
  <c r="AD89" i="1"/>
  <c r="AC89" i="1"/>
  <c r="U31" i="1"/>
  <c r="V31" i="1" s="1"/>
  <c r="R61" i="1"/>
  <c r="P61" i="1" s="1"/>
  <c r="S61" i="1" s="1"/>
  <c r="M61" i="1" s="1"/>
  <c r="N61" i="1" s="1"/>
  <c r="AB61" i="1"/>
  <c r="AB128" i="1"/>
  <c r="R128" i="1"/>
  <c r="P128" i="1" s="1"/>
  <c r="S128" i="1" s="1"/>
  <c r="M128" i="1" s="1"/>
  <c r="N128" i="1" s="1"/>
  <c r="AB51" i="1"/>
  <c r="AB82" i="1"/>
  <c r="AC59" i="1"/>
  <c r="U34" i="1"/>
  <c r="V34" i="1" s="1"/>
  <c r="R34" i="1" s="1"/>
  <c r="P34" i="1" s="1"/>
  <c r="S34" i="1" s="1"/>
  <c r="M34" i="1" s="1"/>
  <c r="N34" i="1" s="1"/>
  <c r="AB45" i="1"/>
  <c r="AB60" i="1"/>
  <c r="R33" i="1"/>
  <c r="P33" i="1" s="1"/>
  <c r="S33" i="1" s="1"/>
  <c r="M33" i="1" s="1"/>
  <c r="N33" i="1" s="1"/>
  <c r="AB33" i="1"/>
  <c r="U26" i="1"/>
  <c r="V26" i="1" s="1"/>
  <c r="AB57" i="1"/>
  <c r="R57" i="1"/>
  <c r="P57" i="1" s="1"/>
  <c r="S57" i="1" s="1"/>
  <c r="M57" i="1" s="1"/>
  <c r="N57" i="1" s="1"/>
  <c r="R38" i="1"/>
  <c r="P38" i="1" s="1"/>
  <c r="S38" i="1" s="1"/>
  <c r="M38" i="1" s="1"/>
  <c r="N38" i="1" s="1"/>
  <c r="AB38" i="1"/>
  <c r="AC95" i="1"/>
  <c r="AB75" i="1"/>
  <c r="R75" i="1"/>
  <c r="P75" i="1" s="1"/>
  <c r="S75" i="1" s="1"/>
  <c r="M75" i="1" s="1"/>
  <c r="N75" i="1" s="1"/>
  <c r="U75" i="1"/>
  <c r="V75" i="1" s="1"/>
  <c r="U33" i="1"/>
  <c r="V33" i="1" s="1"/>
  <c r="U222" i="1"/>
  <c r="V222" i="1" s="1"/>
  <c r="U204" i="1"/>
  <c r="V204" i="1" s="1"/>
  <c r="U198" i="1"/>
  <c r="V198" i="1" s="1"/>
  <c r="U172" i="1"/>
  <c r="V172" i="1" s="1"/>
  <c r="R172" i="1" s="1"/>
  <c r="P172" i="1" s="1"/>
  <c r="S172" i="1" s="1"/>
  <c r="M172" i="1" s="1"/>
  <c r="N172" i="1" s="1"/>
  <c r="AB190" i="1"/>
  <c r="U201" i="1"/>
  <c r="V201" i="1" s="1"/>
  <c r="AD165" i="1"/>
  <c r="AE165" i="1" s="1"/>
  <c r="W165" i="1"/>
  <c r="AA165" i="1" s="1"/>
  <c r="AB169" i="1"/>
  <c r="AB213" i="1"/>
  <c r="R213" i="1"/>
  <c r="P213" i="1" s="1"/>
  <c r="S213" i="1" s="1"/>
  <c r="M213" i="1" s="1"/>
  <c r="N213" i="1" s="1"/>
  <c r="AB177" i="1"/>
  <c r="R177" i="1"/>
  <c r="P177" i="1" s="1"/>
  <c r="S177" i="1" s="1"/>
  <c r="M177" i="1" s="1"/>
  <c r="N177" i="1" s="1"/>
  <c r="U191" i="1"/>
  <c r="V191" i="1" s="1"/>
  <c r="U132" i="1"/>
  <c r="V132" i="1" s="1"/>
  <c r="R132" i="1" s="1"/>
  <c r="P132" i="1" s="1"/>
  <c r="S132" i="1" s="1"/>
  <c r="M132" i="1" s="1"/>
  <c r="N132" i="1" s="1"/>
  <c r="W174" i="1"/>
  <c r="AA174" i="1" s="1"/>
  <c r="AD174" i="1"/>
  <c r="AB164" i="1"/>
  <c r="R164" i="1"/>
  <c r="P164" i="1" s="1"/>
  <c r="S164" i="1" s="1"/>
  <c r="M164" i="1" s="1"/>
  <c r="N164" i="1" s="1"/>
  <c r="W151" i="1"/>
  <c r="AA151" i="1" s="1"/>
  <c r="AD151" i="1"/>
  <c r="AE151" i="1" s="1"/>
  <c r="R151" i="1"/>
  <c r="P151" i="1" s="1"/>
  <c r="S151" i="1" s="1"/>
  <c r="M151" i="1" s="1"/>
  <c r="N151" i="1" s="1"/>
  <c r="W147" i="1"/>
  <c r="AA147" i="1" s="1"/>
  <c r="AD147" i="1"/>
  <c r="R147" i="1"/>
  <c r="P147" i="1" s="1"/>
  <c r="S147" i="1" s="1"/>
  <c r="M147" i="1" s="1"/>
  <c r="N147" i="1" s="1"/>
  <c r="W152" i="1"/>
  <c r="AA152" i="1" s="1"/>
  <c r="AD152" i="1"/>
  <c r="AE152" i="1" s="1"/>
  <c r="AB117" i="1"/>
  <c r="AD158" i="1"/>
  <c r="W158" i="1"/>
  <c r="AA158" i="1" s="1"/>
  <c r="W162" i="1"/>
  <c r="AA162" i="1" s="1"/>
  <c r="AD162" i="1"/>
  <c r="AE162" i="1" s="1"/>
  <c r="W122" i="1"/>
  <c r="AA122" i="1" s="1"/>
  <c r="AD122" i="1"/>
  <c r="AE122" i="1" s="1"/>
  <c r="AC122" i="1"/>
  <c r="AD154" i="1"/>
  <c r="AE154" i="1" s="1"/>
  <c r="W154" i="1"/>
  <c r="AA154" i="1" s="1"/>
  <c r="W126" i="1"/>
  <c r="AA126" i="1" s="1"/>
  <c r="AD126" i="1"/>
  <c r="U135" i="1"/>
  <c r="V135" i="1" s="1"/>
  <c r="U86" i="1"/>
  <c r="V86" i="1" s="1"/>
  <c r="R86" i="1" s="1"/>
  <c r="P86" i="1" s="1"/>
  <c r="S86" i="1" s="1"/>
  <c r="M86" i="1" s="1"/>
  <c r="N86" i="1" s="1"/>
  <c r="U27" i="1"/>
  <c r="V27" i="1" s="1"/>
  <c r="U68" i="1"/>
  <c r="V68" i="1" s="1"/>
  <c r="U94" i="1"/>
  <c r="V94" i="1" s="1"/>
  <c r="U170" i="1"/>
  <c r="V170" i="1" s="1"/>
  <c r="W53" i="1"/>
  <c r="AA53" i="1" s="1"/>
  <c r="AD53" i="1"/>
  <c r="W131" i="1"/>
  <c r="AA131" i="1" s="1"/>
  <c r="AD131" i="1"/>
  <c r="AE131" i="1" s="1"/>
  <c r="AD125" i="1"/>
  <c r="AE125" i="1" s="1"/>
  <c r="AC125" i="1"/>
  <c r="W125" i="1"/>
  <c r="AA125" i="1" s="1"/>
  <c r="U73" i="1"/>
  <c r="V73" i="1" s="1"/>
  <c r="U56" i="1"/>
  <c r="V56" i="1" s="1"/>
  <c r="AB40" i="1"/>
  <c r="R40" i="1"/>
  <c r="P40" i="1" s="1"/>
  <c r="S40" i="1" s="1"/>
  <c r="M40" i="1" s="1"/>
  <c r="N40" i="1" s="1"/>
  <c r="AD52" i="1"/>
  <c r="W52" i="1"/>
  <c r="AA52" i="1" s="1"/>
  <c r="R63" i="1"/>
  <c r="P63" i="1" s="1"/>
  <c r="S63" i="1" s="1"/>
  <c r="M63" i="1" s="1"/>
  <c r="N63" i="1" s="1"/>
  <c r="AB63" i="1"/>
  <c r="U46" i="1"/>
  <c r="V46" i="1" s="1"/>
  <c r="AD20" i="1"/>
  <c r="AE20" i="1" s="1"/>
  <c r="W20" i="1"/>
  <c r="AA20" i="1" s="1"/>
  <c r="U40" i="1"/>
  <c r="V40" i="1" s="1"/>
  <c r="R37" i="1"/>
  <c r="P37" i="1" s="1"/>
  <c r="S37" i="1" s="1"/>
  <c r="M37" i="1" s="1"/>
  <c r="N37" i="1" s="1"/>
  <c r="AB37" i="1"/>
  <c r="W58" i="1"/>
  <c r="AA58" i="1" s="1"/>
  <c r="AD58" i="1"/>
  <c r="AC58" i="1"/>
  <c r="AB64" i="1"/>
  <c r="R64" i="1"/>
  <c r="P64" i="1" s="1"/>
  <c r="S64" i="1" s="1"/>
  <c r="M64" i="1" s="1"/>
  <c r="N64" i="1" s="1"/>
  <c r="U218" i="1"/>
  <c r="V218" i="1" s="1"/>
  <c r="AB209" i="1"/>
  <c r="R209" i="1"/>
  <c r="P209" i="1" s="1"/>
  <c r="S209" i="1" s="1"/>
  <c r="M209" i="1" s="1"/>
  <c r="N209" i="1" s="1"/>
  <c r="U185" i="1"/>
  <c r="V185" i="1" s="1"/>
  <c r="R185" i="1" s="1"/>
  <c r="P185" i="1" s="1"/>
  <c r="S185" i="1" s="1"/>
  <c r="M185" i="1" s="1"/>
  <c r="N185" i="1" s="1"/>
  <c r="AC215" i="1"/>
  <c r="R215" i="1"/>
  <c r="P215" i="1" s="1"/>
  <c r="S215" i="1" s="1"/>
  <c r="M215" i="1" s="1"/>
  <c r="N215" i="1" s="1"/>
  <c r="AB215" i="1"/>
  <c r="R208" i="1"/>
  <c r="P208" i="1" s="1"/>
  <c r="S208" i="1" s="1"/>
  <c r="M208" i="1" s="1"/>
  <c r="N208" i="1" s="1"/>
  <c r="AB208" i="1"/>
  <c r="U168" i="1"/>
  <c r="V168" i="1" s="1"/>
  <c r="R168" i="1" s="1"/>
  <c r="P168" i="1" s="1"/>
  <c r="S168" i="1" s="1"/>
  <c r="M168" i="1" s="1"/>
  <c r="N168" i="1" s="1"/>
  <c r="AB205" i="1"/>
  <c r="R205" i="1"/>
  <c r="P205" i="1" s="1"/>
  <c r="S205" i="1" s="1"/>
  <c r="M205" i="1" s="1"/>
  <c r="N205" i="1" s="1"/>
  <c r="AB199" i="1"/>
  <c r="U199" i="1"/>
  <c r="V199" i="1" s="1"/>
  <c r="R216" i="1"/>
  <c r="P216" i="1" s="1"/>
  <c r="S216" i="1" s="1"/>
  <c r="M216" i="1" s="1"/>
  <c r="N216" i="1" s="1"/>
  <c r="AB216" i="1"/>
  <c r="AD197" i="1"/>
  <c r="W197" i="1"/>
  <c r="AA197" i="1" s="1"/>
  <c r="AC197" i="1"/>
  <c r="U195" i="1"/>
  <c r="V195" i="1" s="1"/>
  <c r="AB157" i="1"/>
  <c r="U155" i="1"/>
  <c r="V155" i="1" s="1"/>
  <c r="AD150" i="1"/>
  <c r="W150" i="1"/>
  <c r="AA150" i="1" s="1"/>
  <c r="U140" i="1"/>
  <c r="V140" i="1" s="1"/>
  <c r="AB174" i="1"/>
  <c r="R174" i="1"/>
  <c r="P174" i="1" s="1"/>
  <c r="S174" i="1" s="1"/>
  <c r="M174" i="1" s="1"/>
  <c r="N174" i="1" s="1"/>
  <c r="AC151" i="1"/>
  <c r="AB143" i="1"/>
  <c r="R143" i="1"/>
  <c r="P143" i="1" s="1"/>
  <c r="S143" i="1" s="1"/>
  <c r="M143" i="1" s="1"/>
  <c r="N143" i="1" s="1"/>
  <c r="AB129" i="1"/>
  <c r="AB114" i="1"/>
  <c r="R114" i="1"/>
  <c r="P114" i="1" s="1"/>
  <c r="S114" i="1" s="1"/>
  <c r="M114" i="1" s="1"/>
  <c r="N114" i="1" s="1"/>
  <c r="U149" i="1"/>
  <c r="V149" i="1" s="1"/>
  <c r="U78" i="1"/>
  <c r="V78" i="1" s="1"/>
  <c r="U129" i="1"/>
  <c r="V129" i="1" s="1"/>
  <c r="R129" i="1" s="1"/>
  <c r="P129" i="1" s="1"/>
  <c r="S129" i="1" s="1"/>
  <c r="M129" i="1" s="1"/>
  <c r="N129" i="1" s="1"/>
  <c r="U104" i="1"/>
  <c r="V104" i="1" s="1"/>
  <c r="R104" i="1" s="1"/>
  <c r="P104" i="1" s="1"/>
  <c r="S104" i="1" s="1"/>
  <c r="M104" i="1" s="1"/>
  <c r="N104" i="1" s="1"/>
  <c r="U91" i="1"/>
  <c r="V91" i="1" s="1"/>
  <c r="AB91" i="1"/>
  <c r="AB98" i="1"/>
  <c r="R98" i="1"/>
  <c r="P98" i="1" s="1"/>
  <c r="S98" i="1" s="1"/>
  <c r="M98" i="1" s="1"/>
  <c r="N98" i="1" s="1"/>
  <c r="U141" i="1"/>
  <c r="V141" i="1" s="1"/>
  <c r="U55" i="1"/>
  <c r="V55" i="1" s="1"/>
  <c r="U117" i="1"/>
  <c r="V117" i="1" s="1"/>
  <c r="R117" i="1" s="1"/>
  <c r="P117" i="1" s="1"/>
  <c r="S117" i="1" s="1"/>
  <c r="M117" i="1" s="1"/>
  <c r="N117" i="1" s="1"/>
  <c r="U85" i="1"/>
  <c r="V85" i="1" s="1"/>
  <c r="AB85" i="1"/>
  <c r="AB110" i="1"/>
  <c r="R110" i="1"/>
  <c r="P110" i="1" s="1"/>
  <c r="S110" i="1" s="1"/>
  <c r="M110" i="1" s="1"/>
  <c r="N110" i="1" s="1"/>
  <c r="U96" i="1"/>
  <c r="V96" i="1" s="1"/>
  <c r="W97" i="1"/>
  <c r="AA97" i="1" s="1"/>
  <c r="AD97" i="1"/>
  <c r="AC97" i="1"/>
  <c r="W41" i="1"/>
  <c r="AA41" i="1" s="1"/>
  <c r="AD41" i="1"/>
  <c r="U50" i="1"/>
  <c r="V50" i="1" s="1"/>
  <c r="AD32" i="1"/>
  <c r="AE32" i="1" s="1"/>
  <c r="W32" i="1"/>
  <c r="AA32" i="1" s="1"/>
  <c r="AD57" i="1"/>
  <c r="AE57" i="1" s="1"/>
  <c r="W57" i="1"/>
  <c r="AA57" i="1" s="1"/>
  <c r="U160" i="1"/>
  <c r="V160" i="1" s="1"/>
  <c r="R58" i="1"/>
  <c r="P58" i="1" s="1"/>
  <c r="S58" i="1" s="1"/>
  <c r="M58" i="1" s="1"/>
  <c r="N58" i="1" s="1"/>
  <c r="AD72" i="1"/>
  <c r="AE72" i="1" s="1"/>
  <c r="W72" i="1"/>
  <c r="AA72" i="1" s="1"/>
  <c r="AB43" i="1"/>
  <c r="R43" i="1"/>
  <c r="P43" i="1" s="1"/>
  <c r="S43" i="1" s="1"/>
  <c r="M43" i="1" s="1"/>
  <c r="N43" i="1" s="1"/>
  <c r="U107" i="1"/>
  <c r="V107" i="1" s="1"/>
  <c r="R48" i="1"/>
  <c r="P48" i="1" s="1"/>
  <c r="S48" i="1" s="1"/>
  <c r="M48" i="1" s="1"/>
  <c r="N48" i="1" s="1"/>
  <c r="R24" i="1"/>
  <c r="P24" i="1" s="1"/>
  <c r="S24" i="1" s="1"/>
  <c r="M24" i="1" s="1"/>
  <c r="N24" i="1" s="1"/>
  <c r="U29" i="1"/>
  <c r="V29" i="1" s="1"/>
  <c r="U225" i="1"/>
  <c r="V225" i="1" s="1"/>
  <c r="R184" i="1"/>
  <c r="P184" i="1" s="1"/>
  <c r="S184" i="1" s="1"/>
  <c r="M184" i="1" s="1"/>
  <c r="N184" i="1" s="1"/>
  <c r="AB184" i="1"/>
  <c r="U184" i="1"/>
  <c r="V184" i="1" s="1"/>
  <c r="R219" i="1"/>
  <c r="P219" i="1" s="1"/>
  <c r="S219" i="1" s="1"/>
  <c r="M219" i="1" s="1"/>
  <c r="N219" i="1" s="1"/>
  <c r="AB219" i="1"/>
  <c r="R212" i="1"/>
  <c r="P212" i="1" s="1"/>
  <c r="S212" i="1" s="1"/>
  <c r="M212" i="1" s="1"/>
  <c r="N212" i="1" s="1"/>
  <c r="AB212" i="1"/>
  <c r="U202" i="1"/>
  <c r="V202" i="1" s="1"/>
  <c r="U164" i="1"/>
  <c r="V164" i="1" s="1"/>
  <c r="M226" i="1"/>
  <c r="N226" i="1" s="1"/>
  <c r="U194" i="1"/>
  <c r="V194" i="1" s="1"/>
  <c r="U190" i="1"/>
  <c r="V190" i="1" s="1"/>
  <c r="U169" i="1"/>
  <c r="V169" i="1" s="1"/>
  <c r="W171" i="1"/>
  <c r="AA171" i="1" s="1"/>
  <c r="AD171" i="1"/>
  <c r="AE171" i="1" s="1"/>
  <c r="AC171" i="1"/>
  <c r="U163" i="1"/>
  <c r="V163" i="1" s="1"/>
  <c r="U145" i="1"/>
  <c r="V145" i="1" s="1"/>
  <c r="U183" i="1"/>
  <c r="V183" i="1" s="1"/>
  <c r="R163" i="1"/>
  <c r="P163" i="1" s="1"/>
  <c r="S163" i="1" s="1"/>
  <c r="M163" i="1" s="1"/>
  <c r="N163" i="1" s="1"/>
  <c r="AB163" i="1"/>
  <c r="AC162" i="1"/>
  <c r="AB193" i="1"/>
  <c r="R193" i="1"/>
  <c r="P193" i="1" s="1"/>
  <c r="S193" i="1" s="1"/>
  <c r="M193" i="1" s="1"/>
  <c r="N193" i="1" s="1"/>
  <c r="R150" i="1"/>
  <c r="P150" i="1" s="1"/>
  <c r="S150" i="1" s="1"/>
  <c r="M150" i="1" s="1"/>
  <c r="N150" i="1" s="1"/>
  <c r="AB150" i="1"/>
  <c r="W130" i="1"/>
  <c r="AA130" i="1" s="1"/>
  <c r="AD130" i="1"/>
  <c r="AE130" i="1" s="1"/>
  <c r="R162" i="1"/>
  <c r="P162" i="1" s="1"/>
  <c r="S162" i="1" s="1"/>
  <c r="M162" i="1" s="1"/>
  <c r="N162" i="1" s="1"/>
  <c r="AB134" i="1"/>
  <c r="U187" i="1"/>
  <c r="V187" i="1" s="1"/>
  <c r="AC146" i="1"/>
  <c r="R127" i="1"/>
  <c r="P127" i="1" s="1"/>
  <c r="S127" i="1" s="1"/>
  <c r="M127" i="1" s="1"/>
  <c r="N127" i="1" s="1"/>
  <c r="AB127" i="1"/>
  <c r="AC130" i="1"/>
  <c r="AC126" i="1"/>
  <c r="U113" i="1"/>
  <c r="V113" i="1" s="1"/>
  <c r="U134" i="1"/>
  <c r="V134" i="1" s="1"/>
  <c r="AB116" i="1"/>
  <c r="R116" i="1"/>
  <c r="P116" i="1" s="1"/>
  <c r="S116" i="1" s="1"/>
  <c r="M116" i="1" s="1"/>
  <c r="N116" i="1" s="1"/>
  <c r="W84" i="1"/>
  <c r="AA84" i="1" s="1"/>
  <c r="AD84" i="1"/>
  <c r="AE84" i="1" s="1"/>
  <c r="U51" i="1"/>
  <c r="V51" i="1" s="1"/>
  <c r="R51" i="1" s="1"/>
  <c r="P51" i="1" s="1"/>
  <c r="S51" i="1" s="1"/>
  <c r="M51" i="1" s="1"/>
  <c r="N51" i="1" s="1"/>
  <c r="U144" i="1"/>
  <c r="V144" i="1" s="1"/>
  <c r="U108" i="1"/>
  <c r="V108" i="1" s="1"/>
  <c r="W76" i="1"/>
  <c r="AA76" i="1" s="1"/>
  <c r="AD76" i="1"/>
  <c r="AE76" i="1" s="1"/>
  <c r="R76" i="1"/>
  <c r="P76" i="1" s="1"/>
  <c r="S76" i="1" s="1"/>
  <c r="M76" i="1" s="1"/>
  <c r="N76" i="1" s="1"/>
  <c r="U60" i="1"/>
  <c r="V60" i="1" s="1"/>
  <c r="R60" i="1" s="1"/>
  <c r="P60" i="1" s="1"/>
  <c r="S60" i="1" s="1"/>
  <c r="M60" i="1" s="1"/>
  <c r="N60" i="1" s="1"/>
  <c r="U66" i="1"/>
  <c r="V66" i="1" s="1"/>
  <c r="U88" i="1"/>
  <c r="V88" i="1" s="1"/>
  <c r="U112" i="1"/>
  <c r="V112" i="1" s="1"/>
  <c r="R112" i="1" s="1"/>
  <c r="P112" i="1" s="1"/>
  <c r="S112" i="1" s="1"/>
  <c r="M112" i="1" s="1"/>
  <c r="N112" i="1" s="1"/>
  <c r="U30" i="1"/>
  <c r="V30" i="1" s="1"/>
  <c r="AB52" i="1"/>
  <c r="R52" i="1"/>
  <c r="P52" i="1" s="1"/>
  <c r="S52" i="1" s="1"/>
  <c r="M52" i="1" s="1"/>
  <c r="N52" i="1" s="1"/>
  <c r="U79" i="1"/>
  <c r="V79" i="1" s="1"/>
  <c r="R79" i="1" s="1"/>
  <c r="P79" i="1" s="1"/>
  <c r="S79" i="1" s="1"/>
  <c r="M79" i="1" s="1"/>
  <c r="N79" i="1" s="1"/>
  <c r="U18" i="1"/>
  <c r="V18" i="1" s="1"/>
  <c r="AC53" i="1"/>
  <c r="R25" i="1"/>
  <c r="P25" i="1" s="1"/>
  <c r="S25" i="1" s="1"/>
  <c r="M25" i="1" s="1"/>
  <c r="N25" i="1" s="1"/>
  <c r="AB25" i="1"/>
  <c r="AB19" i="1"/>
  <c r="R19" i="1"/>
  <c r="P19" i="1" s="1"/>
  <c r="S19" i="1" s="1"/>
  <c r="M19" i="1" s="1"/>
  <c r="N19" i="1" s="1"/>
  <c r="U19" i="1"/>
  <c r="V19" i="1" s="1"/>
  <c r="AC52" i="1"/>
  <c r="AB49" i="1"/>
  <c r="R49" i="1"/>
  <c r="P49" i="1" s="1"/>
  <c r="S49" i="1" s="1"/>
  <c r="M49" i="1" s="1"/>
  <c r="N49" i="1" s="1"/>
  <c r="W21" i="1"/>
  <c r="AA21" i="1" s="1"/>
  <c r="AD21" i="1"/>
  <c r="AE21" i="1" s="1"/>
  <c r="R188" i="1"/>
  <c r="P188" i="1" s="1"/>
  <c r="S188" i="1" s="1"/>
  <c r="M188" i="1" s="1"/>
  <c r="N188" i="1" s="1"/>
  <c r="AB188" i="1"/>
  <c r="U188" i="1"/>
  <c r="V188" i="1" s="1"/>
  <c r="AB225" i="1"/>
  <c r="R225" i="1"/>
  <c r="P225" i="1" s="1"/>
  <c r="S225" i="1" s="1"/>
  <c r="M225" i="1" s="1"/>
  <c r="N225" i="1" s="1"/>
  <c r="U214" i="1"/>
  <c r="V214" i="1" s="1"/>
  <c r="AB201" i="1"/>
  <c r="R201" i="1"/>
  <c r="P201" i="1" s="1"/>
  <c r="S201" i="1" s="1"/>
  <c r="M201" i="1" s="1"/>
  <c r="N201" i="1" s="1"/>
  <c r="U221" i="1"/>
  <c r="V221" i="1" s="1"/>
  <c r="U210" i="1"/>
  <c r="V210" i="1" s="1"/>
  <c r="R211" i="1"/>
  <c r="P211" i="1" s="1"/>
  <c r="S211" i="1" s="1"/>
  <c r="M211" i="1" s="1"/>
  <c r="N211" i="1" s="1"/>
  <c r="AB211" i="1"/>
  <c r="AC226" i="1"/>
  <c r="U182" i="1"/>
  <c r="V182" i="1" s="1"/>
  <c r="U157" i="1"/>
  <c r="V157" i="1" s="1"/>
  <c r="R197" i="1"/>
  <c r="P197" i="1" s="1"/>
  <c r="S197" i="1" s="1"/>
  <c r="M197" i="1" s="1"/>
  <c r="N197" i="1" s="1"/>
  <c r="AB197" i="1"/>
  <c r="U166" i="1"/>
  <c r="V166" i="1" s="1"/>
  <c r="AC158" i="1"/>
  <c r="U159" i="1"/>
  <c r="V159" i="1" s="1"/>
  <c r="AB187" i="1"/>
  <c r="R187" i="1"/>
  <c r="P187" i="1" s="1"/>
  <c r="S187" i="1" s="1"/>
  <c r="M187" i="1" s="1"/>
  <c r="N187" i="1" s="1"/>
  <c r="AB158" i="1"/>
  <c r="R158" i="1"/>
  <c r="P158" i="1" s="1"/>
  <c r="S158" i="1" s="1"/>
  <c r="M158" i="1" s="1"/>
  <c r="N158" i="1" s="1"/>
  <c r="U167" i="1"/>
  <c r="V167" i="1" s="1"/>
  <c r="R167" i="1" s="1"/>
  <c r="P167" i="1" s="1"/>
  <c r="S167" i="1" s="1"/>
  <c r="M167" i="1" s="1"/>
  <c r="N167" i="1" s="1"/>
  <c r="AB153" i="1"/>
  <c r="R153" i="1"/>
  <c r="P153" i="1" s="1"/>
  <c r="S153" i="1" s="1"/>
  <c r="M153" i="1" s="1"/>
  <c r="N153" i="1" s="1"/>
  <c r="AB135" i="1"/>
  <c r="R135" i="1"/>
  <c r="P135" i="1" s="1"/>
  <c r="S135" i="1" s="1"/>
  <c r="M135" i="1" s="1"/>
  <c r="N135" i="1" s="1"/>
  <c r="W156" i="1"/>
  <c r="AA156" i="1" s="1"/>
  <c r="AC156" i="1"/>
  <c r="AD156" i="1"/>
  <c r="AE156" i="1" s="1"/>
  <c r="AC127" i="1"/>
  <c r="AD121" i="1"/>
  <c r="AE121" i="1" s="1"/>
  <c r="W121" i="1"/>
  <c r="AA121" i="1" s="1"/>
  <c r="R121" i="1"/>
  <c r="P121" i="1" s="1"/>
  <c r="S121" i="1" s="1"/>
  <c r="M121" i="1" s="1"/>
  <c r="N121" i="1" s="1"/>
  <c r="AC121" i="1"/>
  <c r="AC147" i="1"/>
  <c r="AB113" i="1"/>
  <c r="AB139" i="1"/>
  <c r="R139" i="1"/>
  <c r="P139" i="1" s="1"/>
  <c r="S139" i="1" s="1"/>
  <c r="M139" i="1" s="1"/>
  <c r="N139" i="1" s="1"/>
  <c r="U101" i="1"/>
  <c r="V101" i="1" s="1"/>
  <c r="U82" i="1"/>
  <c r="V82" i="1" s="1"/>
  <c r="R82" i="1" s="1"/>
  <c r="P82" i="1" s="1"/>
  <c r="S82" i="1" s="1"/>
  <c r="M82" i="1" s="1"/>
  <c r="N82" i="1" s="1"/>
  <c r="U47" i="1"/>
  <c r="V47" i="1" s="1"/>
  <c r="R47" i="1" s="1"/>
  <c r="P47" i="1" s="1"/>
  <c r="S47" i="1" s="1"/>
  <c r="M47" i="1" s="1"/>
  <c r="N47" i="1" s="1"/>
  <c r="R67" i="1"/>
  <c r="P67" i="1" s="1"/>
  <c r="S67" i="1" s="1"/>
  <c r="M67" i="1" s="1"/>
  <c r="N67" i="1" s="1"/>
  <c r="AB67" i="1"/>
  <c r="W49" i="1"/>
  <c r="AA49" i="1" s="1"/>
  <c r="AD49" i="1"/>
  <c r="AE49" i="1" s="1"/>
  <c r="U109" i="1"/>
  <c r="V109" i="1" s="1"/>
  <c r="R41" i="1"/>
  <c r="P41" i="1" s="1"/>
  <c r="S41" i="1" s="1"/>
  <c r="M41" i="1" s="1"/>
  <c r="N41" i="1" s="1"/>
  <c r="AB41" i="1"/>
  <c r="AE80" i="1"/>
  <c r="R30" i="1"/>
  <c r="P30" i="1" s="1"/>
  <c r="S30" i="1" s="1"/>
  <c r="M30" i="1" s="1"/>
  <c r="N30" i="1" s="1"/>
  <c r="AB30" i="1"/>
  <c r="U93" i="1"/>
  <c r="V93" i="1" s="1"/>
  <c r="R93" i="1" s="1"/>
  <c r="P93" i="1" s="1"/>
  <c r="S93" i="1" s="1"/>
  <c r="M93" i="1" s="1"/>
  <c r="N93" i="1" s="1"/>
  <c r="AB74" i="1"/>
  <c r="R74" i="1"/>
  <c r="P74" i="1" s="1"/>
  <c r="S74" i="1" s="1"/>
  <c r="M74" i="1" s="1"/>
  <c r="N74" i="1" s="1"/>
  <c r="U44" i="1"/>
  <c r="V44" i="1" s="1"/>
  <c r="R44" i="1" s="1"/>
  <c r="P44" i="1" s="1"/>
  <c r="S44" i="1" s="1"/>
  <c r="M44" i="1" s="1"/>
  <c r="N44" i="1" s="1"/>
  <c r="U28" i="1"/>
  <c r="V28" i="1" s="1"/>
  <c r="U45" i="1"/>
  <c r="V45" i="1" s="1"/>
  <c r="R17" i="1"/>
  <c r="P17" i="1" s="1"/>
  <c r="S17" i="1" s="1"/>
  <c r="M17" i="1" s="1"/>
  <c r="N17" i="1" s="1"/>
  <c r="AB17" i="1"/>
  <c r="AB18" i="1"/>
  <c r="R18" i="1"/>
  <c r="P18" i="1" s="1"/>
  <c r="S18" i="1" s="1"/>
  <c r="M18" i="1" s="1"/>
  <c r="N18" i="1" s="1"/>
  <c r="AC17" i="1"/>
  <c r="W157" i="1" l="1"/>
  <c r="AA157" i="1" s="1"/>
  <c r="AD157" i="1"/>
  <c r="AC157" i="1"/>
  <c r="AD210" i="1"/>
  <c r="AE210" i="1" s="1"/>
  <c r="W210" i="1"/>
  <c r="AA210" i="1" s="1"/>
  <c r="AC210" i="1"/>
  <c r="R210" i="1"/>
  <c r="P210" i="1" s="1"/>
  <c r="S210" i="1" s="1"/>
  <c r="M210" i="1" s="1"/>
  <c r="N210" i="1" s="1"/>
  <c r="AD18" i="1"/>
  <c r="AC18" i="1"/>
  <c r="W18" i="1"/>
  <c r="AA18" i="1" s="1"/>
  <c r="AD184" i="1"/>
  <c r="AC184" i="1"/>
  <c r="W184" i="1"/>
  <c r="AA184" i="1" s="1"/>
  <c r="AD107" i="1"/>
  <c r="W107" i="1"/>
  <c r="AA107" i="1" s="1"/>
  <c r="AC107" i="1"/>
  <c r="AD85" i="1"/>
  <c r="AE85" i="1" s="1"/>
  <c r="AC85" i="1"/>
  <c r="W85" i="1"/>
  <c r="AA85" i="1" s="1"/>
  <c r="AD155" i="1"/>
  <c r="AE155" i="1" s="1"/>
  <c r="W155" i="1"/>
  <c r="AA155" i="1" s="1"/>
  <c r="AC155" i="1"/>
  <c r="W73" i="1"/>
  <c r="AA73" i="1" s="1"/>
  <c r="AD73" i="1"/>
  <c r="AC73" i="1"/>
  <c r="R73" i="1"/>
  <c r="P73" i="1" s="1"/>
  <c r="S73" i="1" s="1"/>
  <c r="M73" i="1" s="1"/>
  <c r="N73" i="1" s="1"/>
  <c r="AD27" i="1"/>
  <c r="W27" i="1"/>
  <c r="AA27" i="1" s="1"/>
  <c r="AC27" i="1"/>
  <c r="R27" i="1"/>
  <c r="P27" i="1" s="1"/>
  <c r="S27" i="1" s="1"/>
  <c r="M27" i="1" s="1"/>
  <c r="N27" i="1" s="1"/>
  <c r="W191" i="1"/>
  <c r="AA191" i="1" s="1"/>
  <c r="AD191" i="1"/>
  <c r="AC191" i="1"/>
  <c r="R191" i="1"/>
  <c r="P191" i="1" s="1"/>
  <c r="S191" i="1" s="1"/>
  <c r="M191" i="1" s="1"/>
  <c r="N191" i="1" s="1"/>
  <c r="AD198" i="1"/>
  <c r="W198" i="1"/>
  <c r="AA198" i="1" s="1"/>
  <c r="AC198" i="1"/>
  <c r="AC26" i="1"/>
  <c r="AD26" i="1"/>
  <c r="AE26" i="1" s="1"/>
  <c r="W26" i="1"/>
  <c r="AA26" i="1" s="1"/>
  <c r="AD138" i="1"/>
  <c r="AC138" i="1"/>
  <c r="W138" i="1"/>
  <c r="AA138" i="1" s="1"/>
  <c r="W114" i="1"/>
  <c r="AA114" i="1" s="1"/>
  <c r="AD114" i="1"/>
  <c r="AC114" i="1"/>
  <c r="AE36" i="1"/>
  <c r="AD70" i="1"/>
  <c r="W70" i="1"/>
  <c r="AA70" i="1" s="1"/>
  <c r="AC70" i="1"/>
  <c r="R70" i="1"/>
  <c r="P70" i="1" s="1"/>
  <c r="S70" i="1" s="1"/>
  <c r="M70" i="1" s="1"/>
  <c r="N70" i="1" s="1"/>
  <c r="W186" i="1"/>
  <c r="AA186" i="1" s="1"/>
  <c r="AD186" i="1"/>
  <c r="AC186" i="1"/>
  <c r="W220" i="1"/>
  <c r="AA220" i="1" s="1"/>
  <c r="AC220" i="1"/>
  <c r="AD220" i="1"/>
  <c r="AE220" i="1" s="1"/>
  <c r="R220" i="1"/>
  <c r="P220" i="1" s="1"/>
  <c r="S220" i="1" s="1"/>
  <c r="M220" i="1" s="1"/>
  <c r="N220" i="1" s="1"/>
  <c r="AD116" i="1"/>
  <c r="AE116" i="1" s="1"/>
  <c r="W116" i="1"/>
  <c r="AA116" i="1" s="1"/>
  <c r="AC116" i="1"/>
  <c r="AD106" i="1"/>
  <c r="AC106" i="1"/>
  <c r="W106" i="1"/>
  <c r="AA106" i="1" s="1"/>
  <c r="W179" i="1"/>
  <c r="AA179" i="1" s="1"/>
  <c r="R179" i="1"/>
  <c r="P179" i="1" s="1"/>
  <c r="S179" i="1" s="1"/>
  <c r="M179" i="1" s="1"/>
  <c r="N179" i="1" s="1"/>
  <c r="AD179" i="1"/>
  <c r="AC179" i="1"/>
  <c r="W212" i="1"/>
  <c r="AA212" i="1" s="1"/>
  <c r="AC212" i="1"/>
  <c r="AD212" i="1"/>
  <c r="AE212" i="1" s="1"/>
  <c r="AD64" i="1"/>
  <c r="AC64" i="1"/>
  <c r="W64" i="1"/>
  <c r="AA64" i="1" s="1"/>
  <c r="R198" i="1"/>
  <c r="P198" i="1" s="1"/>
  <c r="S198" i="1" s="1"/>
  <c r="M198" i="1" s="1"/>
  <c r="N198" i="1" s="1"/>
  <c r="AE37" i="1"/>
  <c r="W93" i="1"/>
  <c r="AA93" i="1" s="1"/>
  <c r="AD93" i="1"/>
  <c r="AC93" i="1"/>
  <c r="W101" i="1"/>
  <c r="AA101" i="1" s="1"/>
  <c r="AD101" i="1"/>
  <c r="AC101" i="1"/>
  <c r="R101" i="1"/>
  <c r="P101" i="1" s="1"/>
  <c r="S101" i="1" s="1"/>
  <c r="M101" i="1" s="1"/>
  <c r="N101" i="1" s="1"/>
  <c r="W159" i="1"/>
  <c r="AA159" i="1" s="1"/>
  <c r="AD159" i="1"/>
  <c r="AC159" i="1"/>
  <c r="W221" i="1"/>
  <c r="AA221" i="1" s="1"/>
  <c r="AD221" i="1"/>
  <c r="AC221" i="1"/>
  <c r="AD188" i="1"/>
  <c r="AE188" i="1" s="1"/>
  <c r="AC188" i="1"/>
  <c r="W188" i="1"/>
  <c r="AA188" i="1" s="1"/>
  <c r="AD19" i="1"/>
  <c r="W19" i="1"/>
  <c r="AA19" i="1" s="1"/>
  <c r="AC19" i="1"/>
  <c r="AD79" i="1"/>
  <c r="W79" i="1"/>
  <c r="AA79" i="1" s="1"/>
  <c r="AC79" i="1"/>
  <c r="AD88" i="1"/>
  <c r="AE88" i="1" s="1"/>
  <c r="W88" i="1"/>
  <c r="AA88" i="1" s="1"/>
  <c r="R88" i="1"/>
  <c r="P88" i="1" s="1"/>
  <c r="S88" i="1" s="1"/>
  <c r="M88" i="1" s="1"/>
  <c r="N88" i="1" s="1"/>
  <c r="AC88" i="1"/>
  <c r="W108" i="1"/>
  <c r="AA108" i="1" s="1"/>
  <c r="AD108" i="1"/>
  <c r="R108" i="1"/>
  <c r="P108" i="1" s="1"/>
  <c r="S108" i="1" s="1"/>
  <c r="M108" i="1" s="1"/>
  <c r="N108" i="1" s="1"/>
  <c r="AC108" i="1"/>
  <c r="AD183" i="1"/>
  <c r="AE183" i="1" s="1"/>
  <c r="AC183" i="1"/>
  <c r="W183" i="1"/>
  <c r="AA183" i="1" s="1"/>
  <c r="R183" i="1"/>
  <c r="P183" i="1" s="1"/>
  <c r="S183" i="1" s="1"/>
  <c r="M183" i="1" s="1"/>
  <c r="N183" i="1" s="1"/>
  <c r="AC164" i="1"/>
  <c r="AD164" i="1"/>
  <c r="W164" i="1"/>
  <c r="AA164" i="1" s="1"/>
  <c r="AE97" i="1"/>
  <c r="R85" i="1"/>
  <c r="P85" i="1" s="1"/>
  <c r="S85" i="1" s="1"/>
  <c r="M85" i="1" s="1"/>
  <c r="N85" i="1" s="1"/>
  <c r="W149" i="1"/>
  <c r="AA149" i="1" s="1"/>
  <c r="AD149" i="1"/>
  <c r="AE149" i="1" s="1"/>
  <c r="AC149" i="1"/>
  <c r="R149" i="1"/>
  <c r="P149" i="1" s="1"/>
  <c r="S149" i="1" s="1"/>
  <c r="M149" i="1" s="1"/>
  <c r="N149" i="1" s="1"/>
  <c r="R157" i="1"/>
  <c r="P157" i="1" s="1"/>
  <c r="S157" i="1" s="1"/>
  <c r="M157" i="1" s="1"/>
  <c r="N157" i="1" s="1"/>
  <c r="W170" i="1"/>
  <c r="AA170" i="1" s="1"/>
  <c r="AD170" i="1"/>
  <c r="AE170" i="1" s="1"/>
  <c r="AC170" i="1"/>
  <c r="R170" i="1"/>
  <c r="P170" i="1" s="1"/>
  <c r="S170" i="1" s="1"/>
  <c r="M170" i="1" s="1"/>
  <c r="N170" i="1" s="1"/>
  <c r="AD23" i="1"/>
  <c r="W23" i="1"/>
  <c r="AA23" i="1" s="1"/>
  <c r="AC23" i="1"/>
  <c r="AC22" i="1"/>
  <c r="W22" i="1"/>
  <c r="AA22" i="1" s="1"/>
  <c r="AD22" i="1"/>
  <c r="AE22" i="1" s="1"/>
  <c r="AC90" i="1"/>
  <c r="W90" i="1"/>
  <c r="AA90" i="1" s="1"/>
  <c r="AD90" i="1"/>
  <c r="R90" i="1"/>
  <c r="P90" i="1" s="1"/>
  <c r="S90" i="1" s="1"/>
  <c r="M90" i="1" s="1"/>
  <c r="N90" i="1" s="1"/>
  <c r="W136" i="1"/>
  <c r="AA136" i="1" s="1"/>
  <c r="AD136" i="1"/>
  <c r="AC136" i="1"/>
  <c r="AD180" i="1"/>
  <c r="AE180" i="1" s="1"/>
  <c r="W180" i="1"/>
  <c r="AA180" i="1" s="1"/>
  <c r="AC180" i="1"/>
  <c r="W209" i="1"/>
  <c r="AA209" i="1" s="1"/>
  <c r="AD209" i="1"/>
  <c r="AC209" i="1"/>
  <c r="W39" i="1"/>
  <c r="AA39" i="1" s="1"/>
  <c r="AD39" i="1"/>
  <c r="AC39" i="1"/>
  <c r="R39" i="1"/>
  <c r="P39" i="1" s="1"/>
  <c r="S39" i="1" s="1"/>
  <c r="M39" i="1" s="1"/>
  <c r="N39" i="1" s="1"/>
  <c r="W128" i="1"/>
  <c r="AA128" i="1" s="1"/>
  <c r="AD128" i="1"/>
  <c r="AC128" i="1"/>
  <c r="R26" i="1"/>
  <c r="P26" i="1" s="1"/>
  <c r="S26" i="1" s="1"/>
  <c r="M26" i="1" s="1"/>
  <c r="N26" i="1" s="1"/>
  <c r="AE115" i="1"/>
  <c r="W182" i="1"/>
  <c r="AA182" i="1" s="1"/>
  <c r="AD182" i="1"/>
  <c r="AE182" i="1" s="1"/>
  <c r="AC182" i="1"/>
  <c r="AD169" i="1"/>
  <c r="AE169" i="1" s="1"/>
  <c r="W169" i="1"/>
  <c r="AA169" i="1" s="1"/>
  <c r="AC169" i="1"/>
  <c r="AD117" i="1"/>
  <c r="AE117" i="1" s="1"/>
  <c r="W117" i="1"/>
  <c r="AA117" i="1" s="1"/>
  <c r="AC117" i="1"/>
  <c r="AD91" i="1"/>
  <c r="AE91" i="1" s="1"/>
  <c r="W91" i="1"/>
  <c r="AA91" i="1" s="1"/>
  <c r="AC91" i="1"/>
  <c r="AD199" i="1"/>
  <c r="W199" i="1"/>
  <c r="AA199" i="1" s="1"/>
  <c r="AC199" i="1"/>
  <c r="AD86" i="1"/>
  <c r="AC86" i="1"/>
  <c r="W86" i="1"/>
  <c r="AA86" i="1" s="1"/>
  <c r="W204" i="1"/>
  <c r="AA204" i="1" s="1"/>
  <c r="AC204" i="1"/>
  <c r="AD204" i="1"/>
  <c r="W31" i="1"/>
  <c r="AA31" i="1" s="1"/>
  <c r="AD31" i="1"/>
  <c r="AE31" i="1" s="1"/>
  <c r="AC31" i="1"/>
  <c r="R138" i="1"/>
  <c r="P138" i="1" s="1"/>
  <c r="S138" i="1" s="1"/>
  <c r="M138" i="1" s="1"/>
  <c r="N138" i="1" s="1"/>
  <c r="R221" i="1"/>
  <c r="P221" i="1" s="1"/>
  <c r="S221" i="1" s="1"/>
  <c r="M221" i="1" s="1"/>
  <c r="N221" i="1" s="1"/>
  <c r="W124" i="1"/>
  <c r="AA124" i="1" s="1"/>
  <c r="AD124" i="1"/>
  <c r="AE124" i="1" s="1"/>
  <c r="AC124" i="1"/>
  <c r="AE137" i="1"/>
  <c r="W213" i="1"/>
  <c r="AA213" i="1" s="1"/>
  <c r="AD213" i="1"/>
  <c r="AC213" i="1"/>
  <c r="W100" i="1"/>
  <c r="AA100" i="1" s="1"/>
  <c r="AD100" i="1"/>
  <c r="AE100" i="1" s="1"/>
  <c r="R100" i="1"/>
  <c r="P100" i="1" s="1"/>
  <c r="S100" i="1" s="1"/>
  <c r="M100" i="1" s="1"/>
  <c r="N100" i="1" s="1"/>
  <c r="AC100" i="1"/>
  <c r="W143" i="1"/>
  <c r="AA143" i="1" s="1"/>
  <c r="AD143" i="1"/>
  <c r="AE143" i="1" s="1"/>
  <c r="AC143" i="1"/>
  <c r="AD196" i="1"/>
  <c r="AC196" i="1"/>
  <c r="W196" i="1"/>
  <c r="AA196" i="1" s="1"/>
  <c r="AD206" i="1"/>
  <c r="W206" i="1"/>
  <c r="AA206" i="1" s="1"/>
  <c r="R206" i="1"/>
  <c r="P206" i="1" s="1"/>
  <c r="S206" i="1" s="1"/>
  <c r="M206" i="1" s="1"/>
  <c r="N206" i="1" s="1"/>
  <c r="AC206" i="1"/>
  <c r="AE219" i="1"/>
  <c r="W45" i="1"/>
  <c r="AA45" i="1" s="1"/>
  <c r="AD45" i="1"/>
  <c r="AE45" i="1" s="1"/>
  <c r="AC45" i="1"/>
  <c r="AD66" i="1"/>
  <c r="W66" i="1"/>
  <c r="AA66" i="1" s="1"/>
  <c r="R66" i="1"/>
  <c r="P66" i="1" s="1"/>
  <c r="S66" i="1" s="1"/>
  <c r="M66" i="1" s="1"/>
  <c r="N66" i="1" s="1"/>
  <c r="AC66" i="1"/>
  <c r="W144" i="1"/>
  <c r="AA144" i="1" s="1"/>
  <c r="AD144" i="1"/>
  <c r="AC144" i="1"/>
  <c r="AD134" i="1"/>
  <c r="AE134" i="1" s="1"/>
  <c r="W134" i="1"/>
  <c r="AA134" i="1" s="1"/>
  <c r="AC134" i="1"/>
  <c r="W187" i="1"/>
  <c r="AA187" i="1" s="1"/>
  <c r="AD187" i="1"/>
  <c r="AE187" i="1" s="1"/>
  <c r="AC187" i="1"/>
  <c r="W145" i="1"/>
  <c r="AA145" i="1" s="1"/>
  <c r="AD145" i="1"/>
  <c r="AE145" i="1" s="1"/>
  <c r="AC145" i="1"/>
  <c r="R145" i="1"/>
  <c r="P145" i="1" s="1"/>
  <c r="S145" i="1" s="1"/>
  <c r="M145" i="1" s="1"/>
  <c r="N145" i="1" s="1"/>
  <c r="W190" i="1"/>
  <c r="AA190" i="1" s="1"/>
  <c r="AD190" i="1"/>
  <c r="AC190" i="1"/>
  <c r="AD202" i="1"/>
  <c r="W202" i="1"/>
  <c r="AA202" i="1" s="1"/>
  <c r="R202" i="1"/>
  <c r="P202" i="1" s="1"/>
  <c r="S202" i="1" s="1"/>
  <c r="M202" i="1" s="1"/>
  <c r="N202" i="1" s="1"/>
  <c r="AC202" i="1"/>
  <c r="W225" i="1"/>
  <c r="AA225" i="1" s="1"/>
  <c r="AD225" i="1"/>
  <c r="AC225" i="1"/>
  <c r="W96" i="1"/>
  <c r="AA96" i="1" s="1"/>
  <c r="AD96" i="1"/>
  <c r="AC96" i="1"/>
  <c r="W55" i="1"/>
  <c r="AA55" i="1" s="1"/>
  <c r="AD55" i="1"/>
  <c r="AC55" i="1"/>
  <c r="R91" i="1"/>
  <c r="P91" i="1" s="1"/>
  <c r="S91" i="1" s="1"/>
  <c r="M91" i="1" s="1"/>
  <c r="N91" i="1" s="1"/>
  <c r="W195" i="1"/>
  <c r="AA195" i="1" s="1"/>
  <c r="AD195" i="1"/>
  <c r="AE195" i="1" s="1"/>
  <c r="AC195" i="1"/>
  <c r="R195" i="1"/>
  <c r="P195" i="1" s="1"/>
  <c r="S195" i="1" s="1"/>
  <c r="M195" i="1" s="1"/>
  <c r="N195" i="1" s="1"/>
  <c r="AD218" i="1"/>
  <c r="AE218" i="1" s="1"/>
  <c r="W218" i="1"/>
  <c r="AA218" i="1" s="1"/>
  <c r="AC218" i="1"/>
  <c r="R218" i="1"/>
  <c r="P218" i="1" s="1"/>
  <c r="S218" i="1" s="1"/>
  <c r="M218" i="1" s="1"/>
  <c r="N218" i="1" s="1"/>
  <c r="AD40" i="1"/>
  <c r="AE40" i="1" s="1"/>
  <c r="W40" i="1"/>
  <c r="AA40" i="1" s="1"/>
  <c r="AC40" i="1"/>
  <c r="AE52" i="1"/>
  <c r="AD94" i="1"/>
  <c r="AE94" i="1" s="1"/>
  <c r="AC94" i="1"/>
  <c r="W94" i="1"/>
  <c r="AA94" i="1" s="1"/>
  <c r="R94" i="1"/>
  <c r="P94" i="1" s="1"/>
  <c r="S94" i="1" s="1"/>
  <c r="M94" i="1" s="1"/>
  <c r="N94" i="1" s="1"/>
  <c r="AD201" i="1"/>
  <c r="AE201" i="1" s="1"/>
  <c r="W201" i="1"/>
  <c r="AA201" i="1" s="1"/>
  <c r="AC201" i="1"/>
  <c r="AE87" i="1"/>
  <c r="W42" i="1"/>
  <c r="AA42" i="1" s="1"/>
  <c r="AC42" i="1"/>
  <c r="AD42" i="1"/>
  <c r="AE42" i="1" s="1"/>
  <c r="R42" i="1"/>
  <c r="P42" i="1" s="1"/>
  <c r="S42" i="1" s="1"/>
  <c r="M42" i="1" s="1"/>
  <c r="N42" i="1" s="1"/>
  <c r="AD102" i="1"/>
  <c r="AC102" i="1"/>
  <c r="W102" i="1"/>
  <c r="AA102" i="1" s="1"/>
  <c r="AD200" i="1"/>
  <c r="W200" i="1"/>
  <c r="AA200" i="1" s="1"/>
  <c r="R200" i="1"/>
  <c r="P200" i="1" s="1"/>
  <c r="S200" i="1" s="1"/>
  <c r="M200" i="1" s="1"/>
  <c r="N200" i="1" s="1"/>
  <c r="AC200" i="1"/>
  <c r="AE105" i="1"/>
  <c r="AE95" i="1"/>
  <c r="R124" i="1"/>
  <c r="P124" i="1" s="1"/>
  <c r="S124" i="1" s="1"/>
  <c r="M124" i="1" s="1"/>
  <c r="N124" i="1" s="1"/>
  <c r="R159" i="1"/>
  <c r="P159" i="1" s="1"/>
  <c r="S159" i="1" s="1"/>
  <c r="M159" i="1" s="1"/>
  <c r="N159" i="1" s="1"/>
  <c r="W139" i="1"/>
  <c r="AA139" i="1" s="1"/>
  <c r="AD139" i="1"/>
  <c r="AE139" i="1" s="1"/>
  <c r="AC139" i="1"/>
  <c r="R204" i="1"/>
  <c r="P204" i="1" s="1"/>
  <c r="S204" i="1" s="1"/>
  <c r="M204" i="1" s="1"/>
  <c r="N204" i="1" s="1"/>
  <c r="AD65" i="1"/>
  <c r="W65" i="1"/>
  <c r="AA65" i="1" s="1"/>
  <c r="AC65" i="1"/>
  <c r="R182" i="1"/>
  <c r="P182" i="1" s="1"/>
  <c r="S182" i="1" s="1"/>
  <c r="M182" i="1" s="1"/>
  <c r="N182" i="1" s="1"/>
  <c r="AE226" i="1"/>
  <c r="W217" i="1"/>
  <c r="AA217" i="1" s="1"/>
  <c r="AD217" i="1"/>
  <c r="AC217" i="1"/>
  <c r="AD28" i="1"/>
  <c r="W28" i="1"/>
  <c r="AA28" i="1" s="1"/>
  <c r="AC28" i="1"/>
  <c r="W166" i="1"/>
  <c r="AA166" i="1" s="1"/>
  <c r="AD166" i="1"/>
  <c r="R166" i="1"/>
  <c r="P166" i="1" s="1"/>
  <c r="S166" i="1" s="1"/>
  <c r="M166" i="1" s="1"/>
  <c r="N166" i="1" s="1"/>
  <c r="AC166" i="1"/>
  <c r="AC60" i="1"/>
  <c r="W60" i="1"/>
  <c r="AA60" i="1" s="1"/>
  <c r="AD60" i="1"/>
  <c r="AD113" i="1"/>
  <c r="AE113" i="1" s="1"/>
  <c r="AC113" i="1"/>
  <c r="W113" i="1"/>
  <c r="AA113" i="1" s="1"/>
  <c r="W50" i="1"/>
  <c r="AA50" i="1" s="1"/>
  <c r="AD50" i="1"/>
  <c r="AC50" i="1"/>
  <c r="R50" i="1"/>
  <c r="P50" i="1" s="1"/>
  <c r="S50" i="1" s="1"/>
  <c r="M50" i="1" s="1"/>
  <c r="N50" i="1" s="1"/>
  <c r="W104" i="1"/>
  <c r="AA104" i="1" s="1"/>
  <c r="AD104" i="1"/>
  <c r="AE104" i="1" s="1"/>
  <c r="AC104" i="1"/>
  <c r="W140" i="1"/>
  <c r="AA140" i="1" s="1"/>
  <c r="AD140" i="1"/>
  <c r="AE140" i="1" s="1"/>
  <c r="AC140" i="1"/>
  <c r="R199" i="1"/>
  <c r="P199" i="1" s="1"/>
  <c r="S199" i="1" s="1"/>
  <c r="M199" i="1" s="1"/>
  <c r="N199" i="1" s="1"/>
  <c r="W135" i="1"/>
  <c r="AA135" i="1" s="1"/>
  <c r="AD135" i="1"/>
  <c r="AC135" i="1"/>
  <c r="AE174" i="1"/>
  <c r="R190" i="1"/>
  <c r="P190" i="1" s="1"/>
  <c r="S190" i="1" s="1"/>
  <c r="M190" i="1" s="1"/>
  <c r="N190" i="1" s="1"/>
  <c r="W92" i="1"/>
  <c r="AA92" i="1" s="1"/>
  <c r="AD92" i="1"/>
  <c r="R92" i="1"/>
  <c r="P92" i="1" s="1"/>
  <c r="S92" i="1" s="1"/>
  <c r="M92" i="1" s="1"/>
  <c r="N92" i="1" s="1"/>
  <c r="AC92" i="1"/>
  <c r="AE127" i="1"/>
  <c r="R28" i="1"/>
  <c r="P28" i="1" s="1"/>
  <c r="S28" i="1" s="1"/>
  <c r="M28" i="1" s="1"/>
  <c r="N28" i="1" s="1"/>
  <c r="W35" i="1"/>
  <c r="AA35" i="1" s="1"/>
  <c r="AD35" i="1"/>
  <c r="AC35" i="1"/>
  <c r="R35" i="1"/>
  <c r="P35" i="1" s="1"/>
  <c r="S35" i="1" s="1"/>
  <c r="M35" i="1" s="1"/>
  <c r="N35" i="1" s="1"/>
  <c r="R140" i="1"/>
  <c r="P140" i="1" s="1"/>
  <c r="S140" i="1" s="1"/>
  <c r="M140" i="1" s="1"/>
  <c r="N140" i="1" s="1"/>
  <c r="AD161" i="1"/>
  <c r="W161" i="1"/>
  <c r="AA161" i="1" s="1"/>
  <c r="AC161" i="1"/>
  <c r="W25" i="1"/>
  <c r="AA25" i="1" s="1"/>
  <c r="AD25" i="1"/>
  <c r="AC25" i="1"/>
  <c r="R96" i="1"/>
  <c r="P96" i="1" s="1"/>
  <c r="S96" i="1" s="1"/>
  <c r="M96" i="1" s="1"/>
  <c r="N96" i="1" s="1"/>
  <c r="W119" i="1"/>
  <c r="AA119" i="1" s="1"/>
  <c r="AD119" i="1"/>
  <c r="AE119" i="1" s="1"/>
  <c r="AC119" i="1"/>
  <c r="R119" i="1"/>
  <c r="P119" i="1" s="1"/>
  <c r="S119" i="1" s="1"/>
  <c r="M119" i="1" s="1"/>
  <c r="N119" i="1" s="1"/>
  <c r="W223" i="1"/>
  <c r="AA223" i="1" s="1"/>
  <c r="AD223" i="1"/>
  <c r="AC223" i="1"/>
  <c r="W216" i="1"/>
  <c r="AA216" i="1" s="1"/>
  <c r="AC216" i="1"/>
  <c r="AD216" i="1"/>
  <c r="AE216" i="1" s="1"/>
  <c r="AE215" i="1"/>
  <c r="AE17" i="1"/>
  <c r="R65" i="1"/>
  <c r="P65" i="1" s="1"/>
  <c r="S65" i="1" s="1"/>
  <c r="M65" i="1" s="1"/>
  <c r="N65" i="1" s="1"/>
  <c r="AC110" i="1"/>
  <c r="W110" i="1"/>
  <c r="AA110" i="1" s="1"/>
  <c r="AD110" i="1"/>
  <c r="AE110" i="1" s="1"/>
  <c r="R196" i="1"/>
  <c r="P196" i="1" s="1"/>
  <c r="S196" i="1" s="1"/>
  <c r="M196" i="1" s="1"/>
  <c r="N196" i="1" s="1"/>
  <c r="AE148" i="1"/>
  <c r="AE61" i="1"/>
  <c r="W167" i="1"/>
  <c r="AA167" i="1" s="1"/>
  <c r="AD167" i="1"/>
  <c r="AC167" i="1"/>
  <c r="AD44" i="1"/>
  <c r="AE44" i="1" s="1"/>
  <c r="W44" i="1"/>
  <c r="AA44" i="1" s="1"/>
  <c r="AC44" i="1"/>
  <c r="W47" i="1"/>
  <c r="AA47" i="1" s="1"/>
  <c r="AD47" i="1"/>
  <c r="AC47" i="1"/>
  <c r="R113" i="1"/>
  <c r="P113" i="1" s="1"/>
  <c r="S113" i="1" s="1"/>
  <c r="M113" i="1" s="1"/>
  <c r="N113" i="1" s="1"/>
  <c r="W30" i="1"/>
  <c r="AA30" i="1" s="1"/>
  <c r="AC30" i="1"/>
  <c r="AD30" i="1"/>
  <c r="W51" i="1"/>
  <c r="AA51" i="1" s="1"/>
  <c r="AD51" i="1"/>
  <c r="AE51" i="1" s="1"/>
  <c r="AC51" i="1"/>
  <c r="AD163" i="1"/>
  <c r="AE163" i="1" s="1"/>
  <c r="W163" i="1"/>
  <c r="AA163" i="1" s="1"/>
  <c r="AC163" i="1"/>
  <c r="W194" i="1"/>
  <c r="AA194" i="1" s="1"/>
  <c r="AD194" i="1"/>
  <c r="AC194" i="1"/>
  <c r="W29" i="1"/>
  <c r="AA29" i="1" s="1"/>
  <c r="AD29" i="1"/>
  <c r="AC29" i="1"/>
  <c r="W141" i="1"/>
  <c r="AA141" i="1" s="1"/>
  <c r="AD141" i="1"/>
  <c r="AC141" i="1"/>
  <c r="R141" i="1"/>
  <c r="P141" i="1" s="1"/>
  <c r="S141" i="1" s="1"/>
  <c r="M141" i="1" s="1"/>
  <c r="N141" i="1" s="1"/>
  <c r="W68" i="1"/>
  <c r="AA68" i="1" s="1"/>
  <c r="AD68" i="1"/>
  <c r="AE68" i="1" s="1"/>
  <c r="AC68" i="1"/>
  <c r="R68" i="1"/>
  <c r="P68" i="1" s="1"/>
  <c r="S68" i="1" s="1"/>
  <c r="M68" i="1" s="1"/>
  <c r="N68" i="1" s="1"/>
  <c r="AE126" i="1"/>
  <c r="AE147" i="1"/>
  <c r="AD222" i="1"/>
  <c r="AE222" i="1" s="1"/>
  <c r="W222" i="1"/>
  <c r="AA222" i="1" s="1"/>
  <c r="AC222" i="1"/>
  <c r="R222" i="1"/>
  <c r="P222" i="1" s="1"/>
  <c r="S222" i="1" s="1"/>
  <c r="M222" i="1" s="1"/>
  <c r="N222" i="1" s="1"/>
  <c r="AE89" i="1"/>
  <c r="AE142" i="1"/>
  <c r="AD181" i="1"/>
  <c r="W181" i="1"/>
  <c r="AA181" i="1" s="1"/>
  <c r="R181" i="1"/>
  <c r="P181" i="1" s="1"/>
  <c r="S181" i="1" s="1"/>
  <c r="M181" i="1" s="1"/>
  <c r="N181" i="1" s="1"/>
  <c r="AC181" i="1"/>
  <c r="AD189" i="1"/>
  <c r="AE189" i="1" s="1"/>
  <c r="W189" i="1"/>
  <c r="AA189" i="1" s="1"/>
  <c r="AC189" i="1"/>
  <c r="W54" i="1"/>
  <c r="AA54" i="1" s="1"/>
  <c r="AD54" i="1"/>
  <c r="AE54" i="1" s="1"/>
  <c r="AC54" i="1"/>
  <c r="R54" i="1"/>
  <c r="P54" i="1" s="1"/>
  <c r="S54" i="1" s="1"/>
  <c r="M54" i="1" s="1"/>
  <c r="N54" i="1" s="1"/>
  <c r="AD83" i="1"/>
  <c r="W83" i="1"/>
  <c r="AA83" i="1" s="1"/>
  <c r="AC83" i="1"/>
  <c r="R161" i="1"/>
  <c r="P161" i="1" s="1"/>
  <c r="S161" i="1" s="1"/>
  <c r="M161" i="1" s="1"/>
  <c r="N161" i="1" s="1"/>
  <c r="R107" i="1"/>
  <c r="P107" i="1" s="1"/>
  <c r="S107" i="1" s="1"/>
  <c r="M107" i="1" s="1"/>
  <c r="N107" i="1" s="1"/>
  <c r="R136" i="1"/>
  <c r="P136" i="1" s="1"/>
  <c r="S136" i="1" s="1"/>
  <c r="M136" i="1" s="1"/>
  <c r="N136" i="1" s="1"/>
  <c r="R155" i="1"/>
  <c r="P155" i="1" s="1"/>
  <c r="S155" i="1" s="1"/>
  <c r="M155" i="1" s="1"/>
  <c r="N155" i="1" s="1"/>
  <c r="R29" i="1"/>
  <c r="P29" i="1" s="1"/>
  <c r="S29" i="1" s="1"/>
  <c r="M29" i="1" s="1"/>
  <c r="N29" i="1" s="1"/>
  <c r="AE59" i="1"/>
  <c r="W62" i="1"/>
  <c r="AA62" i="1" s="1"/>
  <c r="AD62" i="1"/>
  <c r="AE62" i="1" s="1"/>
  <c r="AC62" i="1"/>
  <c r="R144" i="1"/>
  <c r="P144" i="1" s="1"/>
  <c r="S144" i="1" s="1"/>
  <c r="M144" i="1" s="1"/>
  <c r="N144" i="1" s="1"/>
  <c r="R189" i="1"/>
  <c r="P189" i="1" s="1"/>
  <c r="S189" i="1" s="1"/>
  <c r="M189" i="1" s="1"/>
  <c r="N189" i="1" s="1"/>
  <c r="W224" i="1"/>
  <c r="AA224" i="1" s="1"/>
  <c r="AC224" i="1"/>
  <c r="AD224" i="1"/>
  <c r="R224" i="1"/>
  <c r="P224" i="1" s="1"/>
  <c r="S224" i="1" s="1"/>
  <c r="M224" i="1" s="1"/>
  <c r="N224" i="1" s="1"/>
  <c r="AE207" i="1"/>
  <c r="AD214" i="1"/>
  <c r="W214" i="1"/>
  <c r="AA214" i="1" s="1"/>
  <c r="R214" i="1"/>
  <c r="P214" i="1" s="1"/>
  <c r="S214" i="1" s="1"/>
  <c r="M214" i="1" s="1"/>
  <c r="N214" i="1" s="1"/>
  <c r="AC214" i="1"/>
  <c r="R134" i="1"/>
  <c r="P134" i="1" s="1"/>
  <c r="S134" i="1" s="1"/>
  <c r="M134" i="1" s="1"/>
  <c r="N134" i="1" s="1"/>
  <c r="W160" i="1"/>
  <c r="AA160" i="1" s="1"/>
  <c r="AD160" i="1"/>
  <c r="AE160" i="1" s="1"/>
  <c r="AC160" i="1"/>
  <c r="R160" i="1"/>
  <c r="P160" i="1" s="1"/>
  <c r="S160" i="1" s="1"/>
  <c r="M160" i="1" s="1"/>
  <c r="N160" i="1" s="1"/>
  <c r="AE41" i="1"/>
  <c r="AD129" i="1"/>
  <c r="W129" i="1"/>
  <c r="AA129" i="1" s="1"/>
  <c r="AC129" i="1"/>
  <c r="W46" i="1"/>
  <c r="AA46" i="1" s="1"/>
  <c r="AC46" i="1"/>
  <c r="AD46" i="1"/>
  <c r="R46" i="1"/>
  <c r="P46" i="1" s="1"/>
  <c r="S46" i="1" s="1"/>
  <c r="M46" i="1" s="1"/>
  <c r="N46" i="1" s="1"/>
  <c r="W56" i="1"/>
  <c r="AA56" i="1" s="1"/>
  <c r="AD56" i="1"/>
  <c r="AE56" i="1" s="1"/>
  <c r="AC56" i="1"/>
  <c r="W132" i="1"/>
  <c r="AA132" i="1" s="1"/>
  <c r="AD132" i="1"/>
  <c r="AC132" i="1"/>
  <c r="R169" i="1"/>
  <c r="P169" i="1" s="1"/>
  <c r="S169" i="1" s="1"/>
  <c r="M169" i="1" s="1"/>
  <c r="N169" i="1" s="1"/>
  <c r="W33" i="1"/>
  <c r="AA33" i="1" s="1"/>
  <c r="AD33" i="1"/>
  <c r="AE33" i="1" s="1"/>
  <c r="AC33" i="1"/>
  <c r="R45" i="1"/>
  <c r="P45" i="1" s="1"/>
  <c r="S45" i="1" s="1"/>
  <c r="M45" i="1" s="1"/>
  <c r="N45" i="1" s="1"/>
  <c r="W98" i="1"/>
  <c r="AA98" i="1" s="1"/>
  <c r="AD98" i="1"/>
  <c r="AC98" i="1"/>
  <c r="W208" i="1"/>
  <c r="AA208" i="1" s="1"/>
  <c r="AC208" i="1"/>
  <c r="AD208" i="1"/>
  <c r="AE208" i="1" s="1"/>
  <c r="W205" i="1"/>
  <c r="AA205" i="1" s="1"/>
  <c r="AD205" i="1"/>
  <c r="AC205" i="1"/>
  <c r="W67" i="1"/>
  <c r="AA67" i="1" s="1"/>
  <c r="AD67" i="1"/>
  <c r="AC67" i="1"/>
  <c r="R83" i="1"/>
  <c r="P83" i="1" s="1"/>
  <c r="S83" i="1" s="1"/>
  <c r="M83" i="1" s="1"/>
  <c r="N83" i="1" s="1"/>
  <c r="R55" i="1"/>
  <c r="P55" i="1" s="1"/>
  <c r="S55" i="1" s="1"/>
  <c r="M55" i="1" s="1"/>
  <c r="N55" i="1" s="1"/>
  <c r="AD74" i="1"/>
  <c r="AE74" i="1" s="1"/>
  <c r="AC74" i="1"/>
  <c r="W74" i="1"/>
  <c r="AA74" i="1" s="1"/>
  <c r="AE203" i="1"/>
  <c r="AD192" i="1"/>
  <c r="AC192" i="1"/>
  <c r="W192" i="1"/>
  <c r="AA192" i="1" s="1"/>
  <c r="R56" i="1"/>
  <c r="P56" i="1" s="1"/>
  <c r="S56" i="1" s="1"/>
  <c r="M56" i="1" s="1"/>
  <c r="N56" i="1" s="1"/>
  <c r="W120" i="1"/>
  <c r="AA120" i="1" s="1"/>
  <c r="AD120" i="1"/>
  <c r="AC120" i="1"/>
  <c r="AD77" i="1"/>
  <c r="AC77" i="1"/>
  <c r="W77" i="1"/>
  <c r="AA77" i="1" s="1"/>
  <c r="AD69" i="1"/>
  <c r="W69" i="1"/>
  <c r="AA69" i="1" s="1"/>
  <c r="AC69" i="1"/>
  <c r="R194" i="1"/>
  <c r="P194" i="1" s="1"/>
  <c r="S194" i="1" s="1"/>
  <c r="M194" i="1" s="1"/>
  <c r="N194" i="1" s="1"/>
  <c r="R31" i="1"/>
  <c r="P31" i="1" s="1"/>
  <c r="S31" i="1" s="1"/>
  <c r="M31" i="1" s="1"/>
  <c r="N31" i="1" s="1"/>
  <c r="W38" i="1"/>
  <c r="AA38" i="1" s="1"/>
  <c r="AC38" i="1"/>
  <c r="AD38" i="1"/>
  <c r="AE38" i="1" s="1"/>
  <c r="W43" i="1"/>
  <c r="AA43" i="1" s="1"/>
  <c r="AD43" i="1"/>
  <c r="AE43" i="1" s="1"/>
  <c r="AC43" i="1"/>
  <c r="AE133" i="1"/>
  <c r="AE111" i="1"/>
  <c r="W109" i="1"/>
  <c r="AA109" i="1" s="1"/>
  <c r="AD109" i="1"/>
  <c r="AC109" i="1"/>
  <c r="R109" i="1"/>
  <c r="P109" i="1" s="1"/>
  <c r="S109" i="1" s="1"/>
  <c r="M109" i="1" s="1"/>
  <c r="N109" i="1" s="1"/>
  <c r="AD82" i="1"/>
  <c r="AE82" i="1" s="1"/>
  <c r="AC82" i="1"/>
  <c r="W82" i="1"/>
  <c r="AA82" i="1" s="1"/>
  <c r="AD112" i="1"/>
  <c r="AE112" i="1" s="1"/>
  <c r="W112" i="1"/>
  <c r="AA112" i="1" s="1"/>
  <c r="AC112" i="1"/>
  <c r="W78" i="1"/>
  <c r="AA78" i="1" s="1"/>
  <c r="AD78" i="1"/>
  <c r="AC78" i="1"/>
  <c r="R78" i="1"/>
  <c r="P78" i="1" s="1"/>
  <c r="S78" i="1" s="1"/>
  <c r="M78" i="1" s="1"/>
  <c r="N78" i="1" s="1"/>
  <c r="AE150" i="1"/>
  <c r="AE197" i="1"/>
  <c r="AD168" i="1"/>
  <c r="AC168" i="1"/>
  <c r="W168" i="1"/>
  <c r="AA168" i="1" s="1"/>
  <c r="AD185" i="1"/>
  <c r="W185" i="1"/>
  <c r="AA185" i="1" s="1"/>
  <c r="AC185" i="1"/>
  <c r="AE58" i="1"/>
  <c r="AE53" i="1"/>
  <c r="AE158" i="1"/>
  <c r="W172" i="1"/>
  <c r="AA172" i="1" s="1"/>
  <c r="AD172" i="1"/>
  <c r="AE172" i="1" s="1"/>
  <c r="AC172" i="1"/>
  <c r="AD75" i="1"/>
  <c r="AE75" i="1" s="1"/>
  <c r="AC75" i="1"/>
  <c r="W75" i="1"/>
  <c r="AA75" i="1" s="1"/>
  <c r="W34" i="1"/>
  <c r="AA34" i="1" s="1"/>
  <c r="AC34" i="1"/>
  <c r="AD34" i="1"/>
  <c r="AE34" i="1" s="1"/>
  <c r="AD176" i="1"/>
  <c r="AE176" i="1" s="1"/>
  <c r="AC176" i="1"/>
  <c r="W176" i="1"/>
  <c r="AA176" i="1" s="1"/>
  <c r="R77" i="1"/>
  <c r="P77" i="1" s="1"/>
  <c r="S77" i="1" s="1"/>
  <c r="M77" i="1" s="1"/>
  <c r="N77" i="1" s="1"/>
  <c r="R69" i="1"/>
  <c r="P69" i="1" s="1"/>
  <c r="S69" i="1" s="1"/>
  <c r="M69" i="1" s="1"/>
  <c r="N69" i="1" s="1"/>
  <c r="AE146" i="1"/>
  <c r="W153" i="1"/>
  <c r="AA153" i="1" s="1"/>
  <c r="AD153" i="1"/>
  <c r="AC153" i="1"/>
  <c r="AD193" i="1"/>
  <c r="W193" i="1"/>
  <c r="AA193" i="1" s="1"/>
  <c r="AC193" i="1"/>
  <c r="AE211" i="1"/>
  <c r="AE103" i="1"/>
  <c r="AE63" i="1"/>
  <c r="AE177" i="1"/>
  <c r="AE129" i="1" l="1"/>
  <c r="AE181" i="1"/>
  <c r="AE167" i="1"/>
  <c r="AE96" i="1"/>
  <c r="AE202" i="1"/>
  <c r="AE213" i="1"/>
  <c r="AE86" i="1"/>
  <c r="AE136" i="1"/>
  <c r="AE164" i="1"/>
  <c r="AE108" i="1"/>
  <c r="AE79" i="1"/>
  <c r="AE221" i="1"/>
  <c r="AE64" i="1"/>
  <c r="AE70" i="1"/>
  <c r="AE191" i="1"/>
  <c r="AE73" i="1"/>
  <c r="AE18" i="1"/>
  <c r="AE193" i="1"/>
  <c r="AE185" i="1"/>
  <c r="AE78" i="1"/>
  <c r="AE69" i="1"/>
  <c r="AE214" i="1"/>
  <c r="AE29" i="1"/>
  <c r="AE47" i="1"/>
  <c r="AE135" i="1"/>
  <c r="AE60" i="1"/>
  <c r="AE102" i="1"/>
  <c r="AE190" i="1"/>
  <c r="AE209" i="1"/>
  <c r="AE93" i="1"/>
  <c r="AE106" i="1"/>
  <c r="AE107" i="1"/>
  <c r="AE46" i="1"/>
  <c r="AE161" i="1"/>
  <c r="AE28" i="1"/>
  <c r="AE65" i="1"/>
  <c r="AE225" i="1"/>
  <c r="AE204" i="1"/>
  <c r="AE199" i="1"/>
  <c r="AE128" i="1"/>
  <c r="AE90" i="1"/>
  <c r="AE23" i="1"/>
  <c r="AE19" i="1"/>
  <c r="AE159" i="1"/>
  <c r="AE186" i="1"/>
  <c r="AE114" i="1"/>
  <c r="AE153" i="1"/>
  <c r="AE109" i="1"/>
  <c r="AE192" i="1"/>
  <c r="AE67" i="1"/>
  <c r="AE66" i="1"/>
  <c r="AE206" i="1"/>
  <c r="AE168" i="1"/>
  <c r="AE77" i="1"/>
  <c r="AE98" i="1"/>
  <c r="AE132" i="1"/>
  <c r="AE224" i="1"/>
  <c r="AE83" i="1"/>
  <c r="AE194" i="1"/>
  <c r="AE30" i="1"/>
  <c r="AE92" i="1"/>
  <c r="AE50" i="1"/>
  <c r="AE217" i="1"/>
  <c r="AE55" i="1"/>
  <c r="AE179" i="1"/>
  <c r="AE198" i="1"/>
  <c r="AE27" i="1"/>
  <c r="AE184" i="1"/>
  <c r="AE157" i="1"/>
  <c r="AE120" i="1"/>
  <c r="AE205" i="1"/>
  <c r="AE141" i="1"/>
  <c r="AE223" i="1"/>
  <c r="AE25" i="1"/>
  <c r="AE35" i="1"/>
  <c r="AE166" i="1"/>
  <c r="AE200" i="1"/>
  <c r="AE144" i="1"/>
  <c r="AE196" i="1"/>
  <c r="AE39" i="1"/>
  <c r="AE101" i="1"/>
  <c r="AE138" i="1"/>
</calcChain>
</file>

<file path=xl/sharedStrings.xml><?xml version="1.0" encoding="utf-8"?>
<sst xmlns="http://schemas.openxmlformats.org/spreadsheetml/2006/main" count="3165" uniqueCount="755">
  <si>
    <t>File opened</t>
  </si>
  <si>
    <t>2023-07-25 08:27:09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</si>
  <si>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</si>
  <si>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</si>
  <si>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</si>
  <si>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</si>
  <si>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</si>
  <si>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</si>
  <si>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</si>
  <si>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</si>
  <si>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</si>
  <si>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</si>
  <si>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</si>
  <si>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</si>
  <si>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</si>
  <si>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</si>
  <si>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</si>
  <si>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</si>
  <si>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</si>
  <si>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</si>
  <si>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</si>
  <si>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</si>
  <si>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</si>
  <si>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</si>
  <si>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</si>
  <si>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</si>
  <si>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</si>
  <si>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</si>
  <si>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</si>
  <si>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</si>
  <si>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</si>
  <si>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</si>
  <si>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</si>
  <si>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</si>
  <si>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08:27:09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</si>
  <si>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</si>
  <si>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</si>
  <si>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</si>
  <si>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</si>
  <si>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</si>
  <si>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</si>
  <si>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</si>
  <si>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</si>
  <si>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</si>
  <si>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</si>
  <si>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</si>
  <si>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</si>
  <si>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</si>
  <si>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</si>
  <si>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</si>
  <si>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</si>
  <si>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</si>
  <si>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</si>
  <si>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</si>
  <si>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</si>
  <si>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</si>
  <si>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</si>
  <si>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</si>
  <si>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</si>
  <si>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</si>
  <si>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</si>
  <si>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</si>
  <si>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</si>
  <si>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</si>
  <si>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</si>
  <si>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</si>
  <si>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</si>
  <si>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</si>
  <si>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</si>
  <si>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</si>
  <si>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</si>
  <si>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</si>
  <si>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</si>
  <si>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</si>
  <si>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</si>
  <si>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</si>
  <si>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</si>
  <si>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</si>
  <si>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</si>
  <si>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</si>
  <si>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</si>
  <si>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</si>
  <si>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</si>
  <si>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</si>
  <si>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</si>
  <si>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</si>
  <si>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</si>
  <si>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6.54938 89.3494 374.933 613.769 849.664 1063.48 1249.76 1429.91</t>
  </si>
  <si>
    <t>Fs_true</t>
  </si>
  <si>
    <t>-0.0309868 101.653 401.58 600.757 801.064 1000.98 1202.25 1400.63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</si>
  <si>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</si>
  <si>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</si>
  <si>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</si>
  <si>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</si>
  <si>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</si>
  <si>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</si>
  <si>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</si>
  <si>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</si>
  <si>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</si>
  <si>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</si>
  <si>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</si>
  <si>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</si>
  <si>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</si>
  <si>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</si>
  <si>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</si>
  <si>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</si>
  <si>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</si>
  <si>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</si>
  <si>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</si>
  <si>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</si>
  <si>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</si>
  <si>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</si>
  <si>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</si>
  <si>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</si>
  <si>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</si>
  <si>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</si>
  <si>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</si>
  <si>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</si>
  <si>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</si>
  <si>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</si>
  <si>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</si>
  <si>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</si>
  <si>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</si>
  <si>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</si>
  <si>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</si>
  <si>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</si>
  <si>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</si>
  <si>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</si>
  <si>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</si>
  <si>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</si>
  <si>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</si>
  <si>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</si>
  <si>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</si>
  <si>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</si>
  <si>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</si>
  <si>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</si>
  <si>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</si>
  <si>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</si>
  <si>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</si>
  <si>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</si>
  <si>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</si>
  <si>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</si>
  <si>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</si>
  <si>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</si>
  <si>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</si>
  <si>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</si>
  <si>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</si>
  <si>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</si>
  <si>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</si>
  <si>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</si>
  <si>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</si>
  <si>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</si>
  <si>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</si>
  <si>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</si>
  <si>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</si>
  <si>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</si>
  <si>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</si>
  <si>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</si>
  <si>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</si>
  <si>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</si>
  <si>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</si>
  <si>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</si>
  <si>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</si>
  <si>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</si>
  <si>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</si>
  <si>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</si>
  <si>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</si>
  <si>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</si>
  <si>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</si>
  <si>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</si>
  <si>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</si>
  <si>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</si>
  <si>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</si>
  <si>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</si>
  <si>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</si>
  <si>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</si>
  <si>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</si>
  <si>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</si>
  <si>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</si>
  <si>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</si>
  <si>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</si>
  <si>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</si>
  <si>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</si>
  <si>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</si>
  <si>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</si>
  <si>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</si>
  <si>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</si>
  <si>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</si>
  <si>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</si>
  <si>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</si>
  <si>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</si>
  <si>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</si>
  <si>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</si>
  <si>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</si>
  <si>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</si>
  <si>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</si>
  <si>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</si>
  <si>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</si>
  <si>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</si>
  <si>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</si>
  <si>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</si>
  <si>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</si>
  <si>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</si>
  <si>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</si>
  <si>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</si>
  <si>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</si>
  <si>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</si>
  <si>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</si>
  <si>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</si>
  <si>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</si>
  <si>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</si>
  <si>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</si>
  <si>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</si>
  <si>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</si>
  <si>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</si>
  <si>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</si>
  <si>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</si>
  <si>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</si>
  <si>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</si>
  <si>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</si>
  <si>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</si>
  <si>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</si>
  <si>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</si>
  <si>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</si>
  <si>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</si>
  <si>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</si>
  <si>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</si>
  <si>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</si>
  <si>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</si>
  <si>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</si>
  <si>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</si>
  <si>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</si>
  <si>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</si>
  <si>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</si>
  <si>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</si>
  <si>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</si>
  <si>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</si>
  <si>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</si>
  <si>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</si>
  <si>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</si>
  <si>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</si>
  <si>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</si>
  <si>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</si>
  <si>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</si>
  <si>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</si>
  <si>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</si>
  <si>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</si>
  <si>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</si>
  <si>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</si>
  <si>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</si>
  <si>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</si>
  <si>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</si>
  <si>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</si>
  <si>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</si>
  <si>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</si>
  <si>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</si>
  <si>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</si>
  <si>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</si>
  <si>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</si>
  <si>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</si>
  <si>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</si>
  <si>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</si>
  <si>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</si>
  <si>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</si>
  <si>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</si>
  <si>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</si>
  <si>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</si>
  <si>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</si>
  <si>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</si>
  <si>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</si>
  <si>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</si>
  <si>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</si>
  <si>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</si>
  <si>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</si>
  <si>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</si>
  <si>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</si>
  <si>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</si>
  <si>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</si>
  <si>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</si>
  <si>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</si>
  <si>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</si>
  <si>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</si>
  <si>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</si>
  <si>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</si>
  <si>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</si>
  <si>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</si>
  <si>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</si>
  <si>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</si>
  <si>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</si>
  <si>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</si>
  <si>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</si>
  <si>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</si>
  <si>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</si>
  <si>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</si>
  <si>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</si>
  <si>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</si>
  <si>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</si>
  <si>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</si>
  <si>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</si>
  <si>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</si>
  <si>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</si>
  <si>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</si>
  <si>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</si>
  <si>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</si>
  <si>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</si>
  <si>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</si>
  <si>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</si>
  <si>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</si>
  <si>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</si>
  <si>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</si>
  <si>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</si>
  <si>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</si>
  <si>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</si>
  <si>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</si>
  <si>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</si>
  <si>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</si>
  <si>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</si>
  <si>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</si>
  <si>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</si>
  <si>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</si>
  <si>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</si>
  <si>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</si>
  <si>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</si>
  <si>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</si>
  <si>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</si>
  <si>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</si>
  <si>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</si>
  <si>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</si>
  <si>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20230725 08:37:50</t>
  </si>
  <si>
    <t>08:37:50</t>
  </si>
  <si>
    <t>none</t>
  </si>
  <si>
    <t>0: Broadleaf</t>
  </si>
  <si>
    <t>08:34:33</t>
  </si>
  <si>
    <t>0/0</t>
  </si>
  <si>
    <t>00000000</t>
  </si>
  <si>
    <t>iiiiiiii</t>
  </si>
  <si>
    <t>off</t>
  </si>
  <si>
    <t>20230725 08:37:51</t>
  </si>
  <si>
    <t>08:37:51</t>
  </si>
  <si>
    <t>20230725 08:37:52</t>
  </si>
  <si>
    <t>08:37:52</t>
  </si>
  <si>
    <t>20230725 08:37:53</t>
  </si>
  <si>
    <t>08:37:53</t>
  </si>
  <si>
    <t>20230725 08:37:54</t>
  </si>
  <si>
    <t>08:37:54</t>
  </si>
  <si>
    <t>20230725 08:40:49</t>
  </si>
  <si>
    <t>08:40:49</t>
  </si>
  <si>
    <t>20230725 08:40:59</t>
  </si>
  <si>
    <t>08:40:59</t>
  </si>
  <si>
    <t>20230725 08:41:09</t>
  </si>
  <si>
    <t>08:41:09</t>
  </si>
  <si>
    <t>20230725 08:41:19</t>
  </si>
  <si>
    <t>08:41:19</t>
  </si>
  <si>
    <t>20230725 08:41:29</t>
  </si>
  <si>
    <t>08:41:29</t>
  </si>
  <si>
    <t>20230725 08:41:39</t>
  </si>
  <si>
    <t>08:41:39</t>
  </si>
  <si>
    <t>20230725 08:41:49</t>
  </si>
  <si>
    <t>08:41:49</t>
  </si>
  <si>
    <t>20230725 08:41:59</t>
  </si>
  <si>
    <t>08:41:59</t>
  </si>
  <si>
    <t>20230725 08:42:09</t>
  </si>
  <si>
    <t>08:42:09</t>
  </si>
  <si>
    <t>20230725 08:42:19</t>
  </si>
  <si>
    <t>08:42:19</t>
  </si>
  <si>
    <t>20230725 08:42:29</t>
  </si>
  <si>
    <t>08:42:29</t>
  </si>
  <si>
    <t>20230725 08:42:39</t>
  </si>
  <si>
    <t>08:42:39</t>
  </si>
  <si>
    <t>20230725 08:42:49</t>
  </si>
  <si>
    <t>08:42:49</t>
  </si>
  <si>
    <t>20230725 08:42:59</t>
  </si>
  <si>
    <t>08:42:59</t>
  </si>
  <si>
    <t>20230725 08:43:09</t>
  </si>
  <si>
    <t>08:43:09</t>
  </si>
  <si>
    <t>20230725 08:43:19</t>
  </si>
  <si>
    <t>08:43:19</t>
  </si>
  <si>
    <t>20230725 08:43:29</t>
  </si>
  <si>
    <t>08:43:29</t>
  </si>
  <si>
    <t>20230725 08:43:39</t>
  </si>
  <si>
    <t>08:43:39</t>
  </si>
  <si>
    <t>20230725 08:43:49</t>
  </si>
  <si>
    <t>08:43:49</t>
  </si>
  <si>
    <t>20230725 08:43:59</t>
  </si>
  <si>
    <t>08:43:59</t>
  </si>
  <si>
    <t>20230725 08:44:09</t>
  </si>
  <si>
    <t>08:44:09</t>
  </si>
  <si>
    <t>20230725 08:44:19</t>
  </si>
  <si>
    <t>08:44:19</t>
  </si>
  <si>
    <t>20230725 08:44:29</t>
  </si>
  <si>
    <t>08:44:29</t>
  </si>
  <si>
    <t>20230725 08:44:39</t>
  </si>
  <si>
    <t>08:44:39</t>
  </si>
  <si>
    <t>20230725 08:44:49</t>
  </si>
  <si>
    <t>08:44:49</t>
  </si>
  <si>
    <t>20230725 08:44:59</t>
  </si>
  <si>
    <t>08:44:59</t>
  </si>
  <si>
    <t>20230725 08:45:09</t>
  </si>
  <si>
    <t>08:45:09</t>
  </si>
  <si>
    <t>20230725 08:45:19</t>
  </si>
  <si>
    <t>08:45:19</t>
  </si>
  <si>
    <t>20230725 08:45:29</t>
  </si>
  <si>
    <t>08:45:29</t>
  </si>
  <si>
    <t>20230725 08:45:39</t>
  </si>
  <si>
    <t>08:45:39</t>
  </si>
  <si>
    <t>20230725 08:45:49</t>
  </si>
  <si>
    <t>08:45:49</t>
  </si>
  <si>
    <t>20230725 08:45:59</t>
  </si>
  <si>
    <t>08:45:59</t>
  </si>
  <si>
    <t>20230725 08:46:09</t>
  </si>
  <si>
    <t>08:46:09</t>
  </si>
  <si>
    <t>20230725 08:46:19</t>
  </si>
  <si>
    <t>08:46:19</t>
  </si>
  <si>
    <t>20230725 08:46:29</t>
  </si>
  <si>
    <t>08:46:29</t>
  </si>
  <si>
    <t>20230725 08:46:39</t>
  </si>
  <si>
    <t>08:46:39</t>
  </si>
  <si>
    <t>20230725 08:46:49</t>
  </si>
  <si>
    <t>08:46:49</t>
  </si>
  <si>
    <t>20230725 08:46:59</t>
  </si>
  <si>
    <t>08:46:59</t>
  </si>
  <si>
    <t>20230725 08:47:09</t>
  </si>
  <si>
    <t>08:47:09</t>
  </si>
  <si>
    <t>20230725 08:47:19</t>
  </si>
  <si>
    <t>08:47:19</t>
  </si>
  <si>
    <t>20230725 08:47:29</t>
  </si>
  <si>
    <t>08:47:29</t>
  </si>
  <si>
    <t>20230725 08:47:39</t>
  </si>
  <si>
    <t>08:47:39</t>
  </si>
  <si>
    <t>20230725 08:47:49</t>
  </si>
  <si>
    <t>08:47:49</t>
  </si>
  <si>
    <t>20230725 08:47:59</t>
  </si>
  <si>
    <t>08:47:59</t>
  </si>
  <si>
    <t>20230725 08:48:09</t>
  </si>
  <si>
    <t>08:48:09</t>
  </si>
  <si>
    <t>20230725 08:48:19</t>
  </si>
  <si>
    <t>08:48:19</t>
  </si>
  <si>
    <t>20230725 08:48:29</t>
  </si>
  <si>
    <t>08:48:29</t>
  </si>
  <si>
    <t>20230725 08:48:39</t>
  </si>
  <si>
    <t>08:48:39</t>
  </si>
  <si>
    <t>20230725 08:48:49</t>
  </si>
  <si>
    <t>08:48:49</t>
  </si>
  <si>
    <t>20230725 08:48:59</t>
  </si>
  <si>
    <t>08:48:59</t>
  </si>
  <si>
    <t>20230725 08:49:09</t>
  </si>
  <si>
    <t>08:49:09</t>
  </si>
  <si>
    <t>20230725 08:49:19</t>
  </si>
  <si>
    <t>08:49:19</t>
  </si>
  <si>
    <t>20230725 08:49:29</t>
  </si>
  <si>
    <t>08:49:29</t>
  </si>
  <si>
    <t>20230725 08:49:39</t>
  </si>
  <si>
    <t>08:49:39</t>
  </si>
  <si>
    <t>20230725 08:49:49</t>
  </si>
  <si>
    <t>08:49:49</t>
  </si>
  <si>
    <t>20230725 08:49:59</t>
  </si>
  <si>
    <t>08:49:59</t>
  </si>
  <si>
    <t>20230725 08:50:09</t>
  </si>
  <si>
    <t>08:50:09</t>
  </si>
  <si>
    <t>20230725 08:50:19</t>
  </si>
  <si>
    <t>08:50:19</t>
  </si>
  <si>
    <t>20230725 08:50:29</t>
  </si>
  <si>
    <t>08:50:29</t>
  </si>
  <si>
    <t>20230725 08:50:39</t>
  </si>
  <si>
    <t>08:50:39</t>
  </si>
  <si>
    <t>20230725 08:50:49</t>
  </si>
  <si>
    <t>08:50:49</t>
  </si>
  <si>
    <t>20230725 08:50:59</t>
  </si>
  <si>
    <t>08:50:59</t>
  </si>
  <si>
    <t>20230725 08:51:09</t>
  </si>
  <si>
    <t>08:51:09</t>
  </si>
  <si>
    <t>20230725 08:51:19</t>
  </si>
  <si>
    <t>08:51:19</t>
  </si>
  <si>
    <t>20230725 08:51:29</t>
  </si>
  <si>
    <t>08:51:29</t>
  </si>
  <si>
    <t>20230725 08:51:39</t>
  </si>
  <si>
    <t>08:51:39</t>
  </si>
  <si>
    <t>20230725 08:51:49</t>
  </si>
  <si>
    <t>08:51:49</t>
  </si>
  <si>
    <t>20230725 08:51:59</t>
  </si>
  <si>
    <t>08:51:59</t>
  </si>
  <si>
    <t>20230725 08:52:09</t>
  </si>
  <si>
    <t>08:52:09</t>
  </si>
  <si>
    <t>20230725 08:52:19</t>
  </si>
  <si>
    <t>08:52:19</t>
  </si>
  <si>
    <t>20230725 08:52:29</t>
  </si>
  <si>
    <t>08:52:29</t>
  </si>
  <si>
    <t>20230725 08:52:39</t>
  </si>
  <si>
    <t>08:52:39</t>
  </si>
  <si>
    <t>20230725 08:52:49</t>
  </si>
  <si>
    <t>08:52:49</t>
  </si>
  <si>
    <t>20230725 08:52:59</t>
  </si>
  <si>
    <t>08:52:59</t>
  </si>
  <si>
    <t>20230725 08:53:09</t>
  </si>
  <si>
    <t>08:53:09</t>
  </si>
  <si>
    <t>20230725 08:53:19</t>
  </si>
  <si>
    <t>08:53:19</t>
  </si>
  <si>
    <t>20230725 08:53:29</t>
  </si>
  <si>
    <t>08:53:29</t>
  </si>
  <si>
    <t>20230725 08:53:39</t>
  </si>
  <si>
    <t>08:53:39</t>
  </si>
  <si>
    <t>20230725 08:53:49</t>
  </si>
  <si>
    <t>08:53:49</t>
  </si>
  <si>
    <t>20230725 08:53:59</t>
  </si>
  <si>
    <t>08:53:59</t>
  </si>
  <si>
    <t>20230725 08:54:09</t>
  </si>
  <si>
    <t>08:54:09</t>
  </si>
  <si>
    <t>20230725 08:54:19</t>
  </si>
  <si>
    <t>08:54:19</t>
  </si>
  <si>
    <t>20230725 08:54:29</t>
  </si>
  <si>
    <t>08:54:29</t>
  </si>
  <si>
    <t>20230725 08:54:39</t>
  </si>
  <si>
    <t>08:54:39</t>
  </si>
  <si>
    <t>20230725 08:54:49</t>
  </si>
  <si>
    <t>08:54:49</t>
  </si>
  <si>
    <t>20230725 08:54:59</t>
  </si>
  <si>
    <t>08:54:59</t>
  </si>
  <si>
    <t>20230725 08:55:09</t>
  </si>
  <si>
    <t>08:55:09</t>
  </si>
  <si>
    <t>20230725 08:55:19</t>
  </si>
  <si>
    <t>08:55:19</t>
  </si>
  <si>
    <t>20230725 08:55:29</t>
  </si>
  <si>
    <t>08:55:29</t>
  </si>
  <si>
    <t>20230725 08:55:39</t>
  </si>
  <si>
    <t>08:55:39</t>
  </si>
  <si>
    <t>20230725 08:55:49</t>
  </si>
  <si>
    <t>08:55:49</t>
  </si>
  <si>
    <t>20230725 08:55:59</t>
  </si>
  <si>
    <t>08:55:59</t>
  </si>
  <si>
    <t>20230725 08:56:09</t>
  </si>
  <si>
    <t>08:56:09</t>
  </si>
  <si>
    <t>20230725 08:56:19</t>
  </si>
  <si>
    <t>08:56:19</t>
  </si>
  <si>
    <t>20230725 08:56:29</t>
  </si>
  <si>
    <t>08:56:29</t>
  </si>
  <si>
    <t>20230725 08:56:39</t>
  </si>
  <si>
    <t>08:56:39</t>
  </si>
  <si>
    <t>20230725 08:56:49</t>
  </si>
  <si>
    <t>08:56:49</t>
  </si>
  <si>
    <t>20230725 08:56:59</t>
  </si>
  <si>
    <t>08:56:59</t>
  </si>
  <si>
    <t>20230725 08:57:09</t>
  </si>
  <si>
    <t>08:57:09</t>
  </si>
  <si>
    <t>20230725 08:57:19</t>
  </si>
  <si>
    <t>08:57:19</t>
  </si>
  <si>
    <t>20230725 08:57:29</t>
  </si>
  <si>
    <t>08:57:29</t>
  </si>
  <si>
    <t>20230725 08:57:39</t>
  </si>
  <si>
    <t>08:57:39</t>
  </si>
  <si>
    <t>20230725 08:57:49</t>
  </si>
  <si>
    <t>08:57:49</t>
  </si>
  <si>
    <t>20230725 08:57:59</t>
  </si>
  <si>
    <t>08:57:59</t>
  </si>
  <si>
    <t>20230725 08:58:09</t>
  </si>
  <si>
    <t>08:58:09</t>
  </si>
  <si>
    <t>20230725 08:58:19</t>
  </si>
  <si>
    <t>08:58:19</t>
  </si>
  <si>
    <t>20230725 08:58:29</t>
  </si>
  <si>
    <t>08:58:29</t>
  </si>
  <si>
    <t>20230725 08:58:39</t>
  </si>
  <si>
    <t>08:58:39</t>
  </si>
  <si>
    <t>20230725 08:58:49</t>
  </si>
  <si>
    <t>08:58:49</t>
  </si>
  <si>
    <t>20230725 08:58:59</t>
  </si>
  <si>
    <t>08:58:59</t>
  </si>
  <si>
    <t>20230725 08:59:09</t>
  </si>
  <si>
    <t>08:59:09</t>
  </si>
  <si>
    <t>20230725 08:59:19</t>
  </si>
  <si>
    <t>08:59:19</t>
  </si>
  <si>
    <t>20230725 08:59:29</t>
  </si>
  <si>
    <t>08:59:29</t>
  </si>
  <si>
    <t>20230725 08:59:39</t>
  </si>
  <si>
    <t>08:59:39</t>
  </si>
  <si>
    <t>20230725 08:59:49</t>
  </si>
  <si>
    <t>08:59:49</t>
  </si>
  <si>
    <t>20230725 08:59:59</t>
  </si>
  <si>
    <t>08:59:59</t>
  </si>
  <si>
    <t>20230725 09:00:09</t>
  </si>
  <si>
    <t>09:00:09</t>
  </si>
  <si>
    <t>20230725 09:00:19</t>
  </si>
  <si>
    <t>09:00:19</t>
  </si>
  <si>
    <t>20230725 09:00:29</t>
  </si>
  <si>
    <t>09:00:29</t>
  </si>
  <si>
    <t>20230725 09:00:39</t>
  </si>
  <si>
    <t>09:00:39</t>
  </si>
  <si>
    <t>20230725 09:00:49</t>
  </si>
  <si>
    <t>09:00:49</t>
  </si>
  <si>
    <t>20230725 09:00:59</t>
  </si>
  <si>
    <t>09:00:59</t>
  </si>
  <si>
    <t>20230725 09:01:09</t>
  </si>
  <si>
    <t>09:01:09</t>
  </si>
  <si>
    <t>20230725 09:01:19</t>
  </si>
  <si>
    <t>09:01:19</t>
  </si>
  <si>
    <t>20230725 09:01:29</t>
  </si>
  <si>
    <t>09:01:29</t>
  </si>
  <si>
    <t>20230725 09:01:39</t>
  </si>
  <si>
    <t>09:01:39</t>
  </si>
  <si>
    <t>20230725 09:01:49</t>
  </si>
  <si>
    <t>09:01:49</t>
  </si>
  <si>
    <t>20230725 09:01:59</t>
  </si>
  <si>
    <t>09:01:59</t>
  </si>
  <si>
    <t>20230725 09:02:09</t>
  </si>
  <si>
    <t>09:02:09</t>
  </si>
  <si>
    <t>20230725 09:02:19</t>
  </si>
  <si>
    <t>09:02:19</t>
  </si>
  <si>
    <t>20230725 09:02:29</t>
  </si>
  <si>
    <t>09:02:29</t>
  </si>
  <si>
    <t>20230725 09:02:39</t>
  </si>
  <si>
    <t>09:02:39</t>
  </si>
  <si>
    <t>20230725 09:02:49</t>
  </si>
  <si>
    <t>09:02:49</t>
  </si>
  <si>
    <t>20230725 09:02:59</t>
  </si>
  <si>
    <t>09:02:59</t>
  </si>
  <si>
    <t>20230725 09:03:09</t>
  </si>
  <si>
    <t>09:03:09</t>
  </si>
  <si>
    <t>20230725 09:03:19</t>
  </si>
  <si>
    <t>09:03:19</t>
  </si>
  <si>
    <t>20230725 09:03:29</t>
  </si>
  <si>
    <t>09:03:29</t>
  </si>
  <si>
    <t>20230725 09:03:40</t>
  </si>
  <si>
    <t>09:03:40</t>
  </si>
  <si>
    <t>20230725 09:03:50</t>
  </si>
  <si>
    <t>09:03:50</t>
  </si>
  <si>
    <t>20230725 09:04:00</t>
  </si>
  <si>
    <t>09:04:00</t>
  </si>
  <si>
    <t>20230725 09:04:10</t>
  </si>
  <si>
    <t>09:04:10</t>
  </si>
  <si>
    <t>20230725 09:04:20</t>
  </si>
  <si>
    <t>09:04:20</t>
  </si>
  <si>
    <t>20230725 09:04:30</t>
  </si>
  <si>
    <t>09:04:30</t>
  </si>
  <si>
    <t>20230725 09:04:40</t>
  </si>
  <si>
    <t>09:04:40</t>
  </si>
  <si>
    <t>20230725 09:04:50</t>
  </si>
  <si>
    <t>09:04:50</t>
  </si>
  <si>
    <t>20230725 09:05:00</t>
  </si>
  <si>
    <t>09:05:00</t>
  </si>
  <si>
    <t>20230725 09:05:10</t>
  </si>
  <si>
    <t>09:05:10</t>
  </si>
  <si>
    <t>20230725 09:05:20</t>
  </si>
  <si>
    <t>09:05:20</t>
  </si>
  <si>
    <t>20230725 09:05:30</t>
  </si>
  <si>
    <t>09:05:30</t>
  </si>
  <si>
    <t>20230725 09:05:40</t>
  </si>
  <si>
    <t>09:05:40</t>
  </si>
  <si>
    <t>20230725 09:05:50</t>
  </si>
  <si>
    <t>09:05:50</t>
  </si>
  <si>
    <t>20230725 09:06:00</t>
  </si>
  <si>
    <t>09:06:00</t>
  </si>
  <si>
    <t>20230725 09:06:10</t>
  </si>
  <si>
    <t>09:06:10</t>
  </si>
  <si>
    <t>20230725 09:06:20</t>
  </si>
  <si>
    <t>09:06:20</t>
  </si>
  <si>
    <t>20230725 09:06:30</t>
  </si>
  <si>
    <t>09:06:30</t>
  </si>
  <si>
    <t>20230725 09:06:40</t>
  </si>
  <si>
    <t>09:06:40</t>
  </si>
  <si>
    <t>20230725 09:06:50</t>
  </si>
  <si>
    <t>09:06:50</t>
  </si>
  <si>
    <t>20230725 09:07:00</t>
  </si>
  <si>
    <t>09:07:00</t>
  </si>
  <si>
    <t>20230725 09:07:10</t>
  </si>
  <si>
    <t>09:07:10</t>
  </si>
  <si>
    <t>20230725 09:07:20</t>
  </si>
  <si>
    <t>09:07:20</t>
  </si>
  <si>
    <t>20230725 09:07:30</t>
  </si>
  <si>
    <t>09:07:30</t>
  </si>
  <si>
    <t>20230725 09:07:40</t>
  </si>
  <si>
    <t>09:07:40</t>
  </si>
  <si>
    <t>20230725 09:07:50</t>
  </si>
  <si>
    <t>09:07:50</t>
  </si>
  <si>
    <t>20230725 09:08:00</t>
  </si>
  <si>
    <t>09:08:00</t>
  </si>
  <si>
    <t>20230725 09:08:10</t>
  </si>
  <si>
    <t>09:08:10</t>
  </si>
  <si>
    <t>20230725 09:08:20</t>
  </si>
  <si>
    <t>09:08:20</t>
  </si>
  <si>
    <t>20230725 09:08:30</t>
  </si>
  <si>
    <t>09:08:30</t>
  </si>
  <si>
    <t>20230725 09:08:40</t>
  </si>
  <si>
    <t>09:08:40</t>
  </si>
  <si>
    <t>20230725 09:08:50</t>
  </si>
  <si>
    <t>09:08:50</t>
  </si>
  <si>
    <t>20230725 09:09:00</t>
  </si>
  <si>
    <t>09:09:00</t>
  </si>
  <si>
    <t>20230725 09:09:10</t>
  </si>
  <si>
    <t>09:09:10</t>
  </si>
  <si>
    <t>20230725 09:09:20</t>
  </si>
  <si>
    <t>09:09:20</t>
  </si>
  <si>
    <t>20230725 09:09:30</t>
  </si>
  <si>
    <t>09:09:30</t>
  </si>
  <si>
    <t>20230725 09:09:40</t>
  </si>
  <si>
    <t>09:09:40</t>
  </si>
  <si>
    <t>20230725 09:09:50</t>
  </si>
  <si>
    <t>09:09:50</t>
  </si>
  <si>
    <t>20230725 09:10:00</t>
  </si>
  <si>
    <t>09:10:00</t>
  </si>
  <si>
    <t>20230725 09:10:10</t>
  </si>
  <si>
    <t>09:10:10</t>
  </si>
  <si>
    <t>20230725 09:10:20</t>
  </si>
  <si>
    <t>09:10:20</t>
  </si>
  <si>
    <t>20230725 09:10:30</t>
  </si>
  <si>
    <t>09:10:30</t>
  </si>
  <si>
    <t>20230725 09:10:40</t>
  </si>
  <si>
    <t>09:10:40</t>
  </si>
  <si>
    <t>20230725 09:10:50</t>
  </si>
  <si>
    <t>09:10:50</t>
  </si>
  <si>
    <t>20230725 09:11:00</t>
  </si>
  <si>
    <t>09:11:00</t>
  </si>
  <si>
    <t>20230725 09:11:10</t>
  </si>
  <si>
    <t>09:11:10</t>
  </si>
  <si>
    <t>20230725 09:11:20</t>
  </si>
  <si>
    <t>09:11:20</t>
  </si>
  <si>
    <t>20230725 09:11:30</t>
  </si>
  <si>
    <t>09:11:30</t>
  </si>
  <si>
    <t>20230725 09:11:40</t>
  </si>
  <si>
    <t>09:11:40</t>
  </si>
  <si>
    <t>20230725 09:11:50</t>
  </si>
  <si>
    <t>09:11:50</t>
  </si>
  <si>
    <t>20230725 09:12:00</t>
  </si>
  <si>
    <t>09:12:00</t>
  </si>
  <si>
    <t>20230725 09:12:10</t>
  </si>
  <si>
    <t>09:12:10</t>
  </si>
  <si>
    <t>20230725 09:12:20</t>
  </si>
  <si>
    <t>09:12:20</t>
  </si>
  <si>
    <t>20230725 09:12:30</t>
  </si>
  <si>
    <t>09:12:30</t>
  </si>
  <si>
    <t>20230725 09:12:40</t>
  </si>
  <si>
    <t>09:12:40</t>
  </si>
  <si>
    <t>20230725 09:12:50</t>
  </si>
  <si>
    <t>09:12:50</t>
  </si>
  <si>
    <t>20230725 09:13:00</t>
  </si>
  <si>
    <t>09:13:00</t>
  </si>
  <si>
    <t>20230725 09:13:10</t>
  </si>
  <si>
    <t>09:13:10</t>
  </si>
  <si>
    <t>20230725 09:13:20</t>
  </si>
  <si>
    <t>09:13:20</t>
  </si>
  <si>
    <t>20230725 09:13:30</t>
  </si>
  <si>
    <t>09:13:30</t>
  </si>
  <si>
    <t>20230725 09:13:40</t>
  </si>
  <si>
    <t>09:13:40</t>
  </si>
  <si>
    <t>20230725 09:13:50</t>
  </si>
  <si>
    <t>09:13:50</t>
  </si>
  <si>
    <t>20230725 09:14:00</t>
  </si>
  <si>
    <t>09:14:00</t>
  </si>
  <si>
    <t>20230725 09:14:10</t>
  </si>
  <si>
    <t>09:14:10</t>
  </si>
  <si>
    <t>20230725 09:14:20</t>
  </si>
  <si>
    <t>09:14:20</t>
  </si>
  <si>
    <t>20230725 09:14:30</t>
  </si>
  <si>
    <t>09:14:30</t>
  </si>
  <si>
    <t>20230725 09:14:40</t>
  </si>
  <si>
    <t>09:14:40</t>
  </si>
  <si>
    <t>20230725 09:14:50</t>
  </si>
  <si>
    <t>09:14:50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</si>
</sst>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6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1690292270.5999999</v>
      </c>
      <c r="C17">
        <v>0</v>
      </c>
      <c r="D17" t="s">
        <v>328</v>
      </c>
      <c r="E17" t="s">
        <v>329</v>
      </c>
      <c r="F17" t="s">
        <v>330</v>
      </c>
      <c r="H17">
        <v>1690292270.5999999</v>
      </c>
      <c r="I17">
        <f t="shared" ref="I17:I80" si="0">(J17)/1000</f>
        <v>4.970457266920583E-4</v>
      </c>
      <c r="J17">
        <f t="shared" ref="J17:J80" si="1">1000*AZ17*AH17*(AV17-AW17)/(100*AO17*(1000-AH17*AV17))</f>
        <v>0.49704572669205827</v>
      </c>
      <c r="K17">
        <f t="shared" ref="K17:K80" si="2">AZ17*AH17*(AU17-AT17*(1000-AH17*AW17)/(1000-AH17*AV17))/(100*AO17)</f>
        <v>-1.4010215371585857</v>
      </c>
      <c r="L17">
        <f t="shared" ref="L17:L80" si="3">AT17 - IF(AH17&gt;1, K17*AO17*100/(AJ17*BH17), 0)</f>
        <v>809.91700000000003</v>
      </c>
      <c r="M17">
        <f t="shared" ref="M17:M80" si="4">((S17-I17/2)*L17-K17)/(S17+I17/2)</f>
        <v>850.24865058894795</v>
      </c>
      <c r="N17">
        <f t="shared" ref="N17:N80" si="5">M17*(BA17+BB17)/1000</f>
        <v>84.556619778111653</v>
      </c>
      <c r="O17">
        <f t="shared" ref="O17:O80" si="6">(AT17 - IF(AH17&gt;1, K17*AO17*100/(AJ17*BH17), 0))*(BA17+BB17)/1000</f>
        <v>80.545665992403116</v>
      </c>
      <c r="P17">
        <f t="shared" ref="P17:P80" si="7">2/((1/R17-1/Q17)+SIGN(R17)*SQRT((1/R17-1/Q17)*(1/R17-1/Q17) + 4*AP17/((AP17+1)*(AP17+1))*(2*1/R17*1/Q17-1/Q17*1/Q17)))</f>
        <v>3.9538302068958857E-2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2.2599404708742084</v>
      </c>
      <c r="R17">
        <f t="shared" ref="R17:R80" si="9">I17*(1000-(1000*0.61365*EXP(17.502*V17/(240.97+V17))/(BA17+BB17)+AV17)/2)/(1000*0.61365*EXP(17.502*V17/(240.97+V17))/(BA17+BB17)-AV17)</f>
        <v>3.9157995570932254E-2</v>
      </c>
      <c r="S17">
        <f t="shared" ref="S17:S80" si="10">1/((AP17+1)/(P17/1.6)+1/(Q17/1.37)) + AP17/((AP17+1)/(P17/1.6) + AP17/(Q17/1.37))</f>
        <v>2.4507611308037035E-2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26.836273917267413</v>
      </c>
      <c r="V17">
        <f t="shared" ref="V17:V80" si="13">($C$7*BD17+$D$7*BE17+$E$7*U17)</f>
        <v>26.836273917267413</v>
      </c>
      <c r="W17">
        <f t="shared" ref="W17:W80" si="14">0.61365*EXP(17.502*V17/(240.97+V17))</f>
        <v>3.5448864668746323</v>
      </c>
      <c r="X17">
        <f t="shared" ref="X17:X80" si="15">(Y17/Z17*100)</f>
        <v>64.811185529932146</v>
      </c>
      <c r="Y17">
        <f t="shared" ref="Y17:Y80" si="16">AV17*(BA17+BB17)/1000</f>
        <v>2.3197639505102301</v>
      </c>
      <c r="Z17">
        <f t="shared" ref="Z17:Z80" si="17">0.61365*EXP(17.502*BC17/(240.97+BC17))</f>
        <v>3.5792648005781027</v>
      </c>
      <c r="AA17">
        <f t="shared" ref="AA17:AA80" si="18">(W17-AV17*(BA17+BB17)/1000)</f>
        <v>1.2251225163644022</v>
      </c>
      <c r="AB17">
        <f t="shared" ref="AB17:AB80" si="19">(-I17*44100)</f>
        <v>-21.919716547119773</v>
      </c>
      <c r="AC17">
        <f t="shared" ref="AC17:AC80" si="20">2*29.3*Q17*0.92*(BC17-V17)</f>
        <v>20.008962796962258</v>
      </c>
      <c r="AD17">
        <f t="shared" ref="AD17:AD80" si="21">2*0.95*0.0000000567*(((BC17+$B$7)+273)^4-(V17+273)^4)</f>
        <v>1.9091853472678881</v>
      </c>
      <c r="AE17">
        <f t="shared" ref="AE17:AE80" si="22">T17+AD17+AB17+AC17</f>
        <v>-1.568402889624565E-3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52624.186390363466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30</v>
      </c>
      <c r="AP17">
        <v>0.5</v>
      </c>
      <c r="AQ17" t="s">
        <v>331</v>
      </c>
      <c r="AR17">
        <v>2</v>
      </c>
      <c r="AS17">
        <v>1690292270.5999999</v>
      </c>
      <c r="AT17">
        <v>809.91700000000003</v>
      </c>
      <c r="AU17">
        <v>799.93700000000001</v>
      </c>
      <c r="AV17">
        <v>23.3261</v>
      </c>
      <c r="AW17">
        <v>18.473800000000001</v>
      </c>
      <c r="AX17">
        <v>810.42399999999998</v>
      </c>
      <c r="AY17">
        <v>23.174700000000001</v>
      </c>
      <c r="AZ17">
        <v>300.137</v>
      </c>
      <c r="BA17">
        <v>99.349299999999999</v>
      </c>
      <c r="BB17">
        <v>9.9984299999999998E-2</v>
      </c>
      <c r="BC17">
        <v>27.000499999999999</v>
      </c>
      <c r="BD17">
        <v>26.9496</v>
      </c>
      <c r="BE17">
        <v>27.0792</v>
      </c>
      <c r="BF17">
        <v>0</v>
      </c>
      <c r="BG17">
        <v>0</v>
      </c>
      <c r="BH17">
        <v>10018.1</v>
      </c>
      <c r="BI17">
        <v>0.67874999999999996</v>
      </c>
      <c r="BJ17">
        <v>1.50397</v>
      </c>
      <c r="BK17">
        <v>9.9796800000000001</v>
      </c>
      <c r="BL17">
        <v>829.26</v>
      </c>
      <c r="BM17">
        <v>814.99300000000005</v>
      </c>
      <c r="BN17">
        <v>4.85236</v>
      </c>
      <c r="BO17">
        <v>799.93700000000001</v>
      </c>
      <c r="BP17">
        <v>18.473800000000001</v>
      </c>
      <c r="BQ17">
        <v>2.3174399999999999</v>
      </c>
      <c r="BR17">
        <v>1.8353600000000001</v>
      </c>
      <c r="BS17">
        <v>19.798100000000002</v>
      </c>
      <c r="BT17">
        <v>16.091200000000001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1690292073.5</v>
      </c>
      <c r="CC17" t="s">
        <v>332</v>
      </c>
      <c r="CD17">
        <v>1690292069.5</v>
      </c>
      <c r="CE17">
        <v>1690292073.5</v>
      </c>
      <c r="CF17">
        <v>4</v>
      </c>
      <c r="CG17">
        <v>-3.6999999999999998E-2</v>
      </c>
      <c r="CH17">
        <v>-1.6E-2</v>
      </c>
      <c r="CI17">
        <v>-0.45200000000000001</v>
      </c>
      <c r="CJ17">
        <v>0.108</v>
      </c>
      <c r="CK17">
        <v>730</v>
      </c>
      <c r="CL17">
        <v>18</v>
      </c>
      <c r="CM17">
        <v>0</v>
      </c>
      <c r="CN17">
        <v>0.01</v>
      </c>
      <c r="CO17">
        <v>9.8718847499999995</v>
      </c>
      <c r="CP17">
        <v>0.382449118198884</v>
      </c>
      <c r="CQ17">
        <v>5.7090858505872047E-2</v>
      </c>
      <c r="CR17">
        <v>-1</v>
      </c>
      <c r="CS17">
        <v>4.8937872500000008</v>
      </c>
      <c r="CT17">
        <v>-0.31347545966229901</v>
      </c>
      <c r="CU17">
        <v>3.0551000309932561E-2</v>
      </c>
      <c r="CV17">
        <v>-1</v>
      </c>
      <c r="CW17">
        <v>0</v>
      </c>
      <c r="CX17">
        <v>0</v>
      </c>
      <c r="CY17" t="s">
        <v>333</v>
      </c>
      <c r="CZ17">
        <v>2.3644599999999998</v>
      </c>
      <c r="DA17">
        <v>2.7137899999999999</v>
      </c>
      <c r="DB17">
        <v>0.14849399999999999</v>
      </c>
      <c r="DC17">
        <v>0.14680699999999999</v>
      </c>
      <c r="DD17">
        <v>0.112119</v>
      </c>
      <c r="DE17">
        <v>9.3572699999999995E-2</v>
      </c>
      <c r="DF17">
        <v>31096.400000000001</v>
      </c>
      <c r="DG17">
        <v>27491.7</v>
      </c>
      <c r="DH17">
        <v>31175.4</v>
      </c>
      <c r="DI17">
        <v>28076</v>
      </c>
      <c r="DJ17">
        <v>37579.199999999997</v>
      </c>
      <c r="DK17">
        <v>36178.800000000003</v>
      </c>
      <c r="DL17">
        <v>44364.1</v>
      </c>
      <c r="DM17">
        <v>42545.1</v>
      </c>
      <c r="DN17">
        <v>1.4759500000000001</v>
      </c>
      <c r="DO17">
        <v>2.0691199999999998</v>
      </c>
      <c r="DP17">
        <v>7.6007099999999994E-2</v>
      </c>
      <c r="DQ17">
        <v>7.7448799999999998E-2</v>
      </c>
      <c r="DR17">
        <v>25.705200000000001</v>
      </c>
      <c r="DS17">
        <v>25.811499999999999</v>
      </c>
      <c r="DT17">
        <v>58.1</v>
      </c>
      <c r="DU17">
        <v>28.2</v>
      </c>
      <c r="DV17">
        <v>22.45</v>
      </c>
      <c r="DW17">
        <v>61.823300000000003</v>
      </c>
      <c r="DX17">
        <v>34.807699999999997</v>
      </c>
      <c r="DY17">
        <v>1</v>
      </c>
      <c r="DZ17">
        <v>-0.107934</v>
      </c>
      <c r="EA17">
        <v>-1.9177999999999999</v>
      </c>
      <c r="EB17">
        <v>20.291799999999999</v>
      </c>
      <c r="EC17">
        <v>5.24125</v>
      </c>
      <c r="ED17">
        <v>12.039899999999999</v>
      </c>
      <c r="EE17">
        <v>5.01675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1.8646199999999999</v>
      </c>
      <c r="EM17">
        <v>1.8692</v>
      </c>
      <c r="EN17">
        <v>1.8672200000000001</v>
      </c>
      <c r="EO17">
        <v>1.8633999999999999</v>
      </c>
      <c r="EP17">
        <v>1.8644499999999999</v>
      </c>
      <c r="EQ17">
        <v>1.87015</v>
      </c>
      <c r="ER17">
        <v>1.8693599999999999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-0.50700000000000001</v>
      </c>
      <c r="FG17">
        <v>0.15140000000000001</v>
      </c>
      <c r="FH17">
        <v>5.0310448532705943E-2</v>
      </c>
      <c r="FI17">
        <v>-6.1462078757559423E-4</v>
      </c>
      <c r="FJ17">
        <v>-1.8861989874597051E-7</v>
      </c>
      <c r="FK17">
        <v>1.1980462299894961E-10</v>
      </c>
      <c r="FL17">
        <v>0.15140825623214971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3.4</v>
      </c>
      <c r="FU17">
        <v>3.3</v>
      </c>
      <c r="FV17">
        <v>1.79199</v>
      </c>
      <c r="FW17">
        <v>2.5744600000000002</v>
      </c>
      <c r="FX17">
        <v>1.5490699999999999</v>
      </c>
      <c r="FY17">
        <v>2.3327599999999999</v>
      </c>
      <c r="FZ17">
        <v>1.50024</v>
      </c>
      <c r="GA17">
        <v>2.3730500000000001</v>
      </c>
      <c r="GB17">
        <v>32.798000000000002</v>
      </c>
      <c r="GC17">
        <v>24.017499999999998</v>
      </c>
      <c r="GD17">
        <v>19</v>
      </c>
      <c r="GE17">
        <v>281.69099999999997</v>
      </c>
      <c r="GF17">
        <v>607.59799999999996</v>
      </c>
      <c r="GG17">
        <v>28.945900000000002</v>
      </c>
      <c r="GH17">
        <v>26.056899999999999</v>
      </c>
      <c r="GI17">
        <v>30</v>
      </c>
      <c r="GJ17">
        <v>26.106100000000001</v>
      </c>
      <c r="GK17">
        <v>26.0761</v>
      </c>
      <c r="GL17">
        <v>35.835000000000001</v>
      </c>
      <c r="GM17">
        <v>28.5899</v>
      </c>
      <c r="GN17">
        <v>91.878200000000007</v>
      </c>
      <c r="GO17">
        <v>28.970400000000001</v>
      </c>
      <c r="GP17">
        <v>800</v>
      </c>
      <c r="GQ17">
        <v>18.555099999999999</v>
      </c>
      <c r="GR17">
        <v>99.746099999999998</v>
      </c>
      <c r="GS17">
        <v>99.535600000000002</v>
      </c>
    </row>
    <row r="18" spans="1:201" x14ac:dyDescent="0.25">
      <c r="A18">
        <v>2</v>
      </c>
      <c r="B18">
        <v>1690292271.5999999</v>
      </c>
      <c r="C18">
        <v>1</v>
      </c>
      <c r="D18" t="s">
        <v>337</v>
      </c>
      <c r="E18" t="s">
        <v>338</v>
      </c>
      <c r="F18" t="s">
        <v>330</v>
      </c>
      <c r="H18">
        <v>1690292271.5999999</v>
      </c>
      <c r="I18">
        <f t="shared" si="0"/>
        <v>4.9720466157210169E-4</v>
      </c>
      <c r="J18">
        <f t="shared" si="1"/>
        <v>0.49720466157210164</v>
      </c>
      <c r="K18">
        <f t="shared" si="2"/>
        <v>-1.4049502426352027</v>
      </c>
      <c r="L18">
        <f t="shared" si="3"/>
        <v>809.90599999999995</v>
      </c>
      <c r="M18">
        <f t="shared" si="4"/>
        <v>850.38876596152113</v>
      </c>
      <c r="N18">
        <f t="shared" si="5"/>
        <v>84.572167169044761</v>
      </c>
      <c r="O18">
        <f t="shared" si="6"/>
        <v>80.546108279976607</v>
      </c>
      <c r="P18">
        <f t="shared" si="7"/>
        <v>3.9540220046274603E-2</v>
      </c>
      <c r="Q18">
        <f t="shared" si="8"/>
        <v>2.2636685321468448</v>
      </c>
      <c r="R18">
        <f t="shared" si="9"/>
        <v>3.9160496743383622E-2</v>
      </c>
      <c r="S18">
        <f t="shared" si="10"/>
        <v>2.4509123091252381E-2</v>
      </c>
      <c r="T18">
        <f t="shared" si="11"/>
        <v>0</v>
      </c>
      <c r="U18">
        <f t="shared" si="12"/>
        <v>26.83766857935877</v>
      </c>
      <c r="V18">
        <f t="shared" si="13"/>
        <v>26.83766857935877</v>
      </c>
      <c r="W18">
        <f t="shared" si="14"/>
        <v>3.5451772010175704</v>
      </c>
      <c r="X18">
        <f t="shared" si="15"/>
        <v>64.805353455204127</v>
      </c>
      <c r="Y18">
        <f t="shared" si="16"/>
        <v>2.3197186893937203</v>
      </c>
      <c r="Z18">
        <f t="shared" si="17"/>
        <v>3.5795170702945032</v>
      </c>
      <c r="AA18">
        <f t="shared" si="18"/>
        <v>1.2254585116238501</v>
      </c>
      <c r="AB18">
        <f t="shared" si="19"/>
        <v>-21.926725575329684</v>
      </c>
      <c r="AC18">
        <f t="shared" si="20"/>
        <v>20.01821379686368</v>
      </c>
      <c r="AD18">
        <f t="shared" si="21"/>
        <v>1.9069470783268898</v>
      </c>
      <c r="AE18">
        <f t="shared" si="22"/>
        <v>-1.5647001391130289E-3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52769.958160624054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30</v>
      </c>
      <c r="AP18">
        <v>0.5</v>
      </c>
      <c r="AQ18" t="s">
        <v>331</v>
      </c>
      <c r="AR18">
        <v>2</v>
      </c>
      <c r="AS18">
        <v>1690292271.5999999</v>
      </c>
      <c r="AT18">
        <v>809.90599999999995</v>
      </c>
      <c r="AU18">
        <v>799.89200000000005</v>
      </c>
      <c r="AV18">
        <v>23.325199999999999</v>
      </c>
      <c r="AW18">
        <v>18.473299999999998</v>
      </c>
      <c r="AX18">
        <v>810.41399999999999</v>
      </c>
      <c r="AY18">
        <v>23.1738</v>
      </c>
      <c r="AZ18">
        <v>300.25799999999998</v>
      </c>
      <c r="BA18">
        <v>99.351200000000006</v>
      </c>
      <c r="BB18">
        <v>9.9981100000000003E-2</v>
      </c>
      <c r="BC18">
        <v>27.0017</v>
      </c>
      <c r="BD18">
        <v>26.947900000000001</v>
      </c>
      <c r="BE18">
        <v>27.083100000000002</v>
      </c>
      <c r="BF18">
        <v>0</v>
      </c>
      <c r="BG18">
        <v>0</v>
      </c>
      <c r="BH18">
        <v>10046.9</v>
      </c>
      <c r="BI18">
        <v>0.67268600000000001</v>
      </c>
      <c r="BJ18">
        <v>1.48996</v>
      </c>
      <c r="BK18">
        <v>10.0139</v>
      </c>
      <c r="BL18">
        <v>829.24800000000005</v>
      </c>
      <c r="BM18">
        <v>814.947</v>
      </c>
      <c r="BN18">
        <v>4.8519600000000001</v>
      </c>
      <c r="BO18">
        <v>799.89200000000005</v>
      </c>
      <c r="BP18">
        <v>18.473299999999998</v>
      </c>
      <c r="BQ18">
        <v>2.3173900000000001</v>
      </c>
      <c r="BR18">
        <v>1.83534</v>
      </c>
      <c r="BS18">
        <v>19.797799999999999</v>
      </c>
      <c r="BT18">
        <v>16.091100000000001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1690292073.5</v>
      </c>
      <c r="CC18" t="s">
        <v>332</v>
      </c>
      <c r="CD18">
        <v>1690292069.5</v>
      </c>
      <c r="CE18">
        <v>1690292073.5</v>
      </c>
      <c r="CF18">
        <v>4</v>
      </c>
      <c r="CG18">
        <v>-3.6999999999999998E-2</v>
      </c>
      <c r="CH18">
        <v>-1.6E-2</v>
      </c>
      <c r="CI18">
        <v>-0.45200000000000001</v>
      </c>
      <c r="CJ18">
        <v>0.108</v>
      </c>
      <c r="CK18">
        <v>730</v>
      </c>
      <c r="CL18">
        <v>18</v>
      </c>
      <c r="CM18">
        <v>0</v>
      </c>
      <c r="CN18">
        <v>0.01</v>
      </c>
      <c r="CO18">
        <v>9.8771131707317075</v>
      </c>
      <c r="CP18">
        <v>0.47035797909408678</v>
      </c>
      <c r="CQ18">
        <v>6.0880264832242841E-2</v>
      </c>
      <c r="CR18">
        <v>-1</v>
      </c>
      <c r="CS18">
        <v>4.8882948780487796</v>
      </c>
      <c r="CT18">
        <v>-0.29399435540069502</v>
      </c>
      <c r="CU18">
        <v>2.959690953889307E-2</v>
      </c>
      <c r="CV18">
        <v>-1</v>
      </c>
      <c r="CW18">
        <v>0</v>
      </c>
      <c r="CX18">
        <v>0</v>
      </c>
      <c r="CY18" t="s">
        <v>333</v>
      </c>
      <c r="CZ18">
        <v>2.3648500000000001</v>
      </c>
      <c r="DA18">
        <v>2.7138100000000001</v>
      </c>
      <c r="DB18">
        <v>0.14849499999999999</v>
      </c>
      <c r="DC18">
        <v>0.14680399999999999</v>
      </c>
      <c r="DD18">
        <v>0.112118</v>
      </c>
      <c r="DE18">
        <v>9.3572500000000003E-2</v>
      </c>
      <c r="DF18">
        <v>31096.3</v>
      </c>
      <c r="DG18">
        <v>27491.9</v>
      </c>
      <c r="DH18">
        <v>31175.3</v>
      </c>
      <c r="DI18">
        <v>28076.1</v>
      </c>
      <c r="DJ18">
        <v>37579.199999999997</v>
      </c>
      <c r="DK18">
        <v>36178.9</v>
      </c>
      <c r="DL18">
        <v>44364</v>
      </c>
      <c r="DM18">
        <v>42545.4</v>
      </c>
      <c r="DN18">
        <v>1.4758800000000001</v>
      </c>
      <c r="DO18">
        <v>2.0692699999999999</v>
      </c>
      <c r="DP18">
        <v>7.5895299999999999E-2</v>
      </c>
      <c r="DQ18">
        <v>7.7720700000000004E-2</v>
      </c>
      <c r="DR18">
        <v>25.705400000000001</v>
      </c>
      <c r="DS18">
        <v>25.811</v>
      </c>
      <c r="DT18">
        <v>58.1</v>
      </c>
      <c r="DU18">
        <v>28.2</v>
      </c>
      <c r="DV18">
        <v>22.450900000000001</v>
      </c>
      <c r="DW18">
        <v>61.423299999999998</v>
      </c>
      <c r="DX18">
        <v>33.902200000000001</v>
      </c>
      <c r="DY18">
        <v>1</v>
      </c>
      <c r="DZ18">
        <v>-0.10795</v>
      </c>
      <c r="EA18">
        <v>-1.93248</v>
      </c>
      <c r="EB18">
        <v>20.291599999999999</v>
      </c>
      <c r="EC18">
        <v>5.2409499999999998</v>
      </c>
      <c r="ED18">
        <v>12.039899999999999</v>
      </c>
      <c r="EE18">
        <v>5.01675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1.8688899999999999</v>
      </c>
      <c r="EL18">
        <v>1.8646199999999999</v>
      </c>
      <c r="EM18">
        <v>1.8691899999999999</v>
      </c>
      <c r="EN18">
        <v>1.86721</v>
      </c>
      <c r="EO18">
        <v>1.8633900000000001</v>
      </c>
      <c r="EP18">
        <v>1.8644499999999999</v>
      </c>
      <c r="EQ18">
        <v>1.87015</v>
      </c>
      <c r="ER18">
        <v>1.86937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-0.50800000000000001</v>
      </c>
      <c r="FG18">
        <v>0.15140000000000001</v>
      </c>
      <c r="FH18">
        <v>5.0310448532705943E-2</v>
      </c>
      <c r="FI18">
        <v>-6.1462078757559423E-4</v>
      </c>
      <c r="FJ18">
        <v>-1.8861989874597051E-7</v>
      </c>
      <c r="FK18">
        <v>1.1980462299894961E-10</v>
      </c>
      <c r="FL18">
        <v>0.15140825623214971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3.4</v>
      </c>
      <c r="FU18">
        <v>3.3</v>
      </c>
      <c r="FV18">
        <v>1.79199</v>
      </c>
      <c r="FW18">
        <v>2.5830099999999998</v>
      </c>
      <c r="FX18">
        <v>1.5490699999999999</v>
      </c>
      <c r="FY18">
        <v>2.3327599999999999</v>
      </c>
      <c r="FZ18">
        <v>1.50146</v>
      </c>
      <c r="GA18">
        <v>2.3083499999999999</v>
      </c>
      <c r="GB18">
        <v>32.798000000000002</v>
      </c>
      <c r="GC18">
        <v>24.008700000000001</v>
      </c>
      <c r="GD18">
        <v>19</v>
      </c>
      <c r="GE18">
        <v>281.66000000000003</v>
      </c>
      <c r="GF18">
        <v>607.73</v>
      </c>
      <c r="GG18">
        <v>28.954799999999999</v>
      </c>
      <c r="GH18">
        <v>26.056899999999999</v>
      </c>
      <c r="GI18">
        <v>30</v>
      </c>
      <c r="GJ18">
        <v>26.1065</v>
      </c>
      <c r="GK18">
        <v>26.0764</v>
      </c>
      <c r="GL18">
        <v>35.835299999999997</v>
      </c>
      <c r="GM18">
        <v>28.5899</v>
      </c>
      <c r="GN18">
        <v>91.878200000000007</v>
      </c>
      <c r="GO18">
        <v>28.970400000000001</v>
      </c>
      <c r="GP18">
        <v>800</v>
      </c>
      <c r="GQ18">
        <v>18.5564</v>
      </c>
      <c r="GR18">
        <v>99.745900000000006</v>
      </c>
      <c r="GS18">
        <v>99.536000000000001</v>
      </c>
    </row>
    <row r="19" spans="1:201" x14ac:dyDescent="0.25">
      <c r="A19">
        <v>3</v>
      </c>
      <c r="B19">
        <v>1690292272.0999999</v>
      </c>
      <c r="C19">
        <v>1.5</v>
      </c>
      <c r="D19" t="s">
        <v>339</v>
      </c>
      <c r="E19" t="s">
        <v>340</v>
      </c>
      <c r="F19" t="s">
        <v>330</v>
      </c>
      <c r="H19">
        <v>1690292272.0999999</v>
      </c>
      <c r="I19">
        <f t="shared" si="0"/>
        <v>4.969318633396522E-4</v>
      </c>
      <c r="J19">
        <f t="shared" si="1"/>
        <v>0.49693186333965222</v>
      </c>
      <c r="K19">
        <f t="shared" si="2"/>
        <v>-1.402037156921738</v>
      </c>
      <c r="L19">
        <f t="shared" si="3"/>
        <v>809.89800000000002</v>
      </c>
      <c r="M19">
        <f t="shared" si="4"/>
        <v>850.30146279373082</v>
      </c>
      <c r="N19">
        <f t="shared" si="5"/>
        <v>84.564071814024146</v>
      </c>
      <c r="O19">
        <f t="shared" si="6"/>
        <v>80.545871824106996</v>
      </c>
      <c r="P19">
        <f t="shared" si="7"/>
        <v>3.9511306153586535E-2</v>
      </c>
      <c r="Q19">
        <f t="shared" si="8"/>
        <v>2.2633565019819377</v>
      </c>
      <c r="R19">
        <f t="shared" si="9"/>
        <v>3.9132083390328962E-2</v>
      </c>
      <c r="S19">
        <f t="shared" si="10"/>
        <v>2.4491320352732136E-2</v>
      </c>
      <c r="T19">
        <f t="shared" si="11"/>
        <v>0</v>
      </c>
      <c r="U19">
        <f t="shared" si="12"/>
        <v>26.838538057884101</v>
      </c>
      <c r="V19">
        <f t="shared" si="13"/>
        <v>26.838538057884101</v>
      </c>
      <c r="W19">
        <f t="shared" si="14"/>
        <v>3.5453584648424878</v>
      </c>
      <c r="X19">
        <f t="shared" si="15"/>
        <v>64.801091557787132</v>
      </c>
      <c r="Y19">
        <f t="shared" si="16"/>
        <v>2.3196751219888996</v>
      </c>
      <c r="Z19">
        <f t="shared" si="17"/>
        <v>3.5796852587279369</v>
      </c>
      <c r="AA19">
        <f t="shared" si="18"/>
        <v>1.2256833428535883</v>
      </c>
      <c r="AB19">
        <f t="shared" si="19"/>
        <v>-21.914695173278663</v>
      </c>
      <c r="AC19">
        <f t="shared" si="20"/>
        <v>20.006976518499535</v>
      </c>
      <c r="AD19">
        <f t="shared" si="21"/>
        <v>1.9061552712935355</v>
      </c>
      <c r="AE19">
        <f t="shared" si="22"/>
        <v>-1.5633834855925954E-3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52757.609305274404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30</v>
      </c>
      <c r="AP19">
        <v>0.5</v>
      </c>
      <c r="AQ19" t="s">
        <v>331</v>
      </c>
      <c r="AR19">
        <v>2</v>
      </c>
      <c r="AS19">
        <v>1690292272.0999999</v>
      </c>
      <c r="AT19">
        <v>809.89800000000002</v>
      </c>
      <c r="AU19">
        <v>799.90599999999995</v>
      </c>
      <c r="AV19">
        <v>23.3246</v>
      </c>
      <c r="AW19">
        <v>18.472999999999999</v>
      </c>
      <c r="AX19">
        <v>810.40599999999995</v>
      </c>
      <c r="AY19">
        <v>23.173200000000001</v>
      </c>
      <c r="AZ19">
        <v>300.11200000000002</v>
      </c>
      <c r="BA19">
        <v>99.351900000000001</v>
      </c>
      <c r="BB19">
        <v>9.9971500000000005E-2</v>
      </c>
      <c r="BC19">
        <v>27.002500000000001</v>
      </c>
      <c r="BD19">
        <v>26.9468</v>
      </c>
      <c r="BE19">
        <v>27.084</v>
      </c>
      <c r="BF19">
        <v>0</v>
      </c>
      <c r="BG19">
        <v>0</v>
      </c>
      <c r="BH19">
        <v>10044.4</v>
      </c>
      <c r="BI19">
        <v>0.681172</v>
      </c>
      <c r="BJ19">
        <v>1.48295</v>
      </c>
      <c r="BK19">
        <v>9.9921900000000008</v>
      </c>
      <c r="BL19">
        <v>829.23900000000003</v>
      </c>
      <c r="BM19">
        <v>814.96</v>
      </c>
      <c r="BN19">
        <v>4.8515199999999998</v>
      </c>
      <c r="BO19">
        <v>799.90599999999995</v>
      </c>
      <c r="BP19">
        <v>18.472999999999999</v>
      </c>
      <c r="BQ19">
        <v>2.3173400000000002</v>
      </c>
      <c r="BR19">
        <v>1.8353299999999999</v>
      </c>
      <c r="BS19">
        <v>19.7974</v>
      </c>
      <c r="BT19">
        <v>16.091000000000001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1690292073.5</v>
      </c>
      <c r="CC19" t="s">
        <v>332</v>
      </c>
      <c r="CD19">
        <v>1690292069.5</v>
      </c>
      <c r="CE19">
        <v>1690292073.5</v>
      </c>
      <c r="CF19">
        <v>4</v>
      </c>
      <c r="CG19">
        <v>-3.6999999999999998E-2</v>
      </c>
      <c r="CH19">
        <v>-1.6E-2</v>
      </c>
      <c r="CI19">
        <v>-0.45200000000000001</v>
      </c>
      <c r="CJ19">
        <v>0.108</v>
      </c>
      <c r="CK19">
        <v>730</v>
      </c>
      <c r="CL19">
        <v>18</v>
      </c>
      <c r="CM19">
        <v>0</v>
      </c>
      <c r="CN19">
        <v>0.01</v>
      </c>
      <c r="CO19">
        <v>9.8771131707317075</v>
      </c>
      <c r="CP19">
        <v>0.47035797909408678</v>
      </c>
      <c r="CQ19">
        <v>6.0880264832242841E-2</v>
      </c>
      <c r="CR19">
        <v>-1</v>
      </c>
      <c r="CS19">
        <v>4.8882948780487796</v>
      </c>
      <c r="CT19">
        <v>-0.29399435540069502</v>
      </c>
      <c r="CU19">
        <v>2.959690953889307E-2</v>
      </c>
      <c r="CV19">
        <v>-1</v>
      </c>
      <c r="CW19">
        <v>0</v>
      </c>
      <c r="CX19">
        <v>0</v>
      </c>
      <c r="CY19" t="s">
        <v>333</v>
      </c>
      <c r="CZ19">
        <v>2.3643800000000001</v>
      </c>
      <c r="DA19">
        <v>2.7138</v>
      </c>
      <c r="DB19">
        <v>0.14849499999999999</v>
      </c>
      <c r="DC19">
        <v>0.14680699999999999</v>
      </c>
      <c r="DD19">
        <v>0.11211599999999999</v>
      </c>
      <c r="DE19">
        <v>9.3572299999999997E-2</v>
      </c>
      <c r="DF19">
        <v>31096.3</v>
      </c>
      <c r="DG19">
        <v>27491.8</v>
      </c>
      <c r="DH19">
        <v>31175.3</v>
      </c>
      <c r="DI19">
        <v>28076</v>
      </c>
      <c r="DJ19">
        <v>37579.199999999997</v>
      </c>
      <c r="DK19">
        <v>36178.9</v>
      </c>
      <c r="DL19">
        <v>44364</v>
      </c>
      <c r="DM19">
        <v>42545.3</v>
      </c>
      <c r="DN19">
        <v>1.4757800000000001</v>
      </c>
      <c r="DO19">
        <v>2.0692200000000001</v>
      </c>
      <c r="DP19">
        <v>7.5824600000000006E-2</v>
      </c>
      <c r="DQ19">
        <v>7.77915E-2</v>
      </c>
      <c r="DR19">
        <v>25.705400000000001</v>
      </c>
      <c r="DS19">
        <v>25.810700000000001</v>
      </c>
      <c r="DT19">
        <v>58.1</v>
      </c>
      <c r="DU19">
        <v>28.2</v>
      </c>
      <c r="DV19">
        <v>22.450600000000001</v>
      </c>
      <c r="DW19">
        <v>61.353299999999997</v>
      </c>
      <c r="DX19">
        <v>34.911900000000003</v>
      </c>
      <c r="DY19">
        <v>1</v>
      </c>
      <c r="DZ19">
        <v>-0.107932</v>
      </c>
      <c r="EA19">
        <v>-1.9385300000000001</v>
      </c>
      <c r="EB19">
        <v>20.291499999999999</v>
      </c>
      <c r="EC19">
        <v>5.2408000000000001</v>
      </c>
      <c r="ED19">
        <v>12.039899999999999</v>
      </c>
      <c r="EE19">
        <v>5.0165499999999996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1.8688899999999999</v>
      </c>
      <c r="EL19">
        <v>1.8646199999999999</v>
      </c>
      <c r="EM19">
        <v>1.8691899999999999</v>
      </c>
      <c r="EN19">
        <v>1.86721</v>
      </c>
      <c r="EO19">
        <v>1.8633900000000001</v>
      </c>
      <c r="EP19">
        <v>1.8644499999999999</v>
      </c>
      <c r="EQ19">
        <v>1.87015</v>
      </c>
      <c r="ER19">
        <v>1.86937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-0.50800000000000001</v>
      </c>
      <c r="FG19">
        <v>0.15140000000000001</v>
      </c>
      <c r="FH19">
        <v>5.0310448532705943E-2</v>
      </c>
      <c r="FI19">
        <v>-6.1462078757559423E-4</v>
      </c>
      <c r="FJ19">
        <v>-1.8861989874597051E-7</v>
      </c>
      <c r="FK19">
        <v>1.1980462299894961E-10</v>
      </c>
      <c r="FL19">
        <v>0.15140825623214971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3.4</v>
      </c>
      <c r="FU19">
        <v>3.3</v>
      </c>
      <c r="FV19">
        <v>1.79199</v>
      </c>
      <c r="FW19">
        <v>2.5683600000000002</v>
      </c>
      <c r="FX19">
        <v>1.5490699999999999</v>
      </c>
      <c r="FY19">
        <v>2.3327599999999999</v>
      </c>
      <c r="FZ19">
        <v>1.50146</v>
      </c>
      <c r="GA19">
        <v>2.3718300000000001</v>
      </c>
      <c r="GB19">
        <v>32.798000000000002</v>
      </c>
      <c r="GC19">
        <v>24.017499999999998</v>
      </c>
      <c r="GD19">
        <v>19</v>
      </c>
      <c r="GE19">
        <v>281.61900000000003</v>
      </c>
      <c r="GF19">
        <v>607.68700000000001</v>
      </c>
      <c r="GG19">
        <v>28.959599999999998</v>
      </c>
      <c r="GH19">
        <v>26.056899999999999</v>
      </c>
      <c r="GI19">
        <v>30</v>
      </c>
      <c r="GJ19">
        <v>26.1067</v>
      </c>
      <c r="GK19">
        <v>26.0764</v>
      </c>
      <c r="GL19">
        <v>35.835999999999999</v>
      </c>
      <c r="GM19">
        <v>28.5899</v>
      </c>
      <c r="GN19">
        <v>91.878200000000007</v>
      </c>
      <c r="GO19">
        <v>28.970400000000001</v>
      </c>
      <c r="GP19">
        <v>800</v>
      </c>
      <c r="GQ19">
        <v>18.555700000000002</v>
      </c>
      <c r="GR19">
        <v>99.745900000000006</v>
      </c>
      <c r="GS19">
        <v>99.536000000000001</v>
      </c>
    </row>
    <row r="20" spans="1:201" x14ac:dyDescent="0.25">
      <c r="A20">
        <v>4</v>
      </c>
      <c r="B20">
        <v>1690292273.0999999</v>
      </c>
      <c r="C20">
        <v>2.5</v>
      </c>
      <c r="D20" t="s">
        <v>341</v>
      </c>
      <c r="E20" t="s">
        <v>342</v>
      </c>
      <c r="F20" t="s">
        <v>330</v>
      </c>
      <c r="H20">
        <v>1690292273.0999999</v>
      </c>
      <c r="I20">
        <f t="shared" si="0"/>
        <v>4.9668112116277329E-4</v>
      </c>
      <c r="J20">
        <f t="shared" si="1"/>
        <v>0.4966811211627733</v>
      </c>
      <c r="K20">
        <f t="shared" si="2"/>
        <v>-1.4053105134073109</v>
      </c>
      <c r="L20">
        <f t="shared" si="3"/>
        <v>809.88</v>
      </c>
      <c r="M20">
        <f t="shared" si="4"/>
        <v>850.45642098347037</v>
      </c>
      <c r="N20">
        <f t="shared" si="5"/>
        <v>84.581209122532599</v>
      </c>
      <c r="O20">
        <f t="shared" si="6"/>
        <v>80.545725746819997</v>
      </c>
      <c r="P20">
        <f t="shared" si="7"/>
        <v>3.9479845269342624E-2</v>
      </c>
      <c r="Q20">
        <f t="shared" si="8"/>
        <v>2.2623300202091925</v>
      </c>
      <c r="R20">
        <f t="shared" si="9"/>
        <v>3.9101053043135457E-2</v>
      </c>
      <c r="S20">
        <f t="shared" si="10"/>
        <v>2.4471888150783296E-2</v>
      </c>
      <c r="T20">
        <f t="shared" si="11"/>
        <v>0</v>
      </c>
      <c r="U20">
        <f t="shared" si="12"/>
        <v>26.840053123098524</v>
      </c>
      <c r="V20">
        <f t="shared" si="13"/>
        <v>26.840053123098524</v>
      </c>
      <c r="W20">
        <f t="shared" si="14"/>
        <v>3.5456743361572864</v>
      </c>
      <c r="X20">
        <f t="shared" si="15"/>
        <v>64.793649805155667</v>
      </c>
      <c r="Y20">
        <f t="shared" si="16"/>
        <v>2.3196130716352501</v>
      </c>
      <c r="Z20">
        <f t="shared" si="17"/>
        <v>3.5800006306338323</v>
      </c>
      <c r="AA20">
        <f t="shared" si="18"/>
        <v>1.2260612645220363</v>
      </c>
      <c r="AB20">
        <f t="shared" si="19"/>
        <v>-21.903637443278303</v>
      </c>
      <c r="AC20">
        <f t="shared" si="20"/>
        <v>19.996065461185253</v>
      </c>
      <c r="AD20">
        <f t="shared" si="21"/>
        <v>1.9060088702027327</v>
      </c>
      <c r="AE20">
        <f t="shared" si="22"/>
        <v>-1.5631118903165486E-3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52717.191350248606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30</v>
      </c>
      <c r="AP20">
        <v>0.5</v>
      </c>
      <c r="AQ20" t="s">
        <v>331</v>
      </c>
      <c r="AR20">
        <v>2</v>
      </c>
      <c r="AS20">
        <v>1690292273.0999999</v>
      </c>
      <c r="AT20">
        <v>809.88</v>
      </c>
      <c r="AU20">
        <v>799.85699999999997</v>
      </c>
      <c r="AV20">
        <v>23.323499999999999</v>
      </c>
      <c r="AW20">
        <v>18.476199999999999</v>
      </c>
      <c r="AX20">
        <v>810.38800000000003</v>
      </c>
      <c r="AY20">
        <v>23.1721</v>
      </c>
      <c r="AZ20">
        <v>300.22699999999998</v>
      </c>
      <c r="BA20">
        <v>99.353999999999999</v>
      </c>
      <c r="BB20">
        <v>9.9901500000000004E-2</v>
      </c>
      <c r="BC20">
        <v>27.004000000000001</v>
      </c>
      <c r="BD20">
        <v>26.946999999999999</v>
      </c>
      <c r="BE20">
        <v>27.087199999999999</v>
      </c>
      <c r="BF20">
        <v>0</v>
      </c>
      <c r="BG20">
        <v>0</v>
      </c>
      <c r="BH20">
        <v>10036.200000000001</v>
      </c>
      <c r="BI20">
        <v>0.70542099999999996</v>
      </c>
      <c r="BJ20">
        <v>1.4689300000000001</v>
      </c>
      <c r="BK20">
        <v>10.0223</v>
      </c>
      <c r="BL20">
        <v>829.22</v>
      </c>
      <c r="BM20">
        <v>814.91399999999999</v>
      </c>
      <c r="BN20">
        <v>4.8473499999999996</v>
      </c>
      <c r="BO20">
        <v>799.85699999999997</v>
      </c>
      <c r="BP20">
        <v>18.476199999999999</v>
      </c>
      <c r="BQ20">
        <v>2.3172899999999998</v>
      </c>
      <c r="BR20">
        <v>1.83568</v>
      </c>
      <c r="BS20">
        <v>19.7971</v>
      </c>
      <c r="BT20">
        <v>16.094000000000001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1690292073.5</v>
      </c>
      <c r="CC20" t="s">
        <v>332</v>
      </c>
      <c r="CD20">
        <v>1690292069.5</v>
      </c>
      <c r="CE20">
        <v>1690292073.5</v>
      </c>
      <c r="CF20">
        <v>4</v>
      </c>
      <c r="CG20">
        <v>-3.6999999999999998E-2</v>
      </c>
      <c r="CH20">
        <v>-1.6E-2</v>
      </c>
      <c r="CI20">
        <v>-0.45200000000000001</v>
      </c>
      <c r="CJ20">
        <v>0.108</v>
      </c>
      <c r="CK20">
        <v>730</v>
      </c>
      <c r="CL20">
        <v>18</v>
      </c>
      <c r="CM20">
        <v>0</v>
      </c>
      <c r="CN20">
        <v>0.01</v>
      </c>
      <c r="CO20">
        <v>9.888087500000001</v>
      </c>
      <c r="CP20">
        <v>0.63571317073168498</v>
      </c>
      <c r="CQ20">
        <v>6.9347425285658584E-2</v>
      </c>
      <c r="CR20">
        <v>-1</v>
      </c>
      <c r="CS20">
        <v>4.8806972499999999</v>
      </c>
      <c r="CT20">
        <v>-0.26510195121952418</v>
      </c>
      <c r="CU20">
        <v>2.6464545810149471E-2</v>
      </c>
      <c r="CV20">
        <v>-1</v>
      </c>
      <c r="CW20">
        <v>0</v>
      </c>
      <c r="CX20">
        <v>0</v>
      </c>
      <c r="CY20" t="s">
        <v>333</v>
      </c>
      <c r="CZ20">
        <v>2.3647499999999999</v>
      </c>
      <c r="DA20">
        <v>2.71373</v>
      </c>
      <c r="DB20">
        <v>0.14849499999999999</v>
      </c>
      <c r="DC20">
        <v>0.14680399999999999</v>
      </c>
      <c r="DD20">
        <v>0.11211500000000001</v>
      </c>
      <c r="DE20">
        <v>9.3585600000000005E-2</v>
      </c>
      <c r="DF20">
        <v>31096.3</v>
      </c>
      <c r="DG20">
        <v>27491.9</v>
      </c>
      <c r="DH20">
        <v>31175.3</v>
      </c>
      <c r="DI20">
        <v>28076.1</v>
      </c>
      <c r="DJ20">
        <v>37579.300000000003</v>
      </c>
      <c r="DK20">
        <v>36178.400000000001</v>
      </c>
      <c r="DL20">
        <v>44364</v>
      </c>
      <c r="DM20">
        <v>42545.4</v>
      </c>
      <c r="DN20">
        <v>1.47553</v>
      </c>
      <c r="DO20">
        <v>2.0694499999999998</v>
      </c>
      <c r="DP20">
        <v>7.5839500000000004E-2</v>
      </c>
      <c r="DQ20">
        <v>7.8022499999999995E-2</v>
      </c>
      <c r="DR20">
        <v>25.705400000000001</v>
      </c>
      <c r="DS20">
        <v>25.810099999999998</v>
      </c>
      <c r="DT20">
        <v>58.1</v>
      </c>
      <c r="DU20">
        <v>28.2</v>
      </c>
      <c r="DV20">
        <v>22.451000000000001</v>
      </c>
      <c r="DW20">
        <v>61.523299999999999</v>
      </c>
      <c r="DX20">
        <v>33.701900000000002</v>
      </c>
      <c r="DY20">
        <v>1</v>
      </c>
      <c r="DZ20">
        <v>-0.10798000000000001</v>
      </c>
      <c r="EA20">
        <v>-1.8995899999999999</v>
      </c>
      <c r="EB20">
        <v>20.292000000000002</v>
      </c>
      <c r="EC20">
        <v>5.2411000000000003</v>
      </c>
      <c r="ED20">
        <v>12.039899999999999</v>
      </c>
      <c r="EE20">
        <v>5.0166000000000004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1.8688899999999999</v>
      </c>
      <c r="EL20">
        <v>1.8646199999999999</v>
      </c>
      <c r="EM20">
        <v>1.8691899999999999</v>
      </c>
      <c r="EN20">
        <v>1.86721</v>
      </c>
      <c r="EO20">
        <v>1.8633900000000001</v>
      </c>
      <c r="EP20">
        <v>1.8644499999999999</v>
      </c>
      <c r="EQ20">
        <v>1.8701399999999999</v>
      </c>
      <c r="ER20">
        <v>1.8693599999999999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-0.50800000000000001</v>
      </c>
      <c r="FG20">
        <v>0.15140000000000001</v>
      </c>
      <c r="FH20">
        <v>5.0310448532705943E-2</v>
      </c>
      <c r="FI20">
        <v>-6.1462078757559423E-4</v>
      </c>
      <c r="FJ20">
        <v>-1.8861989874597051E-7</v>
      </c>
      <c r="FK20">
        <v>1.1980462299894961E-10</v>
      </c>
      <c r="FL20">
        <v>0.15140825623214971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3.4</v>
      </c>
      <c r="FU20">
        <v>3.3</v>
      </c>
      <c r="FV20">
        <v>1.79199</v>
      </c>
      <c r="FW20">
        <v>2.5817899999999998</v>
      </c>
      <c r="FX20">
        <v>1.5490699999999999</v>
      </c>
      <c r="FY20">
        <v>2.3315399999999999</v>
      </c>
      <c r="FZ20">
        <v>1.50146</v>
      </c>
      <c r="GA20">
        <v>2.3132299999999999</v>
      </c>
      <c r="GB20">
        <v>32.798000000000002</v>
      </c>
      <c r="GC20">
        <v>24.017499999999998</v>
      </c>
      <c r="GD20">
        <v>19</v>
      </c>
      <c r="GE20">
        <v>281.51600000000002</v>
      </c>
      <c r="GF20">
        <v>607.87900000000002</v>
      </c>
      <c r="GG20">
        <v>28.9695</v>
      </c>
      <c r="GH20">
        <v>26.056899999999999</v>
      </c>
      <c r="GI20">
        <v>30</v>
      </c>
      <c r="GJ20">
        <v>26.107299999999999</v>
      </c>
      <c r="GK20">
        <v>26.0764</v>
      </c>
      <c r="GL20">
        <v>35.837600000000002</v>
      </c>
      <c r="GM20">
        <v>28.5899</v>
      </c>
      <c r="GN20">
        <v>91.878200000000007</v>
      </c>
      <c r="GO20">
        <v>29.006699999999999</v>
      </c>
      <c r="GP20">
        <v>800</v>
      </c>
      <c r="GQ20">
        <v>18.5563</v>
      </c>
      <c r="GR20">
        <v>99.745900000000006</v>
      </c>
      <c r="GS20">
        <v>99.536100000000005</v>
      </c>
    </row>
    <row r="21" spans="1:201" x14ac:dyDescent="0.25">
      <c r="A21">
        <v>5</v>
      </c>
      <c r="B21">
        <v>1690292274.0999999</v>
      </c>
      <c r="C21">
        <v>3.5</v>
      </c>
      <c r="D21" t="s">
        <v>343</v>
      </c>
      <c r="E21" t="s">
        <v>344</v>
      </c>
      <c r="F21" t="s">
        <v>330</v>
      </c>
      <c r="H21">
        <v>1690292274.0999999</v>
      </c>
      <c r="I21">
        <f t="shared" si="0"/>
        <v>4.9528305661948081E-4</v>
      </c>
      <c r="J21">
        <f t="shared" si="1"/>
        <v>0.49528305661948085</v>
      </c>
      <c r="K21">
        <f t="shared" si="2"/>
        <v>-1.4043337129638582</v>
      </c>
      <c r="L21">
        <f t="shared" si="3"/>
        <v>809.87199999999996</v>
      </c>
      <c r="M21">
        <f t="shared" si="4"/>
        <v>850.57968338892431</v>
      </c>
      <c r="N21">
        <f t="shared" si="5"/>
        <v>84.593725605191395</v>
      </c>
      <c r="O21">
        <f t="shared" si="6"/>
        <v>80.545175344849596</v>
      </c>
      <c r="P21">
        <f t="shared" si="7"/>
        <v>3.9357670224147386E-2</v>
      </c>
      <c r="Q21">
        <f t="shared" si="8"/>
        <v>2.2625010229579594</v>
      </c>
      <c r="R21">
        <f t="shared" si="9"/>
        <v>3.8981234905276156E-2</v>
      </c>
      <c r="S21">
        <f t="shared" si="10"/>
        <v>2.4396792883457419E-2</v>
      </c>
      <c r="T21">
        <f t="shared" si="11"/>
        <v>0</v>
      </c>
      <c r="U21">
        <f t="shared" si="12"/>
        <v>26.841426011440678</v>
      </c>
      <c r="V21">
        <f t="shared" si="13"/>
        <v>26.841426011440678</v>
      </c>
      <c r="W21">
        <f t="shared" si="14"/>
        <v>3.5459605866684738</v>
      </c>
      <c r="X21">
        <f t="shared" si="15"/>
        <v>64.789588958248629</v>
      </c>
      <c r="Y21">
        <f t="shared" si="16"/>
        <v>2.3195902977297602</v>
      </c>
      <c r="Z21">
        <f t="shared" si="17"/>
        <v>3.5801898654188693</v>
      </c>
      <c r="AA21">
        <f t="shared" si="18"/>
        <v>1.2263702889387136</v>
      </c>
      <c r="AB21">
        <f t="shared" si="19"/>
        <v>-21.841982796919105</v>
      </c>
      <c r="AC21">
        <f t="shared" si="20"/>
        <v>19.939895896655898</v>
      </c>
      <c r="AD21">
        <f t="shared" si="21"/>
        <v>1.9005327816880144</v>
      </c>
      <c r="AE21">
        <f t="shared" si="22"/>
        <v>-1.554118575192831E-3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52723.735733543152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30</v>
      </c>
      <c r="AP21">
        <v>0.5</v>
      </c>
      <c r="AQ21" t="s">
        <v>331</v>
      </c>
      <c r="AR21">
        <v>2</v>
      </c>
      <c r="AS21">
        <v>1690292274.0999999</v>
      </c>
      <c r="AT21">
        <v>809.87199999999996</v>
      </c>
      <c r="AU21">
        <v>799.84400000000005</v>
      </c>
      <c r="AV21">
        <v>23.3232</v>
      </c>
      <c r="AW21">
        <v>18.4879</v>
      </c>
      <c r="AX21">
        <v>810.38</v>
      </c>
      <c r="AY21">
        <v>23.171800000000001</v>
      </c>
      <c r="AZ21">
        <v>300.125</v>
      </c>
      <c r="BA21">
        <v>99.354299999999995</v>
      </c>
      <c r="BB21">
        <v>9.9904300000000001E-2</v>
      </c>
      <c r="BC21">
        <v>27.004899999999999</v>
      </c>
      <c r="BD21">
        <v>26.951799999999999</v>
      </c>
      <c r="BE21">
        <v>27.090800000000002</v>
      </c>
      <c r="BF21">
        <v>0</v>
      </c>
      <c r="BG21">
        <v>0</v>
      </c>
      <c r="BH21">
        <v>10037.5</v>
      </c>
      <c r="BI21">
        <v>0.73209500000000005</v>
      </c>
      <c r="BJ21">
        <v>1.4577199999999999</v>
      </c>
      <c r="BK21">
        <v>10.0275</v>
      </c>
      <c r="BL21">
        <v>829.21199999999999</v>
      </c>
      <c r="BM21">
        <v>814.91</v>
      </c>
      <c r="BN21">
        <v>4.8352700000000004</v>
      </c>
      <c r="BO21">
        <v>799.84400000000005</v>
      </c>
      <c r="BP21">
        <v>18.4879</v>
      </c>
      <c r="BQ21">
        <v>2.3172600000000001</v>
      </c>
      <c r="BR21">
        <v>1.8368500000000001</v>
      </c>
      <c r="BS21">
        <v>19.796900000000001</v>
      </c>
      <c r="BT21">
        <v>16.103999999999999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1690292073.5</v>
      </c>
      <c r="CC21" t="s">
        <v>332</v>
      </c>
      <c r="CD21">
        <v>1690292069.5</v>
      </c>
      <c r="CE21">
        <v>1690292073.5</v>
      </c>
      <c r="CF21">
        <v>4</v>
      </c>
      <c r="CG21">
        <v>-3.6999999999999998E-2</v>
      </c>
      <c r="CH21">
        <v>-1.6E-2</v>
      </c>
      <c r="CI21">
        <v>-0.45200000000000001</v>
      </c>
      <c r="CJ21">
        <v>0.108</v>
      </c>
      <c r="CK21">
        <v>730</v>
      </c>
      <c r="CL21">
        <v>18</v>
      </c>
      <c r="CM21">
        <v>0</v>
      </c>
      <c r="CN21">
        <v>0.01</v>
      </c>
      <c r="CO21">
        <v>9.9002034999999999</v>
      </c>
      <c r="CP21">
        <v>0.61401928705437481</v>
      </c>
      <c r="CQ21">
        <v>6.7144117558800301E-2</v>
      </c>
      <c r="CR21">
        <v>-1</v>
      </c>
      <c r="CS21">
        <v>4.8767787499999997</v>
      </c>
      <c r="CT21">
        <v>-0.24819748592870389</v>
      </c>
      <c r="CU21">
        <v>2.5035917217819292E-2</v>
      </c>
      <c r="CV21">
        <v>-1</v>
      </c>
      <c r="CW21">
        <v>0</v>
      </c>
      <c r="CX21">
        <v>0</v>
      </c>
      <c r="CY21" t="s">
        <v>333</v>
      </c>
      <c r="CZ21">
        <v>2.36442</v>
      </c>
      <c r="DA21">
        <v>2.71373</v>
      </c>
      <c r="DB21">
        <v>0.14849499999999999</v>
      </c>
      <c r="DC21">
        <v>0.14680299999999999</v>
      </c>
      <c r="DD21">
        <v>0.11211400000000001</v>
      </c>
      <c r="DE21">
        <v>9.3628299999999998E-2</v>
      </c>
      <c r="DF21">
        <v>31096.3</v>
      </c>
      <c r="DG21">
        <v>27492</v>
      </c>
      <c r="DH21">
        <v>31175.3</v>
      </c>
      <c r="DI21">
        <v>28076.2</v>
      </c>
      <c r="DJ21">
        <v>37579.4</v>
      </c>
      <c r="DK21">
        <v>36176.800000000003</v>
      </c>
      <c r="DL21">
        <v>44364.1</v>
      </c>
      <c r="DM21">
        <v>42545.5</v>
      </c>
      <c r="DN21">
        <v>1.47553</v>
      </c>
      <c r="DO21">
        <v>2.0692200000000001</v>
      </c>
      <c r="DP21">
        <v>7.6130000000000003E-2</v>
      </c>
      <c r="DQ21">
        <v>7.8268299999999999E-2</v>
      </c>
      <c r="DR21">
        <v>25.705400000000001</v>
      </c>
      <c r="DS21">
        <v>25.809699999999999</v>
      </c>
      <c r="DT21">
        <v>58.1</v>
      </c>
      <c r="DU21">
        <v>28.2</v>
      </c>
      <c r="DV21">
        <v>22.450700000000001</v>
      </c>
      <c r="DW21">
        <v>61.4833</v>
      </c>
      <c r="DX21">
        <v>34.102600000000002</v>
      </c>
      <c r="DY21">
        <v>1</v>
      </c>
      <c r="DZ21">
        <v>-0.10810500000000001</v>
      </c>
      <c r="EA21">
        <v>-1.9048799999999999</v>
      </c>
      <c r="EB21">
        <v>20.291899999999998</v>
      </c>
      <c r="EC21">
        <v>5.2411000000000003</v>
      </c>
      <c r="ED21">
        <v>12.039899999999999</v>
      </c>
      <c r="EE21">
        <v>5.0166000000000004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1.8688899999999999</v>
      </c>
      <c r="EL21">
        <v>1.8646199999999999</v>
      </c>
      <c r="EM21">
        <v>1.8691899999999999</v>
      </c>
      <c r="EN21">
        <v>1.86721</v>
      </c>
      <c r="EO21">
        <v>1.8633900000000001</v>
      </c>
      <c r="EP21">
        <v>1.86446</v>
      </c>
      <c r="EQ21">
        <v>1.8701300000000001</v>
      </c>
      <c r="ER21">
        <v>1.8693599999999999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-0.50800000000000001</v>
      </c>
      <c r="FG21">
        <v>0.15140000000000001</v>
      </c>
      <c r="FH21">
        <v>5.0310448532705943E-2</v>
      </c>
      <c r="FI21">
        <v>-6.1462078757559423E-4</v>
      </c>
      <c r="FJ21">
        <v>-1.8861989874597051E-7</v>
      </c>
      <c r="FK21">
        <v>1.1980462299894961E-10</v>
      </c>
      <c r="FL21">
        <v>0.15140825623214971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3.4</v>
      </c>
      <c r="FU21">
        <v>3.3</v>
      </c>
      <c r="FV21">
        <v>1.79199</v>
      </c>
      <c r="FW21">
        <v>2.5769000000000002</v>
      </c>
      <c r="FX21">
        <v>1.5490699999999999</v>
      </c>
      <c r="FY21">
        <v>2.3327599999999999</v>
      </c>
      <c r="FZ21">
        <v>1.50146</v>
      </c>
      <c r="GA21">
        <v>2.4230999999999998</v>
      </c>
      <c r="GB21">
        <v>32.798000000000002</v>
      </c>
      <c r="GC21">
        <v>24.026199999999999</v>
      </c>
      <c r="GD21">
        <v>19</v>
      </c>
      <c r="GE21">
        <v>281.51799999999997</v>
      </c>
      <c r="GF21">
        <v>607.68700000000001</v>
      </c>
      <c r="GG21">
        <v>28.977499999999999</v>
      </c>
      <c r="GH21">
        <v>26.056899999999999</v>
      </c>
      <c r="GI21">
        <v>30</v>
      </c>
      <c r="GJ21">
        <v>26.107800000000001</v>
      </c>
      <c r="GK21">
        <v>26.0764</v>
      </c>
      <c r="GL21">
        <v>35.838999999999999</v>
      </c>
      <c r="GM21">
        <v>28.5899</v>
      </c>
      <c r="GN21">
        <v>91.878200000000007</v>
      </c>
      <c r="GO21">
        <v>29.006699999999999</v>
      </c>
      <c r="GP21">
        <v>800</v>
      </c>
      <c r="GQ21">
        <v>18.558900000000001</v>
      </c>
      <c r="GR21">
        <v>99.745999999999995</v>
      </c>
      <c r="GS21">
        <v>99.5364</v>
      </c>
    </row>
    <row r="22" spans="1:201" x14ac:dyDescent="0.25">
      <c r="A22">
        <v>6</v>
      </c>
      <c r="B22">
        <v>1690292449.5999999</v>
      </c>
      <c r="C22">
        <v>179</v>
      </c>
      <c r="D22" t="s">
        <v>345</v>
      </c>
      <c r="E22" t="s">
        <v>346</v>
      </c>
      <c r="F22" t="s">
        <v>330</v>
      </c>
      <c r="H22">
        <v>1690292449.5999999</v>
      </c>
      <c r="I22">
        <f t="shared" si="0"/>
        <v>4.6946903388898399E-4</v>
      </c>
      <c r="J22">
        <f t="shared" si="1"/>
        <v>0.46946903388898398</v>
      </c>
      <c r="K22">
        <f t="shared" si="2"/>
        <v>-1.2196102295796705</v>
      </c>
      <c r="L22">
        <f t="shared" si="3"/>
        <v>808.36500000000001</v>
      </c>
      <c r="M22">
        <f t="shared" si="4"/>
        <v>860.52141694167312</v>
      </c>
      <c r="N22">
        <f t="shared" si="5"/>
        <v>85.579206007587501</v>
      </c>
      <c r="O22">
        <f t="shared" si="6"/>
        <v>80.392229062919995</v>
      </c>
      <c r="P22">
        <f t="shared" si="7"/>
        <v>2.5532982791349652E-2</v>
      </c>
      <c r="Q22">
        <f t="shared" si="8"/>
        <v>2.2570578448006056</v>
      </c>
      <c r="R22">
        <f t="shared" si="9"/>
        <v>2.5373596461343122E-2</v>
      </c>
      <c r="S22">
        <f t="shared" si="10"/>
        <v>1.5872734961633779E-2</v>
      </c>
      <c r="T22">
        <f t="shared" si="11"/>
        <v>276.06273082400457</v>
      </c>
      <c r="U22">
        <f t="shared" si="12"/>
        <v>29.371958023416592</v>
      </c>
      <c r="V22">
        <f t="shared" si="13"/>
        <v>29.371958023416592</v>
      </c>
      <c r="W22">
        <f t="shared" si="14"/>
        <v>4.1091521317975275</v>
      </c>
      <c r="X22">
        <f t="shared" si="15"/>
        <v>63.340107892747312</v>
      </c>
      <c r="Y22">
        <f t="shared" si="16"/>
        <v>2.3286511934015999</v>
      </c>
      <c r="Z22">
        <f t="shared" si="17"/>
        <v>3.6764244187027026</v>
      </c>
      <c r="AA22">
        <f t="shared" si="18"/>
        <v>1.7805009383959276</v>
      </c>
      <c r="AB22">
        <f t="shared" si="19"/>
        <v>-20.703584394504194</v>
      </c>
      <c r="AC22">
        <f t="shared" si="20"/>
        <v>-232.98037977634954</v>
      </c>
      <c r="AD22">
        <f t="shared" si="21"/>
        <v>-22.5935892209021</v>
      </c>
      <c r="AE22">
        <f t="shared" si="22"/>
        <v>-0.21482256775124142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52431.68724034226</v>
      </c>
      <c r="AK22">
        <f t="shared" si="26"/>
        <v>1799.66</v>
      </c>
      <c r="AL22">
        <f t="shared" si="27"/>
        <v>1498.8281523288599</v>
      </c>
      <c r="AM22">
        <f t="shared" si="28"/>
        <v>0.83283962099999986</v>
      </c>
      <c r="AN22">
        <f t="shared" si="29"/>
        <v>0.15339715880999999</v>
      </c>
      <c r="AO22">
        <v>30</v>
      </c>
      <c r="AP22">
        <v>0.5</v>
      </c>
      <c r="AQ22" t="s">
        <v>331</v>
      </c>
      <c r="AR22">
        <v>2</v>
      </c>
      <c r="AS22">
        <v>1690292449.5999999</v>
      </c>
      <c r="AT22">
        <v>808.36500000000001</v>
      </c>
      <c r="AU22">
        <v>799.971</v>
      </c>
      <c r="AV22">
        <v>23.415199999999999</v>
      </c>
      <c r="AW22">
        <v>18.834299999999999</v>
      </c>
      <c r="AX22">
        <v>808.87099999999998</v>
      </c>
      <c r="AY22">
        <v>23.2638</v>
      </c>
      <c r="AZ22">
        <v>300.25299999999999</v>
      </c>
      <c r="BA22">
        <v>99.350399999999993</v>
      </c>
      <c r="BB22">
        <v>0.100008</v>
      </c>
      <c r="BC22">
        <v>27.4573</v>
      </c>
      <c r="BD22">
        <v>28.621500000000001</v>
      </c>
      <c r="BE22">
        <v>28.429099999999998</v>
      </c>
      <c r="BF22">
        <v>0</v>
      </c>
      <c r="BG22">
        <v>0</v>
      </c>
      <c r="BH22">
        <v>9995.6200000000008</v>
      </c>
      <c r="BI22">
        <v>1082.0899999999999</v>
      </c>
      <c r="BJ22">
        <v>1.56985</v>
      </c>
      <c r="BK22">
        <v>8.3934899999999999</v>
      </c>
      <c r="BL22">
        <v>827.74599999999998</v>
      </c>
      <c r="BM22">
        <v>815.327</v>
      </c>
      <c r="BN22">
        <v>4.5809499999999996</v>
      </c>
      <c r="BO22">
        <v>799.971</v>
      </c>
      <c r="BP22">
        <v>18.834299999999999</v>
      </c>
      <c r="BQ22">
        <v>2.3263099999999999</v>
      </c>
      <c r="BR22">
        <v>1.8711899999999999</v>
      </c>
      <c r="BS22">
        <v>19.8598</v>
      </c>
      <c r="BT22">
        <v>16.394500000000001</v>
      </c>
      <c r="BU22">
        <v>1799.66</v>
      </c>
      <c r="BV22">
        <v>0.91000099999999995</v>
      </c>
      <c r="BW22">
        <v>3.4000200000000001E-2</v>
      </c>
      <c r="BX22">
        <v>2.19968E-2</v>
      </c>
      <c r="BY22">
        <v>3.4001900000000002E-2</v>
      </c>
      <c r="BZ22">
        <v>26</v>
      </c>
      <c r="CA22">
        <v>33522.1</v>
      </c>
      <c r="CB22">
        <v>1690292073.5</v>
      </c>
      <c r="CC22" t="s">
        <v>332</v>
      </c>
      <c r="CD22">
        <v>1690292069.5</v>
      </c>
      <c r="CE22">
        <v>1690292073.5</v>
      </c>
      <c r="CF22">
        <v>4</v>
      </c>
      <c r="CG22">
        <v>-3.6999999999999998E-2</v>
      </c>
      <c r="CH22">
        <v>-1.6E-2</v>
      </c>
      <c r="CI22">
        <v>-0.45200000000000001</v>
      </c>
      <c r="CJ22">
        <v>0.108</v>
      </c>
      <c r="CK22">
        <v>730</v>
      </c>
      <c r="CL22">
        <v>18</v>
      </c>
      <c r="CM22">
        <v>0</v>
      </c>
      <c r="CN22">
        <v>0.01</v>
      </c>
      <c r="CO22">
        <v>10.109478749999999</v>
      </c>
      <c r="CP22">
        <v>-2.0818857410882039</v>
      </c>
      <c r="CQ22">
        <v>0.31901955296021828</v>
      </c>
      <c r="CR22">
        <v>-1</v>
      </c>
      <c r="CS22">
        <v>4.4766300000000001</v>
      </c>
      <c r="CT22">
        <v>8.7847879924947761E-2</v>
      </c>
      <c r="CU22">
        <v>2.0404086477958241E-2</v>
      </c>
      <c r="CV22">
        <v>-1</v>
      </c>
      <c r="CW22">
        <v>0</v>
      </c>
      <c r="CX22">
        <v>0</v>
      </c>
      <c r="CY22" t="s">
        <v>333</v>
      </c>
      <c r="CZ22">
        <v>2.3647999999999998</v>
      </c>
      <c r="DA22">
        <v>2.7138</v>
      </c>
      <c r="DB22">
        <v>0.14829800000000001</v>
      </c>
      <c r="DC22">
        <v>0.146811</v>
      </c>
      <c r="DD22">
        <v>0.112415</v>
      </c>
      <c r="DE22">
        <v>9.4868900000000006E-2</v>
      </c>
      <c r="DF22">
        <v>31102.6</v>
      </c>
      <c r="DG22">
        <v>27491.4</v>
      </c>
      <c r="DH22">
        <v>31174.5</v>
      </c>
      <c r="DI22">
        <v>28075.9</v>
      </c>
      <c r="DJ22">
        <v>37565.4</v>
      </c>
      <c r="DK22">
        <v>36126.800000000003</v>
      </c>
      <c r="DL22">
        <v>44362.8</v>
      </c>
      <c r="DM22">
        <v>42545.1</v>
      </c>
      <c r="DN22">
        <v>1.4780500000000001</v>
      </c>
      <c r="DO22">
        <v>2.0693199999999998</v>
      </c>
      <c r="DP22">
        <v>0.17763300000000001</v>
      </c>
      <c r="DQ22">
        <v>0.15889500000000001</v>
      </c>
      <c r="DR22">
        <v>25.717300000000002</v>
      </c>
      <c r="DS22">
        <v>25.831199999999999</v>
      </c>
      <c r="DT22">
        <v>58.6</v>
      </c>
      <c r="DU22">
        <v>28.2</v>
      </c>
      <c r="DV22">
        <v>22.646100000000001</v>
      </c>
      <c r="DW22">
        <v>62.103299999999997</v>
      </c>
      <c r="DX22">
        <v>33.902200000000001</v>
      </c>
      <c r="DY22">
        <v>1</v>
      </c>
      <c r="DZ22">
        <v>-0.10774599999999999</v>
      </c>
      <c r="EA22">
        <v>3.24891E-2</v>
      </c>
      <c r="EB22">
        <v>20.172899999999998</v>
      </c>
      <c r="EC22">
        <v>5.2411000000000003</v>
      </c>
      <c r="ED22">
        <v>12.039899999999999</v>
      </c>
      <c r="EE22">
        <v>5.01715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1.8688400000000001</v>
      </c>
      <c r="EL22">
        <v>1.86456</v>
      </c>
      <c r="EM22">
        <v>1.8691199999999999</v>
      </c>
      <c r="EN22">
        <v>1.8671800000000001</v>
      </c>
      <c r="EO22">
        <v>1.8633299999999999</v>
      </c>
      <c r="EP22">
        <v>1.86443</v>
      </c>
      <c r="EQ22">
        <v>1.8701300000000001</v>
      </c>
      <c r="ER22">
        <v>1.8693500000000001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-0.50600000000000001</v>
      </c>
      <c r="FG22">
        <v>0.15140000000000001</v>
      </c>
      <c r="FH22">
        <v>5.0310448532705943E-2</v>
      </c>
      <c r="FI22">
        <v>-6.1462078757559423E-4</v>
      </c>
      <c r="FJ22">
        <v>-1.8861989874597051E-7</v>
      </c>
      <c r="FK22">
        <v>1.1980462299894961E-10</v>
      </c>
      <c r="FL22">
        <v>0.15140825623214971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6.3</v>
      </c>
      <c r="FU22">
        <v>6.3</v>
      </c>
      <c r="FV22">
        <v>1.79321</v>
      </c>
      <c r="FW22">
        <v>2.5793499999999998</v>
      </c>
      <c r="FX22">
        <v>1.5490699999999999</v>
      </c>
      <c r="FY22">
        <v>2.3315399999999999</v>
      </c>
      <c r="FZ22">
        <v>1.50146</v>
      </c>
      <c r="GA22">
        <v>2.4060100000000002</v>
      </c>
      <c r="GB22">
        <v>32.798000000000002</v>
      </c>
      <c r="GC22">
        <v>23.973700000000001</v>
      </c>
      <c r="GD22">
        <v>19</v>
      </c>
      <c r="GE22">
        <v>282.70100000000002</v>
      </c>
      <c r="GF22">
        <v>608.07799999999997</v>
      </c>
      <c r="GG22">
        <v>29.0029</v>
      </c>
      <c r="GH22">
        <v>26.070499999999999</v>
      </c>
      <c r="GI22">
        <v>30</v>
      </c>
      <c r="GJ22">
        <v>26.1327</v>
      </c>
      <c r="GK22">
        <v>26.1022</v>
      </c>
      <c r="GL22">
        <v>35.854599999999998</v>
      </c>
      <c r="GM22">
        <v>26.5091</v>
      </c>
      <c r="GN22">
        <v>91.878200000000007</v>
      </c>
      <c r="GO22">
        <v>28.161999999999999</v>
      </c>
      <c r="GP22">
        <v>800</v>
      </c>
      <c r="GQ22">
        <v>19.007400000000001</v>
      </c>
      <c r="GR22">
        <v>99.743300000000005</v>
      </c>
      <c r="GS22">
        <v>99.535399999999996</v>
      </c>
    </row>
    <row r="23" spans="1:201" x14ac:dyDescent="0.25">
      <c r="A23">
        <v>7</v>
      </c>
      <c r="B23">
        <v>1690292459.5999999</v>
      </c>
      <c r="C23">
        <v>189</v>
      </c>
      <c r="D23" t="s">
        <v>347</v>
      </c>
      <c r="E23" t="s">
        <v>348</v>
      </c>
      <c r="F23" t="s">
        <v>330</v>
      </c>
      <c r="H23">
        <v>1690292459.5999999</v>
      </c>
      <c r="I23">
        <f t="shared" si="0"/>
        <v>4.7950557721932282E-4</v>
      </c>
      <c r="J23">
        <f t="shared" si="1"/>
        <v>0.4795055772193228</v>
      </c>
      <c r="K23">
        <f t="shared" si="2"/>
        <v>-1.0636332449000305</v>
      </c>
      <c r="L23">
        <f t="shared" si="3"/>
        <v>806.77599999999995</v>
      </c>
      <c r="M23">
        <f t="shared" si="4"/>
        <v>848.35343457373006</v>
      </c>
      <c r="N23">
        <f t="shared" si="5"/>
        <v>84.366713868467926</v>
      </c>
      <c r="O23">
        <f t="shared" si="6"/>
        <v>80.231937744375998</v>
      </c>
      <c r="P23">
        <f t="shared" si="7"/>
        <v>2.5799992066042575E-2</v>
      </c>
      <c r="Q23">
        <f t="shared" si="8"/>
        <v>2.2568615564740915</v>
      </c>
      <c r="R23">
        <f t="shared" si="9"/>
        <v>2.5637252172603285E-2</v>
      </c>
      <c r="S23">
        <f t="shared" si="10"/>
        <v>1.6037818453386605E-2</v>
      </c>
      <c r="T23">
        <f t="shared" si="11"/>
        <v>276.10458390993284</v>
      </c>
      <c r="U23">
        <f t="shared" si="12"/>
        <v>29.595824713003566</v>
      </c>
      <c r="V23">
        <f t="shared" si="13"/>
        <v>29.595824713003566</v>
      </c>
      <c r="W23">
        <f t="shared" si="14"/>
        <v>4.1625362259470089</v>
      </c>
      <c r="X23">
        <f t="shared" si="15"/>
        <v>63.441186695718244</v>
      </c>
      <c r="Y23">
        <f t="shared" si="16"/>
        <v>2.3635512434468002</v>
      </c>
      <c r="Z23">
        <f t="shared" si="17"/>
        <v>3.725578550071984</v>
      </c>
      <c r="AA23">
        <f t="shared" si="18"/>
        <v>1.7989849825002087</v>
      </c>
      <c r="AB23">
        <f t="shared" si="19"/>
        <v>-21.146195955372136</v>
      </c>
      <c r="AC23">
        <f t="shared" si="20"/>
        <v>-232.56671521124989</v>
      </c>
      <c r="AD23">
        <f t="shared" si="21"/>
        <v>-22.606091925804698</v>
      </c>
      <c r="AE23">
        <f t="shared" si="22"/>
        <v>-0.21441918249385594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52384.375787226156</v>
      </c>
      <c r="AK23">
        <f t="shared" si="26"/>
        <v>1799.93</v>
      </c>
      <c r="AL23">
        <f t="shared" si="27"/>
        <v>1499.0548999533801</v>
      </c>
      <c r="AM23">
        <f t="shared" si="28"/>
        <v>0.83284066599999995</v>
      </c>
      <c r="AN23">
        <f t="shared" si="29"/>
        <v>0.15339740096000001</v>
      </c>
      <c r="AO23">
        <v>30</v>
      </c>
      <c r="AP23">
        <v>0.5</v>
      </c>
      <c r="AQ23" t="s">
        <v>331</v>
      </c>
      <c r="AR23">
        <v>2</v>
      </c>
      <c r="AS23">
        <v>1690292459.5999999</v>
      </c>
      <c r="AT23">
        <v>806.77599999999995</v>
      </c>
      <c r="AU23">
        <v>800.01599999999996</v>
      </c>
      <c r="AV23">
        <v>23.7668</v>
      </c>
      <c r="AW23">
        <v>19.091100000000001</v>
      </c>
      <c r="AX23">
        <v>807.28200000000004</v>
      </c>
      <c r="AY23">
        <v>23.615400000000001</v>
      </c>
      <c r="AZ23">
        <v>300.346</v>
      </c>
      <c r="BA23">
        <v>99.3476</v>
      </c>
      <c r="BB23">
        <v>0.10000100000000001</v>
      </c>
      <c r="BC23">
        <v>27.6844</v>
      </c>
      <c r="BD23">
        <v>29.5825</v>
      </c>
      <c r="BE23">
        <v>29.133199999999999</v>
      </c>
      <c r="BF23">
        <v>0</v>
      </c>
      <c r="BG23">
        <v>0</v>
      </c>
      <c r="BH23">
        <v>9994.3799999999992</v>
      </c>
      <c r="BI23">
        <v>1084.83</v>
      </c>
      <c r="BJ23">
        <v>1.66797</v>
      </c>
      <c r="BK23">
        <v>6.7601899999999997</v>
      </c>
      <c r="BL23">
        <v>826.41800000000001</v>
      </c>
      <c r="BM23">
        <v>815.58699999999999</v>
      </c>
      <c r="BN23">
        <v>4.6756799999999998</v>
      </c>
      <c r="BO23">
        <v>800.01599999999996</v>
      </c>
      <c r="BP23">
        <v>19.091100000000001</v>
      </c>
      <c r="BQ23">
        <v>2.36117</v>
      </c>
      <c r="BR23">
        <v>1.8966499999999999</v>
      </c>
      <c r="BS23">
        <v>20.099900000000002</v>
      </c>
      <c r="BT23">
        <v>16.606999999999999</v>
      </c>
      <c r="BU23">
        <v>1799.93</v>
      </c>
      <c r="BV23">
        <v>0.91000599999999998</v>
      </c>
      <c r="BW23">
        <v>3.4001499999999997E-2</v>
      </c>
      <c r="BX23">
        <v>2.19998E-2</v>
      </c>
      <c r="BY23">
        <v>3.3993000000000002E-2</v>
      </c>
      <c r="BZ23">
        <v>26</v>
      </c>
      <c r="CA23">
        <v>33527.199999999997</v>
      </c>
      <c r="CB23">
        <v>1690292073.5</v>
      </c>
      <c r="CC23" t="s">
        <v>332</v>
      </c>
      <c r="CD23">
        <v>1690292069.5</v>
      </c>
      <c r="CE23">
        <v>1690292073.5</v>
      </c>
      <c r="CF23">
        <v>4</v>
      </c>
      <c r="CG23">
        <v>-3.6999999999999998E-2</v>
      </c>
      <c r="CH23">
        <v>-1.6E-2</v>
      </c>
      <c r="CI23">
        <v>-0.45200000000000001</v>
      </c>
      <c r="CJ23">
        <v>0.108</v>
      </c>
      <c r="CK23">
        <v>730</v>
      </c>
      <c r="CL23">
        <v>18</v>
      </c>
      <c r="CM23">
        <v>0</v>
      </c>
      <c r="CN23">
        <v>0.01</v>
      </c>
      <c r="CO23">
        <v>8.756483414634145</v>
      </c>
      <c r="CP23">
        <v>-12.769560836236939</v>
      </c>
      <c r="CQ23">
        <v>1.3006415380347931</v>
      </c>
      <c r="CR23">
        <v>-1</v>
      </c>
      <c r="CS23">
        <v>4.5667926829268293</v>
      </c>
      <c r="CT23">
        <v>0.86130982578398196</v>
      </c>
      <c r="CU23">
        <v>8.8043032854765529E-2</v>
      </c>
      <c r="CV23">
        <v>-1</v>
      </c>
      <c r="CW23">
        <v>0</v>
      </c>
      <c r="CX23">
        <v>0</v>
      </c>
      <c r="CY23" t="s">
        <v>333</v>
      </c>
      <c r="CZ23">
        <v>2.3651</v>
      </c>
      <c r="DA23">
        <v>2.7137899999999999</v>
      </c>
      <c r="DB23">
        <v>0.14810599999999999</v>
      </c>
      <c r="DC23">
        <v>0.14681900000000001</v>
      </c>
      <c r="DD23">
        <v>0.11360099999999999</v>
      </c>
      <c r="DE23">
        <v>9.5787999999999998E-2</v>
      </c>
      <c r="DF23">
        <v>31108.6</v>
      </c>
      <c r="DG23">
        <v>27489.8</v>
      </c>
      <c r="DH23">
        <v>31173.5</v>
      </c>
      <c r="DI23">
        <v>28074.5</v>
      </c>
      <c r="DJ23">
        <v>37513.5</v>
      </c>
      <c r="DK23">
        <v>36088.400000000001</v>
      </c>
      <c r="DL23">
        <v>44361.4</v>
      </c>
      <c r="DM23">
        <v>42543.1</v>
      </c>
      <c r="DN23">
        <v>1.4744999999999999</v>
      </c>
      <c r="DO23">
        <v>2.0692499999999998</v>
      </c>
      <c r="DP23">
        <v>0.232629</v>
      </c>
      <c r="DQ23">
        <v>0.20028699999999999</v>
      </c>
      <c r="DR23">
        <v>25.7822</v>
      </c>
      <c r="DS23">
        <v>25.860299999999999</v>
      </c>
      <c r="DT23">
        <v>58.6</v>
      </c>
      <c r="DU23">
        <v>28.2</v>
      </c>
      <c r="DV23">
        <v>22.643799999999999</v>
      </c>
      <c r="DW23">
        <v>62.183300000000003</v>
      </c>
      <c r="DX23">
        <v>33.485599999999998</v>
      </c>
      <c r="DY23">
        <v>1</v>
      </c>
      <c r="DZ23">
        <v>-8.95986E-2</v>
      </c>
      <c r="EA23">
        <v>7.6223999999999998</v>
      </c>
      <c r="EB23">
        <v>19.9514</v>
      </c>
      <c r="EC23">
        <v>5.2411000000000003</v>
      </c>
      <c r="ED23">
        <v>12.039899999999999</v>
      </c>
      <c r="EE23">
        <v>5.0170500000000002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1.8688</v>
      </c>
      <c r="EL23">
        <v>1.8645700000000001</v>
      </c>
      <c r="EM23">
        <v>1.86911</v>
      </c>
      <c r="EN23">
        <v>1.8671599999999999</v>
      </c>
      <c r="EO23">
        <v>1.8633</v>
      </c>
      <c r="EP23">
        <v>1.8644000000000001</v>
      </c>
      <c r="EQ23">
        <v>1.87012</v>
      </c>
      <c r="ER23">
        <v>1.8693500000000001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-0.50600000000000001</v>
      </c>
      <c r="FG23">
        <v>0.15140000000000001</v>
      </c>
      <c r="FH23">
        <v>5.0310448532705943E-2</v>
      </c>
      <c r="FI23">
        <v>-6.1462078757559423E-4</v>
      </c>
      <c r="FJ23">
        <v>-1.8861989874597051E-7</v>
      </c>
      <c r="FK23">
        <v>1.1980462299894961E-10</v>
      </c>
      <c r="FL23">
        <v>0.15140825623214971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6.5</v>
      </c>
      <c r="FU23">
        <v>6.4</v>
      </c>
      <c r="FV23">
        <v>1.79321</v>
      </c>
      <c r="FW23">
        <v>2.5830099999999998</v>
      </c>
      <c r="FX23">
        <v>1.5490699999999999</v>
      </c>
      <c r="FY23">
        <v>2.3315399999999999</v>
      </c>
      <c r="FZ23">
        <v>1.50146</v>
      </c>
      <c r="GA23">
        <v>2.34131</v>
      </c>
      <c r="GB23">
        <v>32.8202</v>
      </c>
      <c r="GC23">
        <v>23.868600000000001</v>
      </c>
      <c r="GD23">
        <v>19</v>
      </c>
      <c r="GE23">
        <v>281.22000000000003</v>
      </c>
      <c r="GF23">
        <v>608.01800000000003</v>
      </c>
      <c r="GG23">
        <v>26.636099999999999</v>
      </c>
      <c r="GH23">
        <v>26.072199999999999</v>
      </c>
      <c r="GI23">
        <v>30.009699999999999</v>
      </c>
      <c r="GJ23">
        <v>26.1388</v>
      </c>
      <c r="GK23">
        <v>26.102499999999999</v>
      </c>
      <c r="GL23">
        <v>35.859000000000002</v>
      </c>
      <c r="GM23">
        <v>25.2561</v>
      </c>
      <c r="GN23">
        <v>91.878200000000007</v>
      </c>
      <c r="GO23">
        <v>23.995000000000001</v>
      </c>
      <c r="GP23">
        <v>800</v>
      </c>
      <c r="GQ23">
        <v>19.226700000000001</v>
      </c>
      <c r="GR23">
        <v>99.74</v>
      </c>
      <c r="GS23">
        <v>99.530600000000007</v>
      </c>
    </row>
    <row r="24" spans="1:201" x14ac:dyDescent="0.25">
      <c r="A24">
        <v>8</v>
      </c>
      <c r="B24">
        <v>1690292469.5999999</v>
      </c>
      <c r="C24">
        <v>199</v>
      </c>
      <c r="D24" t="s">
        <v>349</v>
      </c>
      <c r="E24" t="s">
        <v>350</v>
      </c>
      <c r="F24" t="s">
        <v>330</v>
      </c>
      <c r="H24">
        <v>1690292469.5999999</v>
      </c>
      <c r="I24">
        <f t="shared" si="0"/>
        <v>4.8151413966836487E-4</v>
      </c>
      <c r="J24">
        <f t="shared" si="1"/>
        <v>0.48151413966836487</v>
      </c>
      <c r="K24">
        <f t="shared" si="2"/>
        <v>-0.5262255507838377</v>
      </c>
      <c r="L24">
        <f t="shared" si="3"/>
        <v>801.35900000000004</v>
      </c>
      <c r="M24">
        <f t="shared" si="4"/>
        <v>809.66361197272067</v>
      </c>
      <c r="N24">
        <f t="shared" si="5"/>
        <v>80.520936420301283</v>
      </c>
      <c r="O24">
        <f t="shared" si="6"/>
        <v>79.695043885719599</v>
      </c>
      <c r="P24">
        <f t="shared" si="7"/>
        <v>2.6807704102896159E-2</v>
      </c>
      <c r="Q24">
        <f t="shared" si="8"/>
        <v>2.2559261951692853</v>
      </c>
      <c r="R24">
        <f t="shared" si="9"/>
        <v>2.6631977537841387E-2</v>
      </c>
      <c r="S24">
        <f t="shared" si="10"/>
        <v>1.6660678156085969E-2</v>
      </c>
      <c r="T24">
        <f t="shared" si="11"/>
        <v>276.10776062893046</v>
      </c>
      <c r="U24">
        <f t="shared" si="12"/>
        <v>29.380867844713869</v>
      </c>
      <c r="V24">
        <f t="shared" si="13"/>
        <v>29.380867844713869</v>
      </c>
      <c r="W24">
        <f t="shared" si="14"/>
        <v>4.1112653400408181</v>
      </c>
      <c r="X24">
        <f t="shared" si="15"/>
        <v>64.46932790491077</v>
      </c>
      <c r="Y24">
        <f t="shared" si="16"/>
        <v>2.3717897610620398</v>
      </c>
      <c r="Z24">
        <f t="shared" si="17"/>
        <v>3.6789428991105946</v>
      </c>
      <c r="AA24">
        <f t="shared" si="18"/>
        <v>1.7394755789787784</v>
      </c>
      <c r="AB24">
        <f t="shared" si="19"/>
        <v>-21.23477355937489</v>
      </c>
      <c r="AC24">
        <f t="shared" si="20"/>
        <v>-232.52422175773228</v>
      </c>
      <c r="AD24">
        <f t="shared" si="21"/>
        <v>-22.56297754782609</v>
      </c>
      <c r="AE24">
        <f t="shared" si="22"/>
        <v>-0.21421223600279404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52385.507127408797</v>
      </c>
      <c r="AK24">
        <f t="shared" si="26"/>
        <v>1799.95</v>
      </c>
      <c r="AL24">
        <f t="shared" si="27"/>
        <v>1499.0707071903</v>
      </c>
      <c r="AM24">
        <f t="shared" si="28"/>
        <v>0.83284019399999998</v>
      </c>
      <c r="AN24">
        <f t="shared" si="29"/>
        <v>0.15339746138999996</v>
      </c>
      <c r="AO24">
        <v>30</v>
      </c>
      <c r="AP24">
        <v>0.5</v>
      </c>
      <c r="AQ24" t="s">
        <v>331</v>
      </c>
      <c r="AR24">
        <v>2</v>
      </c>
      <c r="AS24">
        <v>1690292469.5999999</v>
      </c>
      <c r="AT24">
        <v>801.35900000000004</v>
      </c>
      <c r="AU24">
        <v>799.95600000000002</v>
      </c>
      <c r="AV24">
        <v>23.8491</v>
      </c>
      <c r="AW24">
        <v>19.1508</v>
      </c>
      <c r="AX24">
        <v>801.86099999999999</v>
      </c>
      <c r="AY24">
        <v>23.697700000000001</v>
      </c>
      <c r="AZ24">
        <v>300.12799999999999</v>
      </c>
      <c r="BA24">
        <v>99.350099999999998</v>
      </c>
      <c r="BB24">
        <v>9.9764400000000003E-2</v>
      </c>
      <c r="BC24">
        <v>27.469000000000001</v>
      </c>
      <c r="BD24">
        <v>29.658300000000001</v>
      </c>
      <c r="BE24">
        <v>29.033999999999999</v>
      </c>
      <c r="BF24">
        <v>0</v>
      </c>
      <c r="BG24">
        <v>0</v>
      </c>
      <c r="BH24">
        <v>9986.8799999999992</v>
      </c>
      <c r="BI24">
        <v>1085.99</v>
      </c>
      <c r="BJ24">
        <v>1.56985</v>
      </c>
      <c r="BK24">
        <v>1.4032</v>
      </c>
      <c r="BL24">
        <v>820.93799999999999</v>
      </c>
      <c r="BM24">
        <v>815.57500000000005</v>
      </c>
      <c r="BN24">
        <v>4.6983699999999997</v>
      </c>
      <c r="BO24">
        <v>799.95600000000002</v>
      </c>
      <c r="BP24">
        <v>19.1508</v>
      </c>
      <c r="BQ24">
        <v>2.3694099999999998</v>
      </c>
      <c r="BR24">
        <v>1.90263</v>
      </c>
      <c r="BS24">
        <v>20.156199999999998</v>
      </c>
      <c r="BT24">
        <v>16.656500000000001</v>
      </c>
      <c r="BU24">
        <v>1799.95</v>
      </c>
      <c r="BV24">
        <v>0.90999699999999994</v>
      </c>
      <c r="BW24">
        <v>3.3993900000000001E-2</v>
      </c>
      <c r="BX24">
        <v>2.2000700000000002E-2</v>
      </c>
      <c r="BY24">
        <v>3.4008499999999997E-2</v>
      </c>
      <c r="BZ24">
        <v>26</v>
      </c>
      <c r="CA24">
        <v>33527.5</v>
      </c>
      <c r="CB24">
        <v>1690292073.5</v>
      </c>
      <c r="CC24" t="s">
        <v>332</v>
      </c>
      <c r="CD24">
        <v>1690292069.5</v>
      </c>
      <c r="CE24">
        <v>1690292073.5</v>
      </c>
      <c r="CF24">
        <v>4</v>
      </c>
      <c r="CG24">
        <v>-3.6999999999999998E-2</v>
      </c>
      <c r="CH24">
        <v>-1.6E-2</v>
      </c>
      <c r="CI24">
        <v>-0.45200000000000001</v>
      </c>
      <c r="CJ24">
        <v>0.108</v>
      </c>
      <c r="CK24">
        <v>730</v>
      </c>
      <c r="CL24">
        <v>18</v>
      </c>
      <c r="CM24">
        <v>0</v>
      </c>
      <c r="CN24">
        <v>0.01</v>
      </c>
      <c r="CO24">
        <v>6.4100831707317063</v>
      </c>
      <c r="CP24">
        <v>-15.02461923344946</v>
      </c>
      <c r="CQ24">
        <v>1.5787960829964931</v>
      </c>
      <c r="CR24">
        <v>-1</v>
      </c>
      <c r="CS24">
        <v>4.6790192682926834</v>
      </c>
      <c r="CT24">
        <v>0.44758452961672368</v>
      </c>
      <c r="CU24">
        <v>4.8505190237256107E-2</v>
      </c>
      <c r="CV24">
        <v>-1</v>
      </c>
      <c r="CW24">
        <v>0</v>
      </c>
      <c r="CX24">
        <v>0</v>
      </c>
      <c r="CY24" t="s">
        <v>333</v>
      </c>
      <c r="CZ24">
        <v>2.3643999999999998</v>
      </c>
      <c r="DA24">
        <v>2.7135400000000001</v>
      </c>
      <c r="DB24">
        <v>0.147449</v>
      </c>
      <c r="DC24">
        <v>0.146817</v>
      </c>
      <c r="DD24">
        <v>0.113883</v>
      </c>
      <c r="DE24">
        <v>9.6004500000000006E-2</v>
      </c>
      <c r="DF24">
        <v>31129.5</v>
      </c>
      <c r="DG24">
        <v>27487.5</v>
      </c>
      <c r="DH24">
        <v>31170.400000000001</v>
      </c>
      <c r="DI24">
        <v>28072</v>
      </c>
      <c r="DJ24">
        <v>37497.9</v>
      </c>
      <c r="DK24">
        <v>36076.699999999997</v>
      </c>
      <c r="DL24">
        <v>44357.3</v>
      </c>
      <c r="DM24">
        <v>42539.5</v>
      </c>
      <c r="DN24">
        <v>1.472</v>
      </c>
      <c r="DO24">
        <v>2.0697800000000002</v>
      </c>
      <c r="DP24">
        <v>0.23229</v>
      </c>
      <c r="DQ24">
        <v>0.19198299999999999</v>
      </c>
      <c r="DR24">
        <v>25.864100000000001</v>
      </c>
      <c r="DS24">
        <v>25.896699999999999</v>
      </c>
      <c r="DT24">
        <v>58.6</v>
      </c>
      <c r="DU24">
        <v>28.2</v>
      </c>
      <c r="DV24">
        <v>22.640899999999998</v>
      </c>
      <c r="DW24">
        <v>62.593299999999999</v>
      </c>
      <c r="DX24">
        <v>33.729999999999997</v>
      </c>
      <c r="DY24">
        <v>1</v>
      </c>
      <c r="DZ24">
        <v>-8.2749000000000003E-2</v>
      </c>
      <c r="EA24">
        <v>9.2810500000000005</v>
      </c>
      <c r="EB24">
        <v>19.864699999999999</v>
      </c>
      <c r="EC24">
        <v>5.2404999999999999</v>
      </c>
      <c r="ED24">
        <v>12.039899999999999</v>
      </c>
      <c r="EE24">
        <v>5.0167000000000002</v>
      </c>
      <c r="EF24">
        <v>3.2879499999999999</v>
      </c>
      <c r="EG24">
        <v>9999</v>
      </c>
      <c r="EH24">
        <v>9999</v>
      </c>
      <c r="EI24">
        <v>9999</v>
      </c>
      <c r="EJ24">
        <v>999.9</v>
      </c>
      <c r="EK24">
        <v>1.86883</v>
      </c>
      <c r="EL24">
        <v>1.86452</v>
      </c>
      <c r="EM24">
        <v>1.8691</v>
      </c>
      <c r="EN24">
        <v>1.8671500000000001</v>
      </c>
      <c r="EO24">
        <v>1.8632899999999999</v>
      </c>
      <c r="EP24">
        <v>1.8644099999999999</v>
      </c>
      <c r="EQ24">
        <v>1.87012</v>
      </c>
      <c r="ER24">
        <v>1.8693500000000001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-0.502</v>
      </c>
      <c r="FG24">
        <v>0.15140000000000001</v>
      </c>
      <c r="FH24">
        <v>5.0310448532705943E-2</v>
      </c>
      <c r="FI24">
        <v>-6.1462078757559423E-4</v>
      </c>
      <c r="FJ24">
        <v>-1.8861989874597051E-7</v>
      </c>
      <c r="FK24">
        <v>1.1980462299894961E-10</v>
      </c>
      <c r="FL24">
        <v>0.15140825623214971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6.7</v>
      </c>
      <c r="FU24">
        <v>6.6</v>
      </c>
      <c r="FV24">
        <v>1.79321</v>
      </c>
      <c r="FW24">
        <v>2.5830099999999998</v>
      </c>
      <c r="FX24">
        <v>1.5490699999999999</v>
      </c>
      <c r="FY24">
        <v>2.3315399999999999</v>
      </c>
      <c r="FZ24">
        <v>1.50146</v>
      </c>
      <c r="GA24">
        <v>2.3059099999999999</v>
      </c>
      <c r="GB24">
        <v>32.8202</v>
      </c>
      <c r="GC24">
        <v>23.8598</v>
      </c>
      <c r="GD24">
        <v>19</v>
      </c>
      <c r="GE24">
        <v>280.16000000000003</v>
      </c>
      <c r="GF24">
        <v>608.49199999999996</v>
      </c>
      <c r="GG24">
        <v>23.977399999999999</v>
      </c>
      <c r="GH24">
        <v>26.072700000000001</v>
      </c>
      <c r="GI24">
        <v>30.003299999999999</v>
      </c>
      <c r="GJ24">
        <v>26.138000000000002</v>
      </c>
      <c r="GK24">
        <v>26.104700000000001</v>
      </c>
      <c r="GL24">
        <v>35.8645</v>
      </c>
      <c r="GM24">
        <v>24.9376</v>
      </c>
      <c r="GN24">
        <v>91.878200000000007</v>
      </c>
      <c r="GO24">
        <v>20.680299999999999</v>
      </c>
      <c r="GP24">
        <v>800</v>
      </c>
      <c r="GQ24">
        <v>19.132899999999999</v>
      </c>
      <c r="GR24">
        <v>99.730599999999995</v>
      </c>
      <c r="GS24">
        <v>99.522099999999995</v>
      </c>
    </row>
    <row r="25" spans="1:201" x14ac:dyDescent="0.25">
      <c r="A25">
        <v>9</v>
      </c>
      <c r="B25">
        <v>1690292479.5999999</v>
      </c>
      <c r="C25">
        <v>209</v>
      </c>
      <c r="D25" t="s">
        <v>351</v>
      </c>
      <c r="E25" t="s">
        <v>352</v>
      </c>
      <c r="F25" t="s">
        <v>330</v>
      </c>
      <c r="H25">
        <v>1690292479.5999999</v>
      </c>
      <c r="I25">
        <f t="shared" si="0"/>
        <v>4.475352599856806E-4</v>
      </c>
      <c r="J25">
        <f t="shared" si="1"/>
        <v>0.44753525998568061</v>
      </c>
      <c r="K25">
        <f t="shared" si="2"/>
        <v>0.6399850746302066</v>
      </c>
      <c r="L25">
        <f t="shared" si="3"/>
        <v>790.09400000000005</v>
      </c>
      <c r="M25">
        <f t="shared" si="4"/>
        <v>728.53687812007979</v>
      </c>
      <c r="N25">
        <f t="shared" si="5"/>
        <v>72.451708919916371</v>
      </c>
      <c r="O25">
        <f t="shared" si="6"/>
        <v>78.573456233381407</v>
      </c>
      <c r="P25">
        <f t="shared" si="7"/>
        <v>2.5604461414628139E-2</v>
      </c>
      <c r="Q25">
        <f t="shared" si="8"/>
        <v>2.2592063505221982</v>
      </c>
      <c r="R25">
        <f t="shared" si="9"/>
        <v>2.5444335861013263E-2</v>
      </c>
      <c r="S25">
        <f t="shared" si="10"/>
        <v>1.5917012965167399E-2</v>
      </c>
      <c r="T25">
        <f t="shared" si="11"/>
        <v>276.10676824449752</v>
      </c>
      <c r="U25">
        <f t="shared" si="12"/>
        <v>29.080272966198798</v>
      </c>
      <c r="V25">
        <f t="shared" si="13"/>
        <v>29.080272966198798</v>
      </c>
      <c r="W25">
        <f t="shared" si="14"/>
        <v>4.0404919210445573</v>
      </c>
      <c r="X25">
        <f t="shared" si="15"/>
        <v>64.977854629703401</v>
      </c>
      <c r="Y25">
        <f t="shared" si="16"/>
        <v>2.3474955499981198</v>
      </c>
      <c r="Z25">
        <f t="shared" si="17"/>
        <v>3.612762476348375</v>
      </c>
      <c r="AA25">
        <f t="shared" si="18"/>
        <v>1.6929963710464375</v>
      </c>
      <c r="AB25">
        <f t="shared" si="19"/>
        <v>-19.736304965368515</v>
      </c>
      <c r="AC25">
        <f t="shared" si="20"/>
        <v>-233.983484411289</v>
      </c>
      <c r="AD25">
        <f t="shared" si="21"/>
        <v>-22.60281840545905</v>
      </c>
      <c r="AE25">
        <f t="shared" si="22"/>
        <v>-0.21583953761904695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52567.64527220832</v>
      </c>
      <c r="AK25">
        <f t="shared" si="26"/>
        <v>1799.95</v>
      </c>
      <c r="AL25">
        <f t="shared" si="27"/>
        <v>1499.0711499779998</v>
      </c>
      <c r="AM25">
        <f t="shared" si="28"/>
        <v>0.8328404399999999</v>
      </c>
      <c r="AN25">
        <f t="shared" si="29"/>
        <v>0.15339691005</v>
      </c>
      <c r="AO25">
        <v>30</v>
      </c>
      <c r="AP25">
        <v>0.5</v>
      </c>
      <c r="AQ25" t="s">
        <v>331</v>
      </c>
      <c r="AR25">
        <v>2</v>
      </c>
      <c r="AS25">
        <v>1690292479.5999999</v>
      </c>
      <c r="AT25">
        <v>790.09400000000005</v>
      </c>
      <c r="AU25">
        <v>800.02499999999998</v>
      </c>
      <c r="AV25">
        <v>23.6052</v>
      </c>
      <c r="AW25">
        <v>19.2376</v>
      </c>
      <c r="AX25">
        <v>790.58799999999997</v>
      </c>
      <c r="AY25">
        <v>23.453800000000001</v>
      </c>
      <c r="AZ25">
        <v>300.14499999999998</v>
      </c>
      <c r="BA25">
        <v>99.348299999999995</v>
      </c>
      <c r="BB25">
        <v>9.9938100000000002E-2</v>
      </c>
      <c r="BC25">
        <v>27.159199999999998</v>
      </c>
      <c r="BD25">
        <v>29.3703</v>
      </c>
      <c r="BE25">
        <v>28.700399999999998</v>
      </c>
      <c r="BF25">
        <v>0</v>
      </c>
      <c r="BG25">
        <v>0</v>
      </c>
      <c r="BH25">
        <v>10012.5</v>
      </c>
      <c r="BI25">
        <v>1086.08</v>
      </c>
      <c r="BJ25">
        <v>1.5796600000000001</v>
      </c>
      <c r="BK25">
        <v>-9.9309700000000003</v>
      </c>
      <c r="BL25">
        <v>809.19500000000005</v>
      </c>
      <c r="BM25">
        <v>815.71699999999998</v>
      </c>
      <c r="BN25">
        <v>4.3675699999999997</v>
      </c>
      <c r="BO25">
        <v>800.02499999999998</v>
      </c>
      <c r="BP25">
        <v>19.2376</v>
      </c>
      <c r="BQ25">
        <v>2.3451399999999998</v>
      </c>
      <c r="BR25">
        <v>1.91123</v>
      </c>
      <c r="BS25">
        <v>19.989799999999999</v>
      </c>
      <c r="BT25">
        <v>16.727399999999999</v>
      </c>
      <c r="BU25">
        <v>1799.95</v>
      </c>
      <c r="BV25">
        <v>0.91001200000000004</v>
      </c>
      <c r="BW25">
        <v>3.4000200000000001E-2</v>
      </c>
      <c r="BX25">
        <v>2.1993499999999999E-2</v>
      </c>
      <c r="BY25">
        <v>3.3994499999999997E-2</v>
      </c>
      <c r="BZ25">
        <v>26</v>
      </c>
      <c r="CA25">
        <v>33527.5</v>
      </c>
      <c r="CB25">
        <v>1690292073.5</v>
      </c>
      <c r="CC25" t="s">
        <v>332</v>
      </c>
      <c r="CD25">
        <v>1690292069.5</v>
      </c>
      <c r="CE25">
        <v>1690292073.5</v>
      </c>
      <c r="CF25">
        <v>4</v>
      </c>
      <c r="CG25">
        <v>-3.6999999999999998E-2</v>
      </c>
      <c r="CH25">
        <v>-1.6E-2</v>
      </c>
      <c r="CI25">
        <v>-0.45200000000000001</v>
      </c>
      <c r="CJ25">
        <v>0.108</v>
      </c>
      <c r="CK25">
        <v>730</v>
      </c>
      <c r="CL25">
        <v>18</v>
      </c>
      <c r="CM25">
        <v>0</v>
      </c>
      <c r="CN25">
        <v>0.01</v>
      </c>
      <c r="CO25">
        <v>1.33956903</v>
      </c>
      <c r="CP25">
        <v>-48.383705187242043</v>
      </c>
      <c r="CQ25">
        <v>4.7691460204447651</v>
      </c>
      <c r="CR25">
        <v>-1</v>
      </c>
      <c r="CS25">
        <v>4.6399489999999997</v>
      </c>
      <c r="CT25">
        <v>-0.84535272045029664</v>
      </c>
      <c r="CU25">
        <v>0.1013830430052285</v>
      </c>
      <c r="CV25">
        <v>-1</v>
      </c>
      <c r="CW25">
        <v>0</v>
      </c>
      <c r="CX25">
        <v>0</v>
      </c>
      <c r="CY25" t="s">
        <v>333</v>
      </c>
      <c r="CZ25">
        <v>2.3644500000000002</v>
      </c>
      <c r="DA25">
        <v>2.71374</v>
      </c>
      <c r="DB25">
        <v>0.14605399999999999</v>
      </c>
      <c r="DC25">
        <v>0.14682400000000001</v>
      </c>
      <c r="DD25">
        <v>0.11305800000000001</v>
      </c>
      <c r="DE25">
        <v>9.6312300000000003E-2</v>
      </c>
      <c r="DF25">
        <v>31181</v>
      </c>
      <c r="DG25">
        <v>27488.2</v>
      </c>
      <c r="DH25">
        <v>31171</v>
      </c>
      <c r="DI25">
        <v>28073</v>
      </c>
      <c r="DJ25">
        <v>37533.9</v>
      </c>
      <c r="DK25">
        <v>36065.699999999997</v>
      </c>
      <c r="DL25">
        <v>44358.3</v>
      </c>
      <c r="DM25">
        <v>42541</v>
      </c>
      <c r="DN25">
        <v>1.4718500000000001</v>
      </c>
      <c r="DO25">
        <v>2.0694699999999999</v>
      </c>
      <c r="DP25">
        <v>0.210311</v>
      </c>
      <c r="DQ25">
        <v>0.17086000000000001</v>
      </c>
      <c r="DR25">
        <v>25.9345</v>
      </c>
      <c r="DS25">
        <v>25.907499999999999</v>
      </c>
      <c r="DT25">
        <v>58.6</v>
      </c>
      <c r="DU25">
        <v>28.2</v>
      </c>
      <c r="DV25">
        <v>22.643599999999999</v>
      </c>
      <c r="DW25">
        <v>62.103299999999997</v>
      </c>
      <c r="DX25">
        <v>34.302900000000001</v>
      </c>
      <c r="DY25">
        <v>1</v>
      </c>
      <c r="DZ25">
        <v>-8.3816100000000004E-2</v>
      </c>
      <c r="EA25">
        <v>9.2810500000000005</v>
      </c>
      <c r="EB25">
        <v>19.8766</v>
      </c>
      <c r="EC25">
        <v>5.2409499999999998</v>
      </c>
      <c r="ED25">
        <v>12.039899999999999</v>
      </c>
      <c r="EE25">
        <v>5.01715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1.86883</v>
      </c>
      <c r="EL25">
        <v>1.86456</v>
      </c>
      <c r="EM25">
        <v>1.86914</v>
      </c>
      <c r="EN25">
        <v>1.8671599999999999</v>
      </c>
      <c r="EO25">
        <v>1.86331</v>
      </c>
      <c r="EP25">
        <v>1.86442</v>
      </c>
      <c r="EQ25">
        <v>1.87012</v>
      </c>
      <c r="ER25">
        <v>1.8693500000000001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-0.49399999999999999</v>
      </c>
      <c r="FG25">
        <v>0.15140000000000001</v>
      </c>
      <c r="FH25">
        <v>5.0310448532705943E-2</v>
      </c>
      <c r="FI25">
        <v>-6.1462078757559423E-4</v>
      </c>
      <c r="FJ25">
        <v>-1.8861989874597051E-7</v>
      </c>
      <c r="FK25">
        <v>1.1980462299894961E-10</v>
      </c>
      <c r="FL25">
        <v>0.15140825623214971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6.8</v>
      </c>
      <c r="FU25">
        <v>6.8</v>
      </c>
      <c r="FV25">
        <v>1.79321</v>
      </c>
      <c r="FW25">
        <v>2.5769000000000002</v>
      </c>
      <c r="FX25">
        <v>1.5490699999999999</v>
      </c>
      <c r="FY25">
        <v>2.3315399999999999</v>
      </c>
      <c r="FZ25">
        <v>1.50146</v>
      </c>
      <c r="GA25">
        <v>2.2753899999999998</v>
      </c>
      <c r="GB25">
        <v>32.8202</v>
      </c>
      <c r="GC25">
        <v>23.868600000000001</v>
      </c>
      <c r="GD25">
        <v>19</v>
      </c>
      <c r="GE25">
        <v>280.072</v>
      </c>
      <c r="GF25">
        <v>608.23599999999999</v>
      </c>
      <c r="GG25">
        <v>22.071000000000002</v>
      </c>
      <c r="GH25">
        <v>26.078199999999999</v>
      </c>
      <c r="GI25">
        <v>30.0002</v>
      </c>
      <c r="GJ25">
        <v>26.1325</v>
      </c>
      <c r="GK25">
        <v>26.104700000000001</v>
      </c>
      <c r="GL25">
        <v>35.8643</v>
      </c>
      <c r="GM25">
        <v>25.420999999999999</v>
      </c>
      <c r="GN25">
        <v>91.878200000000007</v>
      </c>
      <c r="GO25">
        <v>20.680299999999999</v>
      </c>
      <c r="GP25">
        <v>800</v>
      </c>
      <c r="GQ25">
        <v>19.0867</v>
      </c>
      <c r="GR25">
        <v>99.732699999999994</v>
      </c>
      <c r="GS25">
        <v>99.525700000000001</v>
      </c>
    </row>
    <row r="26" spans="1:201" x14ac:dyDescent="0.25">
      <c r="A26">
        <v>10</v>
      </c>
      <c r="B26">
        <v>1690292489.5999999</v>
      </c>
      <c r="C26">
        <v>219</v>
      </c>
      <c r="D26" t="s">
        <v>353</v>
      </c>
      <c r="E26" t="s">
        <v>354</v>
      </c>
      <c r="F26" t="s">
        <v>330</v>
      </c>
      <c r="H26">
        <v>1690292489.5999999</v>
      </c>
      <c r="I26">
        <f t="shared" si="0"/>
        <v>4.0937747243884406E-4</v>
      </c>
      <c r="J26">
        <f t="shared" si="1"/>
        <v>0.40937747243884404</v>
      </c>
      <c r="K26">
        <f t="shared" si="2"/>
        <v>1.8508023967015734</v>
      </c>
      <c r="L26">
        <f t="shared" si="3"/>
        <v>778.26599999999996</v>
      </c>
      <c r="M26">
        <f t="shared" si="4"/>
        <v>633.52551012415859</v>
      </c>
      <c r="N26">
        <f t="shared" si="5"/>
        <v>63.003100241607896</v>
      </c>
      <c r="O26">
        <f t="shared" si="6"/>
        <v>77.39731080919799</v>
      </c>
      <c r="P26">
        <f t="shared" si="7"/>
        <v>2.3772046420880447E-2</v>
      </c>
      <c r="Q26">
        <f t="shared" si="8"/>
        <v>2.2592849295889317</v>
      </c>
      <c r="R26">
        <f t="shared" si="9"/>
        <v>2.3633957981200531E-2</v>
      </c>
      <c r="S26">
        <f t="shared" si="10"/>
        <v>1.4783563455876808E-2</v>
      </c>
      <c r="T26">
        <f t="shared" si="11"/>
        <v>276.11148477522147</v>
      </c>
      <c r="U26">
        <f t="shared" si="12"/>
        <v>28.786673607861665</v>
      </c>
      <c r="V26">
        <f t="shared" si="13"/>
        <v>28.786673607861665</v>
      </c>
      <c r="W26">
        <f t="shared" si="14"/>
        <v>3.9723934409972452</v>
      </c>
      <c r="X26">
        <f t="shared" si="15"/>
        <v>64.937270933466024</v>
      </c>
      <c r="Y26">
        <f t="shared" si="16"/>
        <v>2.3041498836279</v>
      </c>
      <c r="Z26">
        <f t="shared" si="17"/>
        <v>3.5482702776171564</v>
      </c>
      <c r="AA26">
        <f t="shared" si="18"/>
        <v>1.6682435573693453</v>
      </c>
      <c r="AB26">
        <f t="shared" si="19"/>
        <v>-18.053546534553025</v>
      </c>
      <c r="AC26">
        <f t="shared" si="20"/>
        <v>-235.58731456938415</v>
      </c>
      <c r="AD26">
        <f t="shared" si="21"/>
        <v>-22.688977467084936</v>
      </c>
      <c r="AE26">
        <f t="shared" si="22"/>
        <v>-0.21835379580062408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52624.489816435722</v>
      </c>
      <c r="AK26">
        <f t="shared" si="26"/>
        <v>1799.97</v>
      </c>
      <c r="AL26">
        <f t="shared" si="27"/>
        <v>1499.0846208399</v>
      </c>
      <c r="AM26">
        <f t="shared" si="28"/>
        <v>0.83283867</v>
      </c>
      <c r="AN26">
        <f t="shared" si="29"/>
        <v>0.15339782594999998</v>
      </c>
      <c r="AO26">
        <v>30</v>
      </c>
      <c r="AP26">
        <v>0.5</v>
      </c>
      <c r="AQ26" t="s">
        <v>331</v>
      </c>
      <c r="AR26">
        <v>2</v>
      </c>
      <c r="AS26">
        <v>1690292489.5999999</v>
      </c>
      <c r="AT26">
        <v>778.26599999999996</v>
      </c>
      <c r="AU26">
        <v>799.94799999999998</v>
      </c>
      <c r="AV26">
        <v>23.1693</v>
      </c>
      <c r="AW26">
        <v>19.172599999999999</v>
      </c>
      <c r="AX26">
        <v>778.75199999999995</v>
      </c>
      <c r="AY26">
        <v>23.017900000000001</v>
      </c>
      <c r="AZ26">
        <v>300.16699999999997</v>
      </c>
      <c r="BA26">
        <v>99.348399999999998</v>
      </c>
      <c r="BB26">
        <v>0.10000299999999999</v>
      </c>
      <c r="BC26">
        <v>26.852499999999999</v>
      </c>
      <c r="BD26">
        <v>29.086200000000002</v>
      </c>
      <c r="BE26">
        <v>28.332599999999999</v>
      </c>
      <c r="BF26">
        <v>0</v>
      </c>
      <c r="BG26">
        <v>0</v>
      </c>
      <c r="BH26">
        <v>10013.1</v>
      </c>
      <c r="BI26">
        <v>1085.71</v>
      </c>
      <c r="BJ26">
        <v>1.7380500000000001</v>
      </c>
      <c r="BK26">
        <v>-21.682099999999998</v>
      </c>
      <c r="BL26">
        <v>796.72500000000002</v>
      </c>
      <c r="BM26">
        <v>815.58500000000004</v>
      </c>
      <c r="BN26">
        <v>3.9967100000000002</v>
      </c>
      <c r="BO26">
        <v>799.94799999999998</v>
      </c>
      <c r="BP26">
        <v>19.172599999999999</v>
      </c>
      <c r="BQ26">
        <v>2.3018299999999998</v>
      </c>
      <c r="BR26">
        <v>1.9047700000000001</v>
      </c>
      <c r="BS26">
        <v>19.6892</v>
      </c>
      <c r="BT26">
        <v>16.674099999999999</v>
      </c>
      <c r="BU26">
        <v>1799.97</v>
      </c>
      <c r="BV26">
        <v>0.90998100000000004</v>
      </c>
      <c r="BW26">
        <v>3.4005300000000002E-2</v>
      </c>
      <c r="BX26">
        <v>2.2003499999999999E-2</v>
      </c>
      <c r="BY26">
        <v>3.4010499999999999E-2</v>
      </c>
      <c r="BZ26">
        <v>26</v>
      </c>
      <c r="CA26">
        <v>33527.699999999997</v>
      </c>
      <c r="CB26">
        <v>1690292073.5</v>
      </c>
      <c r="CC26" t="s">
        <v>332</v>
      </c>
      <c r="CD26">
        <v>1690292069.5</v>
      </c>
      <c r="CE26">
        <v>1690292073.5</v>
      </c>
      <c r="CF26">
        <v>4</v>
      </c>
      <c r="CG26">
        <v>-3.6999999999999998E-2</v>
      </c>
      <c r="CH26">
        <v>-1.6E-2</v>
      </c>
      <c r="CI26">
        <v>-0.45200000000000001</v>
      </c>
      <c r="CJ26">
        <v>0.108</v>
      </c>
      <c r="CK26">
        <v>730</v>
      </c>
      <c r="CL26">
        <v>18</v>
      </c>
      <c r="CM26">
        <v>0</v>
      </c>
      <c r="CN26">
        <v>0.01</v>
      </c>
      <c r="CO26">
        <v>-8.7455324097560982</v>
      </c>
      <c r="CP26">
        <v>-68.53149010452961</v>
      </c>
      <c r="CQ26">
        <v>6.7579295927478196</v>
      </c>
      <c r="CR26">
        <v>-1</v>
      </c>
      <c r="CS26">
        <v>4.4026085365853653</v>
      </c>
      <c r="CT26">
        <v>-1.9177603484320469</v>
      </c>
      <c r="CU26">
        <v>0.18942366484348369</v>
      </c>
      <c r="CV26">
        <v>-1</v>
      </c>
      <c r="CW26">
        <v>0</v>
      </c>
      <c r="CX26">
        <v>0</v>
      </c>
      <c r="CY26" t="s">
        <v>333</v>
      </c>
      <c r="CZ26">
        <v>2.3645</v>
      </c>
      <c r="DA26">
        <v>2.7138100000000001</v>
      </c>
      <c r="DB26">
        <v>0.14457800000000001</v>
      </c>
      <c r="DC26">
        <v>0.146813</v>
      </c>
      <c r="DD26">
        <v>0.111579</v>
      </c>
      <c r="DE26">
        <v>9.6079800000000007E-2</v>
      </c>
      <c r="DF26">
        <v>31236.2</v>
      </c>
      <c r="DG26">
        <v>27489.9</v>
      </c>
      <c r="DH26">
        <v>31172.400000000001</v>
      </c>
      <c r="DI26">
        <v>28074.400000000001</v>
      </c>
      <c r="DJ26">
        <v>37599.1</v>
      </c>
      <c r="DK26">
        <v>36076.800000000003</v>
      </c>
      <c r="DL26">
        <v>44360.7</v>
      </c>
      <c r="DM26">
        <v>42543.1</v>
      </c>
      <c r="DN26">
        <v>1.4715800000000001</v>
      </c>
      <c r="DO26">
        <v>2.0692200000000001</v>
      </c>
      <c r="DP26">
        <v>0.189882</v>
      </c>
      <c r="DQ26">
        <v>0.14949999999999999</v>
      </c>
      <c r="DR26">
        <v>25.983599999999999</v>
      </c>
      <c r="DS26">
        <v>25.888100000000001</v>
      </c>
      <c r="DT26">
        <v>58.6</v>
      </c>
      <c r="DU26">
        <v>28.2</v>
      </c>
      <c r="DV26">
        <v>22.647500000000001</v>
      </c>
      <c r="DW26">
        <v>62.423400000000001</v>
      </c>
      <c r="DX26">
        <v>34.6755</v>
      </c>
      <c r="DY26">
        <v>1</v>
      </c>
      <c r="DZ26">
        <v>-8.5154999999999995E-2</v>
      </c>
      <c r="EA26">
        <v>9.2810500000000005</v>
      </c>
      <c r="EB26">
        <v>19.8857</v>
      </c>
      <c r="EC26">
        <v>5.2411000000000003</v>
      </c>
      <c r="ED26">
        <v>12.039899999999999</v>
      </c>
      <c r="EE26">
        <v>5.01715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1.8688400000000001</v>
      </c>
      <c r="EL26">
        <v>1.8645700000000001</v>
      </c>
      <c r="EM26">
        <v>1.86913</v>
      </c>
      <c r="EN26">
        <v>1.8671599999999999</v>
      </c>
      <c r="EO26">
        <v>1.8633299999999999</v>
      </c>
      <c r="EP26">
        <v>1.8644099999999999</v>
      </c>
      <c r="EQ26">
        <v>1.87012</v>
      </c>
      <c r="ER26">
        <v>1.8693500000000001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-0.48599999999999999</v>
      </c>
      <c r="FG26">
        <v>0.15140000000000001</v>
      </c>
      <c r="FH26">
        <v>5.0310448532705943E-2</v>
      </c>
      <c r="FI26">
        <v>-6.1462078757559423E-4</v>
      </c>
      <c r="FJ26">
        <v>-1.8861989874597051E-7</v>
      </c>
      <c r="FK26">
        <v>1.1980462299894961E-10</v>
      </c>
      <c r="FL26">
        <v>0.15140825623214971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7</v>
      </c>
      <c r="FU26">
        <v>6.9</v>
      </c>
      <c r="FV26">
        <v>1.79321</v>
      </c>
      <c r="FW26">
        <v>2.5756800000000002</v>
      </c>
      <c r="FX26">
        <v>1.5490699999999999</v>
      </c>
      <c r="FY26">
        <v>2.3315399999999999</v>
      </c>
      <c r="FZ26">
        <v>1.50146</v>
      </c>
      <c r="GA26">
        <v>2.35229</v>
      </c>
      <c r="GB26">
        <v>32.8202</v>
      </c>
      <c r="GC26">
        <v>23.877400000000002</v>
      </c>
      <c r="GD26">
        <v>19</v>
      </c>
      <c r="GE26">
        <v>279.94400000000002</v>
      </c>
      <c r="GF26">
        <v>608.04899999999998</v>
      </c>
      <c r="GG26">
        <v>20.598199999999999</v>
      </c>
      <c r="GH26">
        <v>26.087499999999999</v>
      </c>
      <c r="GI26">
        <v>29.999600000000001</v>
      </c>
      <c r="GJ26">
        <v>26.129799999999999</v>
      </c>
      <c r="GK26">
        <v>26.1069</v>
      </c>
      <c r="GL26">
        <v>35.866999999999997</v>
      </c>
      <c r="GM26">
        <v>25.420999999999999</v>
      </c>
      <c r="GN26">
        <v>91.878200000000007</v>
      </c>
      <c r="GO26">
        <v>20.601099999999999</v>
      </c>
      <c r="GP26">
        <v>800</v>
      </c>
      <c r="GQ26">
        <v>19.1814</v>
      </c>
      <c r="GR26">
        <v>99.7376</v>
      </c>
      <c r="GS26">
        <v>99.530600000000007</v>
      </c>
    </row>
    <row r="27" spans="1:201" x14ac:dyDescent="0.25">
      <c r="A27">
        <v>11</v>
      </c>
      <c r="B27">
        <v>1690292499.5999999</v>
      </c>
      <c r="C27">
        <v>229</v>
      </c>
      <c r="D27" t="s">
        <v>355</v>
      </c>
      <c r="E27" t="s">
        <v>356</v>
      </c>
      <c r="F27" t="s">
        <v>330</v>
      </c>
      <c r="H27">
        <v>1690292499.5999999</v>
      </c>
      <c r="I27">
        <f t="shared" si="0"/>
        <v>3.4267552036301409E-4</v>
      </c>
      <c r="J27">
        <f t="shared" si="1"/>
        <v>0.34267552036301407</v>
      </c>
      <c r="K27">
        <f t="shared" si="2"/>
        <v>3.4024391787074983</v>
      </c>
      <c r="L27">
        <f t="shared" si="3"/>
        <v>763.44299999999998</v>
      </c>
      <c r="M27">
        <f t="shared" si="4"/>
        <v>471.37946897047595</v>
      </c>
      <c r="N27">
        <f t="shared" si="5"/>
        <v>46.879518901151997</v>
      </c>
      <c r="O27">
        <f t="shared" si="6"/>
        <v>75.925751765598889</v>
      </c>
      <c r="P27">
        <f t="shared" si="7"/>
        <v>1.9881027414751496E-2</v>
      </c>
      <c r="Q27">
        <f t="shared" si="8"/>
        <v>2.2678447844951428</v>
      </c>
      <c r="R27">
        <f t="shared" si="9"/>
        <v>1.9784707952519992E-2</v>
      </c>
      <c r="S27">
        <f t="shared" si="10"/>
        <v>1.2374057390949524E-2</v>
      </c>
      <c r="T27">
        <f t="shared" si="11"/>
        <v>276.11004028129685</v>
      </c>
      <c r="U27">
        <f t="shared" si="12"/>
        <v>28.498281660931752</v>
      </c>
      <c r="V27">
        <f t="shared" si="13"/>
        <v>28.498281660931752</v>
      </c>
      <c r="W27">
        <f t="shared" si="14"/>
        <v>3.9064794058404915</v>
      </c>
      <c r="X27">
        <f t="shared" si="15"/>
        <v>64.188396398852817</v>
      </c>
      <c r="Y27">
        <f t="shared" si="16"/>
        <v>2.2371574477622702</v>
      </c>
      <c r="Z27">
        <f t="shared" si="17"/>
        <v>3.4852988597207779</v>
      </c>
      <c r="AA27">
        <f t="shared" si="18"/>
        <v>1.6693219580782213</v>
      </c>
      <c r="AB27">
        <f t="shared" si="19"/>
        <v>-15.111990448008921</v>
      </c>
      <c r="AC27">
        <f t="shared" si="20"/>
        <v>-238.41265143359817</v>
      </c>
      <c r="AD27">
        <f t="shared" si="21"/>
        <v>-22.806894671960361</v>
      </c>
      <c r="AE27">
        <f t="shared" si="22"/>
        <v>-0.22149627227059909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53013.854012166179</v>
      </c>
      <c r="AK27">
        <f t="shared" si="26"/>
        <v>1799.97</v>
      </c>
      <c r="AL27">
        <f t="shared" si="27"/>
        <v>1499.0875439911799</v>
      </c>
      <c r="AM27">
        <f t="shared" si="28"/>
        <v>0.83284029399999993</v>
      </c>
      <c r="AN27">
        <f t="shared" si="29"/>
        <v>0.15339702344000003</v>
      </c>
      <c r="AO27">
        <v>30</v>
      </c>
      <c r="AP27">
        <v>0.5</v>
      </c>
      <c r="AQ27" t="s">
        <v>331</v>
      </c>
      <c r="AR27">
        <v>2</v>
      </c>
      <c r="AS27">
        <v>1690292499.5999999</v>
      </c>
      <c r="AT27">
        <v>763.44299999999998</v>
      </c>
      <c r="AU27">
        <v>800.07399999999996</v>
      </c>
      <c r="AV27">
        <v>22.494900000000001</v>
      </c>
      <c r="AW27">
        <v>19.146100000000001</v>
      </c>
      <c r="AX27">
        <v>763.91899999999998</v>
      </c>
      <c r="AY27">
        <v>22.343499999999999</v>
      </c>
      <c r="AZ27">
        <v>300.07799999999997</v>
      </c>
      <c r="BA27">
        <v>99.351799999999997</v>
      </c>
      <c r="BB27">
        <v>9.9962300000000004E-2</v>
      </c>
      <c r="BC27">
        <v>26.548300000000001</v>
      </c>
      <c r="BD27">
        <v>28.7807</v>
      </c>
      <c r="BE27">
        <v>27.986000000000001</v>
      </c>
      <c r="BF27">
        <v>0</v>
      </c>
      <c r="BG27">
        <v>0</v>
      </c>
      <c r="BH27">
        <v>10079.4</v>
      </c>
      <c r="BI27">
        <v>1084.79</v>
      </c>
      <c r="BJ27">
        <v>1.7380500000000001</v>
      </c>
      <c r="BK27">
        <v>-36.6312</v>
      </c>
      <c r="BL27">
        <v>781.01199999999994</v>
      </c>
      <c r="BM27">
        <v>815.69200000000001</v>
      </c>
      <c r="BN27">
        <v>3.3487200000000001</v>
      </c>
      <c r="BO27">
        <v>800.07399999999996</v>
      </c>
      <c r="BP27">
        <v>19.146100000000001</v>
      </c>
      <c r="BQ27">
        <v>2.2349100000000002</v>
      </c>
      <c r="BR27">
        <v>1.9021999999999999</v>
      </c>
      <c r="BS27">
        <v>19.214700000000001</v>
      </c>
      <c r="BT27">
        <v>16.652999999999999</v>
      </c>
      <c r="BU27">
        <v>1799.97</v>
      </c>
      <c r="BV27">
        <v>0.91000800000000004</v>
      </c>
      <c r="BW27">
        <v>3.3994900000000002E-2</v>
      </c>
      <c r="BX27">
        <v>2.19962E-2</v>
      </c>
      <c r="BY27">
        <v>3.4000599999999999E-2</v>
      </c>
      <c r="BZ27">
        <v>25.666699999999999</v>
      </c>
      <c r="CA27">
        <v>33527.800000000003</v>
      </c>
      <c r="CB27">
        <v>1690292073.5</v>
      </c>
      <c r="CC27" t="s">
        <v>332</v>
      </c>
      <c r="CD27">
        <v>1690292069.5</v>
      </c>
      <c r="CE27">
        <v>1690292073.5</v>
      </c>
      <c r="CF27">
        <v>4</v>
      </c>
      <c r="CG27">
        <v>-3.6999999999999998E-2</v>
      </c>
      <c r="CH27">
        <v>-1.6E-2</v>
      </c>
      <c r="CI27">
        <v>-0.45200000000000001</v>
      </c>
      <c r="CJ27">
        <v>0.108</v>
      </c>
      <c r="CK27">
        <v>730</v>
      </c>
      <c r="CL27">
        <v>18</v>
      </c>
      <c r="CM27">
        <v>0</v>
      </c>
      <c r="CN27">
        <v>0.01</v>
      </c>
      <c r="CO27">
        <v>-20.98966463414634</v>
      </c>
      <c r="CP27">
        <v>-78.128936445993006</v>
      </c>
      <c r="CQ27">
        <v>7.7185439132533267</v>
      </c>
      <c r="CR27">
        <v>-1</v>
      </c>
      <c r="CS27">
        <v>3.9935473170731708</v>
      </c>
      <c r="CT27">
        <v>-2.977824878048775</v>
      </c>
      <c r="CU27">
        <v>0.29778730687640859</v>
      </c>
      <c r="CV27">
        <v>-1</v>
      </c>
      <c r="CW27">
        <v>0</v>
      </c>
      <c r="CX27">
        <v>0</v>
      </c>
      <c r="CY27" t="s">
        <v>333</v>
      </c>
      <c r="CZ27">
        <v>2.3642099999999999</v>
      </c>
      <c r="DA27">
        <v>2.7138200000000001</v>
      </c>
      <c r="DB27">
        <v>0.14271300000000001</v>
      </c>
      <c r="DC27">
        <v>0.14683099999999999</v>
      </c>
      <c r="DD27">
        <v>0.10926900000000001</v>
      </c>
      <c r="DE27">
        <v>9.5987799999999998E-2</v>
      </c>
      <c r="DF27">
        <v>31304.5</v>
      </c>
      <c r="DG27">
        <v>27489.8</v>
      </c>
      <c r="DH27">
        <v>31172.799999999999</v>
      </c>
      <c r="DI27">
        <v>28075</v>
      </c>
      <c r="DJ27">
        <v>37698.1</v>
      </c>
      <c r="DK27">
        <v>36080.9</v>
      </c>
      <c r="DL27">
        <v>44361.2</v>
      </c>
      <c r="DM27">
        <v>42543.7</v>
      </c>
      <c r="DN27">
        <v>1.4713000000000001</v>
      </c>
      <c r="DO27">
        <v>2.0685500000000001</v>
      </c>
      <c r="DP27">
        <v>0.16986599999999999</v>
      </c>
      <c r="DQ27">
        <v>0.13114500000000001</v>
      </c>
      <c r="DR27">
        <v>26.0045</v>
      </c>
      <c r="DS27">
        <v>25.840900000000001</v>
      </c>
      <c r="DT27">
        <v>58.7</v>
      </c>
      <c r="DU27">
        <v>28.2</v>
      </c>
      <c r="DV27">
        <v>22.683700000000002</v>
      </c>
      <c r="DW27">
        <v>61.903399999999998</v>
      </c>
      <c r="DX27">
        <v>34.927900000000001</v>
      </c>
      <c r="DY27">
        <v>1</v>
      </c>
      <c r="DZ27">
        <v>-8.6321099999999998E-2</v>
      </c>
      <c r="EA27">
        <v>7.0679800000000004</v>
      </c>
      <c r="EB27">
        <v>19.997</v>
      </c>
      <c r="EC27">
        <v>5.2411000000000003</v>
      </c>
      <c r="ED27">
        <v>12.039899999999999</v>
      </c>
      <c r="EE27">
        <v>5.01715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1.8688499999999999</v>
      </c>
      <c r="EL27">
        <v>1.86456</v>
      </c>
      <c r="EM27">
        <v>1.8691599999999999</v>
      </c>
      <c r="EN27">
        <v>1.8671800000000001</v>
      </c>
      <c r="EO27">
        <v>1.8633200000000001</v>
      </c>
      <c r="EP27">
        <v>1.8644400000000001</v>
      </c>
      <c r="EQ27">
        <v>1.8701300000000001</v>
      </c>
      <c r="ER27">
        <v>1.8693500000000001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-0.47599999999999998</v>
      </c>
      <c r="FG27">
        <v>0.15140000000000001</v>
      </c>
      <c r="FH27">
        <v>5.0310448532705943E-2</v>
      </c>
      <c r="FI27">
        <v>-6.1462078757559423E-4</v>
      </c>
      <c r="FJ27">
        <v>-1.8861989874597051E-7</v>
      </c>
      <c r="FK27">
        <v>1.1980462299894961E-10</v>
      </c>
      <c r="FL27">
        <v>0.15140825623214971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7.2</v>
      </c>
      <c r="FU27">
        <v>7.1</v>
      </c>
      <c r="FV27">
        <v>1.79321</v>
      </c>
      <c r="FW27">
        <v>2.5769000000000002</v>
      </c>
      <c r="FX27">
        <v>1.5490699999999999</v>
      </c>
      <c r="FY27">
        <v>2.3315399999999999</v>
      </c>
      <c r="FZ27">
        <v>1.50146</v>
      </c>
      <c r="GA27">
        <v>2.3742700000000001</v>
      </c>
      <c r="GB27">
        <v>32.842399999999998</v>
      </c>
      <c r="GC27">
        <v>23.973700000000001</v>
      </c>
      <c r="GD27">
        <v>19</v>
      </c>
      <c r="GE27">
        <v>279.82</v>
      </c>
      <c r="GF27">
        <v>607.5</v>
      </c>
      <c r="GG27">
        <v>19.469799999999999</v>
      </c>
      <c r="GH27">
        <v>26.101199999999999</v>
      </c>
      <c r="GI27">
        <v>29.999400000000001</v>
      </c>
      <c r="GJ27">
        <v>26.128</v>
      </c>
      <c r="GK27">
        <v>26.109000000000002</v>
      </c>
      <c r="GL27">
        <v>35.860700000000001</v>
      </c>
      <c r="GM27">
        <v>26.608000000000001</v>
      </c>
      <c r="GN27">
        <v>91.878200000000007</v>
      </c>
      <c r="GO27">
        <v>21.189</v>
      </c>
      <c r="GP27">
        <v>800</v>
      </c>
      <c r="GQ27">
        <v>18.918099999999999</v>
      </c>
      <c r="GR27">
        <v>99.738699999999994</v>
      </c>
      <c r="GS27">
        <v>99.532200000000003</v>
      </c>
    </row>
    <row r="28" spans="1:201" x14ac:dyDescent="0.25">
      <c r="A28">
        <v>12</v>
      </c>
      <c r="B28">
        <v>1690292509.5999999</v>
      </c>
      <c r="C28">
        <v>239</v>
      </c>
      <c r="D28" t="s">
        <v>357</v>
      </c>
      <c r="E28" t="s">
        <v>358</v>
      </c>
      <c r="F28" t="s">
        <v>330</v>
      </c>
      <c r="H28">
        <v>1690292509.5999999</v>
      </c>
      <c r="I28">
        <f t="shared" si="0"/>
        <v>3.7528768868819135E-4</v>
      </c>
      <c r="J28">
        <f t="shared" si="1"/>
        <v>0.37528768868819135</v>
      </c>
      <c r="K28">
        <f t="shared" si="2"/>
        <v>4.9680788560485469</v>
      </c>
      <c r="L28">
        <f t="shared" si="3"/>
        <v>747.471</v>
      </c>
      <c r="M28">
        <f t="shared" si="4"/>
        <v>374.02294858251292</v>
      </c>
      <c r="N28">
        <f t="shared" si="5"/>
        <v>37.197915628342606</v>
      </c>
      <c r="O28">
        <f t="shared" si="6"/>
        <v>74.338655684114997</v>
      </c>
      <c r="P28">
        <f t="shared" si="7"/>
        <v>2.2290996853351151E-2</v>
      </c>
      <c r="Q28">
        <f t="shared" si="8"/>
        <v>2.2579066061023996</v>
      </c>
      <c r="R28">
        <f t="shared" si="9"/>
        <v>2.2169457669915786E-2</v>
      </c>
      <c r="S28">
        <f t="shared" si="10"/>
        <v>1.3866775505490614E-2</v>
      </c>
      <c r="T28">
        <f t="shared" si="11"/>
        <v>276.11026039962815</v>
      </c>
      <c r="U28">
        <f t="shared" si="12"/>
        <v>28.323922914777803</v>
      </c>
      <c r="V28">
        <f t="shared" si="13"/>
        <v>28.323922914777803</v>
      </c>
      <c r="W28">
        <f t="shared" si="14"/>
        <v>3.8670929302503652</v>
      </c>
      <c r="X28">
        <f t="shared" si="15"/>
        <v>64.784261299329344</v>
      </c>
      <c r="Y28">
        <f t="shared" si="16"/>
        <v>2.235179091949</v>
      </c>
      <c r="Z28">
        <f t="shared" si="17"/>
        <v>3.4501884363882356</v>
      </c>
      <c r="AA28">
        <f t="shared" si="18"/>
        <v>1.6319138383013652</v>
      </c>
      <c r="AB28">
        <f t="shared" si="19"/>
        <v>-16.550187071149239</v>
      </c>
      <c r="AC28">
        <f t="shared" si="20"/>
        <v>-237.04423192046744</v>
      </c>
      <c r="AD28">
        <f t="shared" si="21"/>
        <v>-22.736480170437009</v>
      </c>
      <c r="AE28">
        <f t="shared" si="22"/>
        <v>-0.22063876242555125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52654.256617656247</v>
      </c>
      <c r="AK28">
        <f t="shared" si="26"/>
        <v>1799.97</v>
      </c>
      <c r="AL28">
        <f t="shared" si="27"/>
        <v>1499.0868672024601</v>
      </c>
      <c r="AM28">
        <f t="shared" si="28"/>
        <v>0.83283991800000001</v>
      </c>
      <c r="AN28">
        <f t="shared" si="29"/>
        <v>0.15339714573000002</v>
      </c>
      <c r="AO28">
        <v>30</v>
      </c>
      <c r="AP28">
        <v>0.5</v>
      </c>
      <c r="AQ28" t="s">
        <v>331</v>
      </c>
      <c r="AR28">
        <v>2</v>
      </c>
      <c r="AS28">
        <v>1690292509.5999999</v>
      </c>
      <c r="AT28">
        <v>747.471</v>
      </c>
      <c r="AU28">
        <v>799.91499999999996</v>
      </c>
      <c r="AV28">
        <v>22.474599999999999</v>
      </c>
      <c r="AW28">
        <v>18.809000000000001</v>
      </c>
      <c r="AX28">
        <v>747.93600000000004</v>
      </c>
      <c r="AY28">
        <v>22.3232</v>
      </c>
      <c r="AZ28">
        <v>300.24</v>
      </c>
      <c r="BA28">
        <v>99.353399999999993</v>
      </c>
      <c r="BB28">
        <v>0.100165</v>
      </c>
      <c r="BC28">
        <v>26.3766</v>
      </c>
      <c r="BD28">
        <v>28.593499999999999</v>
      </c>
      <c r="BE28">
        <v>27.746700000000001</v>
      </c>
      <c r="BF28">
        <v>0</v>
      </c>
      <c r="BG28">
        <v>0</v>
      </c>
      <c r="BH28">
        <v>10001.9</v>
      </c>
      <c r="BI28">
        <v>1083.71</v>
      </c>
      <c r="BJ28">
        <v>1.7380500000000001</v>
      </c>
      <c r="BK28">
        <v>-52.443199999999997</v>
      </c>
      <c r="BL28">
        <v>764.65700000000004</v>
      </c>
      <c r="BM28">
        <v>815.24900000000002</v>
      </c>
      <c r="BN28">
        <v>3.6656499999999999</v>
      </c>
      <c r="BO28">
        <v>799.91499999999996</v>
      </c>
      <c r="BP28">
        <v>18.809000000000001</v>
      </c>
      <c r="BQ28">
        <v>2.2329300000000001</v>
      </c>
      <c r="BR28">
        <v>1.8687400000000001</v>
      </c>
      <c r="BS28">
        <v>19.200600000000001</v>
      </c>
      <c r="BT28">
        <v>16.373899999999999</v>
      </c>
      <c r="BU28">
        <v>1799.97</v>
      </c>
      <c r="BV28">
        <v>0.91000700000000001</v>
      </c>
      <c r="BW28">
        <v>3.4005300000000002E-2</v>
      </c>
      <c r="BX28">
        <v>2.19969E-2</v>
      </c>
      <c r="BY28">
        <v>3.3990699999999999E-2</v>
      </c>
      <c r="BZ28">
        <v>25.041699999999999</v>
      </c>
      <c r="CA28">
        <v>33527.9</v>
      </c>
      <c r="CB28">
        <v>1690292073.5</v>
      </c>
      <c r="CC28" t="s">
        <v>332</v>
      </c>
      <c r="CD28">
        <v>1690292069.5</v>
      </c>
      <c r="CE28">
        <v>1690292073.5</v>
      </c>
      <c r="CF28">
        <v>4</v>
      </c>
      <c r="CG28">
        <v>-3.6999999999999998E-2</v>
      </c>
      <c r="CH28">
        <v>-1.6E-2</v>
      </c>
      <c r="CI28">
        <v>-0.45200000000000001</v>
      </c>
      <c r="CJ28">
        <v>0.108</v>
      </c>
      <c r="CK28">
        <v>730</v>
      </c>
      <c r="CL28">
        <v>18</v>
      </c>
      <c r="CM28">
        <v>0</v>
      </c>
      <c r="CN28">
        <v>0.01</v>
      </c>
      <c r="CO28">
        <v>-36.374812499999997</v>
      </c>
      <c r="CP28">
        <v>-93.075326454033757</v>
      </c>
      <c r="CQ28">
        <v>8.9550302907971098</v>
      </c>
      <c r="CR28">
        <v>-1</v>
      </c>
      <c r="CS28">
        <v>3.53758675</v>
      </c>
      <c r="CT28">
        <v>-1.6847372983114499</v>
      </c>
      <c r="CU28">
        <v>0.22377795487254221</v>
      </c>
      <c r="CV28">
        <v>-1</v>
      </c>
      <c r="CW28">
        <v>0</v>
      </c>
      <c r="CX28">
        <v>0</v>
      </c>
      <c r="CY28" t="s">
        <v>333</v>
      </c>
      <c r="CZ28">
        <v>2.3647100000000001</v>
      </c>
      <c r="DA28">
        <v>2.7139600000000002</v>
      </c>
      <c r="DB28">
        <v>0.14069000000000001</v>
      </c>
      <c r="DC28">
        <v>0.14680599999999999</v>
      </c>
      <c r="DD28">
        <v>0.109197</v>
      </c>
      <c r="DE28">
        <v>9.4779000000000002E-2</v>
      </c>
      <c r="DF28">
        <v>31380.5</v>
      </c>
      <c r="DG28">
        <v>27492.9</v>
      </c>
      <c r="DH28">
        <v>31174.9</v>
      </c>
      <c r="DI28">
        <v>28077.4</v>
      </c>
      <c r="DJ28">
        <v>37703.1</v>
      </c>
      <c r="DK28">
        <v>36132.6</v>
      </c>
      <c r="DL28">
        <v>44363.7</v>
      </c>
      <c r="DM28">
        <v>42547.6</v>
      </c>
      <c r="DN28">
        <v>1.4763500000000001</v>
      </c>
      <c r="DO28">
        <v>2.0682499999999999</v>
      </c>
      <c r="DP28">
        <v>0.15851100000000001</v>
      </c>
      <c r="DQ28">
        <v>0.120781</v>
      </c>
      <c r="DR28">
        <v>26.002400000000002</v>
      </c>
      <c r="DS28">
        <v>25.770700000000001</v>
      </c>
      <c r="DT28">
        <v>58.7</v>
      </c>
      <c r="DU28">
        <v>28.2</v>
      </c>
      <c r="DV28">
        <v>22.6877</v>
      </c>
      <c r="DW28">
        <v>62.133400000000002</v>
      </c>
      <c r="DX28">
        <v>34.707500000000003</v>
      </c>
      <c r="DY28">
        <v>1</v>
      </c>
      <c r="DZ28">
        <v>-0.103425</v>
      </c>
      <c r="EA28">
        <v>4.11531</v>
      </c>
      <c r="EB28">
        <v>20.124700000000001</v>
      </c>
      <c r="EC28">
        <v>5.2411000000000003</v>
      </c>
      <c r="ED28">
        <v>12.039899999999999</v>
      </c>
      <c r="EE28">
        <v>5.0171999999999999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1.8688899999999999</v>
      </c>
      <c r="EL28">
        <v>1.8645799999999999</v>
      </c>
      <c r="EM28">
        <v>1.8691599999999999</v>
      </c>
      <c r="EN28">
        <v>1.8672200000000001</v>
      </c>
      <c r="EO28">
        <v>1.8633500000000001</v>
      </c>
      <c r="EP28">
        <v>1.8644499999999999</v>
      </c>
      <c r="EQ28">
        <v>1.8701300000000001</v>
      </c>
      <c r="ER28">
        <v>1.8693599999999999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-0.46500000000000002</v>
      </c>
      <c r="FG28">
        <v>0.15140000000000001</v>
      </c>
      <c r="FH28">
        <v>5.0310448532705943E-2</v>
      </c>
      <c r="FI28">
        <v>-6.1462078757559423E-4</v>
      </c>
      <c r="FJ28">
        <v>-1.8861989874597051E-7</v>
      </c>
      <c r="FK28">
        <v>1.1980462299894961E-10</v>
      </c>
      <c r="FL28">
        <v>0.15140825623214971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7.3</v>
      </c>
      <c r="FU28">
        <v>7.3</v>
      </c>
      <c r="FV28">
        <v>1.79321</v>
      </c>
      <c r="FW28">
        <v>2.5744600000000002</v>
      </c>
      <c r="FX28">
        <v>1.5490699999999999</v>
      </c>
      <c r="FY28">
        <v>2.3315399999999999</v>
      </c>
      <c r="FZ28">
        <v>1.50146</v>
      </c>
      <c r="GA28">
        <v>2.4060100000000002</v>
      </c>
      <c r="GB28">
        <v>32.842399999999998</v>
      </c>
      <c r="GC28">
        <v>23.947399999999998</v>
      </c>
      <c r="GD28">
        <v>19</v>
      </c>
      <c r="GE28">
        <v>282.00799999999998</v>
      </c>
      <c r="GF28">
        <v>607.27200000000005</v>
      </c>
      <c r="GG28">
        <v>20.3141</v>
      </c>
      <c r="GH28">
        <v>26.118300000000001</v>
      </c>
      <c r="GI28">
        <v>29.995799999999999</v>
      </c>
      <c r="GJ28">
        <v>26.139399999999998</v>
      </c>
      <c r="GK28">
        <v>26.111499999999999</v>
      </c>
      <c r="GL28">
        <v>35.8611</v>
      </c>
      <c r="GM28">
        <v>26.815799999999999</v>
      </c>
      <c r="GN28">
        <v>91.878200000000007</v>
      </c>
      <c r="GO28">
        <v>20.018799999999999</v>
      </c>
      <c r="GP28">
        <v>800</v>
      </c>
      <c r="GQ28">
        <v>18.961200000000002</v>
      </c>
      <c r="GR28">
        <v>99.744900000000001</v>
      </c>
      <c r="GS28">
        <v>99.5411</v>
      </c>
    </row>
    <row r="29" spans="1:201" x14ac:dyDescent="0.25">
      <c r="A29">
        <v>13</v>
      </c>
      <c r="B29">
        <v>1690292519.5999999</v>
      </c>
      <c r="C29">
        <v>249</v>
      </c>
      <c r="D29" t="s">
        <v>359</v>
      </c>
      <c r="E29" t="s">
        <v>360</v>
      </c>
      <c r="F29" t="s">
        <v>330</v>
      </c>
      <c r="H29">
        <v>1690292519.5999999</v>
      </c>
      <c r="I29">
        <f t="shared" si="0"/>
        <v>3.8632253218240836E-4</v>
      </c>
      <c r="J29">
        <f t="shared" si="1"/>
        <v>0.38632253218240836</v>
      </c>
      <c r="K29">
        <f t="shared" si="2"/>
        <v>6.4560581978289644</v>
      </c>
      <c r="L29">
        <f t="shared" si="3"/>
        <v>732.65300000000002</v>
      </c>
      <c r="M29">
        <f t="shared" si="4"/>
        <v>277.03446745345383</v>
      </c>
      <c r="N29">
        <f t="shared" si="5"/>
        <v>27.550858099913295</v>
      </c>
      <c r="O29">
        <f t="shared" si="6"/>
        <v>72.861759856171005</v>
      </c>
      <c r="P29">
        <f t="shared" si="7"/>
        <v>2.3472357355530878E-2</v>
      </c>
      <c r="Q29">
        <f t="shared" si="8"/>
        <v>2.2539770947984636</v>
      </c>
      <c r="R29">
        <f t="shared" si="9"/>
        <v>2.3337402938453402E-2</v>
      </c>
      <c r="S29">
        <f t="shared" si="10"/>
        <v>1.4597937160774326E-2</v>
      </c>
      <c r="T29">
        <f t="shared" si="11"/>
        <v>276.1114479478353</v>
      </c>
      <c r="U29">
        <f t="shared" si="12"/>
        <v>28.216057182197677</v>
      </c>
      <c r="V29">
        <f t="shared" si="13"/>
        <v>28.216057182197677</v>
      </c>
      <c r="W29">
        <f t="shared" si="14"/>
        <v>3.8429006038595523</v>
      </c>
      <c r="X29">
        <f t="shared" si="15"/>
        <v>65.54278127018523</v>
      </c>
      <c r="Y29">
        <f t="shared" si="16"/>
        <v>2.2470448872442996</v>
      </c>
      <c r="Z29">
        <f t="shared" si="17"/>
        <v>3.4283636484411115</v>
      </c>
      <c r="AA29">
        <f t="shared" si="18"/>
        <v>1.5958557166152527</v>
      </c>
      <c r="AB29">
        <f t="shared" si="19"/>
        <v>-17.03682366924421</v>
      </c>
      <c r="AC29">
        <f t="shared" si="20"/>
        <v>-236.58725330764966</v>
      </c>
      <c r="AD29">
        <f t="shared" si="21"/>
        <v>-22.707768661293521</v>
      </c>
      <c r="AE29">
        <f t="shared" si="22"/>
        <v>-0.22039769035208678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52519.257928458057</v>
      </c>
      <c r="AK29">
        <f t="shared" si="26"/>
        <v>1799.97</v>
      </c>
      <c r="AL29">
        <f t="shared" si="27"/>
        <v>1499.0864460094799</v>
      </c>
      <c r="AM29">
        <f t="shared" si="28"/>
        <v>0.83283968399999997</v>
      </c>
      <c r="AN29">
        <f t="shared" si="29"/>
        <v>0.15339780549000001</v>
      </c>
      <c r="AO29">
        <v>30</v>
      </c>
      <c r="AP29">
        <v>0.5</v>
      </c>
      <c r="AQ29" t="s">
        <v>331</v>
      </c>
      <c r="AR29">
        <v>2</v>
      </c>
      <c r="AS29">
        <v>1690292519.5999999</v>
      </c>
      <c r="AT29">
        <v>732.65300000000002</v>
      </c>
      <c r="AU29">
        <v>800.01300000000003</v>
      </c>
      <c r="AV29">
        <v>22.594899999999999</v>
      </c>
      <c r="AW29">
        <v>18.820699999999999</v>
      </c>
      <c r="AX29">
        <v>733.10799999999995</v>
      </c>
      <c r="AY29">
        <v>22.4435</v>
      </c>
      <c r="AZ29">
        <v>300.13799999999998</v>
      </c>
      <c r="BA29">
        <v>99.349199999999996</v>
      </c>
      <c r="BB29">
        <v>0.100007</v>
      </c>
      <c r="BC29">
        <v>26.269100000000002</v>
      </c>
      <c r="BD29">
        <v>28.413</v>
      </c>
      <c r="BE29">
        <v>27.610399999999998</v>
      </c>
      <c r="BF29">
        <v>0</v>
      </c>
      <c r="BG29">
        <v>0</v>
      </c>
      <c r="BH29">
        <v>9971.8799999999992</v>
      </c>
      <c r="BI29">
        <v>1082.6300000000001</v>
      </c>
      <c r="BJ29">
        <v>1.62592</v>
      </c>
      <c r="BK29">
        <v>-67.359899999999996</v>
      </c>
      <c r="BL29">
        <v>749.59</v>
      </c>
      <c r="BM29">
        <v>815.35900000000004</v>
      </c>
      <c r="BN29">
        <v>3.7742</v>
      </c>
      <c r="BO29">
        <v>800.01300000000003</v>
      </c>
      <c r="BP29">
        <v>18.820699999999999</v>
      </c>
      <c r="BQ29">
        <v>2.2447900000000001</v>
      </c>
      <c r="BR29">
        <v>1.86982</v>
      </c>
      <c r="BS29">
        <v>19.285599999999999</v>
      </c>
      <c r="BT29">
        <v>16.383099999999999</v>
      </c>
      <c r="BU29">
        <v>1799.97</v>
      </c>
      <c r="BV29">
        <v>0.90998699999999999</v>
      </c>
      <c r="BW29">
        <v>3.3995699999999997E-2</v>
      </c>
      <c r="BX29">
        <v>2.2004699999999999E-2</v>
      </c>
      <c r="BY29">
        <v>3.40127E-2</v>
      </c>
      <c r="BZ29">
        <v>25</v>
      </c>
      <c r="CA29">
        <v>33527.800000000003</v>
      </c>
      <c r="CB29">
        <v>1690292073.5</v>
      </c>
      <c r="CC29" t="s">
        <v>332</v>
      </c>
      <c r="CD29">
        <v>1690292069.5</v>
      </c>
      <c r="CE29">
        <v>1690292073.5</v>
      </c>
      <c r="CF29">
        <v>4</v>
      </c>
      <c r="CG29">
        <v>-3.6999999999999998E-2</v>
      </c>
      <c r="CH29">
        <v>-1.6E-2</v>
      </c>
      <c r="CI29">
        <v>-0.45200000000000001</v>
      </c>
      <c r="CJ29">
        <v>0.108</v>
      </c>
      <c r="CK29">
        <v>730</v>
      </c>
      <c r="CL29">
        <v>18</v>
      </c>
      <c r="CM29">
        <v>0</v>
      </c>
      <c r="CN29">
        <v>0.01</v>
      </c>
      <c r="CO29">
        <v>-51.922817499999987</v>
      </c>
      <c r="CP29">
        <v>-92.849409005628473</v>
      </c>
      <c r="CQ29">
        <v>8.9326862900777932</v>
      </c>
      <c r="CR29">
        <v>-1</v>
      </c>
      <c r="CS29">
        <v>3.5784145000000001</v>
      </c>
      <c r="CT29">
        <v>2.1296100562851761</v>
      </c>
      <c r="CU29">
        <v>0.21801761200588821</v>
      </c>
      <c r="CV29">
        <v>-1</v>
      </c>
      <c r="CW29">
        <v>0</v>
      </c>
      <c r="CX29">
        <v>0</v>
      </c>
      <c r="CY29" t="s">
        <v>333</v>
      </c>
      <c r="CZ29">
        <v>2.3643800000000001</v>
      </c>
      <c r="DA29">
        <v>2.7137699999999998</v>
      </c>
      <c r="DB29">
        <v>0.13878699999999999</v>
      </c>
      <c r="DC29">
        <v>0.146809</v>
      </c>
      <c r="DD29">
        <v>0.10960399999999999</v>
      </c>
      <c r="DE29">
        <v>9.4815700000000003E-2</v>
      </c>
      <c r="DF29">
        <v>31448.9</v>
      </c>
      <c r="DG29">
        <v>27491.4</v>
      </c>
      <c r="DH29">
        <v>31174</v>
      </c>
      <c r="DI29">
        <v>28076</v>
      </c>
      <c r="DJ29">
        <v>37684.300000000003</v>
      </c>
      <c r="DK29">
        <v>36129</v>
      </c>
      <c r="DL29">
        <v>44362.2</v>
      </c>
      <c r="DM29">
        <v>42545.1</v>
      </c>
      <c r="DN29">
        <v>1.4733799999999999</v>
      </c>
      <c r="DO29">
        <v>2.0682499999999999</v>
      </c>
      <c r="DP29">
        <v>0.14843400000000001</v>
      </c>
      <c r="DQ29">
        <v>0.11704100000000001</v>
      </c>
      <c r="DR29">
        <v>25.9863</v>
      </c>
      <c r="DS29">
        <v>25.6952</v>
      </c>
      <c r="DT29">
        <v>58.7</v>
      </c>
      <c r="DU29">
        <v>28.2</v>
      </c>
      <c r="DV29">
        <v>22.6829</v>
      </c>
      <c r="DW29">
        <v>62.4833</v>
      </c>
      <c r="DX29">
        <v>34.126600000000003</v>
      </c>
      <c r="DY29">
        <v>1</v>
      </c>
      <c r="DZ29">
        <v>-9.4468999999999997E-2</v>
      </c>
      <c r="EA29">
        <v>5.4052600000000002</v>
      </c>
      <c r="EB29">
        <v>20.091799999999999</v>
      </c>
      <c r="EC29">
        <v>5.2409499999999998</v>
      </c>
      <c r="ED29">
        <v>12.039899999999999</v>
      </c>
      <c r="EE29">
        <v>5.0169499999999996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1.8688800000000001</v>
      </c>
      <c r="EL29">
        <v>1.86459</v>
      </c>
      <c r="EM29">
        <v>1.86917</v>
      </c>
      <c r="EN29">
        <v>1.8672</v>
      </c>
      <c r="EO29">
        <v>1.8633599999999999</v>
      </c>
      <c r="EP29">
        <v>1.86442</v>
      </c>
      <c r="EQ29">
        <v>1.87012</v>
      </c>
      <c r="ER29">
        <v>1.86937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-0.45500000000000002</v>
      </c>
      <c r="FG29">
        <v>0.15140000000000001</v>
      </c>
      <c r="FH29">
        <v>5.0310448532705943E-2</v>
      </c>
      <c r="FI29">
        <v>-6.1462078757559423E-4</v>
      </c>
      <c r="FJ29">
        <v>-1.8861989874597051E-7</v>
      </c>
      <c r="FK29">
        <v>1.1980462299894961E-10</v>
      </c>
      <c r="FL29">
        <v>0.15140825623214971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7.5</v>
      </c>
      <c r="FU29">
        <v>7.4</v>
      </c>
      <c r="FV29">
        <v>1.79321</v>
      </c>
      <c r="FW29">
        <v>2.5756800000000002</v>
      </c>
      <c r="FX29">
        <v>1.5490699999999999</v>
      </c>
      <c r="FY29">
        <v>2.3315399999999999</v>
      </c>
      <c r="FZ29">
        <v>1.50146</v>
      </c>
      <c r="GA29">
        <v>2.4145500000000002</v>
      </c>
      <c r="GB29">
        <v>32.864699999999999</v>
      </c>
      <c r="GC29">
        <v>23.956199999999999</v>
      </c>
      <c r="GD29">
        <v>19</v>
      </c>
      <c r="GE29">
        <v>280.80200000000002</v>
      </c>
      <c r="GF29">
        <v>607.33699999999999</v>
      </c>
      <c r="GG29">
        <v>19.779699999999998</v>
      </c>
      <c r="GH29">
        <v>26.135899999999999</v>
      </c>
      <c r="GI29">
        <v>30.002099999999999</v>
      </c>
      <c r="GJ29">
        <v>26.152000000000001</v>
      </c>
      <c r="GK29">
        <v>26.116900000000001</v>
      </c>
      <c r="GL29">
        <v>35.860100000000003</v>
      </c>
      <c r="GM29">
        <v>26.5152</v>
      </c>
      <c r="GN29">
        <v>91.878200000000007</v>
      </c>
      <c r="GO29">
        <v>19.8171</v>
      </c>
      <c r="GP29">
        <v>800</v>
      </c>
      <c r="GQ29">
        <v>18.710599999999999</v>
      </c>
      <c r="GR29">
        <v>99.741799999999998</v>
      </c>
      <c r="GS29">
        <v>99.535600000000002</v>
      </c>
    </row>
    <row r="30" spans="1:201" x14ac:dyDescent="0.25">
      <c r="A30">
        <v>14</v>
      </c>
      <c r="B30">
        <v>1690292529.5999999</v>
      </c>
      <c r="C30">
        <v>259</v>
      </c>
      <c r="D30" t="s">
        <v>361</v>
      </c>
      <c r="E30" t="s">
        <v>362</v>
      </c>
      <c r="F30" t="s">
        <v>330</v>
      </c>
      <c r="H30">
        <v>1690292529.5999999</v>
      </c>
      <c r="I30">
        <f t="shared" si="0"/>
        <v>3.7949665159188207E-4</v>
      </c>
      <c r="J30">
        <f t="shared" si="1"/>
        <v>0.37949665159188206</v>
      </c>
      <c r="K30">
        <f t="shared" si="2"/>
        <v>7.7833293011502596</v>
      </c>
      <c r="L30">
        <f t="shared" si="3"/>
        <v>719.54100000000005</v>
      </c>
      <c r="M30">
        <f t="shared" si="4"/>
        <v>171.52415649619164</v>
      </c>
      <c r="N30">
        <f t="shared" si="5"/>
        <v>17.057880110766288</v>
      </c>
      <c r="O30">
        <f t="shared" si="6"/>
        <v>71.557524977849994</v>
      </c>
      <c r="P30">
        <f t="shared" si="7"/>
        <v>2.333195655497821E-2</v>
      </c>
      <c r="Q30">
        <f t="shared" si="8"/>
        <v>2.2603330363265965</v>
      </c>
      <c r="R30">
        <f t="shared" si="9"/>
        <v>2.3198979495491184E-2</v>
      </c>
      <c r="S30">
        <f t="shared" si="10"/>
        <v>1.4511246354995008E-2</v>
      </c>
      <c r="T30">
        <f t="shared" si="11"/>
        <v>276.11245213777681</v>
      </c>
      <c r="U30">
        <f t="shared" si="12"/>
        <v>28.088631006922924</v>
      </c>
      <c r="V30">
        <f t="shared" si="13"/>
        <v>28.088631006922924</v>
      </c>
      <c r="W30">
        <f t="shared" si="14"/>
        <v>3.8144914231677864</v>
      </c>
      <c r="X30">
        <f t="shared" si="15"/>
        <v>65.738106682539566</v>
      </c>
      <c r="Y30">
        <f t="shared" si="16"/>
        <v>2.2371714949449997</v>
      </c>
      <c r="Z30">
        <f t="shared" si="17"/>
        <v>3.4031577844927585</v>
      </c>
      <c r="AA30">
        <f t="shared" si="18"/>
        <v>1.5773199282227868</v>
      </c>
      <c r="AB30">
        <f t="shared" si="19"/>
        <v>-16.735802335201999</v>
      </c>
      <c r="AC30">
        <f t="shared" si="20"/>
        <v>-236.94656323302732</v>
      </c>
      <c r="AD30">
        <f t="shared" si="21"/>
        <v>-22.649728410784082</v>
      </c>
      <c r="AE30">
        <f t="shared" si="22"/>
        <v>-0.21964184123660857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52790.212736587528</v>
      </c>
      <c r="AK30">
        <f t="shared" si="26"/>
        <v>1799.98</v>
      </c>
      <c r="AL30">
        <f t="shared" si="27"/>
        <v>1499.0932570231801</v>
      </c>
      <c r="AM30">
        <f t="shared" si="28"/>
        <v>0.83283884100000005</v>
      </c>
      <c r="AN30">
        <f t="shared" si="29"/>
        <v>0.15339751116</v>
      </c>
      <c r="AO30">
        <v>30</v>
      </c>
      <c r="AP30">
        <v>0.5</v>
      </c>
      <c r="AQ30" t="s">
        <v>331</v>
      </c>
      <c r="AR30">
        <v>2</v>
      </c>
      <c r="AS30">
        <v>1690292529.5999999</v>
      </c>
      <c r="AT30">
        <v>719.54100000000005</v>
      </c>
      <c r="AU30">
        <v>800.029</v>
      </c>
      <c r="AV30">
        <v>22.495699999999999</v>
      </c>
      <c r="AW30">
        <v>18.7896</v>
      </c>
      <c r="AX30">
        <v>719.98599999999999</v>
      </c>
      <c r="AY30">
        <v>22.3443</v>
      </c>
      <c r="AZ30">
        <v>300.28300000000002</v>
      </c>
      <c r="BA30">
        <v>99.348799999999997</v>
      </c>
      <c r="BB30">
        <v>0.10005</v>
      </c>
      <c r="BC30">
        <v>26.144200000000001</v>
      </c>
      <c r="BD30">
        <v>28.293800000000001</v>
      </c>
      <c r="BE30">
        <v>27.512599999999999</v>
      </c>
      <c r="BF30">
        <v>0</v>
      </c>
      <c r="BG30">
        <v>0</v>
      </c>
      <c r="BH30">
        <v>10021.200000000001</v>
      </c>
      <c r="BI30">
        <v>1081.19</v>
      </c>
      <c r="BJ30">
        <v>1.62592</v>
      </c>
      <c r="BK30">
        <v>-80.488500000000002</v>
      </c>
      <c r="BL30">
        <v>736.1</v>
      </c>
      <c r="BM30">
        <v>815.34900000000005</v>
      </c>
      <c r="BN30">
        <v>3.70614</v>
      </c>
      <c r="BO30">
        <v>800.029</v>
      </c>
      <c r="BP30">
        <v>18.7896</v>
      </c>
      <c r="BQ30">
        <v>2.2349199999999998</v>
      </c>
      <c r="BR30">
        <v>1.8667199999999999</v>
      </c>
      <c r="BS30">
        <v>19.2149</v>
      </c>
      <c r="BT30">
        <v>16.356999999999999</v>
      </c>
      <c r="BU30">
        <v>1799.98</v>
      </c>
      <c r="BV30">
        <v>0.90998900000000005</v>
      </c>
      <c r="BW30">
        <v>3.4007700000000002E-2</v>
      </c>
      <c r="BX30">
        <v>2.1999299999999999E-2</v>
      </c>
      <c r="BY30">
        <v>3.4004399999999997E-2</v>
      </c>
      <c r="BZ30">
        <v>25</v>
      </c>
      <c r="CA30">
        <v>33527.9</v>
      </c>
      <c r="CB30">
        <v>1690292073.5</v>
      </c>
      <c r="CC30" t="s">
        <v>332</v>
      </c>
      <c r="CD30">
        <v>1690292069.5</v>
      </c>
      <c r="CE30">
        <v>1690292073.5</v>
      </c>
      <c r="CF30">
        <v>4</v>
      </c>
      <c r="CG30">
        <v>-3.6999999999999998E-2</v>
      </c>
      <c r="CH30">
        <v>-1.6E-2</v>
      </c>
      <c r="CI30">
        <v>-0.45200000000000001</v>
      </c>
      <c r="CJ30">
        <v>0.108</v>
      </c>
      <c r="CK30">
        <v>730</v>
      </c>
      <c r="CL30">
        <v>18</v>
      </c>
      <c r="CM30">
        <v>0</v>
      </c>
      <c r="CN30">
        <v>0.01</v>
      </c>
      <c r="CO30">
        <v>-66.679064999999994</v>
      </c>
      <c r="CP30">
        <v>-84.183372607879861</v>
      </c>
      <c r="CQ30">
        <v>8.1018901203530884</v>
      </c>
      <c r="CR30">
        <v>-1</v>
      </c>
      <c r="CS30">
        <v>3.735468500000001</v>
      </c>
      <c r="CT30">
        <v>-0.37897328330206798</v>
      </c>
      <c r="CU30">
        <v>5.8830005122811252E-2</v>
      </c>
      <c r="CV30">
        <v>-1</v>
      </c>
      <c r="CW30">
        <v>0</v>
      </c>
      <c r="CX30">
        <v>0</v>
      </c>
      <c r="CY30" t="s">
        <v>333</v>
      </c>
      <c r="CZ30">
        <v>2.3648500000000001</v>
      </c>
      <c r="DA30">
        <v>2.7138599999999999</v>
      </c>
      <c r="DB30">
        <v>0.13709099999999999</v>
      </c>
      <c r="DC30">
        <v>0.146809</v>
      </c>
      <c r="DD30">
        <v>0.10926</v>
      </c>
      <c r="DE30">
        <v>9.4702599999999998E-2</v>
      </c>
      <c r="DF30">
        <v>31509.4</v>
      </c>
      <c r="DG30">
        <v>27489.7</v>
      </c>
      <c r="DH30">
        <v>31172.6</v>
      </c>
      <c r="DI30">
        <v>28074.400000000001</v>
      </c>
      <c r="DJ30">
        <v>37697.300000000003</v>
      </c>
      <c r="DK30">
        <v>36131.699999999997</v>
      </c>
      <c r="DL30">
        <v>44360.4</v>
      </c>
      <c r="DM30">
        <v>42542.9</v>
      </c>
      <c r="DN30">
        <v>1.4746699999999999</v>
      </c>
      <c r="DO30">
        <v>2.0675699999999999</v>
      </c>
      <c r="DP30">
        <v>0.14265600000000001</v>
      </c>
      <c r="DQ30">
        <v>0.115588</v>
      </c>
      <c r="DR30">
        <v>25.961200000000002</v>
      </c>
      <c r="DS30">
        <v>25.620899999999999</v>
      </c>
      <c r="DT30">
        <v>58.7</v>
      </c>
      <c r="DU30">
        <v>28.2</v>
      </c>
      <c r="DV30">
        <v>22.683700000000002</v>
      </c>
      <c r="DW30">
        <v>61.693300000000001</v>
      </c>
      <c r="DX30">
        <v>33.641800000000003</v>
      </c>
      <c r="DY30">
        <v>1</v>
      </c>
      <c r="DZ30">
        <v>-9.7891300000000001E-2</v>
      </c>
      <c r="EA30">
        <v>4.1370399999999998</v>
      </c>
      <c r="EB30">
        <v>20.134599999999999</v>
      </c>
      <c r="EC30">
        <v>5.2408000000000001</v>
      </c>
      <c r="ED30">
        <v>12.039899999999999</v>
      </c>
      <c r="EE30">
        <v>5.0170500000000002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1.8688800000000001</v>
      </c>
      <c r="EL30">
        <v>1.86459</v>
      </c>
      <c r="EM30">
        <v>1.86917</v>
      </c>
      <c r="EN30">
        <v>1.86721</v>
      </c>
      <c r="EO30">
        <v>1.86337</v>
      </c>
      <c r="EP30">
        <v>1.8644400000000001</v>
      </c>
      <c r="EQ30">
        <v>1.8701399999999999</v>
      </c>
      <c r="ER30">
        <v>1.8693500000000001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-0.44500000000000001</v>
      </c>
      <c r="FG30">
        <v>0.15140000000000001</v>
      </c>
      <c r="FH30">
        <v>5.0310448532705943E-2</v>
      </c>
      <c r="FI30">
        <v>-6.1462078757559423E-4</v>
      </c>
      <c r="FJ30">
        <v>-1.8861989874597051E-7</v>
      </c>
      <c r="FK30">
        <v>1.1980462299894961E-10</v>
      </c>
      <c r="FL30">
        <v>0.15140825623214971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7.7</v>
      </c>
      <c r="FU30">
        <v>7.6</v>
      </c>
      <c r="FV30">
        <v>1.79321</v>
      </c>
      <c r="FW30">
        <v>2.5866699999999998</v>
      </c>
      <c r="FX30">
        <v>1.5490699999999999</v>
      </c>
      <c r="FY30">
        <v>2.3315399999999999</v>
      </c>
      <c r="FZ30">
        <v>1.50146</v>
      </c>
      <c r="GA30">
        <v>2.3803700000000001</v>
      </c>
      <c r="GB30">
        <v>32.864699999999999</v>
      </c>
      <c r="GC30">
        <v>23.9649</v>
      </c>
      <c r="GD30">
        <v>19</v>
      </c>
      <c r="GE30">
        <v>281.38099999999997</v>
      </c>
      <c r="GF30">
        <v>606.82299999999998</v>
      </c>
      <c r="GG30">
        <v>19.803899999999999</v>
      </c>
      <c r="GH30">
        <v>26.152999999999999</v>
      </c>
      <c r="GI30">
        <v>29.998899999999999</v>
      </c>
      <c r="GJ30">
        <v>26.1584</v>
      </c>
      <c r="GK30">
        <v>26.1221</v>
      </c>
      <c r="GL30">
        <v>35.8596</v>
      </c>
      <c r="GM30">
        <v>27.801600000000001</v>
      </c>
      <c r="GN30">
        <v>91.878200000000007</v>
      </c>
      <c r="GO30">
        <v>19.8566</v>
      </c>
      <c r="GP30">
        <v>800</v>
      </c>
      <c r="GQ30">
        <v>18.590699999999998</v>
      </c>
      <c r="GR30">
        <v>99.7376</v>
      </c>
      <c r="GS30">
        <v>99.530199999999994</v>
      </c>
    </row>
    <row r="31" spans="1:201" x14ac:dyDescent="0.25">
      <c r="A31">
        <v>15</v>
      </c>
      <c r="B31">
        <v>1690292539.5999999</v>
      </c>
      <c r="C31">
        <v>269</v>
      </c>
      <c r="D31" t="s">
        <v>363</v>
      </c>
      <c r="E31" t="s">
        <v>364</v>
      </c>
      <c r="F31" t="s">
        <v>330</v>
      </c>
      <c r="H31">
        <v>1690292539.5999999</v>
      </c>
      <c r="I31">
        <f t="shared" si="0"/>
        <v>4.0389848697423728E-4</v>
      </c>
      <c r="J31">
        <f t="shared" si="1"/>
        <v>0.4038984869742373</v>
      </c>
      <c r="K31">
        <f t="shared" si="2"/>
        <v>8.988092565802468</v>
      </c>
      <c r="L31">
        <f t="shared" si="3"/>
        <v>707.32600000000002</v>
      </c>
      <c r="M31">
        <f t="shared" si="4"/>
        <v>126.09169947079923</v>
      </c>
      <c r="N31">
        <f t="shared" si="5"/>
        <v>12.539746757460389</v>
      </c>
      <c r="O31">
        <f t="shared" si="6"/>
        <v>70.343162572897995</v>
      </c>
      <c r="P31">
        <f t="shared" si="7"/>
        <v>2.5339649208553427E-2</v>
      </c>
      <c r="Q31">
        <f t="shared" si="8"/>
        <v>2.2621160180690976</v>
      </c>
      <c r="R31">
        <f t="shared" si="9"/>
        <v>2.5183008143932366E-2</v>
      </c>
      <c r="S31">
        <f t="shared" si="10"/>
        <v>1.5753372833266506E-2</v>
      </c>
      <c r="T31">
        <f t="shared" si="11"/>
        <v>276.11000921381452</v>
      </c>
      <c r="U31">
        <f t="shared" si="12"/>
        <v>27.993295349525631</v>
      </c>
      <c r="V31">
        <f t="shared" si="13"/>
        <v>27.993295349525631</v>
      </c>
      <c r="W31">
        <f t="shared" si="14"/>
        <v>3.7933566885872922</v>
      </c>
      <c r="X31">
        <f t="shared" si="15"/>
        <v>66.356762995011721</v>
      </c>
      <c r="Y31">
        <f t="shared" si="16"/>
        <v>2.2467713093582997</v>
      </c>
      <c r="Z31">
        <f t="shared" si="17"/>
        <v>3.3858964903504978</v>
      </c>
      <c r="AA31">
        <f t="shared" si="18"/>
        <v>1.5465853792289925</v>
      </c>
      <c r="AB31">
        <f t="shared" si="19"/>
        <v>-17.811923275563863</v>
      </c>
      <c r="AC31">
        <f t="shared" si="20"/>
        <v>-235.9949379828339</v>
      </c>
      <c r="AD31">
        <f t="shared" si="21"/>
        <v>-22.520556448937548</v>
      </c>
      <c r="AE31">
        <f t="shared" si="22"/>
        <v>-0.21740849352079294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52875.40694393454</v>
      </c>
      <c r="AK31">
        <f t="shared" si="26"/>
        <v>1799.97</v>
      </c>
      <c r="AL31">
        <f t="shared" si="27"/>
        <v>1499.0876591892597</v>
      </c>
      <c r="AM31">
        <f t="shared" si="28"/>
        <v>0.83284035799999989</v>
      </c>
      <c r="AN31">
        <f t="shared" si="29"/>
        <v>0.15339700617999996</v>
      </c>
      <c r="AO31">
        <v>30</v>
      </c>
      <c r="AP31">
        <v>0.5</v>
      </c>
      <c r="AQ31" t="s">
        <v>331</v>
      </c>
      <c r="AR31">
        <v>2</v>
      </c>
      <c r="AS31">
        <v>1690292539.5999999</v>
      </c>
      <c r="AT31">
        <v>707.32600000000002</v>
      </c>
      <c r="AU31">
        <v>799.96900000000005</v>
      </c>
      <c r="AV31">
        <v>22.592099999999999</v>
      </c>
      <c r="AW31">
        <v>18.648399999999999</v>
      </c>
      <c r="AX31">
        <v>707.76300000000003</v>
      </c>
      <c r="AY31">
        <v>22.4406</v>
      </c>
      <c r="AZ31">
        <v>300.30700000000002</v>
      </c>
      <c r="BA31">
        <v>99.349400000000003</v>
      </c>
      <c r="BB31">
        <v>0.100023</v>
      </c>
      <c r="BC31">
        <v>26.058199999999999</v>
      </c>
      <c r="BD31">
        <v>28.197099999999999</v>
      </c>
      <c r="BE31">
        <v>27.402000000000001</v>
      </c>
      <c r="BF31">
        <v>0</v>
      </c>
      <c r="BG31">
        <v>0</v>
      </c>
      <c r="BH31">
        <v>10035</v>
      </c>
      <c r="BI31">
        <v>1079.92</v>
      </c>
      <c r="BJ31">
        <v>1.7941199999999999</v>
      </c>
      <c r="BK31">
        <v>-92.642799999999994</v>
      </c>
      <c r="BL31">
        <v>723.67600000000004</v>
      </c>
      <c r="BM31">
        <v>815.17100000000005</v>
      </c>
      <c r="BN31">
        <v>3.9436399999999998</v>
      </c>
      <c r="BO31">
        <v>799.96900000000005</v>
      </c>
      <c r="BP31">
        <v>18.648399999999999</v>
      </c>
      <c r="BQ31">
        <v>2.24451</v>
      </c>
      <c r="BR31">
        <v>1.8527100000000001</v>
      </c>
      <c r="BS31">
        <v>19.2836</v>
      </c>
      <c r="BT31">
        <v>16.238700000000001</v>
      </c>
      <c r="BU31">
        <v>1799.97</v>
      </c>
      <c r="BV31">
        <v>0.91000899999999996</v>
      </c>
      <c r="BW31">
        <v>3.4000099999999998E-2</v>
      </c>
      <c r="BX31">
        <v>2.1994400000000001E-2</v>
      </c>
      <c r="BY31">
        <v>3.3996800000000001E-2</v>
      </c>
      <c r="BZ31">
        <v>25</v>
      </c>
      <c r="CA31">
        <v>33528</v>
      </c>
      <c r="CB31">
        <v>1690292073.5</v>
      </c>
      <c r="CC31" t="s">
        <v>332</v>
      </c>
      <c r="CD31">
        <v>1690292069.5</v>
      </c>
      <c r="CE31">
        <v>1690292073.5</v>
      </c>
      <c r="CF31">
        <v>4</v>
      </c>
      <c r="CG31">
        <v>-3.6999999999999998E-2</v>
      </c>
      <c r="CH31">
        <v>-1.6E-2</v>
      </c>
      <c r="CI31">
        <v>-0.45200000000000001</v>
      </c>
      <c r="CJ31">
        <v>0.108</v>
      </c>
      <c r="CK31">
        <v>730</v>
      </c>
      <c r="CL31">
        <v>18</v>
      </c>
      <c r="CM31">
        <v>0</v>
      </c>
      <c r="CN31">
        <v>0.01</v>
      </c>
      <c r="CO31">
        <v>-80.032695000000004</v>
      </c>
      <c r="CP31">
        <v>-76.266267917448332</v>
      </c>
      <c r="CQ31">
        <v>7.3383842331588918</v>
      </c>
      <c r="CR31">
        <v>-1</v>
      </c>
      <c r="CS31">
        <v>3.7597214999999999</v>
      </c>
      <c r="CT31">
        <v>0.74247647279549622</v>
      </c>
      <c r="CU31">
        <v>9.1347240996923373E-2</v>
      </c>
      <c r="CV31">
        <v>-1</v>
      </c>
      <c r="CW31">
        <v>0</v>
      </c>
      <c r="CX31">
        <v>0</v>
      </c>
      <c r="CY31" t="s">
        <v>333</v>
      </c>
      <c r="CZ31">
        <v>2.3649</v>
      </c>
      <c r="DA31">
        <v>2.7138499999999999</v>
      </c>
      <c r="DB31">
        <v>0.13550000000000001</v>
      </c>
      <c r="DC31">
        <v>0.14679800000000001</v>
      </c>
      <c r="DD31">
        <v>0.10959000000000001</v>
      </c>
      <c r="DE31">
        <v>9.4192999999999999E-2</v>
      </c>
      <c r="DF31">
        <v>31566.799999999999</v>
      </c>
      <c r="DG31">
        <v>27489.5</v>
      </c>
      <c r="DH31">
        <v>31172</v>
      </c>
      <c r="DI31">
        <v>28073.8</v>
      </c>
      <c r="DJ31">
        <v>37682.1</v>
      </c>
      <c r="DK31">
        <v>36151.4</v>
      </c>
      <c r="DL31">
        <v>44359.199999999997</v>
      </c>
      <c r="DM31">
        <v>42542.2</v>
      </c>
      <c r="DN31">
        <v>1.47462</v>
      </c>
      <c r="DO31">
        <v>2.0670500000000001</v>
      </c>
      <c r="DP31">
        <v>0.13852900000000001</v>
      </c>
      <c r="DQ31">
        <v>0.113234</v>
      </c>
      <c r="DR31">
        <v>25.931799999999999</v>
      </c>
      <c r="DS31">
        <v>25.5487</v>
      </c>
      <c r="DT31">
        <v>58.7</v>
      </c>
      <c r="DU31">
        <v>28.2</v>
      </c>
      <c r="DV31">
        <v>22.6831</v>
      </c>
      <c r="DW31">
        <v>61.803400000000003</v>
      </c>
      <c r="DX31">
        <v>33.673900000000003</v>
      </c>
      <c r="DY31">
        <v>1</v>
      </c>
      <c r="DZ31">
        <v>-9.6039100000000002E-2</v>
      </c>
      <c r="EA31">
        <v>4.26004</v>
      </c>
      <c r="EB31">
        <v>20.130600000000001</v>
      </c>
      <c r="EC31">
        <v>5.2408000000000001</v>
      </c>
      <c r="ED31">
        <v>12.039899999999999</v>
      </c>
      <c r="EE31">
        <v>5.0171000000000001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1.8688899999999999</v>
      </c>
      <c r="EL31">
        <v>1.86459</v>
      </c>
      <c r="EM31">
        <v>1.8691800000000001</v>
      </c>
      <c r="EN31">
        <v>1.86721</v>
      </c>
      <c r="EO31">
        <v>1.8633999999999999</v>
      </c>
      <c r="EP31">
        <v>1.86442</v>
      </c>
      <c r="EQ31">
        <v>1.8701399999999999</v>
      </c>
      <c r="ER31">
        <v>1.86937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-0.437</v>
      </c>
      <c r="FG31">
        <v>0.1515</v>
      </c>
      <c r="FH31">
        <v>5.0310448532705943E-2</v>
      </c>
      <c r="FI31">
        <v>-6.1462078757559423E-4</v>
      </c>
      <c r="FJ31">
        <v>-1.8861989874597051E-7</v>
      </c>
      <c r="FK31">
        <v>1.1980462299894961E-10</v>
      </c>
      <c r="FL31">
        <v>0.15140825623214971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7.8</v>
      </c>
      <c r="FU31">
        <v>7.8</v>
      </c>
      <c r="FV31">
        <v>1.79321</v>
      </c>
      <c r="FW31">
        <v>2.5805699999999998</v>
      </c>
      <c r="FX31">
        <v>1.5490699999999999</v>
      </c>
      <c r="FY31">
        <v>2.3315399999999999</v>
      </c>
      <c r="FZ31">
        <v>1.50146</v>
      </c>
      <c r="GA31">
        <v>2.3278799999999999</v>
      </c>
      <c r="GB31">
        <v>32.864699999999999</v>
      </c>
      <c r="GC31">
        <v>23.9649</v>
      </c>
      <c r="GD31">
        <v>19</v>
      </c>
      <c r="GE31">
        <v>281.40800000000002</v>
      </c>
      <c r="GF31">
        <v>606.42999999999995</v>
      </c>
      <c r="GG31">
        <v>19.781600000000001</v>
      </c>
      <c r="GH31">
        <v>26.169499999999999</v>
      </c>
      <c r="GI31">
        <v>30.000800000000002</v>
      </c>
      <c r="GJ31">
        <v>26.1693</v>
      </c>
      <c r="GK31">
        <v>26.1267</v>
      </c>
      <c r="GL31">
        <v>35.857500000000002</v>
      </c>
      <c r="GM31">
        <v>28.072700000000001</v>
      </c>
      <c r="GN31">
        <v>91.878200000000007</v>
      </c>
      <c r="GO31">
        <v>19.776900000000001</v>
      </c>
      <c r="GP31">
        <v>800</v>
      </c>
      <c r="GQ31">
        <v>18.5441</v>
      </c>
      <c r="GR31">
        <v>99.735200000000006</v>
      </c>
      <c r="GS31">
        <v>99.528400000000005</v>
      </c>
    </row>
    <row r="32" spans="1:201" x14ac:dyDescent="0.25">
      <c r="A32">
        <v>16</v>
      </c>
      <c r="B32">
        <v>1690292549.5999999</v>
      </c>
      <c r="C32">
        <v>279</v>
      </c>
      <c r="D32" t="s">
        <v>365</v>
      </c>
      <c r="E32" t="s">
        <v>366</v>
      </c>
      <c r="F32" t="s">
        <v>330</v>
      </c>
      <c r="H32">
        <v>1690292549.5999999</v>
      </c>
      <c r="I32">
        <f t="shared" si="0"/>
        <v>4.1714863809487278E-4</v>
      </c>
      <c r="J32">
        <f t="shared" si="1"/>
        <v>0.41714863809487279</v>
      </c>
      <c r="K32">
        <f t="shared" si="2"/>
        <v>10.148512588572345</v>
      </c>
      <c r="L32">
        <f t="shared" si="3"/>
        <v>695.73299999999995</v>
      </c>
      <c r="M32">
        <f t="shared" si="4"/>
        <v>72.342394164684222</v>
      </c>
      <c r="N32">
        <f t="shared" si="5"/>
        <v>7.1944518231017875</v>
      </c>
      <c r="O32">
        <f t="shared" si="6"/>
        <v>69.190653807329994</v>
      </c>
      <c r="P32">
        <f t="shared" si="7"/>
        <v>2.6606527715055832E-2</v>
      </c>
      <c r="Q32">
        <f t="shared" si="8"/>
        <v>2.260271386958109</v>
      </c>
      <c r="R32">
        <f t="shared" si="9"/>
        <v>2.6433749971168038E-2</v>
      </c>
      <c r="S32">
        <f t="shared" si="10"/>
        <v>1.6536523480449497E-2</v>
      </c>
      <c r="T32">
        <f t="shared" si="11"/>
        <v>276.11287217107696</v>
      </c>
      <c r="U32">
        <f t="shared" si="12"/>
        <v>27.901827219836647</v>
      </c>
      <c r="V32">
        <f t="shared" si="13"/>
        <v>27.901827219836647</v>
      </c>
      <c r="W32">
        <f t="shared" si="14"/>
        <v>3.7731754416993071</v>
      </c>
      <c r="X32">
        <f t="shared" si="15"/>
        <v>66.840370670688188</v>
      </c>
      <c r="Y32">
        <f t="shared" si="16"/>
        <v>2.251299601375</v>
      </c>
      <c r="Z32">
        <f t="shared" si="17"/>
        <v>3.368173423912912</v>
      </c>
      <c r="AA32">
        <f t="shared" si="18"/>
        <v>1.5218758403243071</v>
      </c>
      <c r="AB32">
        <f t="shared" si="19"/>
        <v>-18.396254939983891</v>
      </c>
      <c r="AC32">
        <f t="shared" si="20"/>
        <v>-235.46518457738182</v>
      </c>
      <c r="AD32">
        <f t="shared" si="21"/>
        <v>-22.468089954960767</v>
      </c>
      <c r="AE32">
        <f t="shared" si="22"/>
        <v>-0.2166573012495121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52818.66645808451</v>
      </c>
      <c r="AK32">
        <f t="shared" si="26"/>
        <v>1799.99</v>
      </c>
      <c r="AL32">
        <f t="shared" si="27"/>
        <v>1499.1069025820502</v>
      </c>
      <c r="AM32">
        <f t="shared" si="28"/>
        <v>0.83284179500000011</v>
      </c>
      <c r="AN32">
        <f t="shared" si="29"/>
        <v>0.15339689229999998</v>
      </c>
      <c r="AO32">
        <v>30</v>
      </c>
      <c r="AP32">
        <v>0.5</v>
      </c>
      <c r="AQ32" t="s">
        <v>331</v>
      </c>
      <c r="AR32">
        <v>2</v>
      </c>
      <c r="AS32">
        <v>1690292549.5999999</v>
      </c>
      <c r="AT32">
        <v>695.73299999999995</v>
      </c>
      <c r="AU32">
        <v>800.01400000000001</v>
      </c>
      <c r="AV32">
        <v>22.637499999999999</v>
      </c>
      <c r="AW32">
        <v>18.564599999999999</v>
      </c>
      <c r="AX32">
        <v>696.16200000000003</v>
      </c>
      <c r="AY32">
        <v>22.4861</v>
      </c>
      <c r="AZ32">
        <v>300.30599999999998</v>
      </c>
      <c r="BA32">
        <v>99.35</v>
      </c>
      <c r="BB32">
        <v>0.10001</v>
      </c>
      <c r="BC32">
        <v>25.9695</v>
      </c>
      <c r="BD32">
        <v>28.136199999999999</v>
      </c>
      <c r="BE32">
        <v>27.3278</v>
      </c>
      <c r="BF32">
        <v>0</v>
      </c>
      <c r="BG32">
        <v>0</v>
      </c>
      <c r="BH32">
        <v>10020.6</v>
      </c>
      <c r="BI32">
        <v>1078.48</v>
      </c>
      <c r="BJ32">
        <v>1.7941199999999999</v>
      </c>
      <c r="BK32">
        <v>-104.28100000000001</v>
      </c>
      <c r="BL32">
        <v>711.84699999999998</v>
      </c>
      <c r="BM32">
        <v>815.14700000000005</v>
      </c>
      <c r="BN32">
        <v>4.0728900000000001</v>
      </c>
      <c r="BO32">
        <v>800.01400000000001</v>
      </c>
      <c r="BP32">
        <v>18.564599999999999</v>
      </c>
      <c r="BQ32">
        <v>2.2490399999999999</v>
      </c>
      <c r="BR32">
        <v>1.84439</v>
      </c>
      <c r="BS32">
        <v>19.315999999999999</v>
      </c>
      <c r="BT32">
        <v>16.168199999999999</v>
      </c>
      <c r="BU32">
        <v>1799.99</v>
      </c>
      <c r="BV32">
        <v>0.910022</v>
      </c>
      <c r="BW32">
        <v>3.3993500000000003E-2</v>
      </c>
      <c r="BX32">
        <v>2.19945E-2</v>
      </c>
      <c r="BY32">
        <v>3.3990199999999998E-2</v>
      </c>
      <c r="BZ32">
        <v>25</v>
      </c>
      <c r="CA32">
        <v>33528.300000000003</v>
      </c>
      <c r="CB32">
        <v>1690292073.5</v>
      </c>
      <c r="CC32" t="s">
        <v>332</v>
      </c>
      <c r="CD32">
        <v>1690292069.5</v>
      </c>
      <c r="CE32">
        <v>1690292073.5</v>
      </c>
      <c r="CF32">
        <v>4</v>
      </c>
      <c r="CG32">
        <v>-3.6999999999999998E-2</v>
      </c>
      <c r="CH32">
        <v>-1.6E-2</v>
      </c>
      <c r="CI32">
        <v>-0.45200000000000001</v>
      </c>
      <c r="CJ32">
        <v>0.108</v>
      </c>
      <c r="CK32">
        <v>730</v>
      </c>
      <c r="CL32">
        <v>18</v>
      </c>
      <c r="CM32">
        <v>0</v>
      </c>
      <c r="CN32">
        <v>0.01</v>
      </c>
      <c r="CO32">
        <v>-92.316082499999993</v>
      </c>
      <c r="CP32">
        <v>-71.236512945590803</v>
      </c>
      <c r="CQ32">
        <v>6.8532590980455232</v>
      </c>
      <c r="CR32">
        <v>-1</v>
      </c>
      <c r="CS32">
        <v>3.9066464999999999</v>
      </c>
      <c r="CT32">
        <v>1.0018993621013119</v>
      </c>
      <c r="CU32">
        <v>9.9674030307547984E-2</v>
      </c>
      <c r="CV32">
        <v>-1</v>
      </c>
      <c r="CW32">
        <v>0</v>
      </c>
      <c r="CX32">
        <v>0</v>
      </c>
      <c r="CY32" t="s">
        <v>333</v>
      </c>
      <c r="CZ32">
        <v>2.3648899999999999</v>
      </c>
      <c r="DA32">
        <v>2.7138200000000001</v>
      </c>
      <c r="DB32">
        <v>0.13397600000000001</v>
      </c>
      <c r="DC32">
        <v>0.14680099999999999</v>
      </c>
      <c r="DD32">
        <v>0.109745</v>
      </c>
      <c r="DE32">
        <v>9.3889399999999998E-2</v>
      </c>
      <c r="DF32">
        <v>31622</v>
      </c>
      <c r="DG32">
        <v>27488.5</v>
      </c>
      <c r="DH32">
        <v>31171.599999999999</v>
      </c>
      <c r="DI32">
        <v>28072.9</v>
      </c>
      <c r="DJ32">
        <v>37674.9</v>
      </c>
      <c r="DK32">
        <v>36162.6</v>
      </c>
      <c r="DL32">
        <v>44358.7</v>
      </c>
      <c r="DM32">
        <v>42541.1</v>
      </c>
      <c r="DN32">
        <v>1.4748300000000001</v>
      </c>
      <c r="DO32">
        <v>2.0663999999999998</v>
      </c>
      <c r="DP32">
        <v>0.13689000000000001</v>
      </c>
      <c r="DQ32">
        <v>0.11276799999999999</v>
      </c>
      <c r="DR32">
        <v>25.897600000000001</v>
      </c>
      <c r="DS32">
        <v>25.4818</v>
      </c>
      <c r="DT32">
        <v>58.7</v>
      </c>
      <c r="DU32">
        <v>28.2</v>
      </c>
      <c r="DV32">
        <v>22.6828</v>
      </c>
      <c r="DW32">
        <v>60.653399999999998</v>
      </c>
      <c r="DX32">
        <v>33.734000000000002</v>
      </c>
      <c r="DY32">
        <v>1</v>
      </c>
      <c r="DZ32">
        <v>-9.6227099999999996E-2</v>
      </c>
      <c r="EA32">
        <v>3.81209</v>
      </c>
      <c r="EB32">
        <v>20.142600000000002</v>
      </c>
      <c r="EC32">
        <v>5.2411000000000003</v>
      </c>
      <c r="ED32">
        <v>12.039899999999999</v>
      </c>
      <c r="EE32">
        <v>5.0169499999999996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</v>
      </c>
      <c r="EL32">
        <v>1.8645799999999999</v>
      </c>
      <c r="EM32">
        <v>1.8691899999999999</v>
      </c>
      <c r="EN32">
        <v>1.86721</v>
      </c>
      <c r="EO32">
        <v>1.86337</v>
      </c>
      <c r="EP32">
        <v>1.8644099999999999</v>
      </c>
      <c r="EQ32">
        <v>1.8701399999999999</v>
      </c>
      <c r="ER32">
        <v>1.86938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-0.42899999999999999</v>
      </c>
      <c r="FG32">
        <v>0.15140000000000001</v>
      </c>
      <c r="FH32">
        <v>5.0310448532705943E-2</v>
      </c>
      <c r="FI32">
        <v>-6.1462078757559423E-4</v>
      </c>
      <c r="FJ32">
        <v>-1.8861989874597051E-7</v>
      </c>
      <c r="FK32">
        <v>1.1980462299894961E-10</v>
      </c>
      <c r="FL32">
        <v>0.15140825623214971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8</v>
      </c>
      <c r="FU32">
        <v>7.9</v>
      </c>
      <c r="FV32">
        <v>1.79321</v>
      </c>
      <c r="FW32">
        <v>2.5830099999999998</v>
      </c>
      <c r="FX32">
        <v>1.5490699999999999</v>
      </c>
      <c r="FY32">
        <v>2.3315399999999999</v>
      </c>
      <c r="FZ32">
        <v>1.50146</v>
      </c>
      <c r="GA32">
        <v>2.3083499999999999</v>
      </c>
      <c r="GB32">
        <v>32.886899999999997</v>
      </c>
      <c r="GC32">
        <v>23.9649</v>
      </c>
      <c r="GD32">
        <v>19</v>
      </c>
      <c r="GE32">
        <v>281.53100000000001</v>
      </c>
      <c r="GF32">
        <v>605.94799999999998</v>
      </c>
      <c r="GG32">
        <v>19.790099999999999</v>
      </c>
      <c r="GH32">
        <v>26.1844</v>
      </c>
      <c r="GI32">
        <v>30</v>
      </c>
      <c r="GJ32">
        <v>26.178100000000001</v>
      </c>
      <c r="GK32">
        <v>26.1327</v>
      </c>
      <c r="GL32">
        <v>35.8568</v>
      </c>
      <c r="GM32">
        <v>28.625599999999999</v>
      </c>
      <c r="GN32">
        <v>91.878200000000007</v>
      </c>
      <c r="GO32">
        <v>19.8368</v>
      </c>
      <c r="GP32">
        <v>800</v>
      </c>
      <c r="GQ32">
        <v>18.427299999999999</v>
      </c>
      <c r="GR32">
        <v>99.733999999999995</v>
      </c>
      <c r="GS32">
        <v>99.525599999999997</v>
      </c>
    </row>
    <row r="33" spans="1:201" x14ac:dyDescent="0.25">
      <c r="A33">
        <v>17</v>
      </c>
      <c r="B33">
        <v>1690292559.5999999</v>
      </c>
      <c r="C33">
        <v>289</v>
      </c>
      <c r="D33" t="s">
        <v>367</v>
      </c>
      <c r="E33" t="s">
        <v>368</v>
      </c>
      <c r="F33" t="s">
        <v>330</v>
      </c>
      <c r="H33">
        <v>1690292559.5999999</v>
      </c>
      <c r="I33">
        <f t="shared" si="0"/>
        <v>4.5575419273766443E-4</v>
      </c>
      <c r="J33">
        <f t="shared" si="1"/>
        <v>0.45575419273766443</v>
      </c>
      <c r="K33">
        <f t="shared" si="2"/>
        <v>11.253235323376611</v>
      </c>
      <c r="L33">
        <f t="shared" si="3"/>
        <v>684.447</v>
      </c>
      <c r="M33">
        <f t="shared" si="4"/>
        <v>64.970877253980959</v>
      </c>
      <c r="N33">
        <f t="shared" si="5"/>
        <v>6.4612203576974032</v>
      </c>
      <c r="O33">
        <f t="shared" si="6"/>
        <v>68.066848980309004</v>
      </c>
      <c r="P33">
        <f t="shared" si="7"/>
        <v>2.969099040750469E-2</v>
      </c>
      <c r="Q33">
        <f t="shared" si="8"/>
        <v>2.2546864004157325</v>
      </c>
      <c r="R33">
        <f t="shared" si="9"/>
        <v>2.9475477094262841E-2</v>
      </c>
      <c r="S33">
        <f t="shared" si="10"/>
        <v>1.8441405687392259E-2</v>
      </c>
      <c r="T33">
        <f t="shared" si="11"/>
        <v>276.11493294362822</v>
      </c>
      <c r="U33">
        <f t="shared" si="12"/>
        <v>27.812156893851451</v>
      </c>
      <c r="V33">
        <f t="shared" si="13"/>
        <v>27.812156893851451</v>
      </c>
      <c r="W33">
        <f t="shared" si="14"/>
        <v>3.7534818546116147</v>
      </c>
      <c r="X33">
        <f t="shared" si="15"/>
        <v>67.491789880899773</v>
      </c>
      <c r="Y33">
        <f t="shared" si="16"/>
        <v>2.2623115119189001</v>
      </c>
      <c r="Z33">
        <f t="shared" si="17"/>
        <v>3.3519803162890125</v>
      </c>
      <c r="AA33">
        <f t="shared" si="18"/>
        <v>1.4911703426927145</v>
      </c>
      <c r="AB33">
        <f t="shared" si="19"/>
        <v>-20.098759899731</v>
      </c>
      <c r="AC33">
        <f t="shared" si="20"/>
        <v>-233.87806850614911</v>
      </c>
      <c r="AD33">
        <f t="shared" si="21"/>
        <v>-22.352790570329145</v>
      </c>
      <c r="AE33">
        <f t="shared" si="22"/>
        <v>-0.21468603258102803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52613.960261756882</v>
      </c>
      <c r="AK33">
        <f t="shared" si="26"/>
        <v>1799.99</v>
      </c>
      <c r="AL33">
        <f t="shared" si="27"/>
        <v>1499.10411799752</v>
      </c>
      <c r="AM33">
        <f t="shared" si="28"/>
        <v>0.83284024800000001</v>
      </c>
      <c r="AN33">
        <f t="shared" si="29"/>
        <v>0.15339803718</v>
      </c>
      <c r="AO33">
        <v>30</v>
      </c>
      <c r="AP33">
        <v>0.5</v>
      </c>
      <c r="AQ33" t="s">
        <v>331</v>
      </c>
      <c r="AR33">
        <v>2</v>
      </c>
      <c r="AS33">
        <v>1690292559.5999999</v>
      </c>
      <c r="AT33">
        <v>684.447</v>
      </c>
      <c r="AU33">
        <v>800.01400000000001</v>
      </c>
      <c r="AV33">
        <v>22.748699999999999</v>
      </c>
      <c r="AW33">
        <v>18.298100000000002</v>
      </c>
      <c r="AX33">
        <v>684.86800000000005</v>
      </c>
      <c r="AY33">
        <v>22.597300000000001</v>
      </c>
      <c r="AZ33">
        <v>300.22000000000003</v>
      </c>
      <c r="BA33">
        <v>99.347899999999996</v>
      </c>
      <c r="BB33">
        <v>0.100047</v>
      </c>
      <c r="BC33">
        <v>25.888100000000001</v>
      </c>
      <c r="BD33">
        <v>27.982199999999999</v>
      </c>
      <c r="BE33">
        <v>27.233699999999999</v>
      </c>
      <c r="BF33">
        <v>0</v>
      </c>
      <c r="BG33">
        <v>0</v>
      </c>
      <c r="BH33">
        <v>9977.5</v>
      </c>
      <c r="BI33">
        <v>1077.19</v>
      </c>
      <c r="BJ33">
        <v>1.7941199999999999</v>
      </c>
      <c r="BK33">
        <v>-115.566</v>
      </c>
      <c r="BL33">
        <v>700.38</v>
      </c>
      <c r="BM33">
        <v>814.92499999999995</v>
      </c>
      <c r="BN33">
        <v>4.4506600000000001</v>
      </c>
      <c r="BO33">
        <v>800.01400000000001</v>
      </c>
      <c r="BP33">
        <v>18.298100000000002</v>
      </c>
      <c r="BQ33">
        <v>2.26004</v>
      </c>
      <c r="BR33">
        <v>1.8178700000000001</v>
      </c>
      <c r="BS33">
        <v>19.394400000000001</v>
      </c>
      <c r="BT33">
        <v>15.9413</v>
      </c>
      <c r="BU33">
        <v>1799.99</v>
      </c>
      <c r="BV33">
        <v>0.90999399999999997</v>
      </c>
      <c r="BW33">
        <v>3.4007999999999997E-2</v>
      </c>
      <c r="BX33">
        <v>2.20074E-2</v>
      </c>
      <c r="BY33">
        <v>3.3991E-2</v>
      </c>
      <c r="BZ33">
        <v>25</v>
      </c>
      <c r="CA33">
        <v>33528</v>
      </c>
      <c r="CB33">
        <v>1690292073.5</v>
      </c>
      <c r="CC33" t="s">
        <v>332</v>
      </c>
      <c r="CD33">
        <v>1690292069.5</v>
      </c>
      <c r="CE33">
        <v>1690292073.5</v>
      </c>
      <c r="CF33">
        <v>4</v>
      </c>
      <c r="CG33">
        <v>-3.6999999999999998E-2</v>
      </c>
      <c r="CH33">
        <v>-1.6E-2</v>
      </c>
      <c r="CI33">
        <v>-0.45200000000000001</v>
      </c>
      <c r="CJ33">
        <v>0.108</v>
      </c>
      <c r="CK33">
        <v>730</v>
      </c>
      <c r="CL33">
        <v>18</v>
      </c>
      <c r="CM33">
        <v>0</v>
      </c>
      <c r="CN33">
        <v>0.01</v>
      </c>
      <c r="CO33">
        <v>-102.84841249999999</v>
      </c>
      <c r="CP33">
        <v>-69.313275422138688</v>
      </c>
      <c r="CQ33">
        <v>6.6678188292419707</v>
      </c>
      <c r="CR33">
        <v>-1</v>
      </c>
      <c r="CS33">
        <v>4.08761975</v>
      </c>
      <c r="CT33">
        <v>1.3646666791744739</v>
      </c>
      <c r="CU33">
        <v>0.13738049891610341</v>
      </c>
      <c r="CV33">
        <v>-1</v>
      </c>
      <c r="CW33">
        <v>0</v>
      </c>
      <c r="CX33">
        <v>0</v>
      </c>
      <c r="CY33" t="s">
        <v>333</v>
      </c>
      <c r="CZ33">
        <v>2.3645999999999998</v>
      </c>
      <c r="DA33">
        <v>2.7138200000000001</v>
      </c>
      <c r="DB33">
        <v>0.13247800000000001</v>
      </c>
      <c r="DC33">
        <v>0.146791</v>
      </c>
      <c r="DD33">
        <v>0.110123</v>
      </c>
      <c r="DE33">
        <v>9.2919600000000005E-2</v>
      </c>
      <c r="DF33">
        <v>31676.3</v>
      </c>
      <c r="DG33">
        <v>27488.2</v>
      </c>
      <c r="DH33">
        <v>31171.3</v>
      </c>
      <c r="DI33">
        <v>28072.400000000001</v>
      </c>
      <c r="DJ33">
        <v>37658</v>
      </c>
      <c r="DK33">
        <v>36200.800000000003</v>
      </c>
      <c r="DL33">
        <v>44358</v>
      </c>
      <c r="DM33">
        <v>42540.4</v>
      </c>
      <c r="DN33">
        <v>1.4751799999999999</v>
      </c>
      <c r="DO33">
        <v>2.06623</v>
      </c>
      <c r="DP33">
        <v>0.12975900000000001</v>
      </c>
      <c r="DQ33">
        <v>0.11093500000000001</v>
      </c>
      <c r="DR33">
        <v>25.8599</v>
      </c>
      <c r="DS33">
        <v>25.4175</v>
      </c>
      <c r="DT33">
        <v>58.8</v>
      </c>
      <c r="DU33">
        <v>28.2</v>
      </c>
      <c r="DV33">
        <v>22.7227</v>
      </c>
      <c r="DW33">
        <v>61.663400000000003</v>
      </c>
      <c r="DX33">
        <v>34.242800000000003</v>
      </c>
      <c r="DY33">
        <v>1</v>
      </c>
      <c r="DZ33">
        <v>-9.5812999999999995E-2</v>
      </c>
      <c r="EA33">
        <v>3.5042800000000001</v>
      </c>
      <c r="EB33">
        <v>20.149999999999999</v>
      </c>
      <c r="EC33">
        <v>5.2408000000000001</v>
      </c>
      <c r="ED33">
        <v>12.039899999999999</v>
      </c>
      <c r="EE33">
        <v>5.0170500000000002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</v>
      </c>
      <c r="EL33">
        <v>1.8646</v>
      </c>
      <c r="EM33">
        <v>1.8691899999999999</v>
      </c>
      <c r="EN33">
        <v>1.8672200000000001</v>
      </c>
      <c r="EO33">
        <v>1.8633900000000001</v>
      </c>
      <c r="EP33">
        <v>1.8644499999999999</v>
      </c>
      <c r="EQ33">
        <v>1.8701300000000001</v>
      </c>
      <c r="ER33">
        <v>1.86937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-0.42099999999999999</v>
      </c>
      <c r="FG33">
        <v>0.15140000000000001</v>
      </c>
      <c r="FH33">
        <v>5.0310448532705943E-2</v>
      </c>
      <c r="FI33">
        <v>-6.1462078757559423E-4</v>
      </c>
      <c r="FJ33">
        <v>-1.8861989874597051E-7</v>
      </c>
      <c r="FK33">
        <v>1.1980462299894961E-10</v>
      </c>
      <c r="FL33">
        <v>0.15140825623214971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8.1999999999999993</v>
      </c>
      <c r="FU33">
        <v>8.1</v>
      </c>
      <c r="FV33">
        <v>1.79321</v>
      </c>
      <c r="FW33">
        <v>2.5830099999999998</v>
      </c>
      <c r="FX33">
        <v>1.5490699999999999</v>
      </c>
      <c r="FY33">
        <v>2.3315399999999999</v>
      </c>
      <c r="FZ33">
        <v>1.50146</v>
      </c>
      <c r="GA33">
        <v>2.2802699999999998</v>
      </c>
      <c r="GB33">
        <v>32.886899999999997</v>
      </c>
      <c r="GC33">
        <v>23.973700000000001</v>
      </c>
      <c r="GD33">
        <v>19</v>
      </c>
      <c r="GE33">
        <v>281.72300000000001</v>
      </c>
      <c r="GF33">
        <v>605.851</v>
      </c>
      <c r="GG33">
        <v>19.8551</v>
      </c>
      <c r="GH33">
        <v>26.197700000000001</v>
      </c>
      <c r="GI33">
        <v>30.000299999999999</v>
      </c>
      <c r="GJ33">
        <v>26.187999999999999</v>
      </c>
      <c r="GK33">
        <v>26.1371</v>
      </c>
      <c r="GL33">
        <v>35.846600000000002</v>
      </c>
      <c r="GM33">
        <v>29.706</v>
      </c>
      <c r="GN33">
        <v>91.878200000000007</v>
      </c>
      <c r="GO33">
        <v>19.918099999999999</v>
      </c>
      <c r="GP33">
        <v>800</v>
      </c>
      <c r="GQ33">
        <v>18.116399999999999</v>
      </c>
      <c r="GR33">
        <v>99.732699999999994</v>
      </c>
      <c r="GS33">
        <v>99.523799999999994</v>
      </c>
    </row>
    <row r="34" spans="1:201" x14ac:dyDescent="0.25">
      <c r="A34">
        <v>18</v>
      </c>
      <c r="B34">
        <v>1690292569.5999999</v>
      </c>
      <c r="C34">
        <v>299</v>
      </c>
      <c r="D34" t="s">
        <v>369</v>
      </c>
      <c r="E34" t="s">
        <v>370</v>
      </c>
      <c r="F34" t="s">
        <v>330</v>
      </c>
      <c r="H34">
        <v>1690292569.5999999</v>
      </c>
      <c r="I34">
        <f t="shared" si="0"/>
        <v>5.0076605440270666E-4</v>
      </c>
      <c r="J34">
        <f t="shared" si="1"/>
        <v>0.50076605440270661</v>
      </c>
      <c r="K34">
        <f t="shared" si="2"/>
        <v>12.377537313804474</v>
      </c>
      <c r="L34">
        <f t="shared" si="3"/>
        <v>673.08299999999997</v>
      </c>
      <c r="M34">
        <f t="shared" si="4"/>
        <v>66.926162617481694</v>
      </c>
      <c r="N34">
        <f t="shared" si="5"/>
        <v>6.6559823593995535</v>
      </c>
      <c r="O34">
        <f t="shared" si="6"/>
        <v>66.939869240934286</v>
      </c>
      <c r="P34">
        <f t="shared" si="7"/>
        <v>3.339332892425325E-2</v>
      </c>
      <c r="Q34">
        <f t="shared" si="8"/>
        <v>2.2620058850488127</v>
      </c>
      <c r="R34">
        <f t="shared" si="9"/>
        <v>3.3121856967826366E-2</v>
      </c>
      <c r="S34">
        <f t="shared" si="10"/>
        <v>2.0725367220710809E-2</v>
      </c>
      <c r="T34">
        <f t="shared" si="11"/>
        <v>276.11299056579418</v>
      </c>
      <c r="U34">
        <f t="shared" si="12"/>
        <v>27.727884175229295</v>
      </c>
      <c r="V34">
        <f t="shared" si="13"/>
        <v>27.727884175229295</v>
      </c>
      <c r="W34">
        <f t="shared" si="14"/>
        <v>3.7350555133855257</v>
      </c>
      <c r="X34">
        <f t="shared" si="15"/>
        <v>68.183861186715745</v>
      </c>
      <c r="Y34">
        <f t="shared" si="16"/>
        <v>2.27688822088182</v>
      </c>
      <c r="Z34">
        <f t="shared" si="17"/>
        <v>3.3393359971896488</v>
      </c>
      <c r="AA34">
        <f t="shared" si="18"/>
        <v>1.4581672925037057</v>
      </c>
      <c r="AB34">
        <f t="shared" si="19"/>
        <v>-22.083782999159364</v>
      </c>
      <c r="AC34">
        <f t="shared" si="20"/>
        <v>-232.14068394351978</v>
      </c>
      <c r="AD34">
        <f t="shared" si="21"/>
        <v>-22.098566180783539</v>
      </c>
      <c r="AE34">
        <f t="shared" si="22"/>
        <v>-0.21004255766848701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52912.54106349573</v>
      </c>
      <c r="AK34">
        <f t="shared" si="26"/>
        <v>1799.98</v>
      </c>
      <c r="AL34">
        <f t="shared" si="27"/>
        <v>1499.09374841772</v>
      </c>
      <c r="AM34">
        <f t="shared" si="28"/>
        <v>0.83283911399999999</v>
      </c>
      <c r="AN34">
        <f t="shared" si="29"/>
        <v>0.15339781028999999</v>
      </c>
      <c r="AO34">
        <v>30</v>
      </c>
      <c r="AP34">
        <v>0.5</v>
      </c>
      <c r="AQ34" t="s">
        <v>331</v>
      </c>
      <c r="AR34">
        <v>2</v>
      </c>
      <c r="AS34">
        <v>1690292569.5999999</v>
      </c>
      <c r="AT34">
        <v>673.08299999999997</v>
      </c>
      <c r="AU34">
        <v>800.18700000000001</v>
      </c>
      <c r="AV34">
        <v>22.894200000000001</v>
      </c>
      <c r="AW34">
        <v>18.002800000000001</v>
      </c>
      <c r="AX34">
        <v>673.495</v>
      </c>
      <c r="AY34">
        <v>22.742799999999999</v>
      </c>
      <c r="AZ34">
        <v>300.09899999999999</v>
      </c>
      <c r="BA34">
        <v>99.352800000000002</v>
      </c>
      <c r="BB34">
        <v>9.9822099999999997E-2</v>
      </c>
      <c r="BC34">
        <v>25.824300000000001</v>
      </c>
      <c r="BD34">
        <v>27.927900000000001</v>
      </c>
      <c r="BE34">
        <v>27.145900000000001</v>
      </c>
      <c r="BF34">
        <v>0</v>
      </c>
      <c r="BG34">
        <v>0</v>
      </c>
      <c r="BH34">
        <v>10033.799999999999</v>
      </c>
      <c r="BI34">
        <v>1075.8499999999999</v>
      </c>
      <c r="BJ34">
        <v>1.7941199999999999</v>
      </c>
      <c r="BK34">
        <v>-127.104</v>
      </c>
      <c r="BL34">
        <v>688.85400000000004</v>
      </c>
      <c r="BM34">
        <v>814.85599999999999</v>
      </c>
      <c r="BN34">
        <v>4.8913700000000002</v>
      </c>
      <c r="BO34">
        <v>800.18700000000001</v>
      </c>
      <c r="BP34">
        <v>18.002800000000001</v>
      </c>
      <c r="BQ34">
        <v>2.2746</v>
      </c>
      <c r="BR34">
        <v>1.7886299999999999</v>
      </c>
      <c r="BS34">
        <v>19.497599999999998</v>
      </c>
      <c r="BT34">
        <v>15.687799999999999</v>
      </c>
      <c r="BU34">
        <v>1799.98</v>
      </c>
      <c r="BV34">
        <v>0.90998400000000002</v>
      </c>
      <c r="BW34">
        <v>3.4002299999999999E-2</v>
      </c>
      <c r="BX34">
        <v>2.2003700000000001E-2</v>
      </c>
      <c r="BY34">
        <v>3.40103E-2</v>
      </c>
      <c r="BZ34">
        <v>25</v>
      </c>
      <c r="CA34">
        <v>33528</v>
      </c>
      <c r="CB34">
        <v>1690292073.5</v>
      </c>
      <c r="CC34" t="s">
        <v>332</v>
      </c>
      <c r="CD34">
        <v>1690292069.5</v>
      </c>
      <c r="CE34">
        <v>1690292073.5</v>
      </c>
      <c r="CF34">
        <v>4</v>
      </c>
      <c r="CG34">
        <v>-3.6999999999999998E-2</v>
      </c>
      <c r="CH34">
        <v>-1.6E-2</v>
      </c>
      <c r="CI34">
        <v>-0.45200000000000001</v>
      </c>
      <c r="CJ34">
        <v>0.108</v>
      </c>
      <c r="CK34">
        <v>730</v>
      </c>
      <c r="CL34">
        <v>18</v>
      </c>
      <c r="CM34">
        <v>0</v>
      </c>
      <c r="CN34">
        <v>0.01</v>
      </c>
      <c r="CO34">
        <v>-114.274925</v>
      </c>
      <c r="CP34">
        <v>-68.153617260787826</v>
      </c>
      <c r="CQ34">
        <v>6.5563559291251874</v>
      </c>
      <c r="CR34">
        <v>-1</v>
      </c>
      <c r="CS34">
        <v>4.3963662499999998</v>
      </c>
      <c r="CT34">
        <v>2.3385470544089979</v>
      </c>
      <c r="CU34">
        <v>0.22535798171672891</v>
      </c>
      <c r="CV34">
        <v>-1</v>
      </c>
      <c r="CW34">
        <v>0</v>
      </c>
      <c r="CX34">
        <v>0</v>
      </c>
      <c r="CY34" t="s">
        <v>333</v>
      </c>
      <c r="CZ34">
        <v>2.3642099999999999</v>
      </c>
      <c r="DA34">
        <v>2.7136399999999998</v>
      </c>
      <c r="DB34">
        <v>0.130967</v>
      </c>
      <c r="DC34">
        <v>0.146812</v>
      </c>
      <c r="DD34">
        <v>0.110624</v>
      </c>
      <c r="DE34">
        <v>9.1844999999999996E-2</v>
      </c>
      <c r="DF34">
        <v>31730.799999999999</v>
      </c>
      <c r="DG34">
        <v>27486.9</v>
      </c>
      <c r="DH34">
        <v>31170.7</v>
      </c>
      <c r="DI34">
        <v>28071.8</v>
      </c>
      <c r="DJ34">
        <v>37635.5</v>
      </c>
      <c r="DK34">
        <v>36243.199999999997</v>
      </c>
      <c r="DL34">
        <v>44357</v>
      </c>
      <c r="DM34">
        <v>42539.7</v>
      </c>
      <c r="DN34">
        <v>1.47485</v>
      </c>
      <c r="DO34">
        <v>2.0651000000000002</v>
      </c>
      <c r="DP34">
        <v>0.128862</v>
      </c>
      <c r="DQ34">
        <v>0.10932600000000001</v>
      </c>
      <c r="DR34">
        <v>25.8201</v>
      </c>
      <c r="DS34">
        <v>25.355799999999999</v>
      </c>
      <c r="DT34">
        <v>58.8</v>
      </c>
      <c r="DU34">
        <v>28.2</v>
      </c>
      <c r="DV34">
        <v>22.722200000000001</v>
      </c>
      <c r="DW34">
        <v>61.293399999999998</v>
      </c>
      <c r="DX34">
        <v>34.939900000000002</v>
      </c>
      <c r="DY34">
        <v>1</v>
      </c>
      <c r="DZ34">
        <v>-9.5469999999999999E-2</v>
      </c>
      <c r="EA34">
        <v>3.22986</v>
      </c>
      <c r="EB34">
        <v>20.155999999999999</v>
      </c>
      <c r="EC34">
        <v>5.2411000000000003</v>
      </c>
      <c r="ED34">
        <v>12.039899999999999</v>
      </c>
      <c r="EE34">
        <v>5.0168999999999997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</v>
      </c>
      <c r="EL34">
        <v>1.8646</v>
      </c>
      <c r="EM34">
        <v>1.8691899999999999</v>
      </c>
      <c r="EN34">
        <v>1.8672200000000001</v>
      </c>
      <c r="EO34">
        <v>1.8633900000000001</v>
      </c>
      <c r="EP34">
        <v>1.86446</v>
      </c>
      <c r="EQ34">
        <v>1.8701300000000001</v>
      </c>
      <c r="ER34">
        <v>1.86937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-0.41199999999999998</v>
      </c>
      <c r="FG34">
        <v>0.15140000000000001</v>
      </c>
      <c r="FH34">
        <v>5.0310448532705943E-2</v>
      </c>
      <c r="FI34">
        <v>-6.1462078757559423E-4</v>
      </c>
      <c r="FJ34">
        <v>-1.8861989874597051E-7</v>
      </c>
      <c r="FK34">
        <v>1.1980462299894961E-10</v>
      </c>
      <c r="FL34">
        <v>0.15140825623214971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8.3000000000000007</v>
      </c>
      <c r="FU34">
        <v>8.3000000000000007</v>
      </c>
      <c r="FV34">
        <v>1.79199</v>
      </c>
      <c r="FW34">
        <v>2.5756800000000002</v>
      </c>
      <c r="FX34">
        <v>1.5490699999999999</v>
      </c>
      <c r="FY34">
        <v>2.3315399999999999</v>
      </c>
      <c r="FZ34">
        <v>1.50146</v>
      </c>
      <c r="GA34">
        <v>2.34863</v>
      </c>
      <c r="GB34">
        <v>32.886899999999997</v>
      </c>
      <c r="GC34">
        <v>23.982399999999998</v>
      </c>
      <c r="GD34">
        <v>19</v>
      </c>
      <c r="GE34">
        <v>281.62799999999999</v>
      </c>
      <c r="GF34">
        <v>604.96500000000003</v>
      </c>
      <c r="GG34">
        <v>19.955500000000001</v>
      </c>
      <c r="GH34">
        <v>26.2088</v>
      </c>
      <c r="GI34">
        <v>30.000499999999999</v>
      </c>
      <c r="GJ34">
        <v>26.197900000000001</v>
      </c>
      <c r="GK34">
        <v>26.1431</v>
      </c>
      <c r="GL34">
        <v>35.835900000000002</v>
      </c>
      <c r="GM34">
        <v>31.044799999999999</v>
      </c>
      <c r="GN34">
        <v>91.878200000000007</v>
      </c>
      <c r="GO34">
        <v>20.0197</v>
      </c>
      <c r="GP34">
        <v>800</v>
      </c>
      <c r="GQ34">
        <v>17.757899999999999</v>
      </c>
      <c r="GR34">
        <v>99.730500000000006</v>
      </c>
      <c r="GS34">
        <v>99.522000000000006</v>
      </c>
    </row>
    <row r="35" spans="1:201" x14ac:dyDescent="0.25">
      <c r="A35">
        <v>19</v>
      </c>
      <c r="B35">
        <v>1690292579.5999999</v>
      </c>
      <c r="C35">
        <v>309</v>
      </c>
      <c r="D35" t="s">
        <v>371</v>
      </c>
      <c r="E35" t="s">
        <v>372</v>
      </c>
      <c r="F35" t="s">
        <v>330</v>
      </c>
      <c r="H35">
        <v>1690292579.5999999</v>
      </c>
      <c r="I35">
        <f t="shared" si="0"/>
        <v>5.5252866361263386E-4</v>
      </c>
      <c r="J35">
        <f t="shared" si="1"/>
        <v>0.55252866361263386</v>
      </c>
      <c r="K35">
        <f t="shared" si="2"/>
        <v>13.47594270995191</v>
      </c>
      <c r="L35">
        <f t="shared" si="3"/>
        <v>661.82799999999997</v>
      </c>
      <c r="M35">
        <f t="shared" si="4"/>
        <v>76.176750370007596</v>
      </c>
      <c r="N35">
        <f t="shared" si="5"/>
        <v>7.5758272020668453</v>
      </c>
      <c r="O35">
        <f t="shared" si="6"/>
        <v>65.819223596909595</v>
      </c>
      <c r="P35">
        <f t="shared" si="7"/>
        <v>3.7670508645269878E-2</v>
      </c>
      <c r="Q35">
        <f t="shared" si="8"/>
        <v>2.2519751771231387</v>
      </c>
      <c r="R35">
        <f t="shared" si="9"/>
        <v>3.7323906016069795E-2</v>
      </c>
      <c r="S35">
        <f t="shared" si="10"/>
        <v>2.3358316246785988E-2</v>
      </c>
      <c r="T35">
        <f t="shared" si="11"/>
        <v>276.11379516994924</v>
      </c>
      <c r="U35">
        <f t="shared" si="12"/>
        <v>27.664549015368156</v>
      </c>
      <c r="V35">
        <f t="shared" si="13"/>
        <v>27.664549015368156</v>
      </c>
      <c r="W35">
        <f t="shared" si="14"/>
        <v>3.7212591967252355</v>
      </c>
      <c r="X35">
        <f t="shared" si="15"/>
        <v>68.902990138126228</v>
      </c>
      <c r="Y35">
        <f t="shared" si="16"/>
        <v>2.2935507389180403</v>
      </c>
      <c r="Z35">
        <f t="shared" si="17"/>
        <v>3.328666483588417</v>
      </c>
      <c r="AA35">
        <f t="shared" si="18"/>
        <v>1.4277084578071952</v>
      </c>
      <c r="AB35">
        <f t="shared" si="19"/>
        <v>-24.366514065317155</v>
      </c>
      <c r="AC35">
        <f t="shared" si="20"/>
        <v>-229.97790458750083</v>
      </c>
      <c r="AD35">
        <f t="shared" si="21"/>
        <v>-21.97728470237174</v>
      </c>
      <c r="AE35">
        <f t="shared" si="22"/>
        <v>-0.20790818524048404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52528.5721492995</v>
      </c>
      <c r="AK35">
        <f t="shared" si="26"/>
        <v>1799.99</v>
      </c>
      <c r="AL35">
        <f t="shared" si="27"/>
        <v>1499.1032540023198</v>
      </c>
      <c r="AM35">
        <f t="shared" si="28"/>
        <v>0.83283976799999992</v>
      </c>
      <c r="AN35">
        <f t="shared" si="29"/>
        <v>0.15339740508000002</v>
      </c>
      <c r="AO35">
        <v>30</v>
      </c>
      <c r="AP35">
        <v>0.5</v>
      </c>
      <c r="AQ35" t="s">
        <v>331</v>
      </c>
      <c r="AR35">
        <v>2</v>
      </c>
      <c r="AS35">
        <v>1690292579.5999999</v>
      </c>
      <c r="AT35">
        <v>661.82799999999997</v>
      </c>
      <c r="AU35">
        <v>800.21699999999998</v>
      </c>
      <c r="AV35">
        <v>23.062200000000001</v>
      </c>
      <c r="AW35">
        <v>17.665400000000002</v>
      </c>
      <c r="AX35">
        <v>662.23299999999995</v>
      </c>
      <c r="AY35">
        <v>22.910799999999998</v>
      </c>
      <c r="AZ35">
        <v>300.05900000000003</v>
      </c>
      <c r="BA35">
        <v>99.350700000000003</v>
      </c>
      <c r="BB35">
        <v>9.9948200000000001E-2</v>
      </c>
      <c r="BC35">
        <v>25.770299999999999</v>
      </c>
      <c r="BD35">
        <v>27.874400000000001</v>
      </c>
      <c r="BE35">
        <v>27.097000000000001</v>
      </c>
      <c r="BF35">
        <v>0</v>
      </c>
      <c r="BG35">
        <v>0</v>
      </c>
      <c r="BH35">
        <v>9956.25</v>
      </c>
      <c r="BI35">
        <v>1074.68</v>
      </c>
      <c r="BJ35">
        <v>1.7941199999999999</v>
      </c>
      <c r="BK35">
        <v>-138.38800000000001</v>
      </c>
      <c r="BL35">
        <v>677.452</v>
      </c>
      <c r="BM35">
        <v>814.60699999999997</v>
      </c>
      <c r="BN35">
        <v>5.3967799999999997</v>
      </c>
      <c r="BO35">
        <v>800.21699999999998</v>
      </c>
      <c r="BP35">
        <v>17.665400000000002</v>
      </c>
      <c r="BQ35">
        <v>2.2912400000000002</v>
      </c>
      <c r="BR35">
        <v>1.7550699999999999</v>
      </c>
      <c r="BS35">
        <v>19.614999999999998</v>
      </c>
      <c r="BT35">
        <v>15.392300000000001</v>
      </c>
      <c r="BU35">
        <v>1799.99</v>
      </c>
      <c r="BV35">
        <v>0.90999699999999994</v>
      </c>
      <c r="BW35">
        <v>3.3997199999999998E-2</v>
      </c>
      <c r="BX35">
        <v>2.20004E-2</v>
      </c>
      <c r="BY35">
        <v>3.4005199999999999E-2</v>
      </c>
      <c r="BZ35">
        <v>25</v>
      </c>
      <c r="CA35">
        <v>33528.1</v>
      </c>
      <c r="CB35">
        <v>1690292073.5</v>
      </c>
      <c r="CC35" t="s">
        <v>332</v>
      </c>
      <c r="CD35">
        <v>1690292069.5</v>
      </c>
      <c r="CE35">
        <v>1690292073.5</v>
      </c>
      <c r="CF35">
        <v>4</v>
      </c>
      <c r="CG35">
        <v>-3.6999999999999998E-2</v>
      </c>
      <c r="CH35">
        <v>-1.6E-2</v>
      </c>
      <c r="CI35">
        <v>-0.45200000000000001</v>
      </c>
      <c r="CJ35">
        <v>0.108</v>
      </c>
      <c r="CK35">
        <v>730</v>
      </c>
      <c r="CL35">
        <v>18</v>
      </c>
      <c r="CM35">
        <v>0</v>
      </c>
      <c r="CN35">
        <v>0.01</v>
      </c>
      <c r="CO35">
        <v>-125.8865609756098</v>
      </c>
      <c r="CP35">
        <v>-68.01909407665562</v>
      </c>
      <c r="CQ35">
        <v>6.7071006859995501</v>
      </c>
      <c r="CR35">
        <v>-1</v>
      </c>
      <c r="CS35">
        <v>4.8444814634146338</v>
      </c>
      <c r="CT35">
        <v>2.8438927526132378</v>
      </c>
      <c r="CU35">
        <v>0.28102461640775661</v>
      </c>
      <c r="CV35">
        <v>-1</v>
      </c>
      <c r="CW35">
        <v>0</v>
      </c>
      <c r="CX35">
        <v>0</v>
      </c>
      <c r="CY35" t="s">
        <v>333</v>
      </c>
      <c r="CZ35">
        <v>2.3640699999999999</v>
      </c>
      <c r="DA35">
        <v>2.7136999999999998</v>
      </c>
      <c r="DB35">
        <v>0.12944900000000001</v>
      </c>
      <c r="DC35">
        <v>0.14680399999999999</v>
      </c>
      <c r="DD35">
        <v>0.111194</v>
      </c>
      <c r="DE35">
        <v>9.0602000000000002E-2</v>
      </c>
      <c r="DF35">
        <v>31785.7</v>
      </c>
      <c r="DG35">
        <v>27486.6</v>
      </c>
      <c r="DH35">
        <v>31170.3</v>
      </c>
      <c r="DI35">
        <v>28071.200000000001</v>
      </c>
      <c r="DJ35">
        <v>37610.5</v>
      </c>
      <c r="DK35">
        <v>36292.300000000003</v>
      </c>
      <c r="DL35">
        <v>44356.4</v>
      </c>
      <c r="DM35">
        <v>42539</v>
      </c>
      <c r="DN35">
        <v>1.4756</v>
      </c>
      <c r="DO35">
        <v>2.0647700000000002</v>
      </c>
      <c r="DP35">
        <v>0.128001</v>
      </c>
      <c r="DQ35">
        <v>0.10978400000000001</v>
      </c>
      <c r="DR35">
        <v>25.7805</v>
      </c>
      <c r="DS35">
        <v>25.299199999999999</v>
      </c>
      <c r="DT35">
        <v>58.8</v>
      </c>
      <c r="DU35">
        <v>28.2</v>
      </c>
      <c r="DV35">
        <v>22.722799999999999</v>
      </c>
      <c r="DW35">
        <v>61.853400000000001</v>
      </c>
      <c r="DX35">
        <v>35.308500000000002</v>
      </c>
      <c r="DY35">
        <v>1</v>
      </c>
      <c r="DZ35">
        <v>-9.5378599999999994E-2</v>
      </c>
      <c r="EA35">
        <v>2.9954100000000001</v>
      </c>
      <c r="EB35">
        <v>20.160499999999999</v>
      </c>
      <c r="EC35">
        <v>5.2398999999999996</v>
      </c>
      <c r="ED35">
        <v>12.039899999999999</v>
      </c>
      <c r="EE35">
        <v>5.0130499999999998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1.8688800000000001</v>
      </c>
      <c r="EL35">
        <v>1.8646</v>
      </c>
      <c r="EM35">
        <v>1.8692</v>
      </c>
      <c r="EN35">
        <v>1.86721</v>
      </c>
      <c r="EO35">
        <v>1.86337</v>
      </c>
      <c r="EP35">
        <v>1.86443</v>
      </c>
      <c r="EQ35">
        <v>1.87012</v>
      </c>
      <c r="ER35">
        <v>1.86937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-0.40500000000000003</v>
      </c>
      <c r="FG35">
        <v>0.15140000000000001</v>
      </c>
      <c r="FH35">
        <v>5.0310448532705943E-2</v>
      </c>
      <c r="FI35">
        <v>-6.1462078757559423E-4</v>
      </c>
      <c r="FJ35">
        <v>-1.8861989874597051E-7</v>
      </c>
      <c r="FK35">
        <v>1.1980462299894961E-10</v>
      </c>
      <c r="FL35">
        <v>0.15140825623214971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8.5</v>
      </c>
      <c r="FU35">
        <v>8.4</v>
      </c>
      <c r="FV35">
        <v>1.79199</v>
      </c>
      <c r="FW35">
        <v>2.5781200000000002</v>
      </c>
      <c r="FX35">
        <v>1.5490699999999999</v>
      </c>
      <c r="FY35">
        <v>2.3315399999999999</v>
      </c>
      <c r="FZ35">
        <v>1.50146</v>
      </c>
      <c r="GA35">
        <v>2.36694</v>
      </c>
      <c r="GB35">
        <v>32.886899999999997</v>
      </c>
      <c r="GC35">
        <v>23.982399999999998</v>
      </c>
      <c r="GD35">
        <v>19</v>
      </c>
      <c r="GE35">
        <v>281.98899999999998</v>
      </c>
      <c r="GF35">
        <v>604.75400000000002</v>
      </c>
      <c r="GG35">
        <v>20.0746</v>
      </c>
      <c r="GH35">
        <v>26.218699999999998</v>
      </c>
      <c r="GI35">
        <v>30.0002</v>
      </c>
      <c r="GJ35">
        <v>26.2073</v>
      </c>
      <c r="GK35">
        <v>26.148599999999998</v>
      </c>
      <c r="GL35">
        <v>35.822600000000001</v>
      </c>
      <c r="GM35">
        <v>32.285699999999999</v>
      </c>
      <c r="GN35">
        <v>91.496099999999998</v>
      </c>
      <c r="GO35">
        <v>20.1355</v>
      </c>
      <c r="GP35">
        <v>800</v>
      </c>
      <c r="GQ35">
        <v>17.437899999999999</v>
      </c>
      <c r="GR35">
        <v>99.729200000000006</v>
      </c>
      <c r="GS35">
        <v>99.520200000000003</v>
      </c>
    </row>
    <row r="36" spans="1:201" x14ac:dyDescent="0.25">
      <c r="A36">
        <v>20</v>
      </c>
      <c r="B36">
        <v>1690292589.5999999</v>
      </c>
      <c r="C36">
        <v>319</v>
      </c>
      <c r="D36" t="s">
        <v>373</v>
      </c>
      <c r="E36" t="s">
        <v>374</v>
      </c>
      <c r="F36" t="s">
        <v>330</v>
      </c>
      <c r="H36">
        <v>1690292589.5999999</v>
      </c>
      <c r="I36">
        <f t="shared" si="0"/>
        <v>6.1015487122710892E-4</v>
      </c>
      <c r="J36">
        <f t="shared" si="1"/>
        <v>0.61015487122710887</v>
      </c>
      <c r="K36">
        <f t="shared" si="2"/>
        <v>14.53083915971626</v>
      </c>
      <c r="L36">
        <f t="shared" si="3"/>
        <v>650.96199999999999</v>
      </c>
      <c r="M36">
        <f t="shared" si="4"/>
        <v>92.870622610425798</v>
      </c>
      <c r="N36">
        <f t="shared" si="5"/>
        <v>9.2358706365227459</v>
      </c>
      <c r="O36">
        <f t="shared" si="6"/>
        <v>64.737380371747193</v>
      </c>
      <c r="P36">
        <f t="shared" si="7"/>
        <v>4.2689395267501089E-2</v>
      </c>
      <c r="Q36">
        <f t="shared" si="8"/>
        <v>2.2584913648960754</v>
      </c>
      <c r="R36">
        <f t="shared" si="9"/>
        <v>4.2246139757978612E-2</v>
      </c>
      <c r="S36">
        <f t="shared" si="10"/>
        <v>2.6443278478474563E-2</v>
      </c>
      <c r="T36">
        <f t="shared" si="11"/>
        <v>276.1117477696032</v>
      </c>
      <c r="U36">
        <f t="shared" si="12"/>
        <v>27.588452613281863</v>
      </c>
      <c r="V36">
        <f t="shared" si="13"/>
        <v>27.588452613281863</v>
      </c>
      <c r="W36">
        <f t="shared" si="14"/>
        <v>3.7047419222136293</v>
      </c>
      <c r="X36">
        <f t="shared" si="15"/>
        <v>69.668081005057957</v>
      </c>
      <c r="Y36">
        <f t="shared" si="16"/>
        <v>2.31186602908608</v>
      </c>
      <c r="Z36">
        <f t="shared" si="17"/>
        <v>3.3184006157974073</v>
      </c>
      <c r="AA36">
        <f t="shared" si="18"/>
        <v>1.3928758931275493</v>
      </c>
      <c r="AB36">
        <f t="shared" si="19"/>
        <v>-26.907829821115502</v>
      </c>
      <c r="AC36">
        <f t="shared" si="20"/>
        <v>-227.72155882745611</v>
      </c>
      <c r="AD36">
        <f t="shared" si="21"/>
        <v>-21.684951728834744</v>
      </c>
      <c r="AE36">
        <f t="shared" si="22"/>
        <v>-0.20259260780315458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52793.165479928764</v>
      </c>
      <c r="AK36">
        <f t="shared" si="26"/>
        <v>1799.98</v>
      </c>
      <c r="AL36">
        <f t="shared" si="27"/>
        <v>1499.0963673886199</v>
      </c>
      <c r="AM36">
        <f t="shared" si="28"/>
        <v>0.83284056899999992</v>
      </c>
      <c r="AN36">
        <f t="shared" si="29"/>
        <v>0.15339711984000001</v>
      </c>
      <c r="AO36">
        <v>30</v>
      </c>
      <c r="AP36">
        <v>0.5</v>
      </c>
      <c r="AQ36" t="s">
        <v>331</v>
      </c>
      <c r="AR36">
        <v>2</v>
      </c>
      <c r="AS36">
        <v>1690292589.5999999</v>
      </c>
      <c r="AT36">
        <v>650.96199999999999</v>
      </c>
      <c r="AU36">
        <v>800.197</v>
      </c>
      <c r="AV36">
        <v>23.2468</v>
      </c>
      <c r="AW36">
        <v>17.288900000000002</v>
      </c>
      <c r="AX36">
        <v>651.35900000000004</v>
      </c>
      <c r="AY36">
        <v>23.095400000000001</v>
      </c>
      <c r="AZ36">
        <v>300.09100000000001</v>
      </c>
      <c r="BA36">
        <v>99.348799999999997</v>
      </c>
      <c r="BB36">
        <v>9.9985599999999994E-2</v>
      </c>
      <c r="BC36">
        <v>25.7182</v>
      </c>
      <c r="BD36">
        <v>27.813099999999999</v>
      </c>
      <c r="BE36">
        <v>27.026499999999999</v>
      </c>
      <c r="BF36">
        <v>0</v>
      </c>
      <c r="BG36">
        <v>0</v>
      </c>
      <c r="BH36">
        <v>10006.9</v>
      </c>
      <c r="BI36">
        <v>1073.58</v>
      </c>
      <c r="BJ36">
        <v>1.7941199999999999</v>
      </c>
      <c r="BK36">
        <v>-149.23500000000001</v>
      </c>
      <c r="BL36">
        <v>666.45500000000004</v>
      </c>
      <c r="BM36">
        <v>814.27499999999998</v>
      </c>
      <c r="BN36">
        <v>5.9578600000000002</v>
      </c>
      <c r="BO36">
        <v>800.197</v>
      </c>
      <c r="BP36">
        <v>17.288900000000002</v>
      </c>
      <c r="BQ36">
        <v>2.3095400000000001</v>
      </c>
      <c r="BR36">
        <v>1.71763</v>
      </c>
      <c r="BS36">
        <v>19.743099999999998</v>
      </c>
      <c r="BT36">
        <v>15.056699999999999</v>
      </c>
      <c r="BU36">
        <v>1799.98</v>
      </c>
      <c r="BV36">
        <v>0.91000800000000004</v>
      </c>
      <c r="BW36">
        <v>3.3993000000000002E-2</v>
      </c>
      <c r="BX36">
        <v>2.1997699999999999E-2</v>
      </c>
      <c r="BY36">
        <v>3.4001000000000003E-2</v>
      </c>
      <c r="BZ36">
        <v>25</v>
      </c>
      <c r="CA36">
        <v>33528.1</v>
      </c>
      <c r="CB36">
        <v>1690292073.5</v>
      </c>
      <c r="CC36" t="s">
        <v>332</v>
      </c>
      <c r="CD36">
        <v>1690292069.5</v>
      </c>
      <c r="CE36">
        <v>1690292073.5</v>
      </c>
      <c r="CF36">
        <v>4</v>
      </c>
      <c r="CG36">
        <v>-3.6999999999999998E-2</v>
      </c>
      <c r="CH36">
        <v>-1.6E-2</v>
      </c>
      <c r="CI36">
        <v>-0.45200000000000001</v>
      </c>
      <c r="CJ36">
        <v>0.108</v>
      </c>
      <c r="CK36">
        <v>730</v>
      </c>
      <c r="CL36">
        <v>18</v>
      </c>
      <c r="CM36">
        <v>0</v>
      </c>
      <c r="CN36">
        <v>0.01</v>
      </c>
      <c r="CO36">
        <v>-137.98525000000001</v>
      </c>
      <c r="CP36">
        <v>-66.98843527204474</v>
      </c>
      <c r="CQ36">
        <v>6.4443266900041616</v>
      </c>
      <c r="CR36">
        <v>-1</v>
      </c>
      <c r="CS36">
        <v>5.3794452499999998</v>
      </c>
      <c r="CT36">
        <v>3.1045360975609708</v>
      </c>
      <c r="CU36">
        <v>0.29912017879932062</v>
      </c>
      <c r="CV36">
        <v>-1</v>
      </c>
      <c r="CW36">
        <v>0</v>
      </c>
      <c r="CX36">
        <v>0</v>
      </c>
      <c r="CY36" t="s">
        <v>333</v>
      </c>
      <c r="CZ36">
        <v>2.36416</v>
      </c>
      <c r="DA36">
        <v>2.7137799999999999</v>
      </c>
      <c r="DB36">
        <v>0.127971</v>
      </c>
      <c r="DC36">
        <v>0.146789</v>
      </c>
      <c r="DD36">
        <v>0.111819</v>
      </c>
      <c r="DE36">
        <v>8.9204199999999997E-2</v>
      </c>
      <c r="DF36">
        <v>31839.3</v>
      </c>
      <c r="DG36">
        <v>27486.400000000001</v>
      </c>
      <c r="DH36">
        <v>31169.9</v>
      </c>
      <c r="DI36">
        <v>28070.6</v>
      </c>
      <c r="DJ36">
        <v>37583.199999999997</v>
      </c>
      <c r="DK36">
        <v>36347.4</v>
      </c>
      <c r="DL36">
        <v>44355.9</v>
      </c>
      <c r="DM36">
        <v>42538.1</v>
      </c>
      <c r="DN36">
        <v>1.4754499999999999</v>
      </c>
      <c r="DO36">
        <v>2.0638700000000001</v>
      </c>
      <c r="DP36">
        <v>0.12676399999999999</v>
      </c>
      <c r="DQ36">
        <v>0.108764</v>
      </c>
      <c r="DR36">
        <v>25.7392</v>
      </c>
      <c r="DS36">
        <v>25.2453</v>
      </c>
      <c r="DT36">
        <v>58.8</v>
      </c>
      <c r="DU36">
        <v>28.2</v>
      </c>
      <c r="DV36">
        <v>22.7226</v>
      </c>
      <c r="DW36">
        <v>61.933399999999999</v>
      </c>
      <c r="DX36">
        <v>34.715499999999999</v>
      </c>
      <c r="DY36">
        <v>1</v>
      </c>
      <c r="DZ36">
        <v>-9.4672300000000001E-2</v>
      </c>
      <c r="EA36">
        <v>2.76769</v>
      </c>
      <c r="EB36">
        <v>20.165500000000002</v>
      </c>
      <c r="EC36">
        <v>5.2411000000000003</v>
      </c>
      <c r="ED36">
        <v>12.039899999999999</v>
      </c>
      <c r="EE36">
        <v>5.0168499999999998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</v>
      </c>
      <c r="EL36">
        <v>1.8645700000000001</v>
      </c>
      <c r="EM36">
        <v>1.8691800000000001</v>
      </c>
      <c r="EN36">
        <v>1.8672200000000001</v>
      </c>
      <c r="EO36">
        <v>1.8633599999999999</v>
      </c>
      <c r="EP36">
        <v>1.8644499999999999</v>
      </c>
      <c r="EQ36">
        <v>1.8701300000000001</v>
      </c>
      <c r="ER36">
        <v>1.86937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-0.39700000000000002</v>
      </c>
      <c r="FG36">
        <v>0.15140000000000001</v>
      </c>
      <c r="FH36">
        <v>5.0310448532705943E-2</v>
      </c>
      <c r="FI36">
        <v>-6.1462078757559423E-4</v>
      </c>
      <c r="FJ36">
        <v>-1.8861989874597051E-7</v>
      </c>
      <c r="FK36">
        <v>1.1980462299894961E-10</v>
      </c>
      <c r="FL36">
        <v>0.15140825623214971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8.6999999999999993</v>
      </c>
      <c r="FU36">
        <v>8.6</v>
      </c>
      <c r="FV36">
        <v>1.79077</v>
      </c>
      <c r="FW36">
        <v>2.5744600000000002</v>
      </c>
      <c r="FX36">
        <v>1.5490699999999999</v>
      </c>
      <c r="FY36">
        <v>2.3315399999999999</v>
      </c>
      <c r="FZ36">
        <v>1.50146</v>
      </c>
      <c r="GA36">
        <v>2.3962400000000001</v>
      </c>
      <c r="GB36">
        <v>32.909199999999998</v>
      </c>
      <c r="GC36">
        <v>23.982399999999998</v>
      </c>
      <c r="GD36">
        <v>19</v>
      </c>
      <c r="GE36">
        <v>281.964</v>
      </c>
      <c r="GF36">
        <v>604.05999999999995</v>
      </c>
      <c r="GG36">
        <v>20.198899999999998</v>
      </c>
      <c r="GH36">
        <v>26.227</v>
      </c>
      <c r="GI36">
        <v>30.000399999999999</v>
      </c>
      <c r="GJ36">
        <v>26.216100000000001</v>
      </c>
      <c r="GK36">
        <v>26.154599999999999</v>
      </c>
      <c r="GL36">
        <v>35.809699999999999</v>
      </c>
      <c r="GM36">
        <v>34.146099999999997</v>
      </c>
      <c r="GN36">
        <v>91.117699999999999</v>
      </c>
      <c r="GO36">
        <v>20.2654</v>
      </c>
      <c r="GP36">
        <v>800</v>
      </c>
      <c r="GQ36">
        <v>16.961600000000001</v>
      </c>
      <c r="GR36">
        <v>99.727999999999994</v>
      </c>
      <c r="GS36">
        <v>99.518100000000004</v>
      </c>
    </row>
    <row r="37" spans="1:201" x14ac:dyDescent="0.25">
      <c r="A37">
        <v>21</v>
      </c>
      <c r="B37">
        <v>1690292599.5999999</v>
      </c>
      <c r="C37">
        <v>329</v>
      </c>
      <c r="D37" t="s">
        <v>375</v>
      </c>
      <c r="E37" t="s">
        <v>376</v>
      </c>
      <c r="F37" t="s">
        <v>330</v>
      </c>
      <c r="H37">
        <v>1690292599.5999999</v>
      </c>
      <c r="I37">
        <f t="shared" si="0"/>
        <v>6.7231344705968421E-4</v>
      </c>
      <c r="J37">
        <f t="shared" si="1"/>
        <v>0.67231344705968421</v>
      </c>
      <c r="K37">
        <f t="shared" si="2"/>
        <v>15.529082827717927</v>
      </c>
      <c r="L37">
        <f t="shared" si="3"/>
        <v>640.67899999999997</v>
      </c>
      <c r="M37">
        <f t="shared" si="4"/>
        <v>112.27690401615602</v>
      </c>
      <c r="N37">
        <f t="shared" si="5"/>
        <v>11.165672120421103</v>
      </c>
      <c r="O37">
        <f t="shared" si="6"/>
        <v>63.714008781448996</v>
      </c>
      <c r="P37">
        <f t="shared" si="7"/>
        <v>4.8273893661343964E-2</v>
      </c>
      <c r="Q37">
        <f t="shared" si="8"/>
        <v>2.2587206128153436</v>
      </c>
      <c r="R37">
        <f t="shared" si="9"/>
        <v>4.7707967994406186E-2</v>
      </c>
      <c r="S37">
        <f t="shared" si="10"/>
        <v>2.9867773306215258E-2</v>
      </c>
      <c r="T37">
        <f t="shared" si="11"/>
        <v>276.11317795337817</v>
      </c>
      <c r="U37">
        <f t="shared" si="12"/>
        <v>27.517699593411258</v>
      </c>
      <c r="V37">
        <f t="shared" si="13"/>
        <v>27.517699593411258</v>
      </c>
      <c r="W37">
        <f t="shared" si="14"/>
        <v>3.6894419005372883</v>
      </c>
      <c r="X37">
        <f t="shared" si="15"/>
        <v>70.436068236699938</v>
      </c>
      <c r="Y37">
        <f t="shared" si="16"/>
        <v>2.3304160058016001</v>
      </c>
      <c r="Z37">
        <f t="shared" si="17"/>
        <v>3.3085549266751415</v>
      </c>
      <c r="AA37">
        <f t="shared" si="18"/>
        <v>1.3590258947356881</v>
      </c>
      <c r="AB37">
        <f t="shared" si="19"/>
        <v>-29.649023015332073</v>
      </c>
      <c r="AC37">
        <f t="shared" si="20"/>
        <v>-225.22971113503189</v>
      </c>
      <c r="AD37">
        <f t="shared" si="21"/>
        <v>-21.432511253457989</v>
      </c>
      <c r="AE37">
        <f t="shared" si="22"/>
        <v>-0.19806745044377294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52810.997128583535</v>
      </c>
      <c r="AK37">
        <f t="shared" si="26"/>
        <v>1799.99</v>
      </c>
      <c r="AL37">
        <f t="shared" si="27"/>
        <v>1499.10233600742</v>
      </c>
      <c r="AM37">
        <f t="shared" si="28"/>
        <v>0.83283925800000003</v>
      </c>
      <c r="AN37">
        <f t="shared" si="29"/>
        <v>0.15339706217999999</v>
      </c>
      <c r="AO37">
        <v>30</v>
      </c>
      <c r="AP37">
        <v>0.5</v>
      </c>
      <c r="AQ37" t="s">
        <v>331</v>
      </c>
      <c r="AR37">
        <v>2</v>
      </c>
      <c r="AS37">
        <v>1690292599.5999999</v>
      </c>
      <c r="AT37">
        <v>640.67899999999997</v>
      </c>
      <c r="AU37">
        <v>800.19</v>
      </c>
      <c r="AV37">
        <v>23.433599999999998</v>
      </c>
      <c r="AW37">
        <v>16.871600000000001</v>
      </c>
      <c r="AX37">
        <v>641.06899999999996</v>
      </c>
      <c r="AY37">
        <v>23.2821</v>
      </c>
      <c r="AZ37">
        <v>300.16399999999999</v>
      </c>
      <c r="BA37">
        <v>99.3476</v>
      </c>
      <c r="BB37">
        <v>0.10003099999999999</v>
      </c>
      <c r="BC37">
        <v>25.668099999999999</v>
      </c>
      <c r="BD37">
        <v>27.753</v>
      </c>
      <c r="BE37">
        <v>26.9895</v>
      </c>
      <c r="BF37">
        <v>0</v>
      </c>
      <c r="BG37">
        <v>0</v>
      </c>
      <c r="BH37">
        <v>10008.799999999999</v>
      </c>
      <c r="BI37">
        <v>1072.46</v>
      </c>
      <c r="BJ37">
        <v>1.7941199999999999</v>
      </c>
      <c r="BK37">
        <v>-159.511</v>
      </c>
      <c r="BL37">
        <v>656.053</v>
      </c>
      <c r="BM37">
        <v>813.92200000000003</v>
      </c>
      <c r="BN37">
        <v>6.5619300000000003</v>
      </c>
      <c r="BO37">
        <v>800.19</v>
      </c>
      <c r="BP37">
        <v>16.871600000000001</v>
      </c>
      <c r="BQ37">
        <v>2.3280699999999999</v>
      </c>
      <c r="BR37">
        <v>1.6761600000000001</v>
      </c>
      <c r="BS37">
        <v>19.8719</v>
      </c>
      <c r="BT37">
        <v>14.677300000000001</v>
      </c>
      <c r="BU37">
        <v>1799.99</v>
      </c>
      <c r="BV37">
        <v>0.91000199999999998</v>
      </c>
      <c r="BW37">
        <v>3.4007999999999997E-2</v>
      </c>
      <c r="BX37">
        <v>2.1994400000000001E-2</v>
      </c>
      <c r="BY37">
        <v>3.39958E-2</v>
      </c>
      <c r="BZ37">
        <v>25</v>
      </c>
      <c r="CA37">
        <v>33528.199999999997</v>
      </c>
      <c r="CB37">
        <v>1690292073.5</v>
      </c>
      <c r="CC37" t="s">
        <v>332</v>
      </c>
      <c r="CD37">
        <v>1690292069.5</v>
      </c>
      <c r="CE37">
        <v>1690292073.5</v>
      </c>
      <c r="CF37">
        <v>4</v>
      </c>
      <c r="CG37">
        <v>-3.6999999999999998E-2</v>
      </c>
      <c r="CH37">
        <v>-1.6E-2</v>
      </c>
      <c r="CI37">
        <v>-0.45200000000000001</v>
      </c>
      <c r="CJ37">
        <v>0.108</v>
      </c>
      <c r="CK37">
        <v>730</v>
      </c>
      <c r="CL37">
        <v>18</v>
      </c>
      <c r="CM37">
        <v>0</v>
      </c>
      <c r="CN37">
        <v>0.01</v>
      </c>
      <c r="CO37">
        <v>-148.868225</v>
      </c>
      <c r="CP37">
        <v>-63.668476547842452</v>
      </c>
      <c r="CQ37">
        <v>6.12564538839582</v>
      </c>
      <c r="CR37">
        <v>-1</v>
      </c>
      <c r="CS37">
        <v>5.9387774999999996</v>
      </c>
      <c r="CT37">
        <v>3.6059020637898498</v>
      </c>
      <c r="CU37">
        <v>0.34714062141839591</v>
      </c>
      <c r="CV37">
        <v>-1</v>
      </c>
      <c r="CW37">
        <v>0</v>
      </c>
      <c r="CX37">
        <v>0</v>
      </c>
      <c r="CY37" t="s">
        <v>333</v>
      </c>
      <c r="CZ37">
        <v>2.36442</v>
      </c>
      <c r="DA37">
        <v>2.7138300000000002</v>
      </c>
      <c r="DB37">
        <v>0.12656300000000001</v>
      </c>
      <c r="DC37">
        <v>0.14677599999999999</v>
      </c>
      <c r="DD37">
        <v>0.112451</v>
      </c>
      <c r="DE37">
        <v>8.7642100000000001E-2</v>
      </c>
      <c r="DF37">
        <v>31890.2</v>
      </c>
      <c r="DG37">
        <v>27486.3</v>
      </c>
      <c r="DH37">
        <v>31169.4</v>
      </c>
      <c r="DI37">
        <v>28070.1</v>
      </c>
      <c r="DJ37">
        <v>37555.1</v>
      </c>
      <c r="DK37">
        <v>36409.199999999997</v>
      </c>
      <c r="DL37">
        <v>44354.8</v>
      </c>
      <c r="DM37">
        <v>42537.3</v>
      </c>
      <c r="DN37">
        <v>1.4759199999999999</v>
      </c>
      <c r="DO37">
        <v>2.0631300000000001</v>
      </c>
      <c r="DP37">
        <v>0.12554599999999999</v>
      </c>
      <c r="DQ37">
        <v>0.109587</v>
      </c>
      <c r="DR37">
        <v>25.698899999999998</v>
      </c>
      <c r="DS37">
        <v>25.194700000000001</v>
      </c>
      <c r="DT37">
        <v>58.8</v>
      </c>
      <c r="DU37">
        <v>28.2</v>
      </c>
      <c r="DV37">
        <v>22.724599999999999</v>
      </c>
      <c r="DW37">
        <v>61.7134</v>
      </c>
      <c r="DX37">
        <v>34.034500000000001</v>
      </c>
      <c r="DY37">
        <v>1</v>
      </c>
      <c r="DZ37">
        <v>-9.4001500000000002E-2</v>
      </c>
      <c r="EA37">
        <v>2.5931299999999999</v>
      </c>
      <c r="EB37">
        <v>20.168399999999998</v>
      </c>
      <c r="EC37">
        <v>5.2413999999999996</v>
      </c>
      <c r="ED37">
        <v>12.039899999999999</v>
      </c>
      <c r="EE37">
        <v>5.01715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1.8688899999999999</v>
      </c>
      <c r="EL37">
        <v>1.86459</v>
      </c>
      <c r="EM37">
        <v>1.8691800000000001</v>
      </c>
      <c r="EN37">
        <v>1.8672</v>
      </c>
      <c r="EO37">
        <v>1.8633900000000001</v>
      </c>
      <c r="EP37">
        <v>1.86446</v>
      </c>
      <c r="EQ37">
        <v>1.8701300000000001</v>
      </c>
      <c r="ER37">
        <v>1.8693500000000001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-0.39</v>
      </c>
      <c r="FG37">
        <v>0.1515</v>
      </c>
      <c r="FH37">
        <v>5.0310448532705943E-2</v>
      </c>
      <c r="FI37">
        <v>-6.1462078757559423E-4</v>
      </c>
      <c r="FJ37">
        <v>-1.8861989874597051E-7</v>
      </c>
      <c r="FK37">
        <v>1.1980462299894961E-10</v>
      </c>
      <c r="FL37">
        <v>0.15140825623214971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8.8000000000000007</v>
      </c>
      <c r="FU37">
        <v>8.8000000000000007</v>
      </c>
      <c r="FV37">
        <v>1.79077</v>
      </c>
      <c r="FW37">
        <v>2.5793499999999998</v>
      </c>
      <c r="FX37">
        <v>1.5490699999999999</v>
      </c>
      <c r="FY37">
        <v>2.3315399999999999</v>
      </c>
      <c r="FZ37">
        <v>1.50146</v>
      </c>
      <c r="GA37">
        <v>2.4060100000000002</v>
      </c>
      <c r="GB37">
        <v>32.909199999999998</v>
      </c>
      <c r="GC37">
        <v>23.982399999999998</v>
      </c>
      <c r="GD37">
        <v>19</v>
      </c>
      <c r="GE37">
        <v>282.202</v>
      </c>
      <c r="GF37">
        <v>603.48800000000006</v>
      </c>
      <c r="GG37">
        <v>20.331099999999999</v>
      </c>
      <c r="GH37">
        <v>26.2332</v>
      </c>
      <c r="GI37">
        <v>30.000599999999999</v>
      </c>
      <c r="GJ37">
        <v>26.224299999999999</v>
      </c>
      <c r="GK37">
        <v>26.16</v>
      </c>
      <c r="GL37">
        <v>35.794400000000003</v>
      </c>
      <c r="GM37">
        <v>35.944600000000001</v>
      </c>
      <c r="GN37">
        <v>91.117699999999999</v>
      </c>
      <c r="GO37">
        <v>20.388999999999999</v>
      </c>
      <c r="GP37">
        <v>800</v>
      </c>
      <c r="GQ37">
        <v>16.538</v>
      </c>
      <c r="GR37">
        <v>99.725899999999996</v>
      </c>
      <c r="GS37">
        <v>99.516199999999998</v>
      </c>
    </row>
    <row r="38" spans="1:201" x14ac:dyDescent="0.25">
      <c r="A38">
        <v>22</v>
      </c>
      <c r="B38">
        <v>1690292609.5999999</v>
      </c>
      <c r="C38">
        <v>339</v>
      </c>
      <c r="D38" t="s">
        <v>377</v>
      </c>
      <c r="E38" t="s">
        <v>378</v>
      </c>
      <c r="F38" t="s">
        <v>330</v>
      </c>
      <c r="H38">
        <v>1690292609.5999999</v>
      </c>
      <c r="I38">
        <f t="shared" si="0"/>
        <v>7.4684726265495673E-4</v>
      </c>
      <c r="J38">
        <f t="shared" si="1"/>
        <v>0.74684726265495671</v>
      </c>
      <c r="K38">
        <f t="shared" si="2"/>
        <v>16.451450817856422</v>
      </c>
      <c r="L38">
        <f t="shared" si="3"/>
        <v>631.13699999999994</v>
      </c>
      <c r="M38">
        <f t="shared" si="4"/>
        <v>139.0858250384299</v>
      </c>
      <c r="N38">
        <f t="shared" si="5"/>
        <v>13.831796836070724</v>
      </c>
      <c r="O38">
        <f t="shared" si="6"/>
        <v>62.765265671861989</v>
      </c>
      <c r="P38">
        <f t="shared" si="7"/>
        <v>5.5060639292116277E-2</v>
      </c>
      <c r="Q38">
        <f t="shared" si="8"/>
        <v>2.2597677945529062</v>
      </c>
      <c r="R38">
        <f t="shared" si="9"/>
        <v>5.432604507763298E-2</v>
      </c>
      <c r="S38">
        <f t="shared" si="10"/>
        <v>3.4018961998050164E-2</v>
      </c>
      <c r="T38">
        <f t="shared" si="11"/>
        <v>276.11272185391209</v>
      </c>
      <c r="U38">
        <f t="shared" si="12"/>
        <v>27.448625297898808</v>
      </c>
      <c r="V38">
        <f t="shared" si="13"/>
        <v>27.448625297898808</v>
      </c>
      <c r="W38">
        <f t="shared" si="14"/>
        <v>3.6745581194505896</v>
      </c>
      <c r="X38">
        <f t="shared" si="15"/>
        <v>71.176047480678804</v>
      </c>
      <c r="Y38">
        <f t="shared" si="16"/>
        <v>2.3488008954384001</v>
      </c>
      <c r="Z38">
        <f t="shared" si="17"/>
        <v>3.2999878169351806</v>
      </c>
      <c r="AA38">
        <f t="shared" si="18"/>
        <v>1.3257572240121895</v>
      </c>
      <c r="AB38">
        <f t="shared" si="19"/>
        <v>-32.935964283083592</v>
      </c>
      <c r="AC38">
        <f t="shared" si="20"/>
        <v>-222.24281657194018</v>
      </c>
      <c r="AD38">
        <f t="shared" si="21"/>
        <v>-21.126544068712366</v>
      </c>
      <c r="AE38">
        <f t="shared" si="22"/>
        <v>-0.1926030698240595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52859.869515047183</v>
      </c>
      <c r="AK38">
        <f t="shared" si="26"/>
        <v>1799.99</v>
      </c>
      <c r="AL38">
        <f t="shared" si="27"/>
        <v>1499.1040387979601</v>
      </c>
      <c r="AM38">
        <f t="shared" si="28"/>
        <v>0.83284020400000003</v>
      </c>
      <c r="AN38">
        <f t="shared" si="29"/>
        <v>0.15339680879000001</v>
      </c>
      <c r="AO38">
        <v>30</v>
      </c>
      <c r="AP38">
        <v>0.5</v>
      </c>
      <c r="AQ38" t="s">
        <v>331</v>
      </c>
      <c r="AR38">
        <v>2</v>
      </c>
      <c r="AS38">
        <v>1690292609.5999999</v>
      </c>
      <c r="AT38">
        <v>631.13699999999994</v>
      </c>
      <c r="AU38">
        <v>800.173</v>
      </c>
      <c r="AV38">
        <v>23.618400000000001</v>
      </c>
      <c r="AW38">
        <v>16.334599999999998</v>
      </c>
      <c r="AX38">
        <v>631.52</v>
      </c>
      <c r="AY38">
        <v>23.466999999999999</v>
      </c>
      <c r="AZ38">
        <v>300.34100000000001</v>
      </c>
      <c r="BA38">
        <v>99.347899999999996</v>
      </c>
      <c r="BB38">
        <v>0.100026</v>
      </c>
      <c r="BC38">
        <v>25.624400000000001</v>
      </c>
      <c r="BD38">
        <v>27.688500000000001</v>
      </c>
      <c r="BE38">
        <v>26.950600000000001</v>
      </c>
      <c r="BF38">
        <v>0</v>
      </c>
      <c r="BG38">
        <v>0</v>
      </c>
      <c r="BH38">
        <v>10016.9</v>
      </c>
      <c r="BI38">
        <v>1071.4000000000001</v>
      </c>
      <c r="BJ38">
        <v>1.7941199999999999</v>
      </c>
      <c r="BK38">
        <v>-169.036</v>
      </c>
      <c r="BL38">
        <v>646.404</v>
      </c>
      <c r="BM38">
        <v>813.46100000000001</v>
      </c>
      <c r="BN38">
        <v>7.2838200000000004</v>
      </c>
      <c r="BO38">
        <v>800.173</v>
      </c>
      <c r="BP38">
        <v>16.334599999999998</v>
      </c>
      <c r="BQ38">
        <v>2.3464399999999999</v>
      </c>
      <c r="BR38">
        <v>1.6228100000000001</v>
      </c>
      <c r="BS38">
        <v>19.998799999999999</v>
      </c>
      <c r="BT38">
        <v>14.177099999999999</v>
      </c>
      <c r="BU38">
        <v>1799.99</v>
      </c>
      <c r="BV38">
        <v>0.91001299999999996</v>
      </c>
      <c r="BW38">
        <v>3.4003899999999997E-2</v>
      </c>
      <c r="BX38">
        <v>2.1991699999999999E-2</v>
      </c>
      <c r="BY38">
        <v>3.39917E-2</v>
      </c>
      <c r="BZ38">
        <v>25</v>
      </c>
      <c r="CA38">
        <v>33528.300000000003</v>
      </c>
      <c r="CB38">
        <v>1690292073.5</v>
      </c>
      <c r="CC38" t="s">
        <v>332</v>
      </c>
      <c r="CD38">
        <v>1690292069.5</v>
      </c>
      <c r="CE38">
        <v>1690292073.5</v>
      </c>
      <c r="CF38">
        <v>4</v>
      </c>
      <c r="CG38">
        <v>-3.6999999999999998E-2</v>
      </c>
      <c r="CH38">
        <v>-1.6E-2</v>
      </c>
      <c r="CI38">
        <v>-0.45200000000000001</v>
      </c>
      <c r="CJ38">
        <v>0.108</v>
      </c>
      <c r="CK38">
        <v>730</v>
      </c>
      <c r="CL38">
        <v>18</v>
      </c>
      <c r="CM38">
        <v>0</v>
      </c>
      <c r="CN38">
        <v>0.01</v>
      </c>
      <c r="CO38">
        <v>-158.16295</v>
      </c>
      <c r="CP38">
        <v>-60.266634146341246</v>
      </c>
      <c r="CQ38">
        <v>5.7981216007858949</v>
      </c>
      <c r="CR38">
        <v>-1</v>
      </c>
      <c r="CS38">
        <v>6.5002804999999997</v>
      </c>
      <c r="CT38">
        <v>3.8618978611632229</v>
      </c>
      <c r="CU38">
        <v>0.37199803778346741</v>
      </c>
      <c r="CV38">
        <v>-1</v>
      </c>
      <c r="CW38">
        <v>0</v>
      </c>
      <c r="CX38">
        <v>0</v>
      </c>
      <c r="CY38" t="s">
        <v>333</v>
      </c>
      <c r="CZ38">
        <v>2.36496</v>
      </c>
      <c r="DA38">
        <v>2.7138399999999998</v>
      </c>
      <c r="DB38">
        <v>0.125248</v>
      </c>
      <c r="DC38">
        <v>0.146762</v>
      </c>
      <c r="DD38">
        <v>0.11307499999999999</v>
      </c>
      <c r="DE38">
        <v>8.5611499999999993E-2</v>
      </c>
      <c r="DF38">
        <v>31937.599999999999</v>
      </c>
      <c r="DG38">
        <v>27486.2</v>
      </c>
      <c r="DH38">
        <v>31168.799999999999</v>
      </c>
      <c r="DI38">
        <v>28069.599999999999</v>
      </c>
      <c r="DJ38">
        <v>37527.800000000003</v>
      </c>
      <c r="DK38">
        <v>36490</v>
      </c>
      <c r="DL38">
        <v>44354.2</v>
      </c>
      <c r="DM38">
        <v>42536.800000000003</v>
      </c>
      <c r="DN38">
        <v>1.47665</v>
      </c>
      <c r="DO38">
        <v>2.0623</v>
      </c>
      <c r="DP38">
        <v>0.123944</v>
      </c>
      <c r="DQ38">
        <v>0.110097</v>
      </c>
      <c r="DR38">
        <v>25.660499999999999</v>
      </c>
      <c r="DS38">
        <v>25.147300000000001</v>
      </c>
      <c r="DT38">
        <v>58.8</v>
      </c>
      <c r="DU38">
        <v>28.2</v>
      </c>
      <c r="DV38">
        <v>22.7226</v>
      </c>
      <c r="DW38">
        <v>61.553400000000003</v>
      </c>
      <c r="DX38">
        <v>33.605800000000002</v>
      </c>
      <c r="DY38">
        <v>1</v>
      </c>
      <c r="DZ38">
        <v>-9.4067600000000001E-2</v>
      </c>
      <c r="EA38">
        <v>2.4309599999999998</v>
      </c>
      <c r="EB38">
        <v>20.171099999999999</v>
      </c>
      <c r="EC38">
        <v>5.2411000000000003</v>
      </c>
      <c r="ED38">
        <v>12.039899999999999</v>
      </c>
      <c r="EE38">
        <v>5.0167000000000002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</v>
      </c>
      <c r="EL38">
        <v>1.8646</v>
      </c>
      <c r="EM38">
        <v>1.8691899999999999</v>
      </c>
      <c r="EN38">
        <v>1.8671899999999999</v>
      </c>
      <c r="EO38">
        <v>1.86338</v>
      </c>
      <c r="EP38">
        <v>1.86446</v>
      </c>
      <c r="EQ38">
        <v>1.8701300000000001</v>
      </c>
      <c r="ER38">
        <v>1.86937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-0.38300000000000001</v>
      </c>
      <c r="FG38">
        <v>0.15140000000000001</v>
      </c>
      <c r="FH38">
        <v>5.0310448532705943E-2</v>
      </c>
      <c r="FI38">
        <v>-6.1462078757559423E-4</v>
      </c>
      <c r="FJ38">
        <v>-1.8861989874597051E-7</v>
      </c>
      <c r="FK38">
        <v>1.1980462299894961E-10</v>
      </c>
      <c r="FL38">
        <v>0.15140825623214971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9</v>
      </c>
      <c r="FU38">
        <v>8.9</v>
      </c>
      <c r="FV38">
        <v>1.78955</v>
      </c>
      <c r="FW38">
        <v>2.5830099999999998</v>
      </c>
      <c r="FX38">
        <v>1.5490699999999999</v>
      </c>
      <c r="FY38">
        <v>2.3315399999999999</v>
      </c>
      <c r="FZ38">
        <v>1.50146</v>
      </c>
      <c r="GA38">
        <v>2.36084</v>
      </c>
      <c r="GB38">
        <v>32.909199999999998</v>
      </c>
      <c r="GC38">
        <v>23.973700000000001</v>
      </c>
      <c r="GD38">
        <v>19</v>
      </c>
      <c r="GE38">
        <v>282.54199999999997</v>
      </c>
      <c r="GF38">
        <v>602.84100000000001</v>
      </c>
      <c r="GG38">
        <v>20.464400000000001</v>
      </c>
      <c r="GH38">
        <v>26.238199999999999</v>
      </c>
      <c r="GI38">
        <v>30.0002</v>
      </c>
      <c r="GJ38">
        <v>26.2315</v>
      </c>
      <c r="GK38">
        <v>26.164400000000001</v>
      </c>
      <c r="GL38">
        <v>35.7821</v>
      </c>
      <c r="GM38">
        <v>38.0672</v>
      </c>
      <c r="GN38">
        <v>90.744900000000001</v>
      </c>
      <c r="GO38">
        <v>20.513400000000001</v>
      </c>
      <c r="GP38">
        <v>800</v>
      </c>
      <c r="GQ38">
        <v>15.9847</v>
      </c>
      <c r="GR38">
        <v>99.724299999999999</v>
      </c>
      <c r="GS38">
        <v>99.514899999999997</v>
      </c>
    </row>
    <row r="39" spans="1:201" x14ac:dyDescent="0.25">
      <c r="A39">
        <v>23</v>
      </c>
      <c r="B39">
        <v>1690292619.5999999</v>
      </c>
      <c r="C39">
        <v>349</v>
      </c>
      <c r="D39" t="s">
        <v>379</v>
      </c>
      <c r="E39" t="s">
        <v>380</v>
      </c>
      <c r="F39" t="s">
        <v>330</v>
      </c>
      <c r="H39">
        <v>1690292619.5999999</v>
      </c>
      <c r="I39">
        <f t="shared" si="0"/>
        <v>8.1928265955424592E-4</v>
      </c>
      <c r="J39">
        <f t="shared" si="1"/>
        <v>0.81928265955424595</v>
      </c>
      <c r="K39">
        <f t="shared" si="2"/>
        <v>17.277658372448876</v>
      </c>
      <c r="L39">
        <f t="shared" si="3"/>
        <v>622.50699999999995</v>
      </c>
      <c r="M39">
        <f t="shared" si="4"/>
        <v>160.49651390890796</v>
      </c>
      <c r="N39">
        <f t="shared" si="5"/>
        <v>15.960950585031329</v>
      </c>
      <c r="O39">
        <f t="shared" si="6"/>
        <v>61.906662168844989</v>
      </c>
      <c r="P39">
        <f t="shared" si="7"/>
        <v>6.1738380116022763E-2</v>
      </c>
      <c r="Q39">
        <f t="shared" si="8"/>
        <v>2.2550829069363481</v>
      </c>
      <c r="R39">
        <f t="shared" si="9"/>
        <v>6.0814522353641376E-2</v>
      </c>
      <c r="S39">
        <f t="shared" si="10"/>
        <v>3.8090929757894937E-2</v>
      </c>
      <c r="T39">
        <f t="shared" si="11"/>
        <v>276.1149303876424</v>
      </c>
      <c r="U39">
        <f t="shared" si="12"/>
        <v>27.405032175403704</v>
      </c>
      <c r="V39">
        <f t="shared" si="13"/>
        <v>27.405032175403704</v>
      </c>
      <c r="W39">
        <f t="shared" si="14"/>
        <v>3.6651918873786662</v>
      </c>
      <c r="X39">
        <f t="shared" si="15"/>
        <v>71.798042540413974</v>
      </c>
      <c r="Y39">
        <f t="shared" si="16"/>
        <v>2.3660808285204999</v>
      </c>
      <c r="Z39">
        <f t="shared" si="17"/>
        <v>3.2954670417214658</v>
      </c>
      <c r="AA39">
        <f t="shared" si="18"/>
        <v>1.2991110588581662</v>
      </c>
      <c r="AB39">
        <f t="shared" si="19"/>
        <v>-36.130365286342247</v>
      </c>
      <c r="AC39">
        <f t="shared" si="20"/>
        <v>-219.29059648940159</v>
      </c>
      <c r="AD39">
        <f t="shared" si="21"/>
        <v>-20.882230953325568</v>
      </c>
      <c r="AE39">
        <f t="shared" si="22"/>
        <v>-0.18826234142701992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52680.033169346636</v>
      </c>
      <c r="AK39">
        <f t="shared" si="26"/>
        <v>1799.99</v>
      </c>
      <c r="AL39">
        <f t="shared" si="27"/>
        <v>1499.10630138539</v>
      </c>
      <c r="AM39">
        <f t="shared" si="28"/>
        <v>0.83284146100000001</v>
      </c>
      <c r="AN39">
        <f t="shared" si="29"/>
        <v>0.15339803576</v>
      </c>
      <c r="AO39">
        <v>30</v>
      </c>
      <c r="AP39">
        <v>0.5</v>
      </c>
      <c r="AQ39" t="s">
        <v>331</v>
      </c>
      <c r="AR39">
        <v>2</v>
      </c>
      <c r="AS39">
        <v>1690292619.5999999</v>
      </c>
      <c r="AT39">
        <v>622.50699999999995</v>
      </c>
      <c r="AU39">
        <v>800.24800000000005</v>
      </c>
      <c r="AV39">
        <v>23.792300000000001</v>
      </c>
      <c r="AW39">
        <v>15.8005</v>
      </c>
      <c r="AX39">
        <v>622.88400000000001</v>
      </c>
      <c r="AY39">
        <v>23.640799999999999</v>
      </c>
      <c r="AZ39">
        <v>300.22899999999998</v>
      </c>
      <c r="BA39">
        <v>99.347399999999993</v>
      </c>
      <c r="BB39">
        <v>9.9934999999999996E-2</v>
      </c>
      <c r="BC39">
        <v>25.601299999999998</v>
      </c>
      <c r="BD39">
        <v>27.663499999999999</v>
      </c>
      <c r="BE39">
        <v>26.911799999999999</v>
      </c>
      <c r="BF39">
        <v>0</v>
      </c>
      <c r="BG39">
        <v>0</v>
      </c>
      <c r="BH39">
        <v>9980.6200000000008</v>
      </c>
      <c r="BI39">
        <v>1070.48</v>
      </c>
      <c r="BJ39">
        <v>1.7941199999999999</v>
      </c>
      <c r="BK39">
        <v>-177.74</v>
      </c>
      <c r="BL39">
        <v>637.67899999999997</v>
      </c>
      <c r="BM39">
        <v>813.09500000000003</v>
      </c>
      <c r="BN39">
        <v>7.9917999999999996</v>
      </c>
      <c r="BO39">
        <v>800.24800000000005</v>
      </c>
      <c r="BP39">
        <v>15.8005</v>
      </c>
      <c r="BQ39">
        <v>2.3637000000000001</v>
      </c>
      <c r="BR39">
        <v>1.5697300000000001</v>
      </c>
      <c r="BS39">
        <v>20.1172</v>
      </c>
      <c r="BT39">
        <v>13.664899999999999</v>
      </c>
      <c r="BU39">
        <v>1799.99</v>
      </c>
      <c r="BV39">
        <v>0.91000300000000001</v>
      </c>
      <c r="BW39">
        <v>3.4000000000000002E-2</v>
      </c>
      <c r="BX39">
        <v>2.2009299999999999E-2</v>
      </c>
      <c r="BY39">
        <v>3.3987799999999999E-2</v>
      </c>
      <c r="BZ39">
        <v>25</v>
      </c>
      <c r="CA39">
        <v>33528.1</v>
      </c>
      <c r="CB39">
        <v>1690292073.5</v>
      </c>
      <c r="CC39" t="s">
        <v>332</v>
      </c>
      <c r="CD39">
        <v>1690292069.5</v>
      </c>
      <c r="CE39">
        <v>1690292073.5</v>
      </c>
      <c r="CF39">
        <v>4</v>
      </c>
      <c r="CG39">
        <v>-3.6999999999999998E-2</v>
      </c>
      <c r="CH39">
        <v>-1.6E-2</v>
      </c>
      <c r="CI39">
        <v>-0.45200000000000001</v>
      </c>
      <c r="CJ39">
        <v>0.108</v>
      </c>
      <c r="CK39">
        <v>730</v>
      </c>
      <c r="CL39">
        <v>18</v>
      </c>
      <c r="CM39">
        <v>0</v>
      </c>
      <c r="CN39">
        <v>0.01</v>
      </c>
      <c r="CO39">
        <v>-168.01919512195121</v>
      </c>
      <c r="CP39">
        <v>-55.254940766550213</v>
      </c>
      <c r="CQ39">
        <v>5.4500852856137971</v>
      </c>
      <c r="CR39">
        <v>-1</v>
      </c>
      <c r="CS39">
        <v>7.2031424390243908</v>
      </c>
      <c r="CT39">
        <v>4.3743361672473942</v>
      </c>
      <c r="CU39">
        <v>0.43144571708289448</v>
      </c>
      <c r="CV39">
        <v>-1</v>
      </c>
      <c r="CW39">
        <v>0</v>
      </c>
      <c r="CX39">
        <v>0</v>
      </c>
      <c r="CY39" t="s">
        <v>333</v>
      </c>
      <c r="CZ39">
        <v>2.3645800000000001</v>
      </c>
      <c r="DA39">
        <v>2.7137099999999998</v>
      </c>
      <c r="DB39">
        <v>0.12404900000000001</v>
      </c>
      <c r="DC39">
        <v>0.146758</v>
      </c>
      <c r="DD39">
        <v>0.11366</v>
      </c>
      <c r="DE39">
        <v>8.3565100000000003E-2</v>
      </c>
      <c r="DF39">
        <v>31980.9</v>
      </c>
      <c r="DG39">
        <v>27485.599999999999</v>
      </c>
      <c r="DH39">
        <v>31168.5</v>
      </c>
      <c r="DI39">
        <v>28069</v>
      </c>
      <c r="DJ39">
        <v>37502.199999999997</v>
      </c>
      <c r="DK39">
        <v>36571.199999999997</v>
      </c>
      <c r="DL39">
        <v>44353.599999999999</v>
      </c>
      <c r="DM39">
        <v>42536</v>
      </c>
      <c r="DN39">
        <v>1.4767999999999999</v>
      </c>
      <c r="DO39">
        <v>2.0617700000000001</v>
      </c>
      <c r="DP39">
        <v>0.124685</v>
      </c>
      <c r="DQ39">
        <v>0.110302</v>
      </c>
      <c r="DR39">
        <v>25.623200000000001</v>
      </c>
      <c r="DS39">
        <v>25.105</v>
      </c>
      <c r="DT39">
        <v>58.7</v>
      </c>
      <c r="DU39">
        <v>28.2</v>
      </c>
      <c r="DV39">
        <v>22.683700000000002</v>
      </c>
      <c r="DW39">
        <v>61.693399999999997</v>
      </c>
      <c r="DX39">
        <v>33.846200000000003</v>
      </c>
      <c r="DY39">
        <v>1</v>
      </c>
      <c r="DZ39">
        <v>-9.3488299999999996E-2</v>
      </c>
      <c r="EA39">
        <v>2.2957800000000002</v>
      </c>
      <c r="EB39">
        <v>20.173200000000001</v>
      </c>
      <c r="EC39">
        <v>5.2404999999999999</v>
      </c>
      <c r="ED39">
        <v>12.039899999999999</v>
      </c>
      <c r="EE39">
        <v>5.0168999999999997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1.8645799999999999</v>
      </c>
      <c r="EM39">
        <v>1.86917</v>
      </c>
      <c r="EN39">
        <v>1.86721</v>
      </c>
      <c r="EO39">
        <v>1.86338</v>
      </c>
      <c r="EP39">
        <v>1.86446</v>
      </c>
      <c r="EQ39">
        <v>1.8701399999999999</v>
      </c>
      <c r="ER39">
        <v>1.8693500000000001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-0.377</v>
      </c>
      <c r="FG39">
        <v>0.1515</v>
      </c>
      <c r="FH39">
        <v>5.0310448532705943E-2</v>
      </c>
      <c r="FI39">
        <v>-6.1462078757559423E-4</v>
      </c>
      <c r="FJ39">
        <v>-1.8861989874597051E-7</v>
      </c>
      <c r="FK39">
        <v>1.1980462299894961E-10</v>
      </c>
      <c r="FL39">
        <v>0.15140825623214971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9.1999999999999993</v>
      </c>
      <c r="FU39">
        <v>9.1</v>
      </c>
      <c r="FV39">
        <v>1.78833</v>
      </c>
      <c r="FW39">
        <v>2.5842299999999998</v>
      </c>
      <c r="FX39">
        <v>1.5490699999999999</v>
      </c>
      <c r="FY39">
        <v>2.3315399999999999</v>
      </c>
      <c r="FZ39">
        <v>1.50146</v>
      </c>
      <c r="GA39">
        <v>2.3107899999999999</v>
      </c>
      <c r="GB39">
        <v>32.909199999999998</v>
      </c>
      <c r="GC39">
        <v>23.973700000000001</v>
      </c>
      <c r="GD39">
        <v>19</v>
      </c>
      <c r="GE39">
        <v>282.63499999999999</v>
      </c>
      <c r="GF39">
        <v>602.45399999999995</v>
      </c>
      <c r="GG39">
        <v>20.585000000000001</v>
      </c>
      <c r="GH39">
        <v>26.242100000000001</v>
      </c>
      <c r="GI39">
        <v>30.000299999999999</v>
      </c>
      <c r="GJ39">
        <v>26.238099999999999</v>
      </c>
      <c r="GK39">
        <v>26.1693</v>
      </c>
      <c r="GL39">
        <v>35.760300000000001</v>
      </c>
      <c r="GM39">
        <v>39.923900000000003</v>
      </c>
      <c r="GN39">
        <v>90.0017</v>
      </c>
      <c r="GO39">
        <v>20.632200000000001</v>
      </c>
      <c r="GP39">
        <v>800</v>
      </c>
      <c r="GQ39">
        <v>15.4848</v>
      </c>
      <c r="GR39">
        <v>99.723100000000002</v>
      </c>
      <c r="GS39">
        <v>99.512900000000002</v>
      </c>
    </row>
    <row r="40" spans="1:201" x14ac:dyDescent="0.25">
      <c r="A40">
        <v>24</v>
      </c>
      <c r="B40">
        <v>1690292629.5999999</v>
      </c>
      <c r="C40">
        <v>359</v>
      </c>
      <c r="D40" t="s">
        <v>381</v>
      </c>
      <c r="E40" t="s">
        <v>382</v>
      </c>
      <c r="F40" t="s">
        <v>330</v>
      </c>
      <c r="H40">
        <v>1690292629.5999999</v>
      </c>
      <c r="I40">
        <f t="shared" si="0"/>
        <v>8.8859489940176437E-4</v>
      </c>
      <c r="J40">
        <f t="shared" si="1"/>
        <v>0.88859489940176439</v>
      </c>
      <c r="K40">
        <f t="shared" si="2"/>
        <v>18.005834218780766</v>
      </c>
      <c r="L40">
        <f t="shared" si="3"/>
        <v>614.81299999999999</v>
      </c>
      <c r="M40">
        <f t="shared" si="4"/>
        <v>180.33621488833612</v>
      </c>
      <c r="N40">
        <f t="shared" si="5"/>
        <v>17.93369845451749</v>
      </c>
      <c r="O40">
        <f t="shared" si="6"/>
        <v>61.140636420391004</v>
      </c>
      <c r="P40">
        <f t="shared" si="7"/>
        <v>6.8585335332105896E-2</v>
      </c>
      <c r="Q40">
        <f t="shared" si="8"/>
        <v>2.2569194722735237</v>
      </c>
      <c r="R40">
        <f t="shared" si="9"/>
        <v>6.744814393557734E-2</v>
      </c>
      <c r="S40">
        <f t="shared" si="10"/>
        <v>4.2255691480429458E-2</v>
      </c>
      <c r="T40">
        <f t="shared" si="11"/>
        <v>276.11460881942895</v>
      </c>
      <c r="U40">
        <f t="shared" si="12"/>
        <v>27.345186334267751</v>
      </c>
      <c r="V40">
        <f t="shared" si="13"/>
        <v>27.345186334267751</v>
      </c>
      <c r="W40">
        <f t="shared" si="14"/>
        <v>3.6523676044527509</v>
      </c>
      <c r="X40">
        <f t="shared" si="15"/>
        <v>72.43303934119038</v>
      </c>
      <c r="Y40">
        <f t="shared" si="16"/>
        <v>2.3819681428268002</v>
      </c>
      <c r="Z40">
        <f t="shared" si="17"/>
        <v>3.288510553321832</v>
      </c>
      <c r="AA40">
        <f t="shared" si="18"/>
        <v>1.2703994616259506</v>
      </c>
      <c r="AB40">
        <f t="shared" si="19"/>
        <v>-39.187035063617806</v>
      </c>
      <c r="AC40">
        <f t="shared" si="20"/>
        <v>-216.51907550894623</v>
      </c>
      <c r="AD40">
        <f t="shared" si="21"/>
        <v>-20.591679836524484</v>
      </c>
      <c r="AE40">
        <f t="shared" si="22"/>
        <v>-0.18318158965956854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52758.345537493609</v>
      </c>
      <c r="AK40">
        <f t="shared" si="26"/>
        <v>1799.99</v>
      </c>
      <c r="AL40">
        <f t="shared" si="27"/>
        <v>1499.1046813943899</v>
      </c>
      <c r="AM40">
        <f t="shared" si="28"/>
        <v>0.83284056099999992</v>
      </c>
      <c r="AN40">
        <f t="shared" si="29"/>
        <v>0.15339785711000004</v>
      </c>
      <c r="AO40">
        <v>30</v>
      </c>
      <c r="AP40">
        <v>0.5</v>
      </c>
      <c r="AQ40" t="s">
        <v>331</v>
      </c>
      <c r="AR40">
        <v>2</v>
      </c>
      <c r="AS40">
        <v>1690292629.5999999</v>
      </c>
      <c r="AT40">
        <v>614.81299999999999</v>
      </c>
      <c r="AU40">
        <v>800.20600000000002</v>
      </c>
      <c r="AV40">
        <v>23.952400000000001</v>
      </c>
      <c r="AW40">
        <v>15.285299999999999</v>
      </c>
      <c r="AX40">
        <v>615.18499999999995</v>
      </c>
      <c r="AY40">
        <v>23.800999999999998</v>
      </c>
      <c r="AZ40">
        <v>300.20800000000003</v>
      </c>
      <c r="BA40">
        <v>99.3459</v>
      </c>
      <c r="BB40">
        <v>0.100007</v>
      </c>
      <c r="BC40">
        <v>25.5657</v>
      </c>
      <c r="BD40">
        <v>27.602699999999999</v>
      </c>
      <c r="BE40">
        <v>26.875599999999999</v>
      </c>
      <c r="BF40">
        <v>0</v>
      </c>
      <c r="BG40">
        <v>0</v>
      </c>
      <c r="BH40">
        <v>9995</v>
      </c>
      <c r="BI40">
        <v>1069.6300000000001</v>
      </c>
      <c r="BJ40">
        <v>1.6357299999999999</v>
      </c>
      <c r="BK40">
        <v>-185.393</v>
      </c>
      <c r="BL40">
        <v>629.90099999999995</v>
      </c>
      <c r="BM40">
        <v>812.62699999999995</v>
      </c>
      <c r="BN40">
        <v>8.6671399999999998</v>
      </c>
      <c r="BO40">
        <v>800.20600000000002</v>
      </c>
      <c r="BP40">
        <v>15.285299999999999</v>
      </c>
      <c r="BQ40">
        <v>2.3795799999999998</v>
      </c>
      <c r="BR40">
        <v>1.5185299999999999</v>
      </c>
      <c r="BS40">
        <v>20.2255</v>
      </c>
      <c r="BT40">
        <v>13.1561</v>
      </c>
      <c r="BU40">
        <v>1799.99</v>
      </c>
      <c r="BV40">
        <v>0.90999799999999997</v>
      </c>
      <c r="BW40">
        <v>3.3996400000000003E-2</v>
      </c>
      <c r="BX40">
        <v>2.2007800000000001E-2</v>
      </c>
      <c r="BY40">
        <v>3.3997300000000001E-2</v>
      </c>
      <c r="BZ40">
        <v>25</v>
      </c>
      <c r="CA40">
        <v>33528.1</v>
      </c>
      <c r="CB40">
        <v>1690292073.5</v>
      </c>
      <c r="CC40" t="s">
        <v>332</v>
      </c>
      <c r="CD40">
        <v>1690292069.5</v>
      </c>
      <c r="CE40">
        <v>1690292073.5</v>
      </c>
      <c r="CF40">
        <v>4</v>
      </c>
      <c r="CG40">
        <v>-3.6999999999999998E-2</v>
      </c>
      <c r="CH40">
        <v>-1.6E-2</v>
      </c>
      <c r="CI40">
        <v>-0.45200000000000001</v>
      </c>
      <c r="CJ40">
        <v>0.108</v>
      </c>
      <c r="CK40">
        <v>730</v>
      </c>
      <c r="CL40">
        <v>18</v>
      </c>
      <c r="CM40">
        <v>0</v>
      </c>
      <c r="CN40">
        <v>0.01</v>
      </c>
      <c r="CO40">
        <v>-177.37414999999999</v>
      </c>
      <c r="CP40">
        <v>-49.226026266416333</v>
      </c>
      <c r="CQ40">
        <v>4.7375497335120409</v>
      </c>
      <c r="CR40">
        <v>-1</v>
      </c>
      <c r="CS40">
        <v>7.964150000000001</v>
      </c>
      <c r="CT40">
        <v>4.138721200750461</v>
      </c>
      <c r="CU40">
        <v>0.39827714481878068</v>
      </c>
      <c r="CV40">
        <v>-1</v>
      </c>
      <c r="CW40">
        <v>0</v>
      </c>
      <c r="CX40">
        <v>0</v>
      </c>
      <c r="CY40" t="s">
        <v>333</v>
      </c>
      <c r="CZ40">
        <v>2.3645</v>
      </c>
      <c r="DA40">
        <v>2.7137899999999999</v>
      </c>
      <c r="DB40">
        <v>0.122973</v>
      </c>
      <c r="DC40">
        <v>0.14673900000000001</v>
      </c>
      <c r="DD40">
        <v>0.11419600000000001</v>
      </c>
      <c r="DE40">
        <v>8.1565100000000001E-2</v>
      </c>
      <c r="DF40">
        <v>32019.7</v>
      </c>
      <c r="DG40">
        <v>27486.1</v>
      </c>
      <c r="DH40">
        <v>31168</v>
      </c>
      <c r="DI40">
        <v>28068.799999999999</v>
      </c>
      <c r="DJ40">
        <v>37478.6</v>
      </c>
      <c r="DK40">
        <v>36650.9</v>
      </c>
      <c r="DL40">
        <v>44352.9</v>
      </c>
      <c r="DM40">
        <v>42535.8</v>
      </c>
      <c r="DN40">
        <v>1.4772000000000001</v>
      </c>
      <c r="DO40">
        <v>2.0604300000000002</v>
      </c>
      <c r="DP40">
        <v>0.123173</v>
      </c>
      <c r="DQ40">
        <v>0.11054799999999999</v>
      </c>
      <c r="DR40">
        <v>25.587</v>
      </c>
      <c r="DS40">
        <v>25.064699999999998</v>
      </c>
      <c r="DT40">
        <v>58.7</v>
      </c>
      <c r="DU40">
        <v>28.1</v>
      </c>
      <c r="DV40">
        <v>22.5562</v>
      </c>
      <c r="DW40">
        <v>61.833399999999997</v>
      </c>
      <c r="DX40">
        <v>34.463099999999997</v>
      </c>
      <c r="DY40">
        <v>1</v>
      </c>
      <c r="DZ40">
        <v>-9.3391799999999997E-2</v>
      </c>
      <c r="EA40">
        <v>2.19028</v>
      </c>
      <c r="EB40">
        <v>20.174099999999999</v>
      </c>
      <c r="EC40">
        <v>5.2403500000000003</v>
      </c>
      <c r="ED40">
        <v>12.039899999999999</v>
      </c>
      <c r="EE40">
        <v>5.0163000000000002</v>
      </c>
      <c r="EF40">
        <v>3.2879499999999999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1.86459</v>
      </c>
      <c r="EM40">
        <v>1.8691800000000001</v>
      </c>
      <c r="EN40">
        <v>1.86721</v>
      </c>
      <c r="EO40">
        <v>1.86338</v>
      </c>
      <c r="EP40">
        <v>1.8644499999999999</v>
      </c>
      <c r="EQ40">
        <v>1.8701399999999999</v>
      </c>
      <c r="ER40">
        <v>1.86937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-0.372</v>
      </c>
      <c r="FG40">
        <v>0.15140000000000001</v>
      </c>
      <c r="FH40">
        <v>5.0310448532705943E-2</v>
      </c>
      <c r="FI40">
        <v>-6.1462078757559423E-4</v>
      </c>
      <c r="FJ40">
        <v>-1.8861989874597051E-7</v>
      </c>
      <c r="FK40">
        <v>1.1980462299894961E-10</v>
      </c>
      <c r="FL40">
        <v>0.15140825623214971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9.3000000000000007</v>
      </c>
      <c r="FU40">
        <v>9.3000000000000007</v>
      </c>
      <c r="FV40">
        <v>1.78833</v>
      </c>
      <c r="FW40">
        <v>2.5817899999999998</v>
      </c>
      <c r="FX40">
        <v>1.5490699999999999</v>
      </c>
      <c r="FY40">
        <v>2.3315399999999999</v>
      </c>
      <c r="FZ40">
        <v>1.50146</v>
      </c>
      <c r="GA40">
        <v>2.2741699999999998</v>
      </c>
      <c r="GB40">
        <v>32.909199999999998</v>
      </c>
      <c r="GC40">
        <v>23.982399999999998</v>
      </c>
      <c r="GD40">
        <v>19</v>
      </c>
      <c r="GE40">
        <v>282.83100000000002</v>
      </c>
      <c r="GF40">
        <v>601.37300000000005</v>
      </c>
      <c r="GG40">
        <v>20.695699999999999</v>
      </c>
      <c r="GH40">
        <v>26.244299999999999</v>
      </c>
      <c r="GI40">
        <v>30.0001</v>
      </c>
      <c r="GJ40">
        <v>26.2437</v>
      </c>
      <c r="GK40">
        <v>26.174499999999998</v>
      </c>
      <c r="GL40">
        <v>35.746099999999998</v>
      </c>
      <c r="GM40">
        <v>41.658099999999997</v>
      </c>
      <c r="GN40">
        <v>89.6173</v>
      </c>
      <c r="GO40">
        <v>20.7394</v>
      </c>
      <c r="GP40">
        <v>800</v>
      </c>
      <c r="GQ40">
        <v>14.882</v>
      </c>
      <c r="GR40">
        <v>99.721599999999995</v>
      </c>
      <c r="GS40">
        <v>99.5124</v>
      </c>
    </row>
    <row r="41" spans="1:201" x14ac:dyDescent="0.25">
      <c r="A41">
        <v>25</v>
      </c>
      <c r="B41">
        <v>1690292639.5999999</v>
      </c>
      <c r="C41">
        <v>369</v>
      </c>
      <c r="D41" t="s">
        <v>383</v>
      </c>
      <c r="E41" t="s">
        <v>384</v>
      </c>
      <c r="F41" t="s">
        <v>330</v>
      </c>
      <c r="H41">
        <v>1690292639.5999999</v>
      </c>
      <c r="I41">
        <f t="shared" si="0"/>
        <v>9.6263595089203188E-4</v>
      </c>
      <c r="J41">
        <f t="shared" si="1"/>
        <v>0.96263595089203191</v>
      </c>
      <c r="K41">
        <f t="shared" si="2"/>
        <v>18.635833355387824</v>
      </c>
      <c r="L41">
        <f t="shared" si="3"/>
        <v>607.96299999999997</v>
      </c>
      <c r="M41">
        <f t="shared" si="4"/>
        <v>200.60010042196379</v>
      </c>
      <c r="N41">
        <f t="shared" si="5"/>
        <v>19.949644280146423</v>
      </c>
      <c r="O41">
        <f t="shared" si="6"/>
        <v>60.461812132585997</v>
      </c>
      <c r="P41">
        <f t="shared" si="7"/>
        <v>7.5919164477823847E-2</v>
      </c>
      <c r="Q41">
        <f t="shared" si="8"/>
        <v>2.2561636649633563</v>
      </c>
      <c r="R41">
        <f t="shared" si="9"/>
        <v>7.4527972030429615E-2</v>
      </c>
      <c r="S41">
        <f t="shared" si="10"/>
        <v>4.6702852247001853E-2</v>
      </c>
      <c r="T41">
        <f t="shared" si="11"/>
        <v>276.1146475912135</v>
      </c>
      <c r="U41">
        <f t="shared" si="12"/>
        <v>27.294840059316144</v>
      </c>
      <c r="V41">
        <f t="shared" si="13"/>
        <v>27.294840059316144</v>
      </c>
      <c r="W41">
        <f t="shared" si="14"/>
        <v>3.6416093189609784</v>
      </c>
      <c r="X41">
        <f t="shared" si="15"/>
        <v>72.975987433277012</v>
      </c>
      <c r="Y41">
        <f t="shared" si="16"/>
        <v>2.3960644514103997</v>
      </c>
      <c r="Z41">
        <f t="shared" si="17"/>
        <v>3.2833600964990786</v>
      </c>
      <c r="AA41">
        <f t="shared" si="18"/>
        <v>1.2455448675505787</v>
      </c>
      <c r="AB41">
        <f t="shared" si="19"/>
        <v>-42.452245434338607</v>
      </c>
      <c r="AC41">
        <f t="shared" si="20"/>
        <v>-213.53387834661061</v>
      </c>
      <c r="AD41">
        <f t="shared" si="21"/>
        <v>-20.306767491341674</v>
      </c>
      <c r="AE41">
        <f t="shared" si="22"/>
        <v>-0.17824368107739019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52733.429340971714</v>
      </c>
      <c r="AK41">
        <f t="shared" si="26"/>
        <v>1799.99</v>
      </c>
      <c r="AL41">
        <f t="shared" si="27"/>
        <v>1499.1044275958</v>
      </c>
      <c r="AM41">
        <f t="shared" si="28"/>
        <v>0.83284042000000003</v>
      </c>
      <c r="AN41">
        <f t="shared" si="29"/>
        <v>0.15339787864999999</v>
      </c>
      <c r="AO41">
        <v>30</v>
      </c>
      <c r="AP41">
        <v>0.5</v>
      </c>
      <c r="AQ41" t="s">
        <v>331</v>
      </c>
      <c r="AR41">
        <v>2</v>
      </c>
      <c r="AS41">
        <v>1690292639.5999999</v>
      </c>
      <c r="AT41">
        <v>607.96299999999997</v>
      </c>
      <c r="AU41">
        <v>800.12</v>
      </c>
      <c r="AV41">
        <v>24.0932</v>
      </c>
      <c r="AW41">
        <v>14.7014</v>
      </c>
      <c r="AX41">
        <v>608.33000000000004</v>
      </c>
      <c r="AY41">
        <v>23.941800000000001</v>
      </c>
      <c r="AZ41">
        <v>300.084</v>
      </c>
      <c r="BA41">
        <v>99.349800000000002</v>
      </c>
      <c r="BB41">
        <v>0.100022</v>
      </c>
      <c r="BC41">
        <v>25.539300000000001</v>
      </c>
      <c r="BD41">
        <v>27.570799999999998</v>
      </c>
      <c r="BE41">
        <v>26.866</v>
      </c>
      <c r="BF41">
        <v>0</v>
      </c>
      <c r="BG41">
        <v>0</v>
      </c>
      <c r="BH41">
        <v>9988.75</v>
      </c>
      <c r="BI41">
        <v>1068.81</v>
      </c>
      <c r="BJ41">
        <v>2.0183800000000001</v>
      </c>
      <c r="BK41">
        <v>-192.15700000000001</v>
      </c>
      <c r="BL41">
        <v>622.97299999999996</v>
      </c>
      <c r="BM41">
        <v>812.05799999999999</v>
      </c>
      <c r="BN41">
        <v>9.3917999999999999</v>
      </c>
      <c r="BO41">
        <v>800.12</v>
      </c>
      <c r="BP41">
        <v>14.7014</v>
      </c>
      <c r="BQ41">
        <v>2.3936600000000001</v>
      </c>
      <c r="BR41">
        <v>1.4605900000000001</v>
      </c>
      <c r="BS41">
        <v>20.320900000000002</v>
      </c>
      <c r="BT41">
        <v>12.5617</v>
      </c>
      <c r="BU41">
        <v>1799.99</v>
      </c>
      <c r="BV41">
        <v>0.90998999999999997</v>
      </c>
      <c r="BW41">
        <v>3.3992799999999997E-2</v>
      </c>
      <c r="BX41">
        <v>2.2005500000000001E-2</v>
      </c>
      <c r="BY41">
        <v>3.4012100000000003E-2</v>
      </c>
      <c r="BZ41">
        <v>25</v>
      </c>
      <c r="CA41">
        <v>33528.1</v>
      </c>
      <c r="CB41">
        <v>1690292073.5</v>
      </c>
      <c r="CC41" t="s">
        <v>332</v>
      </c>
      <c r="CD41">
        <v>1690292069.5</v>
      </c>
      <c r="CE41">
        <v>1690292073.5</v>
      </c>
      <c r="CF41">
        <v>4</v>
      </c>
      <c r="CG41">
        <v>-3.6999999999999998E-2</v>
      </c>
      <c r="CH41">
        <v>-1.6E-2</v>
      </c>
      <c r="CI41">
        <v>-0.45200000000000001</v>
      </c>
      <c r="CJ41">
        <v>0.108</v>
      </c>
      <c r="CK41">
        <v>730</v>
      </c>
      <c r="CL41">
        <v>18</v>
      </c>
      <c r="CM41">
        <v>0</v>
      </c>
      <c r="CN41">
        <v>0.01</v>
      </c>
      <c r="CO41">
        <v>-185.11089999999999</v>
      </c>
      <c r="CP41">
        <v>-43.747677298311523</v>
      </c>
      <c r="CQ41">
        <v>4.2107270441100777</v>
      </c>
      <c r="CR41">
        <v>-1</v>
      </c>
      <c r="CS41">
        <v>8.6612442499999993</v>
      </c>
      <c r="CT41">
        <v>4.2517597373358136</v>
      </c>
      <c r="CU41">
        <v>0.40906878798612528</v>
      </c>
      <c r="CV41">
        <v>-1</v>
      </c>
      <c r="CW41">
        <v>0</v>
      </c>
      <c r="CX41">
        <v>0</v>
      </c>
      <c r="CY41" t="s">
        <v>333</v>
      </c>
      <c r="CZ41">
        <v>2.3641100000000002</v>
      </c>
      <c r="DA41">
        <v>2.7138</v>
      </c>
      <c r="DB41">
        <v>0.122015</v>
      </c>
      <c r="DC41">
        <v>0.14672099999999999</v>
      </c>
      <c r="DD41">
        <v>0.114672</v>
      </c>
      <c r="DE41">
        <v>7.9271400000000006E-2</v>
      </c>
      <c r="DF41">
        <v>32054.5</v>
      </c>
      <c r="DG41">
        <v>27486.2</v>
      </c>
      <c r="DH41">
        <v>31167.8</v>
      </c>
      <c r="DI41">
        <v>28068.400000000001</v>
      </c>
      <c r="DJ41">
        <v>37457.9</v>
      </c>
      <c r="DK41">
        <v>36742.400000000001</v>
      </c>
      <c r="DL41">
        <v>44352.7</v>
      </c>
      <c r="DM41">
        <v>42535.5</v>
      </c>
      <c r="DN41">
        <v>1.4775499999999999</v>
      </c>
      <c r="DO41">
        <v>2.0596700000000001</v>
      </c>
      <c r="DP41">
        <v>0.123359</v>
      </c>
      <c r="DQ41">
        <v>0.112243</v>
      </c>
      <c r="DR41">
        <v>25.552</v>
      </c>
      <c r="DS41">
        <v>25.0273</v>
      </c>
      <c r="DT41">
        <v>58.7</v>
      </c>
      <c r="DU41">
        <v>28.1</v>
      </c>
      <c r="DV41">
        <v>22.552600000000002</v>
      </c>
      <c r="DW41">
        <v>61.883400000000002</v>
      </c>
      <c r="DX41">
        <v>35.192300000000003</v>
      </c>
      <c r="DY41">
        <v>1</v>
      </c>
      <c r="DZ41">
        <v>-9.3160599999999996E-2</v>
      </c>
      <c r="EA41">
        <v>2.1077499999999998</v>
      </c>
      <c r="EB41">
        <v>20.175699999999999</v>
      </c>
      <c r="EC41">
        <v>5.2408000000000001</v>
      </c>
      <c r="ED41">
        <v>12.039899999999999</v>
      </c>
      <c r="EE41">
        <v>5.0166000000000004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1.86459</v>
      </c>
      <c r="EM41">
        <v>1.8692</v>
      </c>
      <c r="EN41">
        <v>1.8672200000000001</v>
      </c>
      <c r="EO41">
        <v>1.86338</v>
      </c>
      <c r="EP41">
        <v>1.8644400000000001</v>
      </c>
      <c r="EQ41">
        <v>1.8701300000000001</v>
      </c>
      <c r="ER41">
        <v>1.86937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-0.36699999999999999</v>
      </c>
      <c r="FG41">
        <v>0.15140000000000001</v>
      </c>
      <c r="FH41">
        <v>5.0310448532705943E-2</v>
      </c>
      <c r="FI41">
        <v>-6.1462078757559423E-4</v>
      </c>
      <c r="FJ41">
        <v>-1.8861989874597051E-7</v>
      </c>
      <c r="FK41">
        <v>1.1980462299894961E-10</v>
      </c>
      <c r="FL41">
        <v>0.15140825623214971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9.5</v>
      </c>
      <c r="FU41">
        <v>9.4</v>
      </c>
      <c r="FV41">
        <v>1.78711</v>
      </c>
      <c r="FW41">
        <v>2.5769000000000002</v>
      </c>
      <c r="FX41">
        <v>1.5490699999999999</v>
      </c>
      <c r="FY41">
        <v>2.3327599999999999</v>
      </c>
      <c r="FZ41">
        <v>1.50146</v>
      </c>
      <c r="GA41">
        <v>2.3803700000000001</v>
      </c>
      <c r="GB41">
        <v>32.9315</v>
      </c>
      <c r="GC41">
        <v>23.982399999999998</v>
      </c>
      <c r="GD41">
        <v>19</v>
      </c>
      <c r="GE41">
        <v>283.00200000000001</v>
      </c>
      <c r="GF41">
        <v>600.79</v>
      </c>
      <c r="GG41">
        <v>20.796500000000002</v>
      </c>
      <c r="GH41">
        <v>26.246500000000001</v>
      </c>
      <c r="GI41">
        <v>30.0001</v>
      </c>
      <c r="GJ41">
        <v>26.248699999999999</v>
      </c>
      <c r="GK41">
        <v>26.178899999999999</v>
      </c>
      <c r="GL41">
        <v>35.731000000000002</v>
      </c>
      <c r="GM41">
        <v>43.817399999999999</v>
      </c>
      <c r="GN41">
        <v>89.229600000000005</v>
      </c>
      <c r="GO41">
        <v>20.8323</v>
      </c>
      <c r="GP41">
        <v>800</v>
      </c>
      <c r="GQ41">
        <v>14.332800000000001</v>
      </c>
      <c r="GR41">
        <v>99.721000000000004</v>
      </c>
      <c r="GS41">
        <v>99.511399999999995</v>
      </c>
    </row>
    <row r="42" spans="1:201" x14ac:dyDescent="0.25">
      <c r="A42">
        <v>26</v>
      </c>
      <c r="B42">
        <v>1690292649.5999999</v>
      </c>
      <c r="C42">
        <v>379</v>
      </c>
      <c r="D42" t="s">
        <v>385</v>
      </c>
      <c r="E42" t="s">
        <v>386</v>
      </c>
      <c r="F42" t="s">
        <v>330</v>
      </c>
      <c r="H42">
        <v>1690292649.5999999</v>
      </c>
      <c r="I42">
        <f t="shared" si="0"/>
        <v>1.0313013352370229E-3</v>
      </c>
      <c r="J42">
        <f t="shared" si="1"/>
        <v>1.0313013352370228</v>
      </c>
      <c r="K42">
        <f t="shared" si="2"/>
        <v>19.218058195595461</v>
      </c>
      <c r="L42">
        <f t="shared" si="3"/>
        <v>601.91899999999998</v>
      </c>
      <c r="M42">
        <f t="shared" si="4"/>
        <v>216.62162937455196</v>
      </c>
      <c r="N42">
        <f t="shared" si="5"/>
        <v>21.542686794125068</v>
      </c>
      <c r="O42">
        <f t="shared" si="6"/>
        <v>59.859915788983002</v>
      </c>
      <c r="P42">
        <f t="shared" si="7"/>
        <v>8.2982553673600523E-2</v>
      </c>
      <c r="Q42">
        <f t="shared" si="8"/>
        <v>2.2574368627615309</v>
      </c>
      <c r="R42">
        <f t="shared" si="9"/>
        <v>8.1324414672727802E-2</v>
      </c>
      <c r="S42">
        <f t="shared" si="10"/>
        <v>5.0973976764294417E-2</v>
      </c>
      <c r="T42">
        <f t="shared" si="11"/>
        <v>276.1142390654831</v>
      </c>
      <c r="U42">
        <f t="shared" si="12"/>
        <v>27.243035205416501</v>
      </c>
      <c r="V42">
        <f t="shared" si="13"/>
        <v>27.243035205416501</v>
      </c>
      <c r="W42">
        <f t="shared" si="14"/>
        <v>3.6305682373930543</v>
      </c>
      <c r="X42">
        <f t="shared" si="15"/>
        <v>73.453782691566033</v>
      </c>
      <c r="Y42">
        <f t="shared" si="16"/>
        <v>2.4077167578899004</v>
      </c>
      <c r="Z42">
        <f t="shared" si="17"/>
        <v>3.2778662577527875</v>
      </c>
      <c r="AA42">
        <f t="shared" si="18"/>
        <v>1.222851479503154</v>
      </c>
      <c r="AB42">
        <f t="shared" si="19"/>
        <v>-45.480388883952713</v>
      </c>
      <c r="AC42">
        <f t="shared" si="20"/>
        <v>-210.78159971242778</v>
      </c>
      <c r="AD42">
        <f t="shared" si="21"/>
        <v>-20.025691231092566</v>
      </c>
      <c r="AE42">
        <f t="shared" si="22"/>
        <v>-0.17344076198997982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52788.366994966927</v>
      </c>
      <c r="AK42">
        <f t="shared" si="26"/>
        <v>1799.99</v>
      </c>
      <c r="AL42">
        <f t="shared" si="27"/>
        <v>1499.1013838127099</v>
      </c>
      <c r="AM42">
        <f t="shared" si="28"/>
        <v>0.83283872899999989</v>
      </c>
      <c r="AN42">
        <f t="shared" si="29"/>
        <v>0.15339765169</v>
      </c>
      <c r="AO42">
        <v>30</v>
      </c>
      <c r="AP42">
        <v>0.5</v>
      </c>
      <c r="AQ42" t="s">
        <v>331</v>
      </c>
      <c r="AR42">
        <v>2</v>
      </c>
      <c r="AS42">
        <v>1690292649.5999999</v>
      </c>
      <c r="AT42">
        <v>601.91899999999998</v>
      </c>
      <c r="AU42">
        <v>800.21199999999999</v>
      </c>
      <c r="AV42">
        <v>24.210699999999999</v>
      </c>
      <c r="AW42">
        <v>14.152200000000001</v>
      </c>
      <c r="AX42">
        <v>602.28099999999995</v>
      </c>
      <c r="AY42">
        <v>24.0593</v>
      </c>
      <c r="AZ42">
        <v>300.14400000000001</v>
      </c>
      <c r="BA42">
        <v>99.348500000000001</v>
      </c>
      <c r="BB42">
        <v>9.9957000000000004E-2</v>
      </c>
      <c r="BC42">
        <v>25.511099999999999</v>
      </c>
      <c r="BD42">
        <v>27.535299999999999</v>
      </c>
      <c r="BE42">
        <v>26.830500000000001</v>
      </c>
      <c r="BF42">
        <v>0</v>
      </c>
      <c r="BG42">
        <v>0</v>
      </c>
      <c r="BH42">
        <v>9998.75</v>
      </c>
      <c r="BI42">
        <v>1068.05</v>
      </c>
      <c r="BJ42">
        <v>1.96231</v>
      </c>
      <c r="BK42">
        <v>-198.292</v>
      </c>
      <c r="BL42">
        <v>616.85400000000004</v>
      </c>
      <c r="BM42">
        <v>811.69899999999996</v>
      </c>
      <c r="BN42">
        <v>10.0585</v>
      </c>
      <c r="BO42">
        <v>800.21199999999999</v>
      </c>
      <c r="BP42">
        <v>14.152200000000001</v>
      </c>
      <c r="BQ42">
        <v>2.4053</v>
      </c>
      <c r="BR42">
        <v>1.40601</v>
      </c>
      <c r="BS42">
        <v>20.3995</v>
      </c>
      <c r="BT42">
        <v>11.9826</v>
      </c>
      <c r="BU42">
        <v>1799.99</v>
      </c>
      <c r="BV42">
        <v>0.90998599999999996</v>
      </c>
      <c r="BW42">
        <v>3.4001900000000002E-2</v>
      </c>
      <c r="BX42">
        <v>2.2003200000000001E-2</v>
      </c>
      <c r="BY42">
        <v>3.4008499999999997E-2</v>
      </c>
      <c r="BZ42">
        <v>25</v>
      </c>
      <c r="CA42">
        <v>33528.199999999997</v>
      </c>
      <c r="CB42">
        <v>1690292073.5</v>
      </c>
      <c r="CC42" t="s">
        <v>332</v>
      </c>
      <c r="CD42">
        <v>1690292069.5</v>
      </c>
      <c r="CE42">
        <v>1690292073.5</v>
      </c>
      <c r="CF42">
        <v>4</v>
      </c>
      <c r="CG42">
        <v>-3.6999999999999998E-2</v>
      </c>
      <c r="CH42">
        <v>-1.6E-2</v>
      </c>
      <c r="CI42">
        <v>-0.45200000000000001</v>
      </c>
      <c r="CJ42">
        <v>0.108</v>
      </c>
      <c r="CK42">
        <v>730</v>
      </c>
      <c r="CL42">
        <v>18</v>
      </c>
      <c r="CM42">
        <v>0</v>
      </c>
      <c r="CN42">
        <v>0.01</v>
      </c>
      <c r="CO42">
        <v>-191.961175</v>
      </c>
      <c r="CP42">
        <v>-38.620919324577031</v>
      </c>
      <c r="CQ42">
        <v>3.7172968396907708</v>
      </c>
      <c r="CR42">
        <v>-1</v>
      </c>
      <c r="CS42">
        <v>9.3603210000000008</v>
      </c>
      <c r="CT42">
        <v>4.1417624015009311</v>
      </c>
      <c r="CU42">
        <v>0.39854457109462682</v>
      </c>
      <c r="CV42">
        <v>-1</v>
      </c>
      <c r="CW42">
        <v>0</v>
      </c>
      <c r="CX42">
        <v>0</v>
      </c>
      <c r="CY42" t="s">
        <v>333</v>
      </c>
      <c r="CZ42">
        <v>2.36435</v>
      </c>
      <c r="DA42">
        <v>2.7137500000000001</v>
      </c>
      <c r="DB42">
        <v>0.121159</v>
      </c>
      <c r="DC42">
        <v>0.14671799999999999</v>
      </c>
      <c r="DD42">
        <v>0.115063</v>
      </c>
      <c r="DE42">
        <v>7.7077999999999994E-2</v>
      </c>
      <c r="DF42">
        <v>32085.5</v>
      </c>
      <c r="DG42">
        <v>27486</v>
      </c>
      <c r="DH42">
        <v>31167.599999999999</v>
      </c>
      <c r="DI42">
        <v>28068.1</v>
      </c>
      <c r="DJ42">
        <v>37440.6</v>
      </c>
      <c r="DK42">
        <v>36829.699999999997</v>
      </c>
      <c r="DL42">
        <v>44352.1</v>
      </c>
      <c r="DM42">
        <v>42535</v>
      </c>
      <c r="DN42">
        <v>1.4779500000000001</v>
      </c>
      <c r="DO42">
        <v>2.0586000000000002</v>
      </c>
      <c r="DP42">
        <v>0.12322900000000001</v>
      </c>
      <c r="DQ42">
        <v>0.112191</v>
      </c>
      <c r="DR42">
        <v>25.5185</v>
      </c>
      <c r="DS42">
        <v>24.9925</v>
      </c>
      <c r="DT42">
        <v>58.6</v>
      </c>
      <c r="DU42">
        <v>28.1</v>
      </c>
      <c r="DV42">
        <v>22.5137</v>
      </c>
      <c r="DW42">
        <v>61.603400000000001</v>
      </c>
      <c r="DX42">
        <v>34.915900000000001</v>
      </c>
      <c r="DY42">
        <v>1</v>
      </c>
      <c r="DZ42">
        <v>-9.2896300000000001E-2</v>
      </c>
      <c r="EA42">
        <v>2.04528</v>
      </c>
      <c r="EB42">
        <v>20.176100000000002</v>
      </c>
      <c r="EC42">
        <v>5.2408000000000001</v>
      </c>
      <c r="ED42">
        <v>12.039899999999999</v>
      </c>
      <c r="EE42">
        <v>5.0167000000000002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</v>
      </c>
      <c r="EL42">
        <v>1.8645799999999999</v>
      </c>
      <c r="EM42">
        <v>1.8691899999999999</v>
      </c>
      <c r="EN42">
        <v>1.8672200000000001</v>
      </c>
      <c r="EO42">
        <v>1.86337</v>
      </c>
      <c r="EP42">
        <v>1.86446</v>
      </c>
      <c r="EQ42">
        <v>1.8701399999999999</v>
      </c>
      <c r="ER42">
        <v>1.86937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-0.36199999999999999</v>
      </c>
      <c r="FG42">
        <v>0.15140000000000001</v>
      </c>
      <c r="FH42">
        <v>5.0310448532705943E-2</v>
      </c>
      <c r="FI42">
        <v>-6.1462078757559423E-4</v>
      </c>
      <c r="FJ42">
        <v>-1.8861989874597051E-7</v>
      </c>
      <c r="FK42">
        <v>1.1980462299894961E-10</v>
      </c>
      <c r="FL42">
        <v>0.15140825623214971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9.6999999999999993</v>
      </c>
      <c r="FU42">
        <v>9.6</v>
      </c>
      <c r="FV42">
        <v>1.78589</v>
      </c>
      <c r="FW42">
        <v>2.5769000000000002</v>
      </c>
      <c r="FX42">
        <v>1.5490699999999999</v>
      </c>
      <c r="FY42">
        <v>2.3315399999999999</v>
      </c>
      <c r="FZ42">
        <v>1.50146</v>
      </c>
      <c r="GA42">
        <v>2.4121100000000002</v>
      </c>
      <c r="GB42">
        <v>32.9315</v>
      </c>
      <c r="GC42">
        <v>23.982399999999998</v>
      </c>
      <c r="GD42">
        <v>19</v>
      </c>
      <c r="GE42">
        <v>283.19</v>
      </c>
      <c r="GF42">
        <v>599.93299999999999</v>
      </c>
      <c r="GG42">
        <v>20.880099999999999</v>
      </c>
      <c r="GH42">
        <v>26.246500000000001</v>
      </c>
      <c r="GI42">
        <v>30.0002</v>
      </c>
      <c r="GJ42">
        <v>26.252500000000001</v>
      </c>
      <c r="GK42">
        <v>26.183299999999999</v>
      </c>
      <c r="GL42">
        <v>35.711500000000001</v>
      </c>
      <c r="GM42">
        <v>45.837000000000003</v>
      </c>
      <c r="GN42">
        <v>88.848500000000001</v>
      </c>
      <c r="GO42">
        <v>20.907900000000001</v>
      </c>
      <c r="GP42">
        <v>800</v>
      </c>
      <c r="GQ42">
        <v>13.7746</v>
      </c>
      <c r="GR42">
        <v>99.719899999999996</v>
      </c>
      <c r="GS42">
        <v>99.510199999999998</v>
      </c>
    </row>
    <row r="43" spans="1:201" x14ac:dyDescent="0.25">
      <c r="A43">
        <v>27</v>
      </c>
      <c r="B43">
        <v>1690292659.5999999</v>
      </c>
      <c r="C43">
        <v>389</v>
      </c>
      <c r="D43" t="s">
        <v>387</v>
      </c>
      <c r="E43" t="s">
        <v>388</v>
      </c>
      <c r="F43" t="s">
        <v>330</v>
      </c>
      <c r="H43">
        <v>1690292659.5999999</v>
      </c>
      <c r="I43">
        <f t="shared" si="0"/>
        <v>1.1005772667411981E-3</v>
      </c>
      <c r="J43">
        <f t="shared" si="1"/>
        <v>1.1005772667411982</v>
      </c>
      <c r="K43">
        <f t="shared" si="2"/>
        <v>19.698876296268853</v>
      </c>
      <c r="L43">
        <f t="shared" si="3"/>
        <v>596.70000000000005</v>
      </c>
      <c r="M43">
        <f t="shared" si="4"/>
        <v>232.22040719569543</v>
      </c>
      <c r="N43">
        <f t="shared" si="5"/>
        <v>23.094496912003009</v>
      </c>
      <c r="O43">
        <f t="shared" si="6"/>
        <v>59.342270878800008</v>
      </c>
      <c r="P43">
        <f t="shared" si="7"/>
        <v>9.0156417880159725E-2</v>
      </c>
      <c r="Q43">
        <f t="shared" si="8"/>
        <v>2.2559339804424443</v>
      </c>
      <c r="R43">
        <f t="shared" si="9"/>
        <v>8.8201558910305067E-2</v>
      </c>
      <c r="S43">
        <f t="shared" si="10"/>
        <v>5.5298080255316656E-2</v>
      </c>
      <c r="T43">
        <f t="shared" si="11"/>
        <v>276.11409317629364</v>
      </c>
      <c r="U43">
        <f t="shared" si="12"/>
        <v>27.193573506354113</v>
      </c>
      <c r="V43">
        <f t="shared" si="13"/>
        <v>27.193573506354113</v>
      </c>
      <c r="W43">
        <f t="shared" si="14"/>
        <v>3.6200538253848946</v>
      </c>
      <c r="X43">
        <f t="shared" si="15"/>
        <v>73.851033069840184</v>
      </c>
      <c r="Y43">
        <f t="shared" si="16"/>
        <v>2.4167729061168002</v>
      </c>
      <c r="Z43">
        <f t="shared" si="17"/>
        <v>3.2724970872530408</v>
      </c>
      <c r="AA43">
        <f t="shared" si="18"/>
        <v>1.2032809192680944</v>
      </c>
      <c r="AB43">
        <f t="shared" si="19"/>
        <v>-48.535457463286832</v>
      </c>
      <c r="AC43">
        <f t="shared" si="20"/>
        <v>-207.9824107920652</v>
      </c>
      <c r="AD43">
        <f t="shared" si="21"/>
        <v>-19.765275283606069</v>
      </c>
      <c r="AE43">
        <f t="shared" si="22"/>
        <v>-0.16905036266444995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52734.291845881686</v>
      </c>
      <c r="AK43">
        <f t="shared" si="26"/>
        <v>1799.99</v>
      </c>
      <c r="AL43">
        <f t="shared" si="27"/>
        <v>1499.1011228141599</v>
      </c>
      <c r="AM43">
        <f t="shared" si="28"/>
        <v>0.83283858399999999</v>
      </c>
      <c r="AN43">
        <f t="shared" si="29"/>
        <v>0.15339757064000001</v>
      </c>
      <c r="AO43">
        <v>30</v>
      </c>
      <c r="AP43">
        <v>0.5</v>
      </c>
      <c r="AQ43" t="s">
        <v>331</v>
      </c>
      <c r="AR43">
        <v>2</v>
      </c>
      <c r="AS43">
        <v>1690292659.5999999</v>
      </c>
      <c r="AT43">
        <v>596.70000000000005</v>
      </c>
      <c r="AU43">
        <v>800.10199999999998</v>
      </c>
      <c r="AV43">
        <v>24.301200000000001</v>
      </c>
      <c r="AW43">
        <v>13.571</v>
      </c>
      <c r="AX43">
        <v>597.05899999999997</v>
      </c>
      <c r="AY43">
        <v>24.149699999999999</v>
      </c>
      <c r="AZ43">
        <v>300.22699999999998</v>
      </c>
      <c r="BA43">
        <v>99.350700000000003</v>
      </c>
      <c r="BB43">
        <v>0.100064</v>
      </c>
      <c r="BC43">
        <v>25.483499999999999</v>
      </c>
      <c r="BD43">
        <v>27.475100000000001</v>
      </c>
      <c r="BE43">
        <v>26.786000000000001</v>
      </c>
      <c r="BF43">
        <v>0</v>
      </c>
      <c r="BG43">
        <v>0</v>
      </c>
      <c r="BH43">
        <v>9986.8799999999992</v>
      </c>
      <c r="BI43">
        <v>1067.33</v>
      </c>
      <c r="BJ43">
        <v>2.0001600000000002</v>
      </c>
      <c r="BK43">
        <v>-203.40100000000001</v>
      </c>
      <c r="BL43">
        <v>611.56200000000001</v>
      </c>
      <c r="BM43">
        <v>811.10900000000004</v>
      </c>
      <c r="BN43">
        <v>10.7302</v>
      </c>
      <c r="BO43">
        <v>800.10199999999998</v>
      </c>
      <c r="BP43">
        <v>13.571</v>
      </c>
      <c r="BQ43">
        <v>2.4143400000000002</v>
      </c>
      <c r="BR43">
        <v>1.34829</v>
      </c>
      <c r="BS43">
        <v>20.4603</v>
      </c>
      <c r="BT43">
        <v>11.3482</v>
      </c>
      <c r="BU43">
        <v>1799.99</v>
      </c>
      <c r="BV43">
        <v>0.90998699999999999</v>
      </c>
      <c r="BW43">
        <v>3.4006300000000003E-2</v>
      </c>
      <c r="BX43">
        <v>2.2001199999999999E-2</v>
      </c>
      <c r="BY43">
        <v>3.4005399999999998E-2</v>
      </c>
      <c r="BZ43">
        <v>25</v>
      </c>
      <c r="CA43">
        <v>33528</v>
      </c>
      <c r="CB43">
        <v>1690292073.5</v>
      </c>
      <c r="CC43" t="s">
        <v>332</v>
      </c>
      <c r="CD43">
        <v>1690292069.5</v>
      </c>
      <c r="CE43">
        <v>1690292073.5</v>
      </c>
      <c r="CF43">
        <v>4</v>
      </c>
      <c r="CG43">
        <v>-3.6999999999999998E-2</v>
      </c>
      <c r="CH43">
        <v>-1.6E-2</v>
      </c>
      <c r="CI43">
        <v>-0.45200000000000001</v>
      </c>
      <c r="CJ43">
        <v>0.108</v>
      </c>
      <c r="CK43">
        <v>730</v>
      </c>
      <c r="CL43">
        <v>18</v>
      </c>
      <c r="CM43">
        <v>0</v>
      </c>
      <c r="CN43">
        <v>0.01</v>
      </c>
      <c r="CO43">
        <v>-197.5451219512195</v>
      </c>
      <c r="CP43">
        <v>-34.188961672474022</v>
      </c>
      <c r="CQ43">
        <v>3.374369355317155</v>
      </c>
      <c r="CR43">
        <v>-1</v>
      </c>
      <c r="CS43">
        <v>9.9922136585365866</v>
      </c>
      <c r="CT43">
        <v>4.0553970731707469</v>
      </c>
      <c r="CU43">
        <v>0.39990367860246773</v>
      </c>
      <c r="CV43">
        <v>-1</v>
      </c>
      <c r="CW43">
        <v>0</v>
      </c>
      <c r="CX43">
        <v>0</v>
      </c>
      <c r="CY43" t="s">
        <v>333</v>
      </c>
      <c r="CZ43">
        <v>2.3646400000000001</v>
      </c>
      <c r="DA43">
        <v>2.7138399999999998</v>
      </c>
      <c r="DB43">
        <v>0.120423</v>
      </c>
      <c r="DC43">
        <v>0.14669699999999999</v>
      </c>
      <c r="DD43">
        <v>0.115369</v>
      </c>
      <c r="DE43">
        <v>7.4724899999999997E-2</v>
      </c>
      <c r="DF43">
        <v>32112</v>
      </c>
      <c r="DG43">
        <v>27486.9</v>
      </c>
      <c r="DH43">
        <v>31167.200000000001</v>
      </c>
      <c r="DI43">
        <v>28068.3</v>
      </c>
      <c r="DJ43">
        <v>37427.199999999997</v>
      </c>
      <c r="DK43">
        <v>36924.400000000001</v>
      </c>
      <c r="DL43">
        <v>44351.8</v>
      </c>
      <c r="DM43">
        <v>42535.7</v>
      </c>
      <c r="DN43">
        <v>1.4784999999999999</v>
      </c>
      <c r="DO43">
        <v>2.0577999999999999</v>
      </c>
      <c r="DP43">
        <v>0.121512</v>
      </c>
      <c r="DQ43">
        <v>0.11143500000000001</v>
      </c>
      <c r="DR43">
        <v>25.4862</v>
      </c>
      <c r="DS43">
        <v>24.9603</v>
      </c>
      <c r="DT43">
        <v>58.5</v>
      </c>
      <c r="DU43">
        <v>28.2</v>
      </c>
      <c r="DV43">
        <v>22.608000000000001</v>
      </c>
      <c r="DW43">
        <v>61.773400000000002</v>
      </c>
      <c r="DX43">
        <v>34.254800000000003</v>
      </c>
      <c r="DY43">
        <v>1</v>
      </c>
      <c r="DZ43">
        <v>-9.2599100000000004E-2</v>
      </c>
      <c r="EA43">
        <v>1.9974000000000001</v>
      </c>
      <c r="EB43">
        <v>20.176400000000001</v>
      </c>
      <c r="EC43">
        <v>5.2404999999999999</v>
      </c>
      <c r="ED43">
        <v>12.039899999999999</v>
      </c>
      <c r="EE43">
        <v>5.0167000000000002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</v>
      </c>
      <c r="EL43">
        <v>1.86459</v>
      </c>
      <c r="EM43">
        <v>1.8691899999999999</v>
      </c>
      <c r="EN43">
        <v>1.8672200000000001</v>
      </c>
      <c r="EO43">
        <v>1.86338</v>
      </c>
      <c r="EP43">
        <v>1.8644400000000001</v>
      </c>
      <c r="EQ43">
        <v>1.8701300000000001</v>
      </c>
      <c r="ER43">
        <v>1.8694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-0.35899999999999999</v>
      </c>
      <c r="FG43">
        <v>0.1515</v>
      </c>
      <c r="FH43">
        <v>5.0310448532705943E-2</v>
      </c>
      <c r="FI43">
        <v>-6.1462078757559423E-4</v>
      </c>
      <c r="FJ43">
        <v>-1.8861989874597051E-7</v>
      </c>
      <c r="FK43">
        <v>1.1980462299894961E-10</v>
      </c>
      <c r="FL43">
        <v>0.15140825623214971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9.8000000000000007</v>
      </c>
      <c r="FU43">
        <v>9.8000000000000007</v>
      </c>
      <c r="FV43">
        <v>1.78589</v>
      </c>
      <c r="FW43">
        <v>2.5793499999999998</v>
      </c>
      <c r="FX43">
        <v>1.5490699999999999</v>
      </c>
      <c r="FY43">
        <v>2.3315399999999999</v>
      </c>
      <c r="FZ43">
        <v>1.50146</v>
      </c>
      <c r="GA43">
        <v>2.3791500000000001</v>
      </c>
      <c r="GB43">
        <v>32.9315</v>
      </c>
      <c r="GC43">
        <v>23.982399999999998</v>
      </c>
      <c r="GD43">
        <v>19</v>
      </c>
      <c r="GE43">
        <v>283.43799999999999</v>
      </c>
      <c r="GF43">
        <v>599.30899999999997</v>
      </c>
      <c r="GG43">
        <v>20.947199999999999</v>
      </c>
      <c r="GH43">
        <v>26.244299999999999</v>
      </c>
      <c r="GI43">
        <v>30.0002</v>
      </c>
      <c r="GJ43">
        <v>26.255500000000001</v>
      </c>
      <c r="GK43">
        <v>26.1876</v>
      </c>
      <c r="GL43">
        <v>35.701000000000001</v>
      </c>
      <c r="GM43">
        <v>47.7669</v>
      </c>
      <c r="GN43">
        <v>88.055899999999994</v>
      </c>
      <c r="GO43">
        <v>20.967199999999998</v>
      </c>
      <c r="GP43">
        <v>800</v>
      </c>
      <c r="GQ43">
        <v>13.138199999999999</v>
      </c>
      <c r="GR43">
        <v>99.719099999999997</v>
      </c>
      <c r="GS43">
        <v>99.511499999999998</v>
      </c>
    </row>
    <row r="44" spans="1:201" x14ac:dyDescent="0.25">
      <c r="A44">
        <v>28</v>
      </c>
      <c r="B44">
        <v>1690292669.5999999</v>
      </c>
      <c r="C44">
        <v>399</v>
      </c>
      <c r="D44" t="s">
        <v>389</v>
      </c>
      <c r="E44" t="s">
        <v>390</v>
      </c>
      <c r="F44" t="s">
        <v>330</v>
      </c>
      <c r="H44">
        <v>1690292669.5999999</v>
      </c>
      <c r="I44">
        <f t="shared" si="0"/>
        <v>1.1738169782851856E-3</v>
      </c>
      <c r="J44">
        <f t="shared" si="1"/>
        <v>1.1738169782851855</v>
      </c>
      <c r="K44">
        <f t="shared" si="2"/>
        <v>20.116955569618391</v>
      </c>
      <c r="L44">
        <f t="shared" si="3"/>
        <v>592.33199999999999</v>
      </c>
      <c r="M44">
        <f t="shared" si="4"/>
        <v>248.10197490327829</v>
      </c>
      <c r="N44">
        <f t="shared" si="5"/>
        <v>24.673468169426066</v>
      </c>
      <c r="O44">
        <f t="shared" si="6"/>
        <v>58.9067650647684</v>
      </c>
      <c r="P44">
        <f t="shared" si="7"/>
        <v>9.7761461996986154E-2</v>
      </c>
      <c r="Q44">
        <f t="shared" si="8"/>
        <v>2.2646016164105416</v>
      </c>
      <c r="R44">
        <f t="shared" si="9"/>
        <v>9.5475973056603977E-2</v>
      </c>
      <c r="S44">
        <f t="shared" si="10"/>
        <v>5.9873375073141638E-2</v>
      </c>
      <c r="T44">
        <f t="shared" si="11"/>
        <v>276.1136098429788</v>
      </c>
      <c r="U44">
        <f t="shared" si="12"/>
        <v>27.136240692626998</v>
      </c>
      <c r="V44">
        <f t="shared" si="13"/>
        <v>27.136240692626998</v>
      </c>
      <c r="W44">
        <f t="shared" si="14"/>
        <v>3.6078994641931055</v>
      </c>
      <c r="X44">
        <f t="shared" si="15"/>
        <v>74.139839527171489</v>
      </c>
      <c r="Y44">
        <f t="shared" si="16"/>
        <v>2.4223066603055101</v>
      </c>
      <c r="Z44">
        <f t="shared" si="17"/>
        <v>3.2672132496560904</v>
      </c>
      <c r="AA44">
        <f t="shared" si="18"/>
        <v>1.1855928038875954</v>
      </c>
      <c r="AB44">
        <f t="shared" si="19"/>
        <v>-51.765328742376681</v>
      </c>
      <c r="AC44">
        <f t="shared" si="20"/>
        <v>-205.10261914793148</v>
      </c>
      <c r="AD44">
        <f t="shared" si="21"/>
        <v>-19.408766564449195</v>
      </c>
      <c r="AE44">
        <f t="shared" si="22"/>
        <v>-0.16310461177855018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53079.900507013066</v>
      </c>
      <c r="AK44">
        <f t="shared" si="26"/>
        <v>1799.99</v>
      </c>
      <c r="AL44">
        <f t="shared" si="27"/>
        <v>1499.1017042109299</v>
      </c>
      <c r="AM44">
        <f t="shared" si="28"/>
        <v>0.83283890699999996</v>
      </c>
      <c r="AN44">
        <f t="shared" si="29"/>
        <v>0.15339730212</v>
      </c>
      <c r="AO44">
        <v>30</v>
      </c>
      <c r="AP44">
        <v>0.5</v>
      </c>
      <c r="AQ44" t="s">
        <v>331</v>
      </c>
      <c r="AR44">
        <v>2</v>
      </c>
      <c r="AS44">
        <v>1690292669.5999999</v>
      </c>
      <c r="AT44">
        <v>592.33199999999999</v>
      </c>
      <c r="AU44">
        <v>800.26800000000003</v>
      </c>
      <c r="AV44">
        <v>24.357299999999999</v>
      </c>
      <c r="AW44">
        <v>12.9153</v>
      </c>
      <c r="AX44">
        <v>592.68700000000001</v>
      </c>
      <c r="AY44">
        <v>24.2058</v>
      </c>
      <c r="AZ44">
        <v>300.26900000000001</v>
      </c>
      <c r="BA44">
        <v>99.3489</v>
      </c>
      <c r="BB44">
        <v>9.9998699999999996E-2</v>
      </c>
      <c r="BC44">
        <v>25.456299999999999</v>
      </c>
      <c r="BD44">
        <v>27.498999999999999</v>
      </c>
      <c r="BE44">
        <v>26.767399999999999</v>
      </c>
      <c r="BF44">
        <v>0</v>
      </c>
      <c r="BG44">
        <v>0</v>
      </c>
      <c r="BH44">
        <v>10054.4</v>
      </c>
      <c r="BI44">
        <v>1066.5899999999999</v>
      </c>
      <c r="BJ44">
        <v>1.98614</v>
      </c>
      <c r="BK44">
        <v>-207.93600000000001</v>
      </c>
      <c r="BL44">
        <v>607.12</v>
      </c>
      <c r="BM44">
        <v>810.73900000000003</v>
      </c>
      <c r="BN44">
        <v>11.4419</v>
      </c>
      <c r="BO44">
        <v>800.26800000000003</v>
      </c>
      <c r="BP44">
        <v>12.9153</v>
      </c>
      <c r="BQ44">
        <v>2.41987</v>
      </c>
      <c r="BR44">
        <v>1.2831300000000001</v>
      </c>
      <c r="BS44">
        <v>20.497299999999999</v>
      </c>
      <c r="BT44">
        <v>10.602600000000001</v>
      </c>
      <c r="BU44">
        <v>1799.99</v>
      </c>
      <c r="BV44">
        <v>0.909995</v>
      </c>
      <c r="BW44">
        <v>3.4003199999999997E-2</v>
      </c>
      <c r="BX44">
        <v>2.1999100000000001E-2</v>
      </c>
      <c r="BY44">
        <v>3.4002200000000003E-2</v>
      </c>
      <c r="BZ44">
        <v>25</v>
      </c>
      <c r="CA44">
        <v>33528.199999999997</v>
      </c>
      <c r="CB44">
        <v>1690292073.5</v>
      </c>
      <c r="CC44" t="s">
        <v>332</v>
      </c>
      <c r="CD44">
        <v>1690292069.5</v>
      </c>
      <c r="CE44">
        <v>1690292073.5</v>
      </c>
      <c r="CF44">
        <v>4</v>
      </c>
      <c r="CG44">
        <v>-3.6999999999999998E-2</v>
      </c>
      <c r="CH44">
        <v>-1.6E-2</v>
      </c>
      <c r="CI44">
        <v>-0.45200000000000001</v>
      </c>
      <c r="CJ44">
        <v>0.108</v>
      </c>
      <c r="CK44">
        <v>730</v>
      </c>
      <c r="CL44">
        <v>18</v>
      </c>
      <c r="CM44">
        <v>0</v>
      </c>
      <c r="CN44">
        <v>0.01</v>
      </c>
      <c r="CO44">
        <v>-202.82536585365861</v>
      </c>
      <c r="CP44">
        <v>-29.200745644599561</v>
      </c>
      <c r="CQ44">
        <v>2.88351554366217</v>
      </c>
      <c r="CR44">
        <v>-1</v>
      </c>
      <c r="CS44">
        <v>10.671796341463409</v>
      </c>
      <c r="CT44">
        <v>4.1283135888501903</v>
      </c>
      <c r="CU44">
        <v>0.40717270507108871</v>
      </c>
      <c r="CV44">
        <v>-1</v>
      </c>
      <c r="CW44">
        <v>0</v>
      </c>
      <c r="CX44">
        <v>0</v>
      </c>
      <c r="CY44" t="s">
        <v>333</v>
      </c>
      <c r="CZ44">
        <v>2.3648199999999999</v>
      </c>
      <c r="DA44">
        <v>2.7138399999999998</v>
      </c>
      <c r="DB44">
        <v>0.119796</v>
      </c>
      <c r="DC44">
        <v>0.146698</v>
      </c>
      <c r="DD44">
        <v>0.115552</v>
      </c>
      <c r="DE44">
        <v>7.20195E-2</v>
      </c>
      <c r="DF44">
        <v>32135.1</v>
      </c>
      <c r="DG44">
        <v>27487.3</v>
      </c>
      <c r="DH44">
        <v>31167.5</v>
      </c>
      <c r="DI44">
        <v>28068.799999999999</v>
      </c>
      <c r="DJ44">
        <v>37419.4</v>
      </c>
      <c r="DK44">
        <v>37033.199999999997</v>
      </c>
      <c r="DL44">
        <v>44351.9</v>
      </c>
      <c r="DM44">
        <v>42536.4</v>
      </c>
      <c r="DN44">
        <v>1.47845</v>
      </c>
      <c r="DO44">
        <v>2.0569500000000001</v>
      </c>
      <c r="DP44">
        <v>0.12493899999999999</v>
      </c>
      <c r="DQ44">
        <v>0.11215</v>
      </c>
      <c r="DR44">
        <v>25.454000000000001</v>
      </c>
      <c r="DS44">
        <v>24.9298</v>
      </c>
      <c r="DT44">
        <v>58.5</v>
      </c>
      <c r="DU44">
        <v>28.2</v>
      </c>
      <c r="DV44">
        <v>22.6082</v>
      </c>
      <c r="DW44">
        <v>61.703400000000002</v>
      </c>
      <c r="DX44">
        <v>33.970399999999998</v>
      </c>
      <c r="DY44">
        <v>1</v>
      </c>
      <c r="DZ44">
        <v>-9.2682899999999999E-2</v>
      </c>
      <c r="EA44">
        <v>1.9966900000000001</v>
      </c>
      <c r="EB44">
        <v>20.176400000000001</v>
      </c>
      <c r="EC44">
        <v>5.2409499999999998</v>
      </c>
      <c r="ED44">
        <v>12.039899999999999</v>
      </c>
      <c r="EE44">
        <v>5.0169499999999996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1.86459</v>
      </c>
      <c r="EM44">
        <v>1.8691899999999999</v>
      </c>
      <c r="EN44">
        <v>1.8672200000000001</v>
      </c>
      <c r="EO44">
        <v>1.8633500000000001</v>
      </c>
      <c r="EP44">
        <v>1.8644499999999999</v>
      </c>
      <c r="EQ44">
        <v>1.8701300000000001</v>
      </c>
      <c r="ER44">
        <v>1.86938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-0.35499999999999998</v>
      </c>
      <c r="FG44">
        <v>0.1515</v>
      </c>
      <c r="FH44">
        <v>5.0310448532705943E-2</v>
      </c>
      <c r="FI44">
        <v>-6.1462078757559423E-4</v>
      </c>
      <c r="FJ44">
        <v>-1.8861989874597051E-7</v>
      </c>
      <c r="FK44">
        <v>1.1980462299894961E-10</v>
      </c>
      <c r="FL44">
        <v>0.15140825623214971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10</v>
      </c>
      <c r="FU44">
        <v>9.9</v>
      </c>
      <c r="FV44">
        <v>1.78467</v>
      </c>
      <c r="FW44">
        <v>2.5830099999999998</v>
      </c>
      <c r="FX44">
        <v>1.5490699999999999</v>
      </c>
      <c r="FY44">
        <v>2.3315399999999999</v>
      </c>
      <c r="FZ44">
        <v>1.50146</v>
      </c>
      <c r="GA44">
        <v>2.33643</v>
      </c>
      <c r="GB44">
        <v>32.9315</v>
      </c>
      <c r="GC44">
        <v>23.973700000000001</v>
      </c>
      <c r="GD44">
        <v>19</v>
      </c>
      <c r="GE44">
        <v>283.42599999999999</v>
      </c>
      <c r="GF44">
        <v>598.62099999999998</v>
      </c>
      <c r="GG44">
        <v>20.990400000000001</v>
      </c>
      <c r="GH44">
        <v>26.244299999999999</v>
      </c>
      <c r="GI44">
        <v>30</v>
      </c>
      <c r="GJ44">
        <v>26.2577</v>
      </c>
      <c r="GK44">
        <v>26.190100000000001</v>
      </c>
      <c r="GL44">
        <v>35.676600000000001</v>
      </c>
      <c r="GM44">
        <v>49.678899999999999</v>
      </c>
      <c r="GN44">
        <v>87.292400000000001</v>
      </c>
      <c r="GO44">
        <v>21.000399999999999</v>
      </c>
      <c r="GP44">
        <v>800</v>
      </c>
      <c r="GQ44">
        <v>12.5756</v>
      </c>
      <c r="GR44">
        <v>99.719499999999996</v>
      </c>
      <c r="GS44">
        <v>99.513199999999998</v>
      </c>
    </row>
    <row r="45" spans="1:201" x14ac:dyDescent="0.25">
      <c r="A45">
        <v>29</v>
      </c>
      <c r="B45">
        <v>1690292679.5999999</v>
      </c>
      <c r="C45">
        <v>409</v>
      </c>
      <c r="D45" t="s">
        <v>391</v>
      </c>
      <c r="E45" t="s">
        <v>392</v>
      </c>
      <c r="F45" t="s">
        <v>330</v>
      </c>
      <c r="H45">
        <v>1690292679.5999999</v>
      </c>
      <c r="I45">
        <f t="shared" si="0"/>
        <v>1.23351475716012E-3</v>
      </c>
      <c r="J45">
        <f t="shared" si="1"/>
        <v>1.2335147571601199</v>
      </c>
      <c r="K45">
        <f t="shared" si="2"/>
        <v>20.462690487190798</v>
      </c>
      <c r="L45">
        <f t="shared" si="3"/>
        <v>588.40200000000004</v>
      </c>
      <c r="M45">
        <f t="shared" si="4"/>
        <v>257.81679962301922</v>
      </c>
      <c r="N45">
        <f t="shared" si="5"/>
        <v>25.639087678033622</v>
      </c>
      <c r="O45">
        <f t="shared" si="6"/>
        <v>58.514768975448007</v>
      </c>
      <c r="P45">
        <f t="shared" si="7"/>
        <v>0.10378338346029088</v>
      </c>
      <c r="Q45">
        <f t="shared" si="8"/>
        <v>2.2547535169721664</v>
      </c>
      <c r="R45">
        <f t="shared" si="9"/>
        <v>0.10120071696686184</v>
      </c>
      <c r="S45">
        <f t="shared" si="10"/>
        <v>6.3477137366772018E-2</v>
      </c>
      <c r="T45">
        <f t="shared" si="11"/>
        <v>276.11343875392936</v>
      </c>
      <c r="U45">
        <f t="shared" si="12"/>
        <v>27.100085888337709</v>
      </c>
      <c r="V45">
        <f t="shared" si="13"/>
        <v>27.100085888337709</v>
      </c>
      <c r="W45">
        <f t="shared" si="14"/>
        <v>3.6002530959964139</v>
      </c>
      <c r="X45">
        <f t="shared" si="15"/>
        <v>74.319142360516395</v>
      </c>
      <c r="Y45">
        <f t="shared" si="16"/>
        <v>2.4248342372768001</v>
      </c>
      <c r="Z45">
        <f t="shared" si="17"/>
        <v>3.2627317273309173</v>
      </c>
      <c r="AA45">
        <f t="shared" si="18"/>
        <v>1.1754188587196137</v>
      </c>
      <c r="AB45">
        <f t="shared" si="19"/>
        <v>-54.398000790761294</v>
      </c>
      <c r="AC45">
        <f t="shared" si="20"/>
        <v>-202.62376755243653</v>
      </c>
      <c r="AD45">
        <f t="shared" si="21"/>
        <v>-19.252220415728289</v>
      </c>
      <c r="AE45">
        <f t="shared" si="22"/>
        <v>-0.16055000499676453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52696.771304346337</v>
      </c>
      <c r="AK45">
        <f t="shared" si="26"/>
        <v>1799.99</v>
      </c>
      <c r="AL45">
        <f t="shared" si="27"/>
        <v>1499.1039631983799</v>
      </c>
      <c r="AM45">
        <f t="shared" si="28"/>
        <v>0.83284016199999999</v>
      </c>
      <c r="AN45">
        <f t="shared" si="29"/>
        <v>0.15339720707000004</v>
      </c>
      <c r="AO45">
        <v>30</v>
      </c>
      <c r="AP45">
        <v>0.5</v>
      </c>
      <c r="AQ45" t="s">
        <v>331</v>
      </c>
      <c r="AR45">
        <v>2</v>
      </c>
      <c r="AS45">
        <v>1690292679.5999999</v>
      </c>
      <c r="AT45">
        <v>588.40200000000004</v>
      </c>
      <c r="AU45">
        <v>800.15</v>
      </c>
      <c r="AV45">
        <v>24.383199999999999</v>
      </c>
      <c r="AW45">
        <v>12.3566</v>
      </c>
      <c r="AX45">
        <v>588.755</v>
      </c>
      <c r="AY45">
        <v>24.2318</v>
      </c>
      <c r="AZ45">
        <v>300.19400000000002</v>
      </c>
      <c r="BA45">
        <v>99.346900000000005</v>
      </c>
      <c r="BB45">
        <v>0.100024</v>
      </c>
      <c r="BC45">
        <v>25.433199999999999</v>
      </c>
      <c r="BD45">
        <v>27.446100000000001</v>
      </c>
      <c r="BE45">
        <v>26.7468</v>
      </c>
      <c r="BF45">
        <v>0</v>
      </c>
      <c r="BG45">
        <v>0</v>
      </c>
      <c r="BH45">
        <v>9978.1200000000008</v>
      </c>
      <c r="BI45">
        <v>1065.97</v>
      </c>
      <c r="BJ45">
        <v>2.0744500000000001</v>
      </c>
      <c r="BK45">
        <v>-211.74700000000001</v>
      </c>
      <c r="BL45">
        <v>603.10799999999995</v>
      </c>
      <c r="BM45">
        <v>810.16099999999994</v>
      </c>
      <c r="BN45">
        <v>12.0266</v>
      </c>
      <c r="BO45">
        <v>800.15</v>
      </c>
      <c r="BP45">
        <v>12.3566</v>
      </c>
      <c r="BQ45">
        <v>2.4224000000000001</v>
      </c>
      <c r="BR45">
        <v>1.22759</v>
      </c>
      <c r="BS45">
        <v>20.514299999999999</v>
      </c>
      <c r="BT45">
        <v>9.9404299999999992</v>
      </c>
      <c r="BU45">
        <v>1799.99</v>
      </c>
      <c r="BV45">
        <v>0.91000400000000004</v>
      </c>
      <c r="BW45">
        <v>3.4000000000000002E-2</v>
      </c>
      <c r="BX45">
        <v>2.1997099999999999E-2</v>
      </c>
      <c r="BY45">
        <v>3.3999099999999997E-2</v>
      </c>
      <c r="BZ45">
        <v>25</v>
      </c>
      <c r="CA45">
        <v>33528.199999999997</v>
      </c>
      <c r="CB45">
        <v>1690292073.5</v>
      </c>
      <c r="CC45" t="s">
        <v>332</v>
      </c>
      <c r="CD45">
        <v>1690292069.5</v>
      </c>
      <c r="CE45">
        <v>1690292073.5</v>
      </c>
      <c r="CF45">
        <v>4</v>
      </c>
      <c r="CG45">
        <v>-3.6999999999999998E-2</v>
      </c>
      <c r="CH45">
        <v>-1.6E-2</v>
      </c>
      <c r="CI45">
        <v>-0.45200000000000001</v>
      </c>
      <c r="CJ45">
        <v>0.108</v>
      </c>
      <c r="CK45">
        <v>730</v>
      </c>
      <c r="CL45">
        <v>18</v>
      </c>
      <c r="CM45">
        <v>0</v>
      </c>
      <c r="CN45">
        <v>0.01</v>
      </c>
      <c r="CO45">
        <v>-207.37029268292679</v>
      </c>
      <c r="CP45">
        <v>-25.150557491289518</v>
      </c>
      <c r="CQ45">
        <v>2.481816616757722</v>
      </c>
      <c r="CR45">
        <v>-1</v>
      </c>
      <c r="CS45">
        <v>11.35119756097561</v>
      </c>
      <c r="CT45">
        <v>4.0359721254355456</v>
      </c>
      <c r="CU45">
        <v>0.39850826443540588</v>
      </c>
      <c r="CV45">
        <v>-1</v>
      </c>
      <c r="CW45">
        <v>0</v>
      </c>
      <c r="CX45">
        <v>0</v>
      </c>
      <c r="CY45" t="s">
        <v>333</v>
      </c>
      <c r="CZ45">
        <v>2.3646199999999999</v>
      </c>
      <c r="DA45">
        <v>2.7138</v>
      </c>
      <c r="DB45">
        <v>0.119231</v>
      </c>
      <c r="DC45">
        <v>0.14666799999999999</v>
      </c>
      <c r="DD45">
        <v>0.115636</v>
      </c>
      <c r="DE45">
        <v>6.9674E-2</v>
      </c>
      <c r="DF45">
        <v>32155.3</v>
      </c>
      <c r="DG45">
        <v>27487.8</v>
      </c>
      <c r="DH45">
        <v>31167</v>
      </c>
      <c r="DI45">
        <v>28068.400000000001</v>
      </c>
      <c r="DJ45">
        <v>37415.199999999997</v>
      </c>
      <c r="DK45">
        <v>37126.400000000001</v>
      </c>
      <c r="DL45">
        <v>44351.3</v>
      </c>
      <c r="DM45">
        <v>42535.7</v>
      </c>
      <c r="DN45">
        <v>1.4785699999999999</v>
      </c>
      <c r="DO45">
        <v>2.0560499999999999</v>
      </c>
      <c r="DP45">
        <v>0.123534</v>
      </c>
      <c r="DQ45">
        <v>0.11280900000000001</v>
      </c>
      <c r="DR45">
        <v>25.423999999999999</v>
      </c>
      <c r="DS45">
        <v>24.898399999999999</v>
      </c>
      <c r="DT45">
        <v>58.4</v>
      </c>
      <c r="DU45">
        <v>28.2</v>
      </c>
      <c r="DV45">
        <v>22.570499999999999</v>
      </c>
      <c r="DW45">
        <v>61.7834</v>
      </c>
      <c r="DX45">
        <v>34.174700000000001</v>
      </c>
      <c r="DY45">
        <v>1</v>
      </c>
      <c r="DZ45">
        <v>-9.2494900000000005E-2</v>
      </c>
      <c r="EA45">
        <v>1.9980100000000001</v>
      </c>
      <c r="EB45">
        <v>20.176400000000001</v>
      </c>
      <c r="EC45">
        <v>5.2404999999999999</v>
      </c>
      <c r="ED45">
        <v>12.039899999999999</v>
      </c>
      <c r="EE45">
        <v>5.0169499999999996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1.8688899999999999</v>
      </c>
      <c r="EL45">
        <v>1.8646</v>
      </c>
      <c r="EM45">
        <v>1.8691899999999999</v>
      </c>
      <c r="EN45">
        <v>1.8672200000000001</v>
      </c>
      <c r="EO45">
        <v>1.8633299999999999</v>
      </c>
      <c r="EP45">
        <v>1.86446</v>
      </c>
      <c r="EQ45">
        <v>1.8701399999999999</v>
      </c>
      <c r="ER45">
        <v>1.8693900000000001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-0.35299999999999998</v>
      </c>
      <c r="FG45">
        <v>0.15140000000000001</v>
      </c>
      <c r="FH45">
        <v>5.0310448532705943E-2</v>
      </c>
      <c r="FI45">
        <v>-6.1462078757559423E-4</v>
      </c>
      <c r="FJ45">
        <v>-1.8861989874597051E-7</v>
      </c>
      <c r="FK45">
        <v>1.1980462299894961E-10</v>
      </c>
      <c r="FL45">
        <v>0.15140825623214971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10.199999999999999</v>
      </c>
      <c r="FU45">
        <v>10.1</v>
      </c>
      <c r="FV45">
        <v>1.78345</v>
      </c>
      <c r="FW45">
        <v>2.5830099999999998</v>
      </c>
      <c r="FX45">
        <v>1.5490699999999999</v>
      </c>
      <c r="FY45">
        <v>2.3315399999999999</v>
      </c>
      <c r="FZ45">
        <v>1.50146</v>
      </c>
      <c r="GA45">
        <v>2.2839399999999999</v>
      </c>
      <c r="GB45">
        <v>32.953699999999998</v>
      </c>
      <c r="GC45">
        <v>23.973700000000001</v>
      </c>
      <c r="GD45">
        <v>19</v>
      </c>
      <c r="GE45">
        <v>283.488</v>
      </c>
      <c r="GF45">
        <v>597.91099999999994</v>
      </c>
      <c r="GG45">
        <v>21.0139</v>
      </c>
      <c r="GH45">
        <v>26.242100000000001</v>
      </c>
      <c r="GI45">
        <v>30.0001</v>
      </c>
      <c r="GJ45">
        <v>26.259899999999998</v>
      </c>
      <c r="GK45">
        <v>26.194199999999999</v>
      </c>
      <c r="GL45">
        <v>35.67</v>
      </c>
      <c r="GM45">
        <v>51.141399999999997</v>
      </c>
      <c r="GN45">
        <v>86.896199999999993</v>
      </c>
      <c r="GO45">
        <v>21.015999999999998</v>
      </c>
      <c r="GP45">
        <v>800</v>
      </c>
      <c r="GQ45">
        <v>12.0297</v>
      </c>
      <c r="GR45">
        <v>99.718000000000004</v>
      </c>
      <c r="GS45">
        <v>99.511600000000001</v>
      </c>
    </row>
    <row r="46" spans="1:201" x14ac:dyDescent="0.25">
      <c r="A46">
        <v>30</v>
      </c>
      <c r="B46">
        <v>1690292689.5999999</v>
      </c>
      <c r="C46">
        <v>419</v>
      </c>
      <c r="D46" t="s">
        <v>393</v>
      </c>
      <c r="E46" t="s">
        <v>394</v>
      </c>
      <c r="F46" t="s">
        <v>330</v>
      </c>
      <c r="H46">
        <v>1690292689.5999999</v>
      </c>
      <c r="I46">
        <f t="shared" si="0"/>
        <v>1.2847656804287344E-3</v>
      </c>
      <c r="J46">
        <f t="shared" si="1"/>
        <v>1.2847656804287344</v>
      </c>
      <c r="K46">
        <f t="shared" si="2"/>
        <v>20.772645744526724</v>
      </c>
      <c r="L46">
        <f t="shared" si="3"/>
        <v>585.01099999999997</v>
      </c>
      <c r="M46">
        <f t="shared" si="4"/>
        <v>265.38271921433198</v>
      </c>
      <c r="N46">
        <f t="shared" si="5"/>
        <v>26.391839575390552</v>
      </c>
      <c r="O46">
        <f t="shared" si="6"/>
        <v>58.178303800441995</v>
      </c>
      <c r="P46">
        <f t="shared" si="7"/>
        <v>0.10916942936243737</v>
      </c>
      <c r="Q46">
        <f t="shared" si="8"/>
        <v>2.2571905109940587</v>
      </c>
      <c r="R46">
        <f t="shared" si="9"/>
        <v>0.10631870558564864</v>
      </c>
      <c r="S46">
        <f t="shared" si="10"/>
        <v>6.6699116939129166E-2</v>
      </c>
      <c r="T46">
        <f t="shared" si="11"/>
        <v>276.11302448623081</v>
      </c>
      <c r="U46">
        <f t="shared" si="12"/>
        <v>27.04501448860805</v>
      </c>
      <c r="V46">
        <f t="shared" si="13"/>
        <v>27.04501448860805</v>
      </c>
      <c r="W46">
        <f t="shared" si="14"/>
        <v>3.5886332455710561</v>
      </c>
      <c r="X46">
        <f t="shared" si="15"/>
        <v>74.430804931686225</v>
      </c>
      <c r="Y46">
        <f t="shared" si="16"/>
        <v>2.4232150461851996</v>
      </c>
      <c r="Z46">
        <f t="shared" si="17"/>
        <v>3.2556614810349895</v>
      </c>
      <c r="AA46">
        <f t="shared" si="18"/>
        <v>1.1654181993858566</v>
      </c>
      <c r="AB46">
        <f t="shared" si="19"/>
        <v>-56.658166506907186</v>
      </c>
      <c r="AC46">
        <f t="shared" si="20"/>
        <v>-200.58282116787819</v>
      </c>
      <c r="AD46">
        <f t="shared" si="21"/>
        <v>-19.028984415751182</v>
      </c>
      <c r="AE46">
        <f t="shared" si="22"/>
        <v>-0.15694760430571364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52798.919214242087</v>
      </c>
      <c r="AK46">
        <f t="shared" si="26"/>
        <v>1799.99</v>
      </c>
      <c r="AL46">
        <f t="shared" si="27"/>
        <v>1499.10483619353</v>
      </c>
      <c r="AM46">
        <f t="shared" si="28"/>
        <v>0.83284064700000004</v>
      </c>
      <c r="AN46">
        <f t="shared" si="29"/>
        <v>0.15339697692000001</v>
      </c>
      <c r="AO46">
        <v>30</v>
      </c>
      <c r="AP46">
        <v>0.5</v>
      </c>
      <c r="AQ46" t="s">
        <v>331</v>
      </c>
      <c r="AR46">
        <v>2</v>
      </c>
      <c r="AS46">
        <v>1690292689.5999999</v>
      </c>
      <c r="AT46">
        <v>585.01099999999997</v>
      </c>
      <c r="AU46">
        <v>800.17100000000005</v>
      </c>
      <c r="AV46">
        <v>24.366599999999998</v>
      </c>
      <c r="AW46">
        <v>11.8368</v>
      </c>
      <c r="AX46">
        <v>585.36099999999999</v>
      </c>
      <c r="AY46">
        <v>24.215199999999999</v>
      </c>
      <c r="AZ46">
        <v>300.11500000000001</v>
      </c>
      <c r="BA46">
        <v>99.348100000000002</v>
      </c>
      <c r="BB46">
        <v>0.100122</v>
      </c>
      <c r="BC46">
        <v>25.396699999999999</v>
      </c>
      <c r="BD46">
        <v>27.400400000000001</v>
      </c>
      <c r="BE46">
        <v>26.714600000000001</v>
      </c>
      <c r="BF46">
        <v>0</v>
      </c>
      <c r="BG46">
        <v>0</v>
      </c>
      <c r="BH46">
        <v>9996.8799999999992</v>
      </c>
      <c r="BI46">
        <v>1065.3399999999999</v>
      </c>
      <c r="BJ46">
        <v>2.0744500000000001</v>
      </c>
      <c r="BK46">
        <v>-215.161</v>
      </c>
      <c r="BL46">
        <v>599.62099999999998</v>
      </c>
      <c r="BM46">
        <v>809.75599999999997</v>
      </c>
      <c r="BN46">
        <v>12.5298</v>
      </c>
      <c r="BO46">
        <v>800.17100000000005</v>
      </c>
      <c r="BP46">
        <v>11.8368</v>
      </c>
      <c r="BQ46">
        <v>2.4207700000000001</v>
      </c>
      <c r="BR46">
        <v>1.1759599999999999</v>
      </c>
      <c r="BS46">
        <v>20.503399999999999</v>
      </c>
      <c r="BT46">
        <v>9.3007000000000009</v>
      </c>
      <c r="BU46">
        <v>1799.99</v>
      </c>
      <c r="BV46">
        <v>0.91001200000000004</v>
      </c>
      <c r="BW46">
        <v>3.3996899999999997E-2</v>
      </c>
      <c r="BX46">
        <v>2.19951E-2</v>
      </c>
      <c r="BY46">
        <v>3.3995999999999998E-2</v>
      </c>
      <c r="BZ46">
        <v>25</v>
      </c>
      <c r="CA46">
        <v>33528.300000000003</v>
      </c>
      <c r="CB46">
        <v>1690292073.5</v>
      </c>
      <c r="CC46" t="s">
        <v>332</v>
      </c>
      <c r="CD46">
        <v>1690292069.5</v>
      </c>
      <c r="CE46">
        <v>1690292073.5</v>
      </c>
      <c r="CF46">
        <v>4</v>
      </c>
      <c r="CG46">
        <v>-3.6999999999999998E-2</v>
      </c>
      <c r="CH46">
        <v>-1.6E-2</v>
      </c>
      <c r="CI46">
        <v>-0.45200000000000001</v>
      </c>
      <c r="CJ46">
        <v>0.108</v>
      </c>
      <c r="CK46">
        <v>730</v>
      </c>
      <c r="CL46">
        <v>18</v>
      </c>
      <c r="CM46">
        <v>0</v>
      </c>
      <c r="CN46">
        <v>0.01</v>
      </c>
      <c r="CO46">
        <v>-211.59299999999999</v>
      </c>
      <c r="CP46">
        <v>-21.975917448404932</v>
      </c>
      <c r="CQ46">
        <v>2.1152367716168339</v>
      </c>
      <c r="CR46">
        <v>-1</v>
      </c>
      <c r="CS46">
        <v>12.000870000000001</v>
      </c>
      <c r="CT46">
        <v>3.195075422138812</v>
      </c>
      <c r="CU46">
        <v>0.30767225191752351</v>
      </c>
      <c r="CV46">
        <v>-1</v>
      </c>
      <c r="CW46">
        <v>0</v>
      </c>
      <c r="CX46">
        <v>0</v>
      </c>
      <c r="CY46" t="s">
        <v>333</v>
      </c>
      <c r="CZ46">
        <v>2.3643800000000001</v>
      </c>
      <c r="DA46">
        <v>2.7139099999999998</v>
      </c>
      <c r="DB46">
        <v>0.118746</v>
      </c>
      <c r="DC46">
        <v>0.14666100000000001</v>
      </c>
      <c r="DD46">
        <v>0.115582</v>
      </c>
      <c r="DE46">
        <v>6.7459000000000005E-2</v>
      </c>
      <c r="DF46">
        <v>32173.4</v>
      </c>
      <c r="DG46">
        <v>27488.1</v>
      </c>
      <c r="DH46">
        <v>31167.3</v>
      </c>
      <c r="DI46">
        <v>28068.5</v>
      </c>
      <c r="DJ46">
        <v>37418.199999999997</v>
      </c>
      <c r="DK46">
        <v>37215.199999999997</v>
      </c>
      <c r="DL46">
        <v>44352.1</v>
      </c>
      <c r="DM46">
        <v>42535.9</v>
      </c>
      <c r="DN46">
        <v>1.47882</v>
      </c>
      <c r="DO46">
        <v>2.0551200000000001</v>
      </c>
      <c r="DP46">
        <v>0.122763</v>
      </c>
      <c r="DQ46">
        <v>0.112798</v>
      </c>
      <c r="DR46">
        <v>25.390799999999999</v>
      </c>
      <c r="DS46">
        <v>24.866299999999999</v>
      </c>
      <c r="DT46">
        <v>58.2</v>
      </c>
      <c r="DU46">
        <v>28.1</v>
      </c>
      <c r="DV46">
        <v>22.358499999999999</v>
      </c>
      <c r="DW46">
        <v>61.803400000000003</v>
      </c>
      <c r="DX46">
        <v>34.927900000000001</v>
      </c>
      <c r="DY46">
        <v>1</v>
      </c>
      <c r="DZ46">
        <v>-9.2372999999999997E-2</v>
      </c>
      <c r="EA46">
        <v>2.01302</v>
      </c>
      <c r="EB46">
        <v>20.176300000000001</v>
      </c>
      <c r="EC46">
        <v>5.2408000000000001</v>
      </c>
      <c r="ED46">
        <v>12.039899999999999</v>
      </c>
      <c r="EE46">
        <v>5.0169499999999996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</v>
      </c>
      <c r="EL46">
        <v>1.8646</v>
      </c>
      <c r="EM46">
        <v>1.8692</v>
      </c>
      <c r="EN46">
        <v>1.8672200000000001</v>
      </c>
      <c r="EO46">
        <v>1.86334</v>
      </c>
      <c r="EP46">
        <v>1.8644700000000001</v>
      </c>
      <c r="EQ46">
        <v>1.8701399999999999</v>
      </c>
      <c r="ER46">
        <v>1.8694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-0.35</v>
      </c>
      <c r="FG46">
        <v>0.15140000000000001</v>
      </c>
      <c r="FH46">
        <v>5.0310448532705943E-2</v>
      </c>
      <c r="FI46">
        <v>-6.1462078757559423E-4</v>
      </c>
      <c r="FJ46">
        <v>-1.8861989874597051E-7</v>
      </c>
      <c r="FK46">
        <v>1.1980462299894961E-10</v>
      </c>
      <c r="FL46">
        <v>0.15140825623214971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10.3</v>
      </c>
      <c r="FU46">
        <v>10.3</v>
      </c>
      <c r="FV46">
        <v>1.78345</v>
      </c>
      <c r="FW46">
        <v>2.5744600000000002</v>
      </c>
      <c r="FX46">
        <v>1.5490699999999999</v>
      </c>
      <c r="FY46">
        <v>2.3315399999999999</v>
      </c>
      <c r="FZ46">
        <v>1.50146</v>
      </c>
      <c r="GA46">
        <v>2.34131</v>
      </c>
      <c r="GB46">
        <v>32.9315</v>
      </c>
      <c r="GC46">
        <v>23.982399999999998</v>
      </c>
      <c r="GD46">
        <v>19</v>
      </c>
      <c r="GE46">
        <v>283.59500000000003</v>
      </c>
      <c r="GF46">
        <v>597.16099999999994</v>
      </c>
      <c r="GG46">
        <v>21.0151</v>
      </c>
      <c r="GH46">
        <v>26.2377</v>
      </c>
      <c r="GI46">
        <v>30.0001</v>
      </c>
      <c r="GJ46">
        <v>26.259899999999998</v>
      </c>
      <c r="GK46">
        <v>26.1967</v>
      </c>
      <c r="GL46">
        <v>35.655900000000003</v>
      </c>
      <c r="GM46">
        <v>53.002200000000002</v>
      </c>
      <c r="GN46">
        <v>86.129900000000006</v>
      </c>
      <c r="GO46">
        <v>21.014299999999999</v>
      </c>
      <c r="GP46">
        <v>800</v>
      </c>
      <c r="GQ46">
        <v>11.513500000000001</v>
      </c>
      <c r="GR46">
        <v>99.7196</v>
      </c>
      <c r="GS46">
        <v>99.512100000000004</v>
      </c>
    </row>
    <row r="47" spans="1:201" x14ac:dyDescent="0.25">
      <c r="A47">
        <v>31</v>
      </c>
      <c r="B47">
        <v>1690292699.5999999</v>
      </c>
      <c r="C47">
        <v>429</v>
      </c>
      <c r="D47" t="s">
        <v>395</v>
      </c>
      <c r="E47" t="s">
        <v>396</v>
      </c>
      <c r="F47" t="s">
        <v>330</v>
      </c>
      <c r="H47">
        <v>1690292699.5999999</v>
      </c>
      <c r="I47">
        <f t="shared" si="0"/>
        <v>1.3381454039374826E-3</v>
      </c>
      <c r="J47">
        <f t="shared" si="1"/>
        <v>1.3381454039374827</v>
      </c>
      <c r="K47">
        <f t="shared" si="2"/>
        <v>21.050543208599748</v>
      </c>
      <c r="L47">
        <f t="shared" si="3"/>
        <v>582.00900000000001</v>
      </c>
      <c r="M47">
        <f t="shared" si="4"/>
        <v>272.43019375446426</v>
      </c>
      <c r="N47">
        <f t="shared" si="5"/>
        <v>27.094038199689862</v>
      </c>
      <c r="O47">
        <f t="shared" si="6"/>
        <v>57.882622558260003</v>
      </c>
      <c r="P47">
        <f t="shared" si="7"/>
        <v>0.11443757933781588</v>
      </c>
      <c r="Q47">
        <f t="shared" si="8"/>
        <v>2.2595906397919832</v>
      </c>
      <c r="R47">
        <f t="shared" si="9"/>
        <v>0.11131255465206995</v>
      </c>
      <c r="S47">
        <f t="shared" si="10"/>
        <v>6.9844009707446961E-2</v>
      </c>
      <c r="T47">
        <f t="shared" si="11"/>
        <v>276.11116580006956</v>
      </c>
      <c r="U47">
        <f t="shared" si="12"/>
        <v>26.991983726036047</v>
      </c>
      <c r="V47">
        <f t="shared" si="13"/>
        <v>26.991983726036047</v>
      </c>
      <c r="W47">
        <f t="shared" si="14"/>
        <v>3.5774749147549438</v>
      </c>
      <c r="X47">
        <f t="shared" si="15"/>
        <v>74.417995535002575</v>
      </c>
      <c r="Y47">
        <f t="shared" si="16"/>
        <v>2.4179345756220001</v>
      </c>
      <c r="Z47">
        <f t="shared" si="17"/>
        <v>3.2491261800846578</v>
      </c>
      <c r="AA47">
        <f t="shared" si="18"/>
        <v>1.1595403391329437</v>
      </c>
      <c r="AB47">
        <f t="shared" si="19"/>
        <v>-59.012212313642983</v>
      </c>
      <c r="AC47">
        <f t="shared" si="20"/>
        <v>-198.45343280876557</v>
      </c>
      <c r="AD47">
        <f t="shared" si="21"/>
        <v>-18.798786208434052</v>
      </c>
      <c r="AE47">
        <f t="shared" si="22"/>
        <v>-0.15326553077306926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52899.345956241763</v>
      </c>
      <c r="AK47">
        <f t="shared" si="26"/>
        <v>1799.98</v>
      </c>
      <c r="AL47">
        <f t="shared" si="27"/>
        <v>1499.0970927805602</v>
      </c>
      <c r="AM47">
        <f t="shared" si="28"/>
        <v>0.83284097200000007</v>
      </c>
      <c r="AN47">
        <f t="shared" si="29"/>
        <v>0.15339679651999999</v>
      </c>
      <c r="AO47">
        <v>30</v>
      </c>
      <c r="AP47">
        <v>0.5</v>
      </c>
      <c r="AQ47" t="s">
        <v>331</v>
      </c>
      <c r="AR47">
        <v>2</v>
      </c>
      <c r="AS47">
        <v>1690292699.5999999</v>
      </c>
      <c r="AT47">
        <v>582.00900000000001</v>
      </c>
      <c r="AU47">
        <v>800.23199999999997</v>
      </c>
      <c r="AV47">
        <v>24.3123</v>
      </c>
      <c r="AW47">
        <v>11.260400000000001</v>
      </c>
      <c r="AX47">
        <v>582.35699999999997</v>
      </c>
      <c r="AY47">
        <v>24.160900000000002</v>
      </c>
      <c r="AZ47">
        <v>300.09699999999998</v>
      </c>
      <c r="BA47">
        <v>99.353099999999998</v>
      </c>
      <c r="BB47">
        <v>0.10004</v>
      </c>
      <c r="BC47">
        <v>25.3629</v>
      </c>
      <c r="BD47">
        <v>27.369900000000001</v>
      </c>
      <c r="BE47">
        <v>26.668500000000002</v>
      </c>
      <c r="BF47">
        <v>0</v>
      </c>
      <c r="BG47">
        <v>0</v>
      </c>
      <c r="BH47">
        <v>10015</v>
      </c>
      <c r="BI47">
        <v>1064.74</v>
      </c>
      <c r="BJ47">
        <v>2.0744500000000001</v>
      </c>
      <c r="BK47">
        <v>-218.22300000000001</v>
      </c>
      <c r="BL47">
        <v>596.51199999999994</v>
      </c>
      <c r="BM47">
        <v>809.346</v>
      </c>
      <c r="BN47">
        <v>13.0519</v>
      </c>
      <c r="BO47">
        <v>800.23199999999997</v>
      </c>
      <c r="BP47">
        <v>11.260400000000001</v>
      </c>
      <c r="BQ47">
        <v>2.4155099999999998</v>
      </c>
      <c r="BR47">
        <v>1.11876</v>
      </c>
      <c r="BS47">
        <v>20.4681</v>
      </c>
      <c r="BT47">
        <v>8.5622500000000006</v>
      </c>
      <c r="BU47">
        <v>1799.98</v>
      </c>
      <c r="BV47">
        <v>0.91001799999999999</v>
      </c>
      <c r="BW47">
        <v>3.39946E-2</v>
      </c>
      <c r="BX47">
        <v>2.1993599999999999E-2</v>
      </c>
      <c r="BY47">
        <v>3.3993599999999999E-2</v>
      </c>
      <c r="BZ47">
        <v>25</v>
      </c>
      <c r="CA47">
        <v>33528.199999999997</v>
      </c>
      <c r="CB47">
        <v>1690292073.5</v>
      </c>
      <c r="CC47" t="s">
        <v>332</v>
      </c>
      <c r="CD47">
        <v>1690292069.5</v>
      </c>
      <c r="CE47">
        <v>1690292073.5</v>
      </c>
      <c r="CF47">
        <v>4</v>
      </c>
      <c r="CG47">
        <v>-3.6999999999999998E-2</v>
      </c>
      <c r="CH47">
        <v>-1.6E-2</v>
      </c>
      <c r="CI47">
        <v>-0.45200000000000001</v>
      </c>
      <c r="CJ47">
        <v>0.108</v>
      </c>
      <c r="CK47">
        <v>730</v>
      </c>
      <c r="CL47">
        <v>18</v>
      </c>
      <c r="CM47">
        <v>0</v>
      </c>
      <c r="CN47">
        <v>0.01</v>
      </c>
      <c r="CO47">
        <v>-215.02324999999999</v>
      </c>
      <c r="CP47">
        <v>-19.414896810506121</v>
      </c>
      <c r="CQ47">
        <v>1.86957312975449</v>
      </c>
      <c r="CR47">
        <v>-1</v>
      </c>
      <c r="CS47">
        <v>12.521722499999999</v>
      </c>
      <c r="CT47">
        <v>3.0881414634146211</v>
      </c>
      <c r="CU47">
        <v>0.29722464188514047</v>
      </c>
      <c r="CV47">
        <v>-1</v>
      </c>
      <c r="CW47">
        <v>0</v>
      </c>
      <c r="CX47">
        <v>0</v>
      </c>
      <c r="CY47" t="s">
        <v>333</v>
      </c>
      <c r="CZ47">
        <v>2.36436</v>
      </c>
      <c r="DA47">
        <v>2.7138399999999998</v>
      </c>
      <c r="DB47">
        <v>0.11831800000000001</v>
      </c>
      <c r="DC47">
        <v>0.14666299999999999</v>
      </c>
      <c r="DD47">
        <v>0.11540599999999999</v>
      </c>
      <c r="DE47">
        <v>6.4962900000000004E-2</v>
      </c>
      <c r="DF47">
        <v>32188.9</v>
      </c>
      <c r="DG47">
        <v>27488</v>
      </c>
      <c r="DH47">
        <v>31167.200000000001</v>
      </c>
      <c r="DI47">
        <v>28068.5</v>
      </c>
      <c r="DJ47">
        <v>37425.4</v>
      </c>
      <c r="DK47">
        <v>37315</v>
      </c>
      <c r="DL47">
        <v>44351.9</v>
      </c>
      <c r="DM47">
        <v>42535.9</v>
      </c>
      <c r="DN47">
        <v>1.4791300000000001</v>
      </c>
      <c r="DO47">
        <v>2.05443</v>
      </c>
      <c r="DP47">
        <v>0.122916</v>
      </c>
      <c r="DQ47">
        <v>0.111792</v>
      </c>
      <c r="DR47">
        <v>25.357700000000001</v>
      </c>
      <c r="DS47">
        <v>24.836600000000001</v>
      </c>
      <c r="DT47">
        <v>58.1</v>
      </c>
      <c r="DU47">
        <v>28.2</v>
      </c>
      <c r="DV47">
        <v>22.453299999999999</v>
      </c>
      <c r="DW47">
        <v>61.4634</v>
      </c>
      <c r="DX47">
        <v>35.220399999999998</v>
      </c>
      <c r="DY47">
        <v>1</v>
      </c>
      <c r="DZ47">
        <v>-9.2261200000000002E-2</v>
      </c>
      <c r="EA47">
        <v>1.98933</v>
      </c>
      <c r="EB47">
        <v>20.176600000000001</v>
      </c>
      <c r="EC47">
        <v>5.2406499999999996</v>
      </c>
      <c r="ED47">
        <v>12.039899999999999</v>
      </c>
      <c r="EE47">
        <v>5.0171000000000001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</v>
      </c>
      <c r="EL47">
        <v>1.8646100000000001</v>
      </c>
      <c r="EM47">
        <v>1.8691800000000001</v>
      </c>
      <c r="EN47">
        <v>1.8672200000000001</v>
      </c>
      <c r="EO47">
        <v>1.8633599999999999</v>
      </c>
      <c r="EP47">
        <v>1.8644700000000001</v>
      </c>
      <c r="EQ47">
        <v>1.8701399999999999</v>
      </c>
      <c r="ER47">
        <v>1.86938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-0.34799999999999998</v>
      </c>
      <c r="FG47">
        <v>0.15140000000000001</v>
      </c>
      <c r="FH47">
        <v>5.0310448532705943E-2</v>
      </c>
      <c r="FI47">
        <v>-6.1462078757559423E-4</v>
      </c>
      <c r="FJ47">
        <v>-1.8861989874597051E-7</v>
      </c>
      <c r="FK47">
        <v>1.1980462299894961E-10</v>
      </c>
      <c r="FL47">
        <v>0.15140825623214971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10.5</v>
      </c>
      <c r="FU47">
        <v>10.4</v>
      </c>
      <c r="FV47">
        <v>1.78223</v>
      </c>
      <c r="FW47">
        <v>2.5805699999999998</v>
      </c>
      <c r="FX47">
        <v>1.5490699999999999</v>
      </c>
      <c r="FY47">
        <v>2.3315399999999999</v>
      </c>
      <c r="FZ47">
        <v>1.50146</v>
      </c>
      <c r="GA47">
        <v>2.3828100000000001</v>
      </c>
      <c r="GB47">
        <v>32.953699999999998</v>
      </c>
      <c r="GC47">
        <v>23.982399999999998</v>
      </c>
      <c r="GD47">
        <v>19</v>
      </c>
      <c r="GE47">
        <v>283.73399999999998</v>
      </c>
      <c r="GF47">
        <v>596.60400000000004</v>
      </c>
      <c r="GG47">
        <v>21.0124</v>
      </c>
      <c r="GH47">
        <v>26.234400000000001</v>
      </c>
      <c r="GI47">
        <v>30.0002</v>
      </c>
      <c r="GJ47">
        <v>26.2621</v>
      </c>
      <c r="GK47">
        <v>26.199400000000001</v>
      </c>
      <c r="GL47">
        <v>35.641500000000001</v>
      </c>
      <c r="GM47">
        <v>54.852699999999999</v>
      </c>
      <c r="GN47">
        <v>85.3703</v>
      </c>
      <c r="GO47">
        <v>21.011700000000001</v>
      </c>
      <c r="GP47">
        <v>800</v>
      </c>
      <c r="GQ47">
        <v>10.9282</v>
      </c>
      <c r="GR47">
        <v>99.719099999999997</v>
      </c>
      <c r="GS47">
        <v>99.511899999999997</v>
      </c>
    </row>
    <row r="48" spans="1:201" x14ac:dyDescent="0.25">
      <c r="A48">
        <v>32</v>
      </c>
      <c r="B48">
        <v>1690292709.5999999</v>
      </c>
      <c r="C48">
        <v>439</v>
      </c>
      <c r="D48" t="s">
        <v>397</v>
      </c>
      <c r="E48" t="s">
        <v>398</v>
      </c>
      <c r="F48" t="s">
        <v>330</v>
      </c>
      <c r="H48">
        <v>1690292709.5999999</v>
      </c>
      <c r="I48">
        <f t="shared" si="0"/>
        <v>1.3813422947343953E-3</v>
      </c>
      <c r="J48">
        <f t="shared" si="1"/>
        <v>1.3813422947343954</v>
      </c>
      <c r="K48">
        <f t="shared" si="2"/>
        <v>21.296878995841357</v>
      </c>
      <c r="L48">
        <f t="shared" si="3"/>
        <v>579.31700000000001</v>
      </c>
      <c r="M48">
        <f t="shared" si="4"/>
        <v>276.04197852564994</v>
      </c>
      <c r="N48">
        <f t="shared" si="5"/>
        <v>27.451352028845445</v>
      </c>
      <c r="O48">
        <f t="shared" si="6"/>
        <v>57.610929280514995</v>
      </c>
      <c r="P48">
        <f t="shared" si="7"/>
        <v>0.1183485379321738</v>
      </c>
      <c r="Q48">
        <f t="shared" si="8"/>
        <v>2.2567621162842726</v>
      </c>
      <c r="R48">
        <f t="shared" si="9"/>
        <v>0.11500556273720305</v>
      </c>
      <c r="S48">
        <f t="shared" si="10"/>
        <v>7.2170964349603309E-2</v>
      </c>
      <c r="T48">
        <f t="shared" si="11"/>
        <v>276.11249820515457</v>
      </c>
      <c r="U48">
        <f t="shared" si="12"/>
        <v>26.950988831692531</v>
      </c>
      <c r="V48">
        <f t="shared" si="13"/>
        <v>26.950988831692531</v>
      </c>
      <c r="W48">
        <f t="shared" si="14"/>
        <v>3.5688698475690148</v>
      </c>
      <c r="X48">
        <f t="shared" si="15"/>
        <v>74.309893873763272</v>
      </c>
      <c r="Y48">
        <f t="shared" si="16"/>
        <v>2.4103196304329999</v>
      </c>
      <c r="Z48">
        <f t="shared" si="17"/>
        <v>3.2436052654409941</v>
      </c>
      <c r="AA48">
        <f t="shared" si="18"/>
        <v>1.1585502171360149</v>
      </c>
      <c r="AB48">
        <f t="shared" si="19"/>
        <v>-60.917195197786832</v>
      </c>
      <c r="AC48">
        <f t="shared" si="20"/>
        <v>-196.69696747030551</v>
      </c>
      <c r="AD48">
        <f t="shared" si="21"/>
        <v>-18.649244636973592</v>
      </c>
      <c r="AE48">
        <f t="shared" si="22"/>
        <v>-0.15090909991138801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52793.092209680981</v>
      </c>
      <c r="AK48">
        <f t="shared" si="26"/>
        <v>1799.99</v>
      </c>
      <c r="AL48">
        <f t="shared" si="27"/>
        <v>1499.10723378021</v>
      </c>
      <c r="AM48">
        <f t="shared" si="28"/>
        <v>0.83284197900000001</v>
      </c>
      <c r="AN48">
        <f t="shared" si="29"/>
        <v>0.15339668453999999</v>
      </c>
      <c r="AO48">
        <v>30</v>
      </c>
      <c r="AP48">
        <v>0.5</v>
      </c>
      <c r="AQ48" t="s">
        <v>331</v>
      </c>
      <c r="AR48">
        <v>2</v>
      </c>
      <c r="AS48">
        <v>1690292709.5999999</v>
      </c>
      <c r="AT48">
        <v>579.31700000000001</v>
      </c>
      <c r="AU48">
        <v>800.255</v>
      </c>
      <c r="AV48">
        <v>24.237400000000001</v>
      </c>
      <c r="AW48">
        <v>10.7608</v>
      </c>
      <c r="AX48">
        <v>579.66300000000001</v>
      </c>
      <c r="AY48">
        <v>24.085999999999999</v>
      </c>
      <c r="AZ48">
        <v>300.04500000000002</v>
      </c>
      <c r="BA48">
        <v>99.346199999999996</v>
      </c>
      <c r="BB48">
        <v>0.100095</v>
      </c>
      <c r="BC48">
        <v>25.334299999999999</v>
      </c>
      <c r="BD48">
        <v>27.342400000000001</v>
      </c>
      <c r="BE48">
        <v>26.6539</v>
      </c>
      <c r="BF48">
        <v>0</v>
      </c>
      <c r="BG48">
        <v>0</v>
      </c>
      <c r="BH48">
        <v>9993.75</v>
      </c>
      <c r="BI48">
        <v>1064.18</v>
      </c>
      <c r="BJ48">
        <v>2.0982699999999999</v>
      </c>
      <c r="BK48">
        <v>-220.93799999999999</v>
      </c>
      <c r="BL48">
        <v>593.70699999999999</v>
      </c>
      <c r="BM48">
        <v>808.96</v>
      </c>
      <c r="BN48">
        <v>13.476599999999999</v>
      </c>
      <c r="BO48">
        <v>800.255</v>
      </c>
      <c r="BP48">
        <v>10.7608</v>
      </c>
      <c r="BQ48">
        <v>2.4078900000000001</v>
      </c>
      <c r="BR48">
        <v>1.06904</v>
      </c>
      <c r="BS48">
        <v>20.416899999999998</v>
      </c>
      <c r="BT48">
        <v>7.8929299999999998</v>
      </c>
      <c r="BU48">
        <v>1799.99</v>
      </c>
      <c r="BV48">
        <v>0.910026</v>
      </c>
      <c r="BW48">
        <v>3.3991800000000003E-2</v>
      </c>
      <c r="BX48">
        <v>2.1991699999999999E-2</v>
      </c>
      <c r="BY48">
        <v>3.3990800000000002E-2</v>
      </c>
      <c r="BZ48">
        <v>25</v>
      </c>
      <c r="CA48">
        <v>33528.400000000001</v>
      </c>
      <c r="CB48">
        <v>1690292073.5</v>
      </c>
      <c r="CC48" t="s">
        <v>332</v>
      </c>
      <c r="CD48">
        <v>1690292069.5</v>
      </c>
      <c r="CE48">
        <v>1690292073.5</v>
      </c>
      <c r="CF48">
        <v>4</v>
      </c>
      <c r="CG48">
        <v>-3.6999999999999998E-2</v>
      </c>
      <c r="CH48">
        <v>-1.6E-2</v>
      </c>
      <c r="CI48">
        <v>-0.45200000000000001</v>
      </c>
      <c r="CJ48">
        <v>0.108</v>
      </c>
      <c r="CK48">
        <v>730</v>
      </c>
      <c r="CL48">
        <v>18</v>
      </c>
      <c r="CM48">
        <v>0</v>
      </c>
      <c r="CN48">
        <v>0.01</v>
      </c>
      <c r="CO48">
        <v>-218.057725</v>
      </c>
      <c r="CP48">
        <v>-17.198217636022449</v>
      </c>
      <c r="CQ48">
        <v>1.65533996489392</v>
      </c>
      <c r="CR48">
        <v>-1</v>
      </c>
      <c r="CS48">
        <v>13.018364999999999</v>
      </c>
      <c r="CT48">
        <v>2.8996322701688162</v>
      </c>
      <c r="CU48">
        <v>0.27953137708493492</v>
      </c>
      <c r="CV48">
        <v>-1</v>
      </c>
      <c r="CW48">
        <v>0</v>
      </c>
      <c r="CX48">
        <v>0</v>
      </c>
      <c r="CY48" t="s">
        <v>333</v>
      </c>
      <c r="CZ48">
        <v>2.3641700000000001</v>
      </c>
      <c r="DA48">
        <v>2.7138800000000001</v>
      </c>
      <c r="DB48">
        <v>0.117921</v>
      </c>
      <c r="DC48">
        <v>0.146645</v>
      </c>
      <c r="DD48">
        <v>0.115147</v>
      </c>
      <c r="DE48">
        <v>6.2754400000000002E-2</v>
      </c>
      <c r="DF48">
        <v>32203.5</v>
      </c>
      <c r="DG48">
        <v>27488.6</v>
      </c>
      <c r="DH48">
        <v>31167.3</v>
      </c>
      <c r="DI48">
        <v>28068.400000000001</v>
      </c>
      <c r="DJ48">
        <v>37436.699999999997</v>
      </c>
      <c r="DK48">
        <v>37403.5</v>
      </c>
      <c r="DL48">
        <v>44352.1</v>
      </c>
      <c r="DM48">
        <v>42536</v>
      </c>
      <c r="DN48">
        <v>1.47922</v>
      </c>
      <c r="DO48">
        <v>2.05382</v>
      </c>
      <c r="DP48">
        <v>0.123125</v>
      </c>
      <c r="DQ48">
        <v>0.11274199999999999</v>
      </c>
      <c r="DR48">
        <v>25.326699999999999</v>
      </c>
      <c r="DS48">
        <v>24.8063</v>
      </c>
      <c r="DT48">
        <v>58</v>
      </c>
      <c r="DU48">
        <v>28.2</v>
      </c>
      <c r="DV48">
        <v>22.412500000000001</v>
      </c>
      <c r="DW48">
        <v>61.873399999999997</v>
      </c>
      <c r="DX48">
        <v>34.979999999999997</v>
      </c>
      <c r="DY48">
        <v>1</v>
      </c>
      <c r="DZ48">
        <v>-9.2411099999999996E-2</v>
      </c>
      <c r="EA48">
        <v>2.0043299999999999</v>
      </c>
      <c r="EB48">
        <v>20.176300000000001</v>
      </c>
      <c r="EC48">
        <v>5.2409499999999998</v>
      </c>
      <c r="ED48">
        <v>12.039899999999999</v>
      </c>
      <c r="EE48">
        <v>5.0167999999999999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1.8688899999999999</v>
      </c>
      <c r="EL48">
        <v>1.8646100000000001</v>
      </c>
      <c r="EM48">
        <v>1.8691899999999999</v>
      </c>
      <c r="EN48">
        <v>1.8672200000000001</v>
      </c>
      <c r="EO48">
        <v>1.86338</v>
      </c>
      <c r="EP48">
        <v>1.8644700000000001</v>
      </c>
      <c r="EQ48">
        <v>1.87015</v>
      </c>
      <c r="ER48">
        <v>1.8693900000000001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-0.34599999999999997</v>
      </c>
      <c r="FG48">
        <v>0.15140000000000001</v>
      </c>
      <c r="FH48">
        <v>5.0310448532705943E-2</v>
      </c>
      <c r="FI48">
        <v>-6.1462078757559423E-4</v>
      </c>
      <c r="FJ48">
        <v>-1.8861989874597051E-7</v>
      </c>
      <c r="FK48">
        <v>1.1980462299894961E-10</v>
      </c>
      <c r="FL48">
        <v>0.15140825623214971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10.7</v>
      </c>
      <c r="FU48">
        <v>10.6</v>
      </c>
      <c r="FV48">
        <v>1.78223</v>
      </c>
      <c r="FW48">
        <v>2.5769000000000002</v>
      </c>
      <c r="FX48">
        <v>1.5490699999999999</v>
      </c>
      <c r="FY48">
        <v>2.3315399999999999</v>
      </c>
      <c r="FZ48">
        <v>1.50146</v>
      </c>
      <c r="GA48">
        <v>2.3950200000000001</v>
      </c>
      <c r="GB48">
        <v>32.953699999999998</v>
      </c>
      <c r="GC48">
        <v>23.982399999999998</v>
      </c>
      <c r="GD48">
        <v>19</v>
      </c>
      <c r="GE48">
        <v>283.77600000000001</v>
      </c>
      <c r="GF48">
        <v>596.13900000000001</v>
      </c>
      <c r="GG48">
        <v>21.002199999999998</v>
      </c>
      <c r="GH48">
        <v>26.23</v>
      </c>
      <c r="GI48">
        <v>30.0001</v>
      </c>
      <c r="GJ48">
        <v>26.2621</v>
      </c>
      <c r="GK48">
        <v>26.2027</v>
      </c>
      <c r="GL48">
        <v>35.626100000000001</v>
      </c>
      <c r="GM48">
        <v>56.383800000000001</v>
      </c>
      <c r="GN48">
        <v>84.615099999999998</v>
      </c>
      <c r="GO48">
        <v>20.991399999999999</v>
      </c>
      <c r="GP48">
        <v>800</v>
      </c>
      <c r="GQ48">
        <v>10.452199999999999</v>
      </c>
      <c r="GR48">
        <v>99.719700000000003</v>
      </c>
      <c r="GS48">
        <v>99.512100000000004</v>
      </c>
    </row>
    <row r="49" spans="1:201" x14ac:dyDescent="0.25">
      <c r="A49">
        <v>33</v>
      </c>
      <c r="B49">
        <v>1690292719.5999999</v>
      </c>
      <c r="C49">
        <v>449</v>
      </c>
      <c r="D49" t="s">
        <v>399</v>
      </c>
      <c r="E49" t="s">
        <v>400</v>
      </c>
      <c r="F49" t="s">
        <v>330</v>
      </c>
      <c r="H49">
        <v>1690292719.5999999</v>
      </c>
      <c r="I49">
        <f t="shared" si="0"/>
        <v>1.4205349592212955E-3</v>
      </c>
      <c r="J49">
        <f t="shared" si="1"/>
        <v>1.4205349592212955</v>
      </c>
      <c r="K49">
        <f t="shared" si="2"/>
        <v>21.528867741867504</v>
      </c>
      <c r="L49">
        <f t="shared" si="3"/>
        <v>576.83299999999997</v>
      </c>
      <c r="M49">
        <f t="shared" si="4"/>
        <v>278.24681579539305</v>
      </c>
      <c r="N49">
        <f t="shared" si="5"/>
        <v>27.670863122559005</v>
      </c>
      <c r="O49">
        <f t="shared" si="6"/>
        <v>57.364419218770998</v>
      </c>
      <c r="P49">
        <f t="shared" si="7"/>
        <v>0.12165116869821686</v>
      </c>
      <c r="Q49">
        <f t="shared" si="8"/>
        <v>2.2591134883705206</v>
      </c>
      <c r="R49">
        <f t="shared" si="9"/>
        <v>0.11812556618173078</v>
      </c>
      <c r="S49">
        <f t="shared" si="10"/>
        <v>7.4136729354930708E-2</v>
      </c>
      <c r="T49">
        <f t="shared" si="11"/>
        <v>276.11314983753437</v>
      </c>
      <c r="U49">
        <f t="shared" si="12"/>
        <v>26.904127847494657</v>
      </c>
      <c r="V49">
        <f t="shared" si="13"/>
        <v>26.904127847494657</v>
      </c>
      <c r="W49">
        <f t="shared" si="14"/>
        <v>3.5590555904130698</v>
      </c>
      <c r="X49">
        <f t="shared" si="15"/>
        <v>74.102477586475956</v>
      </c>
      <c r="Y49">
        <f t="shared" si="16"/>
        <v>2.3989644920010003</v>
      </c>
      <c r="Z49">
        <f t="shared" si="17"/>
        <v>3.2373607065991306</v>
      </c>
      <c r="AA49">
        <f t="shared" si="18"/>
        <v>1.1600910984120696</v>
      </c>
      <c r="AB49">
        <f t="shared" si="19"/>
        <v>-62.645591701659129</v>
      </c>
      <c r="AC49">
        <f t="shared" si="20"/>
        <v>-195.14065917310324</v>
      </c>
      <c r="AD49">
        <f t="shared" si="21"/>
        <v>-18.475083508998242</v>
      </c>
      <c r="AE49">
        <f t="shared" si="22"/>
        <v>-0.14818454622624699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52891.26606653646</v>
      </c>
      <c r="AK49">
        <f t="shared" si="26"/>
        <v>1799.99</v>
      </c>
      <c r="AL49">
        <f t="shared" si="27"/>
        <v>1499.10361940029</v>
      </c>
      <c r="AM49">
        <f t="shared" si="28"/>
        <v>0.83283997099999996</v>
      </c>
      <c r="AN49">
        <f t="shared" si="29"/>
        <v>0.15339704655999997</v>
      </c>
      <c r="AO49">
        <v>30</v>
      </c>
      <c r="AP49">
        <v>0.5</v>
      </c>
      <c r="AQ49" t="s">
        <v>331</v>
      </c>
      <c r="AR49">
        <v>2</v>
      </c>
      <c r="AS49">
        <v>1690292719.5999999</v>
      </c>
      <c r="AT49">
        <v>576.83299999999997</v>
      </c>
      <c r="AU49">
        <v>800.15499999999997</v>
      </c>
      <c r="AV49">
        <v>24.123000000000001</v>
      </c>
      <c r="AW49">
        <v>10.270300000000001</v>
      </c>
      <c r="AX49">
        <v>577.17700000000002</v>
      </c>
      <c r="AY49">
        <v>23.971599999999999</v>
      </c>
      <c r="AZ49">
        <v>300.21600000000001</v>
      </c>
      <c r="BA49">
        <v>99.347099999999998</v>
      </c>
      <c r="BB49">
        <v>0.100087</v>
      </c>
      <c r="BC49">
        <v>25.3019</v>
      </c>
      <c r="BD49">
        <v>27.285699999999999</v>
      </c>
      <c r="BE49">
        <v>26.6036</v>
      </c>
      <c r="BF49">
        <v>0</v>
      </c>
      <c r="BG49">
        <v>0</v>
      </c>
      <c r="BH49">
        <v>10011.9</v>
      </c>
      <c r="BI49">
        <v>1063.6400000000001</v>
      </c>
      <c r="BJ49">
        <v>2.1305100000000001</v>
      </c>
      <c r="BK49">
        <v>-223.32300000000001</v>
      </c>
      <c r="BL49">
        <v>591.09100000000001</v>
      </c>
      <c r="BM49">
        <v>808.45799999999997</v>
      </c>
      <c r="BN49">
        <v>13.8527</v>
      </c>
      <c r="BO49">
        <v>800.15499999999997</v>
      </c>
      <c r="BP49">
        <v>10.270300000000001</v>
      </c>
      <c r="BQ49">
        <v>2.39655</v>
      </c>
      <c r="BR49">
        <v>1.02033</v>
      </c>
      <c r="BS49">
        <v>20.340499999999999</v>
      </c>
      <c r="BT49">
        <v>7.2098899999999997</v>
      </c>
      <c r="BU49">
        <v>1799.99</v>
      </c>
      <c r="BV49">
        <v>0.91000899999999996</v>
      </c>
      <c r="BW49">
        <v>3.40091E-2</v>
      </c>
      <c r="BX49">
        <v>2.1994300000000001E-2</v>
      </c>
      <c r="BY49">
        <v>3.3987999999999997E-2</v>
      </c>
      <c r="BZ49">
        <v>25</v>
      </c>
      <c r="CA49">
        <v>33528.300000000003</v>
      </c>
      <c r="CB49">
        <v>1690292073.5</v>
      </c>
      <c r="CC49" t="s">
        <v>332</v>
      </c>
      <c r="CD49">
        <v>1690292069.5</v>
      </c>
      <c r="CE49">
        <v>1690292073.5</v>
      </c>
      <c r="CF49">
        <v>4</v>
      </c>
      <c r="CG49">
        <v>-3.6999999999999998E-2</v>
      </c>
      <c r="CH49">
        <v>-1.6E-2</v>
      </c>
      <c r="CI49">
        <v>-0.45200000000000001</v>
      </c>
      <c r="CJ49">
        <v>0.108</v>
      </c>
      <c r="CK49">
        <v>730</v>
      </c>
      <c r="CL49">
        <v>18</v>
      </c>
      <c r="CM49">
        <v>0</v>
      </c>
      <c r="CN49">
        <v>0.01</v>
      </c>
      <c r="CO49">
        <v>-220.74185</v>
      </c>
      <c r="CP49">
        <v>-15.21039399624696</v>
      </c>
      <c r="CQ49">
        <v>1.465973968902587</v>
      </c>
      <c r="CR49">
        <v>-1</v>
      </c>
      <c r="CS49">
        <v>13.463492499999999</v>
      </c>
      <c r="CT49">
        <v>2.440747091932447</v>
      </c>
      <c r="CU49">
        <v>0.23498181034656701</v>
      </c>
      <c r="CV49">
        <v>-1</v>
      </c>
      <c r="CW49">
        <v>0</v>
      </c>
      <c r="CX49">
        <v>0</v>
      </c>
      <c r="CY49" t="s">
        <v>333</v>
      </c>
      <c r="CZ49">
        <v>2.3647300000000002</v>
      </c>
      <c r="DA49">
        <v>2.7138900000000001</v>
      </c>
      <c r="DB49">
        <v>0.117561</v>
      </c>
      <c r="DC49">
        <v>0.146623</v>
      </c>
      <c r="DD49">
        <v>0.11476600000000001</v>
      </c>
      <c r="DE49">
        <v>6.0555699999999997E-2</v>
      </c>
      <c r="DF49">
        <v>32217</v>
      </c>
      <c r="DG49">
        <v>27489.4</v>
      </c>
      <c r="DH49">
        <v>31167.7</v>
      </c>
      <c r="DI49">
        <v>28068.6</v>
      </c>
      <c r="DJ49">
        <v>37453.300000000003</v>
      </c>
      <c r="DK49">
        <v>37491.800000000003</v>
      </c>
      <c r="DL49">
        <v>44352.6</v>
      </c>
      <c r="DM49">
        <v>42536.4</v>
      </c>
      <c r="DN49">
        <v>1.4796199999999999</v>
      </c>
      <c r="DO49">
        <v>2.0526800000000001</v>
      </c>
      <c r="DP49">
        <v>0.12153799999999999</v>
      </c>
      <c r="DQ49">
        <v>0.11164300000000001</v>
      </c>
      <c r="DR49">
        <v>25.2957</v>
      </c>
      <c r="DS49">
        <v>24.773900000000001</v>
      </c>
      <c r="DT49">
        <v>57.8</v>
      </c>
      <c r="DU49">
        <v>28.1</v>
      </c>
      <c r="DV49">
        <v>22.203499999999998</v>
      </c>
      <c r="DW49">
        <v>61.773400000000002</v>
      </c>
      <c r="DX49">
        <v>34.383000000000003</v>
      </c>
      <c r="DY49">
        <v>1</v>
      </c>
      <c r="DZ49">
        <v>-9.2281500000000002E-2</v>
      </c>
      <c r="EA49">
        <v>2.0623</v>
      </c>
      <c r="EB49">
        <v>20.1754</v>
      </c>
      <c r="EC49">
        <v>5.2411000000000003</v>
      </c>
      <c r="ED49">
        <v>12.039899999999999</v>
      </c>
      <c r="EE49">
        <v>5.0168999999999997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</v>
      </c>
      <c r="EL49">
        <v>1.8646199999999999</v>
      </c>
      <c r="EM49">
        <v>1.8692</v>
      </c>
      <c r="EN49">
        <v>1.8672200000000001</v>
      </c>
      <c r="EO49">
        <v>1.8633599999999999</v>
      </c>
      <c r="EP49">
        <v>1.8644700000000001</v>
      </c>
      <c r="EQ49">
        <v>1.87015</v>
      </c>
      <c r="ER49">
        <v>1.86938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-0.34399999999999997</v>
      </c>
      <c r="FG49">
        <v>0.15140000000000001</v>
      </c>
      <c r="FH49">
        <v>5.0310448532705943E-2</v>
      </c>
      <c r="FI49">
        <v>-6.1462078757559423E-4</v>
      </c>
      <c r="FJ49">
        <v>-1.8861989874597051E-7</v>
      </c>
      <c r="FK49">
        <v>1.1980462299894961E-10</v>
      </c>
      <c r="FL49">
        <v>0.15140825623214971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10.8</v>
      </c>
      <c r="FU49">
        <v>10.8</v>
      </c>
      <c r="FV49">
        <v>1.78223</v>
      </c>
      <c r="FW49">
        <v>2.5781200000000002</v>
      </c>
      <c r="FX49">
        <v>1.5490699999999999</v>
      </c>
      <c r="FY49">
        <v>2.3315399999999999</v>
      </c>
      <c r="FZ49">
        <v>1.50146</v>
      </c>
      <c r="GA49">
        <v>2.3535200000000001</v>
      </c>
      <c r="GB49">
        <v>32.953699999999998</v>
      </c>
      <c r="GC49">
        <v>23.982399999999998</v>
      </c>
      <c r="GD49">
        <v>19</v>
      </c>
      <c r="GE49">
        <v>283.94099999999997</v>
      </c>
      <c r="GF49">
        <v>595.20299999999997</v>
      </c>
      <c r="GG49">
        <v>20.9695</v>
      </c>
      <c r="GH49">
        <v>26.2255</v>
      </c>
      <c r="GI49">
        <v>30.0002</v>
      </c>
      <c r="GJ49">
        <v>26.2606</v>
      </c>
      <c r="GK49">
        <v>26.205200000000001</v>
      </c>
      <c r="GL49">
        <v>35.622799999999998</v>
      </c>
      <c r="GM49">
        <v>57.9739</v>
      </c>
      <c r="GN49">
        <v>83.847800000000007</v>
      </c>
      <c r="GO49">
        <v>20.950700000000001</v>
      </c>
      <c r="GP49">
        <v>800</v>
      </c>
      <c r="GQ49">
        <v>9.9394299999999998</v>
      </c>
      <c r="GR49">
        <v>99.720699999999994</v>
      </c>
      <c r="GS49">
        <v>99.512900000000002</v>
      </c>
    </row>
    <row r="50" spans="1:201" x14ac:dyDescent="0.25">
      <c r="A50">
        <v>34</v>
      </c>
      <c r="B50">
        <v>1690292729.5999999</v>
      </c>
      <c r="C50">
        <v>459</v>
      </c>
      <c r="D50" t="s">
        <v>401</v>
      </c>
      <c r="E50" t="s">
        <v>402</v>
      </c>
      <c r="F50" t="s">
        <v>330</v>
      </c>
      <c r="H50">
        <v>1690292729.5999999</v>
      </c>
      <c r="I50">
        <f t="shared" si="0"/>
        <v>1.4556938074132757E-3</v>
      </c>
      <c r="J50">
        <f t="shared" si="1"/>
        <v>1.4556938074132757</v>
      </c>
      <c r="K50">
        <f t="shared" si="2"/>
        <v>21.739933292105899</v>
      </c>
      <c r="L50">
        <f t="shared" si="3"/>
        <v>574.53200000000004</v>
      </c>
      <c r="M50">
        <f t="shared" si="4"/>
        <v>278.92334355939016</v>
      </c>
      <c r="N50">
        <f t="shared" si="5"/>
        <v>27.739144356112671</v>
      </c>
      <c r="O50">
        <f t="shared" si="6"/>
        <v>57.137656109492013</v>
      </c>
      <c r="P50">
        <f t="shared" si="7"/>
        <v>0.12419490469267611</v>
      </c>
      <c r="Q50">
        <f t="shared" si="8"/>
        <v>2.2552884404527704</v>
      </c>
      <c r="R50">
        <f t="shared" si="9"/>
        <v>0.12051668568601116</v>
      </c>
      <c r="S50">
        <f t="shared" si="10"/>
        <v>7.5644327844167886E-2</v>
      </c>
      <c r="T50">
        <f t="shared" si="11"/>
        <v>276.11663747400002</v>
      </c>
      <c r="U50">
        <f t="shared" si="12"/>
        <v>26.855436686542301</v>
      </c>
      <c r="V50">
        <f t="shared" si="13"/>
        <v>26.855436686542301</v>
      </c>
      <c r="W50">
        <f t="shared" si="14"/>
        <v>3.5488829997339364</v>
      </c>
      <c r="X50">
        <f t="shared" si="15"/>
        <v>73.797433682756392</v>
      </c>
      <c r="Y50">
        <f t="shared" si="16"/>
        <v>2.3834672526803002</v>
      </c>
      <c r="Z50">
        <f t="shared" si="17"/>
        <v>3.2297427345867504</v>
      </c>
      <c r="AA50">
        <f t="shared" si="18"/>
        <v>1.1654157470536362</v>
      </c>
      <c r="AB50">
        <f t="shared" si="19"/>
        <v>-64.196096906925462</v>
      </c>
      <c r="AC50">
        <f t="shared" si="20"/>
        <v>-193.70488619160105</v>
      </c>
      <c r="AD50">
        <f t="shared" si="21"/>
        <v>-18.36212027241379</v>
      </c>
      <c r="AE50">
        <f t="shared" si="22"/>
        <v>-0.14646589694027057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52748.049475022613</v>
      </c>
      <c r="AK50">
        <f t="shared" si="26"/>
        <v>1800</v>
      </c>
      <c r="AL50">
        <f t="shared" si="27"/>
        <v>1499.1128064</v>
      </c>
      <c r="AM50">
        <f t="shared" si="28"/>
        <v>0.83284044800000001</v>
      </c>
      <c r="AN50">
        <f t="shared" si="29"/>
        <v>0.15339813193000001</v>
      </c>
      <c r="AO50">
        <v>30</v>
      </c>
      <c r="AP50">
        <v>0.5</v>
      </c>
      <c r="AQ50" t="s">
        <v>331</v>
      </c>
      <c r="AR50">
        <v>2</v>
      </c>
      <c r="AS50">
        <v>1690292729.5999999</v>
      </c>
      <c r="AT50">
        <v>574.53200000000004</v>
      </c>
      <c r="AU50">
        <v>800.08799999999997</v>
      </c>
      <c r="AV50">
        <v>23.9663</v>
      </c>
      <c r="AW50">
        <v>9.7712500000000002</v>
      </c>
      <c r="AX50">
        <v>574.875</v>
      </c>
      <c r="AY50">
        <v>23.814900000000002</v>
      </c>
      <c r="AZ50">
        <v>300.27499999999998</v>
      </c>
      <c r="BA50">
        <v>99.350700000000003</v>
      </c>
      <c r="BB50">
        <v>0.100081</v>
      </c>
      <c r="BC50">
        <v>25.2623</v>
      </c>
      <c r="BD50">
        <v>27.262</v>
      </c>
      <c r="BE50">
        <v>26.575700000000001</v>
      </c>
      <c r="BF50">
        <v>0</v>
      </c>
      <c r="BG50">
        <v>0</v>
      </c>
      <c r="BH50">
        <v>9981.8799999999992</v>
      </c>
      <c r="BI50">
        <v>1063.25</v>
      </c>
      <c r="BJ50">
        <v>2.1305100000000001</v>
      </c>
      <c r="BK50">
        <v>-225.55600000000001</v>
      </c>
      <c r="BL50">
        <v>588.64</v>
      </c>
      <c r="BM50">
        <v>807.98299999999995</v>
      </c>
      <c r="BN50">
        <v>14.1951</v>
      </c>
      <c r="BO50">
        <v>800.08799999999997</v>
      </c>
      <c r="BP50">
        <v>9.7712500000000002</v>
      </c>
      <c r="BQ50">
        <v>2.3810699999999998</v>
      </c>
      <c r="BR50">
        <v>0.97078100000000001</v>
      </c>
      <c r="BS50">
        <v>20.235600000000002</v>
      </c>
      <c r="BT50">
        <v>6.4850599999999998</v>
      </c>
      <c r="BU50">
        <v>1800</v>
      </c>
      <c r="BV50">
        <v>0.90999600000000003</v>
      </c>
      <c r="BW50">
        <v>3.4007599999999999E-2</v>
      </c>
      <c r="BX50">
        <v>2.2009899999999999E-2</v>
      </c>
      <c r="BY50">
        <v>3.3986500000000003E-2</v>
      </c>
      <c r="BZ50">
        <v>25</v>
      </c>
      <c r="CA50">
        <v>33528.1</v>
      </c>
      <c r="CB50">
        <v>1690292073.5</v>
      </c>
      <c r="CC50" t="s">
        <v>332</v>
      </c>
      <c r="CD50">
        <v>1690292069.5</v>
      </c>
      <c r="CE50">
        <v>1690292073.5</v>
      </c>
      <c r="CF50">
        <v>4</v>
      </c>
      <c r="CG50">
        <v>-3.6999999999999998E-2</v>
      </c>
      <c r="CH50">
        <v>-1.6E-2</v>
      </c>
      <c r="CI50">
        <v>-0.45200000000000001</v>
      </c>
      <c r="CJ50">
        <v>0.108</v>
      </c>
      <c r="CK50">
        <v>730</v>
      </c>
      <c r="CL50">
        <v>18</v>
      </c>
      <c r="CM50">
        <v>0</v>
      </c>
      <c r="CN50">
        <v>0.01</v>
      </c>
      <c r="CO50">
        <v>-223.19907499999999</v>
      </c>
      <c r="CP50">
        <v>-14.25517823639735</v>
      </c>
      <c r="CQ50">
        <v>1.3725603882434461</v>
      </c>
      <c r="CR50">
        <v>-1</v>
      </c>
      <c r="CS50">
        <v>13.851760000000001</v>
      </c>
      <c r="CT50">
        <v>2.1945726078799228</v>
      </c>
      <c r="CU50">
        <v>0.21148336672182999</v>
      </c>
      <c r="CV50">
        <v>-1</v>
      </c>
      <c r="CW50">
        <v>0</v>
      </c>
      <c r="CX50">
        <v>0</v>
      </c>
      <c r="CY50" t="s">
        <v>333</v>
      </c>
      <c r="CZ50">
        <v>2.3649300000000002</v>
      </c>
      <c r="DA50">
        <v>2.7138599999999999</v>
      </c>
      <c r="DB50">
        <v>0.11723</v>
      </c>
      <c r="DC50">
        <v>0.14660999999999999</v>
      </c>
      <c r="DD50">
        <v>0.114244</v>
      </c>
      <c r="DE50">
        <v>5.8281800000000002E-2</v>
      </c>
      <c r="DF50">
        <v>32228.9</v>
      </c>
      <c r="DG50">
        <v>27489.9</v>
      </c>
      <c r="DH50">
        <v>31167.5</v>
      </c>
      <c r="DI50">
        <v>28068.7</v>
      </c>
      <c r="DJ50">
        <v>37475.4</v>
      </c>
      <c r="DK50">
        <v>37582.9</v>
      </c>
      <c r="DL50">
        <v>44352.4</v>
      </c>
      <c r="DM50">
        <v>42536.6</v>
      </c>
      <c r="DN50">
        <v>1.47973</v>
      </c>
      <c r="DO50">
        <v>2.0521199999999999</v>
      </c>
      <c r="DP50">
        <v>0.122041</v>
      </c>
      <c r="DQ50">
        <v>0.11183700000000001</v>
      </c>
      <c r="DR50">
        <v>25.2638</v>
      </c>
      <c r="DS50">
        <v>24.742699999999999</v>
      </c>
      <c r="DT50">
        <v>57.7</v>
      </c>
      <c r="DU50">
        <v>28.1</v>
      </c>
      <c r="DV50">
        <v>22.168099999999999</v>
      </c>
      <c r="DW50">
        <v>61.763399999999997</v>
      </c>
      <c r="DX50">
        <v>34.142600000000002</v>
      </c>
      <c r="DY50">
        <v>1</v>
      </c>
      <c r="DZ50">
        <v>-9.2413599999999999E-2</v>
      </c>
      <c r="EA50">
        <v>2.1245099999999999</v>
      </c>
      <c r="EB50">
        <v>20.174499999999998</v>
      </c>
      <c r="EC50">
        <v>5.2406499999999996</v>
      </c>
      <c r="ED50">
        <v>12.039899999999999</v>
      </c>
      <c r="EE50">
        <v>5.0167999999999999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</v>
      </c>
      <c r="EL50">
        <v>1.8646</v>
      </c>
      <c r="EM50">
        <v>1.8692</v>
      </c>
      <c r="EN50">
        <v>1.8672200000000001</v>
      </c>
      <c r="EO50">
        <v>1.8633500000000001</v>
      </c>
      <c r="EP50">
        <v>1.8644700000000001</v>
      </c>
      <c r="EQ50">
        <v>1.87016</v>
      </c>
      <c r="ER50">
        <v>1.86938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-0.34300000000000003</v>
      </c>
      <c r="FG50">
        <v>0.15140000000000001</v>
      </c>
      <c r="FH50">
        <v>5.0310448532705943E-2</v>
      </c>
      <c r="FI50">
        <v>-6.1462078757559423E-4</v>
      </c>
      <c r="FJ50">
        <v>-1.8861989874597051E-7</v>
      </c>
      <c r="FK50">
        <v>1.1980462299894961E-10</v>
      </c>
      <c r="FL50">
        <v>0.15140825623214971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11</v>
      </c>
      <c r="FU50">
        <v>10.9</v>
      </c>
      <c r="FV50">
        <v>1.78101</v>
      </c>
      <c r="FW50">
        <v>2.5830099999999998</v>
      </c>
      <c r="FX50">
        <v>1.5490699999999999</v>
      </c>
      <c r="FY50">
        <v>2.3315399999999999</v>
      </c>
      <c r="FZ50">
        <v>1.50146</v>
      </c>
      <c r="GA50">
        <v>2.32544</v>
      </c>
      <c r="GB50">
        <v>32.953699999999998</v>
      </c>
      <c r="GC50">
        <v>23.973700000000001</v>
      </c>
      <c r="GD50">
        <v>19</v>
      </c>
      <c r="GE50">
        <v>283.98</v>
      </c>
      <c r="GF50">
        <v>594.76300000000003</v>
      </c>
      <c r="GG50">
        <v>20.917300000000001</v>
      </c>
      <c r="GH50">
        <v>26.220600000000001</v>
      </c>
      <c r="GI50">
        <v>30.0001</v>
      </c>
      <c r="GJ50">
        <v>26.259899999999998</v>
      </c>
      <c r="GK50">
        <v>26.207100000000001</v>
      </c>
      <c r="GL50">
        <v>35.609000000000002</v>
      </c>
      <c r="GM50">
        <v>58.831000000000003</v>
      </c>
      <c r="GN50">
        <v>83.054000000000002</v>
      </c>
      <c r="GO50">
        <v>20.889199999999999</v>
      </c>
      <c r="GP50">
        <v>800</v>
      </c>
      <c r="GQ50">
        <v>9.5451200000000007</v>
      </c>
      <c r="GR50">
        <v>99.720200000000006</v>
      </c>
      <c r="GS50">
        <v>99.513199999999998</v>
      </c>
    </row>
    <row r="51" spans="1:201" x14ac:dyDescent="0.25">
      <c r="A51">
        <v>35</v>
      </c>
      <c r="B51">
        <v>1690292739.5999999</v>
      </c>
      <c r="C51">
        <v>469</v>
      </c>
      <c r="D51" t="s">
        <v>403</v>
      </c>
      <c r="E51" t="s">
        <v>404</v>
      </c>
      <c r="F51" t="s">
        <v>330</v>
      </c>
      <c r="H51">
        <v>1690292739.5999999</v>
      </c>
      <c r="I51">
        <f t="shared" si="0"/>
        <v>1.4711716168834845E-3</v>
      </c>
      <c r="J51">
        <f t="shared" si="1"/>
        <v>1.4711716168834845</v>
      </c>
      <c r="K51">
        <f t="shared" si="2"/>
        <v>21.944110238205461</v>
      </c>
      <c r="L51">
        <f t="shared" si="3"/>
        <v>572.42499999999995</v>
      </c>
      <c r="M51">
        <f t="shared" si="4"/>
        <v>274.31050535952892</v>
      </c>
      <c r="N51">
        <f t="shared" si="5"/>
        <v>27.279148350504997</v>
      </c>
      <c r="O51">
        <f t="shared" si="6"/>
        <v>56.925513931999994</v>
      </c>
      <c r="P51">
        <f t="shared" si="7"/>
        <v>0.1242881888569433</v>
      </c>
      <c r="Q51">
        <f t="shared" si="8"/>
        <v>2.2544214655671784</v>
      </c>
      <c r="R51">
        <f t="shared" si="9"/>
        <v>0.12060315909968584</v>
      </c>
      <c r="S51">
        <f t="shared" si="10"/>
        <v>7.5698958840185349E-2</v>
      </c>
      <c r="T51">
        <f t="shared" si="11"/>
        <v>276.11635818600001</v>
      </c>
      <c r="U51">
        <f t="shared" si="12"/>
        <v>26.818805559563831</v>
      </c>
      <c r="V51">
        <f t="shared" si="13"/>
        <v>26.818805559563831</v>
      </c>
      <c r="W51">
        <f t="shared" si="14"/>
        <v>3.5412467395704774</v>
      </c>
      <c r="X51">
        <f t="shared" si="15"/>
        <v>73.340073211705104</v>
      </c>
      <c r="Y51">
        <f t="shared" si="16"/>
        <v>2.364175242016</v>
      </c>
      <c r="Z51">
        <f t="shared" si="17"/>
        <v>3.2235790591475393</v>
      </c>
      <c r="AA51">
        <f t="shared" si="18"/>
        <v>1.1770714975544774</v>
      </c>
      <c r="AB51">
        <f t="shared" si="19"/>
        <v>-64.878668304561671</v>
      </c>
      <c r="AC51">
        <f t="shared" si="20"/>
        <v>-193.07970757550882</v>
      </c>
      <c r="AD51">
        <f t="shared" si="21"/>
        <v>-18.303583481094954</v>
      </c>
      <c r="AE51">
        <f t="shared" si="22"/>
        <v>-0.14560117516543869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52719.590107148251</v>
      </c>
      <c r="AK51">
        <f t="shared" si="26"/>
        <v>1800</v>
      </c>
      <c r="AL51">
        <f t="shared" si="27"/>
        <v>1499.1105275999998</v>
      </c>
      <c r="AM51">
        <f t="shared" si="28"/>
        <v>0.83283918199999996</v>
      </c>
      <c r="AN51">
        <f t="shared" si="29"/>
        <v>0.15339797677</v>
      </c>
      <c r="AO51">
        <v>30</v>
      </c>
      <c r="AP51">
        <v>0.5</v>
      </c>
      <c r="AQ51" t="s">
        <v>331</v>
      </c>
      <c r="AR51">
        <v>2</v>
      </c>
      <c r="AS51">
        <v>1690292739.5999999</v>
      </c>
      <c r="AT51">
        <v>572.42499999999995</v>
      </c>
      <c r="AU51">
        <v>800.18799999999999</v>
      </c>
      <c r="AV51">
        <v>23.773399999999999</v>
      </c>
      <c r="AW51">
        <v>9.4177</v>
      </c>
      <c r="AX51">
        <v>572.76599999999996</v>
      </c>
      <c r="AY51">
        <v>23.622</v>
      </c>
      <c r="AZ51">
        <v>300.13099999999997</v>
      </c>
      <c r="BA51">
        <v>99.346199999999996</v>
      </c>
      <c r="BB51">
        <v>0.10004</v>
      </c>
      <c r="BC51">
        <v>25.2302</v>
      </c>
      <c r="BD51">
        <v>27.243400000000001</v>
      </c>
      <c r="BE51">
        <v>26.523599999999998</v>
      </c>
      <c r="BF51">
        <v>0</v>
      </c>
      <c r="BG51">
        <v>0</v>
      </c>
      <c r="BH51">
        <v>9975.6200000000008</v>
      </c>
      <c r="BI51">
        <v>1062.68</v>
      </c>
      <c r="BJ51">
        <v>2.1305100000000001</v>
      </c>
      <c r="BK51">
        <v>-227.762</v>
      </c>
      <c r="BL51">
        <v>586.36500000000001</v>
      </c>
      <c r="BM51">
        <v>807.79499999999996</v>
      </c>
      <c r="BN51">
        <v>14.355700000000001</v>
      </c>
      <c r="BO51">
        <v>800.18799999999999</v>
      </c>
      <c r="BP51">
        <v>9.4177</v>
      </c>
      <c r="BQ51">
        <v>2.3618000000000001</v>
      </c>
      <c r="BR51">
        <v>0.935612</v>
      </c>
      <c r="BS51">
        <v>20.104199999999999</v>
      </c>
      <c r="BT51">
        <v>5.9504799999999998</v>
      </c>
      <c r="BU51">
        <v>1800</v>
      </c>
      <c r="BV51">
        <v>0.90998699999999999</v>
      </c>
      <c r="BW51">
        <v>3.4004899999999998E-2</v>
      </c>
      <c r="BX51">
        <v>2.2008099999999999E-2</v>
      </c>
      <c r="BY51">
        <v>3.3999500000000002E-2</v>
      </c>
      <c r="BZ51">
        <v>25</v>
      </c>
      <c r="CA51">
        <v>33528.199999999997</v>
      </c>
      <c r="CB51">
        <v>1690292073.5</v>
      </c>
      <c r="CC51" t="s">
        <v>332</v>
      </c>
      <c r="CD51">
        <v>1690292069.5</v>
      </c>
      <c r="CE51">
        <v>1690292073.5</v>
      </c>
      <c r="CF51">
        <v>4</v>
      </c>
      <c r="CG51">
        <v>-3.6999999999999998E-2</v>
      </c>
      <c r="CH51">
        <v>-1.6E-2</v>
      </c>
      <c r="CI51">
        <v>-0.45200000000000001</v>
      </c>
      <c r="CJ51">
        <v>0.108</v>
      </c>
      <c r="CK51">
        <v>730</v>
      </c>
      <c r="CL51">
        <v>18</v>
      </c>
      <c r="CM51">
        <v>0</v>
      </c>
      <c r="CN51">
        <v>0.01</v>
      </c>
      <c r="CO51">
        <v>-225.48677499999999</v>
      </c>
      <c r="CP51">
        <v>-13.089602251406999</v>
      </c>
      <c r="CQ51">
        <v>1.260614998472968</v>
      </c>
      <c r="CR51">
        <v>-1</v>
      </c>
      <c r="CS51">
        <v>14.159165</v>
      </c>
      <c r="CT51">
        <v>1.495136960600332</v>
      </c>
      <c r="CU51">
        <v>0.14659248028122041</v>
      </c>
      <c r="CV51">
        <v>-1</v>
      </c>
      <c r="CW51">
        <v>0</v>
      </c>
      <c r="CX51">
        <v>0</v>
      </c>
      <c r="CY51" t="s">
        <v>333</v>
      </c>
      <c r="CZ51">
        <v>2.3644799999999999</v>
      </c>
      <c r="DA51">
        <v>2.7138100000000001</v>
      </c>
      <c r="DB51">
        <v>0.11691699999999999</v>
      </c>
      <c r="DC51">
        <v>0.14660799999999999</v>
      </c>
      <c r="DD51">
        <v>0.11359</v>
      </c>
      <c r="DE51">
        <v>5.66423E-2</v>
      </c>
      <c r="DF51">
        <v>32240.2</v>
      </c>
      <c r="DG51">
        <v>27490.400000000001</v>
      </c>
      <c r="DH51">
        <v>31167.3</v>
      </c>
      <c r="DI51">
        <v>28069.200000000001</v>
      </c>
      <c r="DJ51">
        <v>37503.1</v>
      </c>
      <c r="DK51">
        <v>37649.199999999997</v>
      </c>
      <c r="DL51">
        <v>44352.1</v>
      </c>
      <c r="DM51">
        <v>42537.4</v>
      </c>
      <c r="DN51">
        <v>1.4796</v>
      </c>
      <c r="DO51">
        <v>2.0516299999999998</v>
      </c>
      <c r="DP51">
        <v>0.122778</v>
      </c>
      <c r="DQ51">
        <v>0.110462</v>
      </c>
      <c r="DR51">
        <v>25.233000000000001</v>
      </c>
      <c r="DS51">
        <v>24.713000000000001</v>
      </c>
      <c r="DT51">
        <v>57.4</v>
      </c>
      <c r="DU51">
        <v>28.2</v>
      </c>
      <c r="DV51">
        <v>22.182700000000001</v>
      </c>
      <c r="DW51">
        <v>61.453400000000002</v>
      </c>
      <c r="DX51">
        <v>34.571300000000001</v>
      </c>
      <c r="DY51">
        <v>1</v>
      </c>
      <c r="DZ51">
        <v>-9.2334899999999998E-2</v>
      </c>
      <c r="EA51">
        <v>2.2191399999999999</v>
      </c>
      <c r="EB51">
        <v>20.173100000000002</v>
      </c>
      <c r="EC51">
        <v>5.2406499999999996</v>
      </c>
      <c r="ED51">
        <v>12.039899999999999</v>
      </c>
      <c r="EE51">
        <v>5.0168499999999998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</v>
      </c>
      <c r="EL51">
        <v>1.86459</v>
      </c>
      <c r="EM51">
        <v>1.8692</v>
      </c>
      <c r="EN51">
        <v>1.8672200000000001</v>
      </c>
      <c r="EO51">
        <v>1.8633599999999999</v>
      </c>
      <c r="EP51">
        <v>1.8644700000000001</v>
      </c>
      <c r="EQ51">
        <v>1.8701399999999999</v>
      </c>
      <c r="ER51">
        <v>1.86941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-0.34100000000000003</v>
      </c>
      <c r="FG51">
        <v>0.15140000000000001</v>
      </c>
      <c r="FH51">
        <v>5.0310448532705943E-2</v>
      </c>
      <c r="FI51">
        <v>-6.1462078757559423E-4</v>
      </c>
      <c r="FJ51">
        <v>-1.8861989874597051E-7</v>
      </c>
      <c r="FK51">
        <v>1.1980462299894961E-10</v>
      </c>
      <c r="FL51">
        <v>0.15140825623214971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11.2</v>
      </c>
      <c r="FU51">
        <v>11.1</v>
      </c>
      <c r="FV51">
        <v>1.77979</v>
      </c>
      <c r="FW51">
        <v>2.5805699999999998</v>
      </c>
      <c r="FX51">
        <v>1.5490699999999999</v>
      </c>
      <c r="FY51">
        <v>2.3315399999999999</v>
      </c>
      <c r="FZ51">
        <v>1.50146</v>
      </c>
      <c r="GA51">
        <v>2.2814899999999998</v>
      </c>
      <c r="GB51">
        <v>32.953699999999998</v>
      </c>
      <c r="GC51">
        <v>23.973700000000001</v>
      </c>
      <c r="GD51">
        <v>19</v>
      </c>
      <c r="GE51">
        <v>283.91699999999997</v>
      </c>
      <c r="GF51">
        <v>594.36199999999997</v>
      </c>
      <c r="GG51">
        <v>20.841699999999999</v>
      </c>
      <c r="GH51">
        <v>26.215599999999998</v>
      </c>
      <c r="GI51">
        <v>30</v>
      </c>
      <c r="GJ51">
        <v>26.2577</v>
      </c>
      <c r="GK51">
        <v>26.2087</v>
      </c>
      <c r="GL51">
        <v>35.593000000000004</v>
      </c>
      <c r="GM51">
        <v>59.958100000000002</v>
      </c>
      <c r="GN51">
        <v>82.276399999999995</v>
      </c>
      <c r="GO51">
        <v>20.802700000000002</v>
      </c>
      <c r="GP51">
        <v>800</v>
      </c>
      <c r="GQ51">
        <v>9.2101400000000009</v>
      </c>
      <c r="GR51">
        <v>99.7196</v>
      </c>
      <c r="GS51">
        <v>99.515000000000001</v>
      </c>
    </row>
    <row r="52" spans="1:201" x14ac:dyDescent="0.25">
      <c r="A52">
        <v>36</v>
      </c>
      <c r="B52">
        <v>1690292749.5999999</v>
      </c>
      <c r="C52">
        <v>479</v>
      </c>
      <c r="D52" t="s">
        <v>405</v>
      </c>
      <c r="E52" t="s">
        <v>406</v>
      </c>
      <c r="F52" t="s">
        <v>330</v>
      </c>
      <c r="H52">
        <v>1690292749.5999999</v>
      </c>
      <c r="I52">
        <f t="shared" si="0"/>
        <v>1.4845335867267303E-3</v>
      </c>
      <c r="J52">
        <f t="shared" si="1"/>
        <v>1.4845335867267302</v>
      </c>
      <c r="K52">
        <f t="shared" si="2"/>
        <v>22.131366427933354</v>
      </c>
      <c r="L52">
        <f t="shared" si="3"/>
        <v>570.39099999999996</v>
      </c>
      <c r="M52">
        <f t="shared" si="4"/>
        <v>269.3072716661618</v>
      </c>
      <c r="N52">
        <f t="shared" si="5"/>
        <v>26.781497005396897</v>
      </c>
      <c r="O52">
        <f t="shared" si="6"/>
        <v>56.723031516734004</v>
      </c>
      <c r="P52">
        <f t="shared" si="7"/>
        <v>0.12407968564091472</v>
      </c>
      <c r="Q52">
        <f t="shared" si="8"/>
        <v>2.2551435084565248</v>
      </c>
      <c r="R52">
        <f t="shared" si="9"/>
        <v>0.120407951194313</v>
      </c>
      <c r="S52">
        <f t="shared" si="10"/>
        <v>7.5575809750189057E-2</v>
      </c>
      <c r="T52">
        <f t="shared" si="11"/>
        <v>276.11485891003952</v>
      </c>
      <c r="U52">
        <f t="shared" si="12"/>
        <v>26.772256212333012</v>
      </c>
      <c r="V52">
        <f t="shared" si="13"/>
        <v>26.772256212333012</v>
      </c>
      <c r="W52">
        <f t="shared" si="14"/>
        <v>3.5315635895541373</v>
      </c>
      <c r="X52">
        <f t="shared" si="15"/>
        <v>72.822832780211982</v>
      </c>
      <c r="Y52">
        <f t="shared" si="16"/>
        <v>2.3416818288401999</v>
      </c>
      <c r="Z52">
        <f t="shared" si="17"/>
        <v>3.2155873912618524</v>
      </c>
      <c r="AA52">
        <f t="shared" si="18"/>
        <v>1.1898817607139374</v>
      </c>
      <c r="AB52">
        <f t="shared" si="19"/>
        <v>-65.467931174648811</v>
      </c>
      <c r="AC52">
        <f t="shared" si="20"/>
        <v>-192.5519666422787</v>
      </c>
      <c r="AD52">
        <f t="shared" si="21"/>
        <v>-18.239632744619779</v>
      </c>
      <c r="AE52">
        <f t="shared" si="22"/>
        <v>-0.14467165150776395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52755.306930329854</v>
      </c>
      <c r="AK52">
        <f t="shared" si="26"/>
        <v>1799.99</v>
      </c>
      <c r="AL52">
        <f t="shared" si="27"/>
        <v>1499.1006026170501</v>
      </c>
      <c r="AM52">
        <f t="shared" si="28"/>
        <v>0.83283829500000006</v>
      </c>
      <c r="AN52">
        <f t="shared" si="29"/>
        <v>0.15339799605000001</v>
      </c>
      <c r="AO52">
        <v>30</v>
      </c>
      <c r="AP52">
        <v>0.5</v>
      </c>
      <c r="AQ52" t="s">
        <v>331</v>
      </c>
      <c r="AR52">
        <v>2</v>
      </c>
      <c r="AS52">
        <v>1690292749.5999999</v>
      </c>
      <c r="AT52">
        <v>570.39099999999996</v>
      </c>
      <c r="AU52">
        <v>800.04600000000005</v>
      </c>
      <c r="AV52">
        <v>23.5473</v>
      </c>
      <c r="AW52">
        <v>9.0594999999999999</v>
      </c>
      <c r="AX52">
        <v>570.73099999999999</v>
      </c>
      <c r="AY52">
        <v>23.395900000000001</v>
      </c>
      <c r="AZ52">
        <v>300.16500000000002</v>
      </c>
      <c r="BA52">
        <v>99.345799999999997</v>
      </c>
      <c r="BB52">
        <v>0.100074</v>
      </c>
      <c r="BC52">
        <v>25.188500000000001</v>
      </c>
      <c r="BD52">
        <v>27.162299999999998</v>
      </c>
      <c r="BE52">
        <v>26.496700000000001</v>
      </c>
      <c r="BF52">
        <v>0</v>
      </c>
      <c r="BG52">
        <v>0</v>
      </c>
      <c r="BH52">
        <v>9981.25</v>
      </c>
      <c r="BI52">
        <v>1062.1099999999999</v>
      </c>
      <c r="BJ52">
        <v>2.1305100000000001</v>
      </c>
      <c r="BK52">
        <v>-229.655</v>
      </c>
      <c r="BL52">
        <v>584.14599999999996</v>
      </c>
      <c r="BM52">
        <v>807.36</v>
      </c>
      <c r="BN52">
        <v>14.4878</v>
      </c>
      <c r="BO52">
        <v>800.04600000000005</v>
      </c>
      <c r="BP52">
        <v>9.0594999999999999</v>
      </c>
      <c r="BQ52">
        <v>2.3393299999999999</v>
      </c>
      <c r="BR52">
        <v>0.90002400000000005</v>
      </c>
      <c r="BS52">
        <v>19.9498</v>
      </c>
      <c r="BT52">
        <v>5.3911199999999999</v>
      </c>
      <c r="BU52">
        <v>1799.99</v>
      </c>
      <c r="BV52">
        <v>0.90997600000000001</v>
      </c>
      <c r="BW52">
        <v>3.4003199999999997E-2</v>
      </c>
      <c r="BX52">
        <v>2.2006999999999999E-2</v>
      </c>
      <c r="BY52">
        <v>3.4013500000000002E-2</v>
      </c>
      <c r="BZ52">
        <v>25</v>
      </c>
      <c r="CA52">
        <v>33528.1</v>
      </c>
      <c r="CB52">
        <v>1690292073.5</v>
      </c>
      <c r="CC52" t="s">
        <v>332</v>
      </c>
      <c r="CD52">
        <v>1690292069.5</v>
      </c>
      <c r="CE52">
        <v>1690292073.5</v>
      </c>
      <c r="CF52">
        <v>4</v>
      </c>
      <c r="CG52">
        <v>-3.6999999999999998E-2</v>
      </c>
      <c r="CH52">
        <v>-1.6E-2</v>
      </c>
      <c r="CI52">
        <v>-0.45200000000000001</v>
      </c>
      <c r="CJ52">
        <v>0.108</v>
      </c>
      <c r="CK52">
        <v>730</v>
      </c>
      <c r="CL52">
        <v>18</v>
      </c>
      <c r="CM52">
        <v>0</v>
      </c>
      <c r="CN52">
        <v>0.01</v>
      </c>
      <c r="CO52">
        <v>-227.42737500000001</v>
      </c>
      <c r="CP52">
        <v>-12.61005253283248</v>
      </c>
      <c r="CQ52">
        <v>1.2151730059440089</v>
      </c>
      <c r="CR52">
        <v>-1</v>
      </c>
      <c r="CS52">
        <v>14.331289999999999</v>
      </c>
      <c r="CT52">
        <v>0.80355196998123901</v>
      </c>
      <c r="CU52">
        <v>7.8728609158297824E-2</v>
      </c>
      <c r="CV52">
        <v>-1</v>
      </c>
      <c r="CW52">
        <v>0</v>
      </c>
      <c r="CX52">
        <v>0</v>
      </c>
      <c r="CY52" t="s">
        <v>333</v>
      </c>
      <c r="CZ52">
        <v>2.3645999999999998</v>
      </c>
      <c r="DA52">
        <v>2.7138499999999999</v>
      </c>
      <c r="DB52">
        <v>0.116618</v>
      </c>
      <c r="DC52">
        <v>0.14658199999999999</v>
      </c>
      <c r="DD52">
        <v>0.112826</v>
      </c>
      <c r="DE52">
        <v>5.4961799999999998E-2</v>
      </c>
      <c r="DF52">
        <v>32251.4</v>
      </c>
      <c r="DG52">
        <v>27491.1</v>
      </c>
      <c r="DH52">
        <v>31167.7</v>
      </c>
      <c r="DI52">
        <v>28069</v>
      </c>
      <c r="DJ52">
        <v>37536</v>
      </c>
      <c r="DK52">
        <v>37716.400000000001</v>
      </c>
      <c r="DL52">
        <v>44352.5</v>
      </c>
      <c r="DM52">
        <v>42537.4</v>
      </c>
      <c r="DN52">
        <v>1.4799500000000001</v>
      </c>
      <c r="DO52">
        <v>2.0510000000000002</v>
      </c>
      <c r="DP52">
        <v>0.119668</v>
      </c>
      <c r="DQ52">
        <v>0.110623</v>
      </c>
      <c r="DR52">
        <v>25.2027</v>
      </c>
      <c r="DS52">
        <v>24.683399999999999</v>
      </c>
      <c r="DT52">
        <v>57.2</v>
      </c>
      <c r="DU52">
        <v>28.2</v>
      </c>
      <c r="DV52">
        <v>22.1035</v>
      </c>
      <c r="DW52">
        <v>61.8934</v>
      </c>
      <c r="DX52">
        <v>35.156199999999998</v>
      </c>
      <c r="DY52">
        <v>1</v>
      </c>
      <c r="DZ52">
        <v>-9.2438999999999993E-2</v>
      </c>
      <c r="EA52">
        <v>2.3416199999999998</v>
      </c>
      <c r="EB52">
        <v>20.171099999999999</v>
      </c>
      <c r="EC52">
        <v>5.2409499999999998</v>
      </c>
      <c r="ED52">
        <v>12.039899999999999</v>
      </c>
      <c r="EE52">
        <v>5.01715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</v>
      </c>
      <c r="EL52">
        <v>1.86459</v>
      </c>
      <c r="EM52">
        <v>1.8691899999999999</v>
      </c>
      <c r="EN52">
        <v>1.8672200000000001</v>
      </c>
      <c r="EO52">
        <v>1.86338</v>
      </c>
      <c r="EP52">
        <v>1.86446</v>
      </c>
      <c r="EQ52">
        <v>1.87012</v>
      </c>
      <c r="ER52">
        <v>1.86938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-0.34</v>
      </c>
      <c r="FG52">
        <v>0.15140000000000001</v>
      </c>
      <c r="FH52">
        <v>5.0310448532705943E-2</v>
      </c>
      <c r="FI52">
        <v>-6.1462078757559423E-4</v>
      </c>
      <c r="FJ52">
        <v>-1.8861989874597051E-7</v>
      </c>
      <c r="FK52">
        <v>1.1980462299894961E-10</v>
      </c>
      <c r="FL52">
        <v>0.15140825623214971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11.3</v>
      </c>
      <c r="FU52">
        <v>11.3</v>
      </c>
      <c r="FV52">
        <v>1.77979</v>
      </c>
      <c r="FW52">
        <v>2.5744600000000002</v>
      </c>
      <c r="FX52">
        <v>1.5490699999999999</v>
      </c>
      <c r="FY52">
        <v>2.3315399999999999</v>
      </c>
      <c r="FZ52">
        <v>1.50146</v>
      </c>
      <c r="GA52">
        <v>2.35107</v>
      </c>
      <c r="GB52">
        <v>32.953699999999998</v>
      </c>
      <c r="GC52">
        <v>23.982399999999998</v>
      </c>
      <c r="GD52">
        <v>19</v>
      </c>
      <c r="GE52">
        <v>284.06</v>
      </c>
      <c r="GF52">
        <v>593.84900000000005</v>
      </c>
      <c r="GG52">
        <v>20.7364</v>
      </c>
      <c r="GH52">
        <v>26.21</v>
      </c>
      <c r="GI52">
        <v>30.0001</v>
      </c>
      <c r="GJ52">
        <v>26.2562</v>
      </c>
      <c r="GK52">
        <v>26.209499999999998</v>
      </c>
      <c r="GL52">
        <v>35.588500000000003</v>
      </c>
      <c r="GM52">
        <v>61.095100000000002</v>
      </c>
      <c r="GN52">
        <v>81.126800000000003</v>
      </c>
      <c r="GO52">
        <v>20.6858</v>
      </c>
      <c r="GP52">
        <v>800</v>
      </c>
      <c r="GQ52">
        <v>8.8384800000000006</v>
      </c>
      <c r="GR52">
        <v>99.720500000000001</v>
      </c>
      <c r="GS52">
        <v>99.514799999999994</v>
      </c>
    </row>
    <row r="53" spans="1:201" x14ac:dyDescent="0.25">
      <c r="A53">
        <v>37</v>
      </c>
      <c r="B53">
        <v>1690292759.5999999</v>
      </c>
      <c r="C53">
        <v>489</v>
      </c>
      <c r="D53" t="s">
        <v>407</v>
      </c>
      <c r="E53" t="s">
        <v>408</v>
      </c>
      <c r="F53" t="s">
        <v>330</v>
      </c>
      <c r="H53">
        <v>1690292759.5999999</v>
      </c>
      <c r="I53">
        <f t="shared" si="0"/>
        <v>1.4875620661812319E-3</v>
      </c>
      <c r="J53">
        <f t="shared" si="1"/>
        <v>1.4875620661812319</v>
      </c>
      <c r="K53">
        <f t="shared" si="2"/>
        <v>22.337521700804363</v>
      </c>
      <c r="L53">
        <f t="shared" si="3"/>
        <v>568.38300000000004</v>
      </c>
      <c r="M53">
        <f t="shared" si="4"/>
        <v>261.96575130358468</v>
      </c>
      <c r="N53">
        <f t="shared" si="5"/>
        <v>26.051560033041525</v>
      </c>
      <c r="O53">
        <f t="shared" si="6"/>
        <v>56.523663007766707</v>
      </c>
      <c r="P53">
        <f t="shared" si="7"/>
        <v>0.12296012620241076</v>
      </c>
      <c r="Q53">
        <f t="shared" si="8"/>
        <v>2.2593504208617241</v>
      </c>
      <c r="R53">
        <f t="shared" si="9"/>
        <v>0.11935981963312473</v>
      </c>
      <c r="S53">
        <f t="shared" si="10"/>
        <v>7.4914579549721638E-2</v>
      </c>
      <c r="T53">
        <f t="shared" si="11"/>
        <v>276.11621442000001</v>
      </c>
      <c r="U53">
        <f t="shared" si="12"/>
        <v>26.714741353067307</v>
      </c>
      <c r="V53">
        <f t="shared" si="13"/>
        <v>26.714741353067307</v>
      </c>
      <c r="W53">
        <f t="shared" si="14"/>
        <v>3.5196313354294775</v>
      </c>
      <c r="X53">
        <f t="shared" si="15"/>
        <v>72.274879889929679</v>
      </c>
      <c r="Y53">
        <f t="shared" si="16"/>
        <v>2.3166146456389902</v>
      </c>
      <c r="Z53">
        <f t="shared" si="17"/>
        <v>3.2052832867616741</v>
      </c>
      <c r="AA53">
        <f t="shared" si="18"/>
        <v>1.2030166897904873</v>
      </c>
      <c r="AB53">
        <f t="shared" si="19"/>
        <v>-65.601487118592331</v>
      </c>
      <c r="AC53">
        <f t="shared" si="20"/>
        <v>-192.47085549124188</v>
      </c>
      <c r="AD53">
        <f t="shared" si="21"/>
        <v>-18.187830672479965</v>
      </c>
      <c r="AE53">
        <f t="shared" si="22"/>
        <v>-0.14395886231415034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52930.256043982954</v>
      </c>
      <c r="AK53">
        <f t="shared" si="26"/>
        <v>1800</v>
      </c>
      <c r="AL53">
        <f t="shared" si="27"/>
        <v>1499.1094979999998</v>
      </c>
      <c r="AM53">
        <f t="shared" si="28"/>
        <v>0.83283860999999992</v>
      </c>
      <c r="AN53">
        <f t="shared" si="29"/>
        <v>0.1533978969</v>
      </c>
      <c r="AO53">
        <v>30</v>
      </c>
      <c r="AP53">
        <v>0.5</v>
      </c>
      <c r="AQ53" t="s">
        <v>331</v>
      </c>
      <c r="AR53">
        <v>2</v>
      </c>
      <c r="AS53">
        <v>1690292759.5999999</v>
      </c>
      <c r="AT53">
        <v>568.38300000000004</v>
      </c>
      <c r="AU53">
        <v>800.17</v>
      </c>
      <c r="AV53">
        <v>23.295100000000001</v>
      </c>
      <c r="AW53">
        <v>8.7687200000000001</v>
      </c>
      <c r="AX53">
        <v>568.72199999999998</v>
      </c>
      <c r="AY53">
        <v>23.143699999999999</v>
      </c>
      <c r="AZ53">
        <v>300.05599999999998</v>
      </c>
      <c r="BA53">
        <v>99.346500000000006</v>
      </c>
      <c r="BB53">
        <v>9.9934899999999993E-2</v>
      </c>
      <c r="BC53">
        <v>25.134599999999999</v>
      </c>
      <c r="BD53">
        <v>27.103400000000001</v>
      </c>
      <c r="BE53">
        <v>26.407399999999999</v>
      </c>
      <c r="BF53">
        <v>0</v>
      </c>
      <c r="BG53">
        <v>0</v>
      </c>
      <c r="BH53">
        <v>10013.799999999999</v>
      </c>
      <c r="BI53">
        <v>1061.48</v>
      </c>
      <c r="BJ53">
        <v>2.1305100000000001</v>
      </c>
      <c r="BK53">
        <v>-231.786</v>
      </c>
      <c r="BL53">
        <v>581.94000000000005</v>
      </c>
      <c r="BM53">
        <v>807.24800000000005</v>
      </c>
      <c r="BN53">
        <v>14.526400000000001</v>
      </c>
      <c r="BO53">
        <v>800.17</v>
      </c>
      <c r="BP53">
        <v>8.7687200000000001</v>
      </c>
      <c r="BQ53">
        <v>2.3142800000000001</v>
      </c>
      <c r="BR53">
        <v>0.87114100000000005</v>
      </c>
      <c r="BS53">
        <v>19.776199999999999</v>
      </c>
      <c r="BT53">
        <v>4.9226200000000002</v>
      </c>
      <c r="BU53">
        <v>1800</v>
      </c>
      <c r="BV53">
        <v>0.90998000000000001</v>
      </c>
      <c r="BW53">
        <v>3.4001700000000003E-2</v>
      </c>
      <c r="BX53">
        <v>2.2006000000000001E-2</v>
      </c>
      <c r="BY53">
        <v>3.4012000000000001E-2</v>
      </c>
      <c r="BZ53">
        <v>25</v>
      </c>
      <c r="CA53">
        <v>33528.199999999997</v>
      </c>
      <c r="CB53">
        <v>1690292073.5</v>
      </c>
      <c r="CC53" t="s">
        <v>332</v>
      </c>
      <c r="CD53">
        <v>1690292069.5</v>
      </c>
      <c r="CE53">
        <v>1690292073.5</v>
      </c>
      <c r="CF53">
        <v>4</v>
      </c>
      <c r="CG53">
        <v>-3.6999999999999998E-2</v>
      </c>
      <c r="CH53">
        <v>-1.6E-2</v>
      </c>
      <c r="CI53">
        <v>-0.45200000000000001</v>
      </c>
      <c r="CJ53">
        <v>0.108</v>
      </c>
      <c r="CK53">
        <v>730</v>
      </c>
      <c r="CL53">
        <v>18</v>
      </c>
      <c r="CM53">
        <v>0</v>
      </c>
      <c r="CN53">
        <v>0.01</v>
      </c>
      <c r="CO53">
        <v>-229.48992682926831</v>
      </c>
      <c r="CP53">
        <v>-11.65670383275236</v>
      </c>
      <c r="CQ53">
        <v>1.1514829757432481</v>
      </c>
      <c r="CR53">
        <v>-1</v>
      </c>
      <c r="CS53">
        <v>14.459826829268289</v>
      </c>
      <c r="CT53">
        <v>0.6497414634146389</v>
      </c>
      <c r="CU53">
        <v>6.5809358902930715E-2</v>
      </c>
      <c r="CV53">
        <v>-1</v>
      </c>
      <c r="CW53">
        <v>0</v>
      </c>
      <c r="CX53">
        <v>0</v>
      </c>
      <c r="CY53" t="s">
        <v>333</v>
      </c>
      <c r="CZ53">
        <v>2.3642400000000001</v>
      </c>
      <c r="DA53">
        <v>2.71374</v>
      </c>
      <c r="DB53">
        <v>0.116324</v>
      </c>
      <c r="DC53">
        <v>0.146592</v>
      </c>
      <c r="DD53">
        <v>0.111971</v>
      </c>
      <c r="DE53">
        <v>5.35816E-2</v>
      </c>
      <c r="DF53">
        <v>32262.2</v>
      </c>
      <c r="DG53">
        <v>27491.4</v>
      </c>
      <c r="DH53">
        <v>31167.7</v>
      </c>
      <c r="DI53">
        <v>28069.599999999999</v>
      </c>
      <c r="DJ53">
        <v>37572.699999999997</v>
      </c>
      <c r="DK53">
        <v>37772.400000000001</v>
      </c>
      <c r="DL53">
        <v>44352.7</v>
      </c>
      <c r="DM53">
        <v>42538.2</v>
      </c>
      <c r="DN53">
        <v>1.4795499999999999</v>
      </c>
      <c r="DO53">
        <v>2.05078</v>
      </c>
      <c r="DP53">
        <v>0.117905</v>
      </c>
      <c r="DQ53">
        <v>0.107069</v>
      </c>
      <c r="DR53">
        <v>25.1724</v>
      </c>
      <c r="DS53">
        <v>24.652200000000001</v>
      </c>
      <c r="DT53">
        <v>57</v>
      </c>
      <c r="DU53">
        <v>28.2</v>
      </c>
      <c r="DV53">
        <v>22.024699999999999</v>
      </c>
      <c r="DW53">
        <v>61.6434</v>
      </c>
      <c r="DX53">
        <v>35.192300000000003</v>
      </c>
      <c r="DY53">
        <v>1</v>
      </c>
      <c r="DZ53">
        <v>-9.2134099999999997E-2</v>
      </c>
      <c r="EA53">
        <v>2.48671</v>
      </c>
      <c r="EB53">
        <v>20.168199999999999</v>
      </c>
      <c r="EC53">
        <v>5.24125</v>
      </c>
      <c r="ED53">
        <v>12.039899999999999</v>
      </c>
      <c r="EE53">
        <v>5.01715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1.8688899999999999</v>
      </c>
      <c r="EL53">
        <v>1.86459</v>
      </c>
      <c r="EM53">
        <v>1.8691899999999999</v>
      </c>
      <c r="EN53">
        <v>1.8672200000000001</v>
      </c>
      <c r="EO53">
        <v>1.86338</v>
      </c>
      <c r="EP53">
        <v>1.8644499999999999</v>
      </c>
      <c r="EQ53">
        <v>1.8701399999999999</v>
      </c>
      <c r="ER53">
        <v>1.86938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-0.33900000000000002</v>
      </c>
      <c r="FG53">
        <v>0.15140000000000001</v>
      </c>
      <c r="FH53">
        <v>5.0310448532705943E-2</v>
      </c>
      <c r="FI53">
        <v>-6.1462078757559423E-4</v>
      </c>
      <c r="FJ53">
        <v>-1.8861989874597051E-7</v>
      </c>
      <c r="FK53">
        <v>1.1980462299894961E-10</v>
      </c>
      <c r="FL53">
        <v>0.15140825623214971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11.5</v>
      </c>
      <c r="FU53">
        <v>11.4</v>
      </c>
      <c r="FV53">
        <v>1.77979</v>
      </c>
      <c r="FW53">
        <v>2.5720200000000002</v>
      </c>
      <c r="FX53">
        <v>1.5490699999999999</v>
      </c>
      <c r="FY53">
        <v>2.3315399999999999</v>
      </c>
      <c r="FZ53">
        <v>1.50146</v>
      </c>
      <c r="GA53">
        <v>2.3913600000000002</v>
      </c>
      <c r="GB53">
        <v>32.953699999999998</v>
      </c>
      <c r="GC53">
        <v>23.982399999999998</v>
      </c>
      <c r="GD53">
        <v>19</v>
      </c>
      <c r="GE53">
        <v>283.88400000000001</v>
      </c>
      <c r="GF53">
        <v>593.68200000000002</v>
      </c>
      <c r="GG53">
        <v>20.604900000000001</v>
      </c>
      <c r="GH53">
        <v>26.204499999999999</v>
      </c>
      <c r="GI53">
        <v>30.0001</v>
      </c>
      <c r="GJ53">
        <v>26.255099999999999</v>
      </c>
      <c r="GK53">
        <v>26.211400000000001</v>
      </c>
      <c r="GL53">
        <v>35.584600000000002</v>
      </c>
      <c r="GM53">
        <v>61.6751</v>
      </c>
      <c r="GN53">
        <v>80.368399999999994</v>
      </c>
      <c r="GO53">
        <v>20.544699999999999</v>
      </c>
      <c r="GP53">
        <v>800</v>
      </c>
      <c r="GQ53">
        <v>8.6060800000000004</v>
      </c>
      <c r="GR53">
        <v>99.720799999999997</v>
      </c>
      <c r="GS53">
        <v>99.516800000000003</v>
      </c>
    </row>
    <row r="54" spans="1:201" x14ac:dyDescent="0.25">
      <c r="A54">
        <v>38</v>
      </c>
      <c r="B54">
        <v>1690292769.5999999</v>
      </c>
      <c r="C54">
        <v>499</v>
      </c>
      <c r="D54" t="s">
        <v>409</v>
      </c>
      <c r="E54" t="s">
        <v>410</v>
      </c>
      <c r="F54" t="s">
        <v>330</v>
      </c>
      <c r="H54">
        <v>1690292769.5999999</v>
      </c>
      <c r="I54">
        <f t="shared" si="0"/>
        <v>1.4904352652260334E-3</v>
      </c>
      <c r="J54">
        <f t="shared" si="1"/>
        <v>1.4904352652260335</v>
      </c>
      <c r="K54">
        <f t="shared" si="2"/>
        <v>22.53231592227166</v>
      </c>
      <c r="L54">
        <f t="shared" si="3"/>
        <v>566.45399999999995</v>
      </c>
      <c r="M54">
        <f t="shared" si="4"/>
        <v>254.13287328763667</v>
      </c>
      <c r="N54">
        <f t="shared" si="5"/>
        <v>25.273234956427725</v>
      </c>
      <c r="O54">
        <f t="shared" si="6"/>
        <v>56.333227767053998</v>
      </c>
      <c r="P54">
        <f t="shared" si="7"/>
        <v>0.12159505670516894</v>
      </c>
      <c r="Q54">
        <f t="shared" si="8"/>
        <v>2.2582477995855914</v>
      </c>
      <c r="R54">
        <f t="shared" si="9"/>
        <v>0.11807134696735302</v>
      </c>
      <c r="S54">
        <f t="shared" si="10"/>
        <v>7.4102677500427427E-2</v>
      </c>
      <c r="T54">
        <f t="shared" si="11"/>
        <v>276.11615273400002</v>
      </c>
      <c r="U54">
        <f t="shared" si="12"/>
        <v>26.659869310612482</v>
      </c>
      <c r="V54">
        <f t="shared" si="13"/>
        <v>26.659869310612482</v>
      </c>
      <c r="W54">
        <f t="shared" si="14"/>
        <v>3.5082801949771096</v>
      </c>
      <c r="X54">
        <f t="shared" si="15"/>
        <v>71.662471627926351</v>
      </c>
      <c r="Y54">
        <f t="shared" si="16"/>
        <v>2.2895125988220002</v>
      </c>
      <c r="Z54">
        <f t="shared" si="17"/>
        <v>3.1948557547794563</v>
      </c>
      <c r="AA54">
        <f t="shared" si="18"/>
        <v>1.2187675961551094</v>
      </c>
      <c r="AB54">
        <f t="shared" si="19"/>
        <v>-65.728195196468079</v>
      </c>
      <c r="AC54">
        <f t="shared" si="20"/>
        <v>-192.35597915630277</v>
      </c>
      <c r="AD54">
        <f t="shared" si="21"/>
        <v>-18.175853126150987</v>
      </c>
      <c r="AE54">
        <f t="shared" si="22"/>
        <v>-0.14387474492178853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52896.635266200574</v>
      </c>
      <c r="AK54">
        <f t="shared" si="26"/>
        <v>1800</v>
      </c>
      <c r="AL54">
        <f t="shared" si="27"/>
        <v>1499.1108984000002</v>
      </c>
      <c r="AM54">
        <f t="shared" si="28"/>
        <v>0.83283938800000012</v>
      </c>
      <c r="AN54">
        <f t="shared" si="29"/>
        <v>0.15339786263000002</v>
      </c>
      <c r="AO54">
        <v>30</v>
      </c>
      <c r="AP54">
        <v>0.5</v>
      </c>
      <c r="AQ54" t="s">
        <v>331</v>
      </c>
      <c r="AR54">
        <v>2</v>
      </c>
      <c r="AS54">
        <v>1690292769.5999999</v>
      </c>
      <c r="AT54">
        <v>566.45399999999995</v>
      </c>
      <c r="AU54">
        <v>800.13800000000003</v>
      </c>
      <c r="AV54">
        <v>23.021999999999998</v>
      </c>
      <c r="AW54">
        <v>8.4658700000000007</v>
      </c>
      <c r="AX54">
        <v>566.79100000000005</v>
      </c>
      <c r="AY54">
        <v>22.8706</v>
      </c>
      <c r="AZ54">
        <v>300.10500000000002</v>
      </c>
      <c r="BA54">
        <v>99.3489</v>
      </c>
      <c r="BB54">
        <v>0.10000100000000001</v>
      </c>
      <c r="BC54">
        <v>25.079899999999999</v>
      </c>
      <c r="BD54">
        <v>27.064800000000002</v>
      </c>
      <c r="BE54">
        <v>26.363099999999999</v>
      </c>
      <c r="BF54">
        <v>0</v>
      </c>
      <c r="BG54">
        <v>0</v>
      </c>
      <c r="BH54">
        <v>10005</v>
      </c>
      <c r="BI54">
        <v>1061.01</v>
      </c>
      <c r="BJ54">
        <v>2.1725599999999998</v>
      </c>
      <c r="BK54">
        <v>-233.684</v>
      </c>
      <c r="BL54">
        <v>579.80200000000002</v>
      </c>
      <c r="BM54">
        <v>806.97</v>
      </c>
      <c r="BN54">
        <v>14.556100000000001</v>
      </c>
      <c r="BO54">
        <v>800.13800000000003</v>
      </c>
      <c r="BP54">
        <v>8.4658700000000007</v>
      </c>
      <c r="BQ54">
        <v>2.28721</v>
      </c>
      <c r="BR54">
        <v>0.84107500000000002</v>
      </c>
      <c r="BS54">
        <v>19.586600000000001</v>
      </c>
      <c r="BT54">
        <v>4.4201100000000002</v>
      </c>
      <c r="BU54">
        <v>1800</v>
      </c>
      <c r="BV54">
        <v>0.90998500000000004</v>
      </c>
      <c r="BW54">
        <v>3.4000000000000002E-2</v>
      </c>
      <c r="BX54">
        <v>2.2004900000000001E-2</v>
      </c>
      <c r="BY54">
        <v>3.40103E-2</v>
      </c>
      <c r="BZ54">
        <v>25</v>
      </c>
      <c r="CA54">
        <v>33528.199999999997</v>
      </c>
      <c r="CB54">
        <v>1690292073.5</v>
      </c>
      <c r="CC54" t="s">
        <v>332</v>
      </c>
      <c r="CD54">
        <v>1690292069.5</v>
      </c>
      <c r="CE54">
        <v>1690292073.5</v>
      </c>
      <c r="CF54">
        <v>4</v>
      </c>
      <c r="CG54">
        <v>-3.6999999999999998E-2</v>
      </c>
      <c r="CH54">
        <v>-1.6E-2</v>
      </c>
      <c r="CI54">
        <v>-0.45200000000000001</v>
      </c>
      <c r="CJ54">
        <v>0.108</v>
      </c>
      <c r="CK54">
        <v>730</v>
      </c>
      <c r="CL54">
        <v>18</v>
      </c>
      <c r="CM54">
        <v>0</v>
      </c>
      <c r="CN54">
        <v>0.01</v>
      </c>
      <c r="CO54">
        <v>-231.49873170731709</v>
      </c>
      <c r="CP54">
        <v>-12.494320557491321</v>
      </c>
      <c r="CQ54">
        <v>1.233120907259899</v>
      </c>
      <c r="CR54">
        <v>-1</v>
      </c>
      <c r="CS54">
        <v>14.52480487804878</v>
      </c>
      <c r="CT54">
        <v>0.11546550522648449</v>
      </c>
      <c r="CU54">
        <v>1.7658245517072881E-2</v>
      </c>
      <c r="CV54">
        <v>-1</v>
      </c>
      <c r="CW54">
        <v>0</v>
      </c>
      <c r="CX54">
        <v>0</v>
      </c>
      <c r="CY54" t="s">
        <v>333</v>
      </c>
      <c r="CZ54">
        <v>2.3643999999999998</v>
      </c>
      <c r="DA54">
        <v>2.7138</v>
      </c>
      <c r="DB54">
        <v>0.11604200000000001</v>
      </c>
      <c r="DC54">
        <v>0.14658599999999999</v>
      </c>
      <c r="DD54">
        <v>0.111043</v>
      </c>
      <c r="DE54">
        <v>5.2128399999999998E-2</v>
      </c>
      <c r="DF54">
        <v>32273.1</v>
      </c>
      <c r="DG54">
        <v>27491.5</v>
      </c>
      <c r="DH54">
        <v>31168.2</v>
      </c>
      <c r="DI54">
        <v>28069.5</v>
      </c>
      <c r="DJ54">
        <v>37613.1</v>
      </c>
      <c r="DK54">
        <v>37830.400000000001</v>
      </c>
      <c r="DL54">
        <v>44353.599999999999</v>
      </c>
      <c r="DM54">
        <v>42538</v>
      </c>
      <c r="DN54">
        <v>1.47942</v>
      </c>
      <c r="DO54">
        <v>2.0501299999999998</v>
      </c>
      <c r="DP54">
        <v>0.117421</v>
      </c>
      <c r="DQ54">
        <v>0.10638300000000001</v>
      </c>
      <c r="DR54">
        <v>25.1417</v>
      </c>
      <c r="DS54">
        <v>24.6191</v>
      </c>
      <c r="DT54">
        <v>56.8</v>
      </c>
      <c r="DU54">
        <v>28.2</v>
      </c>
      <c r="DV54">
        <v>21.952200000000001</v>
      </c>
      <c r="DW54">
        <v>61.333399999999997</v>
      </c>
      <c r="DX54">
        <v>34.771599999999999</v>
      </c>
      <c r="DY54">
        <v>1</v>
      </c>
      <c r="DZ54">
        <v>-9.2225600000000005E-2</v>
      </c>
      <c r="EA54">
        <v>2.633</v>
      </c>
      <c r="EB54">
        <v>20.166799999999999</v>
      </c>
      <c r="EC54">
        <v>5.2415500000000002</v>
      </c>
      <c r="ED54">
        <v>12.039899999999999</v>
      </c>
      <c r="EE54">
        <v>5.01715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</v>
      </c>
      <c r="EL54">
        <v>1.8646</v>
      </c>
      <c r="EM54">
        <v>1.8692</v>
      </c>
      <c r="EN54">
        <v>1.8672200000000001</v>
      </c>
      <c r="EO54">
        <v>1.86338</v>
      </c>
      <c r="EP54">
        <v>1.86446</v>
      </c>
      <c r="EQ54">
        <v>1.8701300000000001</v>
      </c>
      <c r="ER54">
        <v>1.8693900000000001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-0.33700000000000002</v>
      </c>
      <c r="FG54">
        <v>0.15140000000000001</v>
      </c>
      <c r="FH54">
        <v>5.0310448532705943E-2</v>
      </c>
      <c r="FI54">
        <v>-6.1462078757559423E-4</v>
      </c>
      <c r="FJ54">
        <v>-1.8861989874597051E-7</v>
      </c>
      <c r="FK54">
        <v>1.1980462299894961E-10</v>
      </c>
      <c r="FL54">
        <v>0.15140825623214971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11.7</v>
      </c>
      <c r="FU54">
        <v>11.6</v>
      </c>
      <c r="FV54">
        <v>1.77979</v>
      </c>
      <c r="FW54">
        <v>2.5805699999999998</v>
      </c>
      <c r="FX54">
        <v>1.5490699999999999</v>
      </c>
      <c r="FY54">
        <v>2.3315399999999999</v>
      </c>
      <c r="FZ54">
        <v>1.50146</v>
      </c>
      <c r="GA54">
        <v>2.3803700000000001</v>
      </c>
      <c r="GB54">
        <v>32.953699999999998</v>
      </c>
      <c r="GC54">
        <v>23.973700000000001</v>
      </c>
      <c r="GD54">
        <v>19</v>
      </c>
      <c r="GE54">
        <v>283.822</v>
      </c>
      <c r="GF54">
        <v>593.14200000000005</v>
      </c>
      <c r="GG54">
        <v>20.448799999999999</v>
      </c>
      <c r="GH54">
        <v>26.199000000000002</v>
      </c>
      <c r="GI54">
        <v>30.0002</v>
      </c>
      <c r="GJ54">
        <v>26.2532</v>
      </c>
      <c r="GK54">
        <v>26.2117</v>
      </c>
      <c r="GL54">
        <v>35.575600000000001</v>
      </c>
      <c r="GM54">
        <v>62.267899999999997</v>
      </c>
      <c r="GN54">
        <v>79.590900000000005</v>
      </c>
      <c r="GO54">
        <v>20.3825</v>
      </c>
      <c r="GP54">
        <v>800</v>
      </c>
      <c r="GQ54">
        <v>8.3353400000000004</v>
      </c>
      <c r="GR54">
        <v>99.722700000000003</v>
      </c>
      <c r="GS54">
        <v>99.516400000000004</v>
      </c>
    </row>
    <row r="55" spans="1:201" x14ac:dyDescent="0.25">
      <c r="A55">
        <v>39</v>
      </c>
      <c r="B55">
        <v>1690292779.5999999</v>
      </c>
      <c r="C55">
        <v>509</v>
      </c>
      <c r="D55" t="s">
        <v>411</v>
      </c>
      <c r="E55" t="s">
        <v>412</v>
      </c>
      <c r="F55" t="s">
        <v>330</v>
      </c>
      <c r="H55">
        <v>1690292779.5999999</v>
      </c>
      <c r="I55">
        <f t="shared" si="0"/>
        <v>1.4798114409735016E-3</v>
      </c>
      <c r="J55">
        <f t="shared" si="1"/>
        <v>1.4798114409735015</v>
      </c>
      <c r="K55">
        <f t="shared" si="2"/>
        <v>22.717713718998411</v>
      </c>
      <c r="L55">
        <f t="shared" si="3"/>
        <v>564.54999999999995</v>
      </c>
      <c r="M55">
        <f t="shared" si="4"/>
        <v>243.24054838069071</v>
      </c>
      <c r="N55">
        <f t="shared" si="5"/>
        <v>24.191223120522761</v>
      </c>
      <c r="O55">
        <f t="shared" si="6"/>
        <v>56.146703761399991</v>
      </c>
      <c r="P55">
        <f t="shared" si="7"/>
        <v>0.11901342059657161</v>
      </c>
      <c r="Q55">
        <f t="shared" si="8"/>
        <v>2.253148615012412</v>
      </c>
      <c r="R55">
        <f t="shared" si="9"/>
        <v>0.1156281009599628</v>
      </c>
      <c r="S55">
        <f t="shared" si="10"/>
        <v>7.2563699726843831E-2</v>
      </c>
      <c r="T55">
        <f t="shared" si="11"/>
        <v>276.11430364912428</v>
      </c>
      <c r="U55">
        <f t="shared" si="12"/>
        <v>26.609727846665837</v>
      </c>
      <c r="V55">
        <f t="shared" si="13"/>
        <v>26.609727846665837</v>
      </c>
      <c r="W55">
        <f t="shared" si="14"/>
        <v>3.4979356098909853</v>
      </c>
      <c r="X55">
        <f t="shared" si="15"/>
        <v>71.041599755654104</v>
      </c>
      <c r="Y55">
        <f t="shared" si="16"/>
        <v>2.2619796835520001</v>
      </c>
      <c r="Z55">
        <f t="shared" si="17"/>
        <v>3.1840213217776987</v>
      </c>
      <c r="AA55">
        <f t="shared" si="18"/>
        <v>1.2359559263389852</v>
      </c>
      <c r="AB55">
        <f t="shared" si="19"/>
        <v>-65.259684546931425</v>
      </c>
      <c r="AC55">
        <f t="shared" si="20"/>
        <v>-192.75475251990795</v>
      </c>
      <c r="AD55">
        <f t="shared" si="21"/>
        <v>-18.244939962408967</v>
      </c>
      <c r="AE55">
        <f t="shared" si="22"/>
        <v>-0.14507338012407445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52706.435928420004</v>
      </c>
      <c r="AK55">
        <f t="shared" si="26"/>
        <v>1799.99</v>
      </c>
      <c r="AL55">
        <f t="shared" si="27"/>
        <v>1499.1028742044298</v>
      </c>
      <c r="AM55">
        <f t="shared" si="28"/>
        <v>0.8328395569999999</v>
      </c>
      <c r="AN55">
        <f t="shared" si="29"/>
        <v>0.15339768757</v>
      </c>
      <c r="AO55">
        <v>30</v>
      </c>
      <c r="AP55">
        <v>0.5</v>
      </c>
      <c r="AQ55" t="s">
        <v>331</v>
      </c>
      <c r="AR55">
        <v>2</v>
      </c>
      <c r="AS55">
        <v>1690292779.5999999</v>
      </c>
      <c r="AT55">
        <v>564.54999999999995</v>
      </c>
      <c r="AU55">
        <v>799.95899999999995</v>
      </c>
      <c r="AV55">
        <v>22.744</v>
      </c>
      <c r="AW55">
        <v>8.2899700000000003</v>
      </c>
      <c r="AX55">
        <v>564.88599999999997</v>
      </c>
      <c r="AY55">
        <v>22.592600000000001</v>
      </c>
      <c r="AZ55">
        <v>300.15600000000001</v>
      </c>
      <c r="BA55">
        <v>99.353899999999996</v>
      </c>
      <c r="BB55">
        <v>0.100008</v>
      </c>
      <c r="BC55">
        <v>25.0229</v>
      </c>
      <c r="BD55">
        <v>26.9528</v>
      </c>
      <c r="BE55">
        <v>26.283999999999999</v>
      </c>
      <c r="BF55">
        <v>0</v>
      </c>
      <c r="BG55">
        <v>0</v>
      </c>
      <c r="BH55">
        <v>9965</v>
      </c>
      <c r="BI55">
        <v>1060.3800000000001</v>
      </c>
      <c r="BJ55">
        <v>2.1865800000000002</v>
      </c>
      <c r="BK55">
        <v>-235.40799999999999</v>
      </c>
      <c r="BL55">
        <v>577.68899999999996</v>
      </c>
      <c r="BM55">
        <v>806.64599999999996</v>
      </c>
      <c r="BN55">
        <v>14.454000000000001</v>
      </c>
      <c r="BO55">
        <v>799.95899999999995</v>
      </c>
      <c r="BP55">
        <v>8.2899700000000003</v>
      </c>
      <c r="BQ55">
        <v>2.2597</v>
      </c>
      <c r="BR55">
        <v>0.82364099999999996</v>
      </c>
      <c r="BS55">
        <v>19.391999999999999</v>
      </c>
      <c r="BT55">
        <v>4.1214000000000004</v>
      </c>
      <c r="BU55">
        <v>1799.99</v>
      </c>
      <c r="BV55">
        <v>0.90998999999999997</v>
      </c>
      <c r="BW55">
        <v>3.3998E-2</v>
      </c>
      <c r="BX55">
        <v>2.2003600000000002E-2</v>
      </c>
      <c r="BY55">
        <v>3.4008299999999998E-2</v>
      </c>
      <c r="BZ55">
        <v>25</v>
      </c>
      <c r="CA55">
        <v>33528.199999999997</v>
      </c>
      <c r="CB55">
        <v>1690292073.5</v>
      </c>
      <c r="CC55" t="s">
        <v>332</v>
      </c>
      <c r="CD55">
        <v>1690292069.5</v>
      </c>
      <c r="CE55">
        <v>1690292073.5</v>
      </c>
      <c r="CF55">
        <v>4</v>
      </c>
      <c r="CG55">
        <v>-3.6999999999999998E-2</v>
      </c>
      <c r="CH55">
        <v>-1.6E-2</v>
      </c>
      <c r="CI55">
        <v>-0.45200000000000001</v>
      </c>
      <c r="CJ55">
        <v>0.108</v>
      </c>
      <c r="CK55">
        <v>730</v>
      </c>
      <c r="CL55">
        <v>18</v>
      </c>
      <c r="CM55">
        <v>0</v>
      </c>
      <c r="CN55">
        <v>0.01</v>
      </c>
      <c r="CO55">
        <v>-233.60624999999999</v>
      </c>
      <c r="CP55">
        <v>-10.983512195121421</v>
      </c>
      <c r="CQ55">
        <v>1.059318902644526</v>
      </c>
      <c r="CR55">
        <v>-1</v>
      </c>
      <c r="CS55">
        <v>14.5218875</v>
      </c>
      <c r="CT55">
        <v>-0.162165478424033</v>
      </c>
      <c r="CU55">
        <v>2.7525335488418751E-2</v>
      </c>
      <c r="CV55">
        <v>-1</v>
      </c>
      <c r="CW55">
        <v>0</v>
      </c>
      <c r="CX55">
        <v>0</v>
      </c>
      <c r="CY55" t="s">
        <v>333</v>
      </c>
      <c r="CZ55">
        <v>2.3645700000000001</v>
      </c>
      <c r="DA55">
        <v>2.7137699999999998</v>
      </c>
      <c r="DB55">
        <v>0.11576599999999999</v>
      </c>
      <c r="DC55">
        <v>0.146567</v>
      </c>
      <c r="DD55">
        <v>0.110097</v>
      </c>
      <c r="DE55">
        <v>5.1277999999999997E-2</v>
      </c>
      <c r="DF55">
        <v>32283.200000000001</v>
      </c>
      <c r="DG55">
        <v>27492.5</v>
      </c>
      <c r="DH55">
        <v>31168.3</v>
      </c>
      <c r="DI55">
        <v>28069.9</v>
      </c>
      <c r="DJ55">
        <v>37653.699999999997</v>
      </c>
      <c r="DK55">
        <v>37865.1</v>
      </c>
      <c r="DL55">
        <v>44353.7</v>
      </c>
      <c r="DM55">
        <v>42538.8</v>
      </c>
      <c r="DN55">
        <v>1.4796800000000001</v>
      </c>
      <c r="DO55">
        <v>2.05023</v>
      </c>
      <c r="DP55">
        <v>0.11250400000000001</v>
      </c>
      <c r="DQ55">
        <v>0.10365199999999999</v>
      </c>
      <c r="DR55">
        <v>25.11</v>
      </c>
      <c r="DS55">
        <v>24.584499999999998</v>
      </c>
      <c r="DT55">
        <v>56.5</v>
      </c>
      <c r="DU55">
        <v>28.2</v>
      </c>
      <c r="DV55">
        <v>21.830500000000001</v>
      </c>
      <c r="DW55">
        <v>61.8934</v>
      </c>
      <c r="DX55">
        <v>34.270800000000001</v>
      </c>
      <c r="DY55">
        <v>1</v>
      </c>
      <c r="DZ55">
        <v>-9.1727600000000006E-2</v>
      </c>
      <c r="EA55">
        <v>-0.80592600000000003</v>
      </c>
      <c r="EB55">
        <v>20.104199999999999</v>
      </c>
      <c r="EC55">
        <v>5.2408000000000001</v>
      </c>
      <c r="ED55">
        <v>12.039899999999999</v>
      </c>
      <c r="EE55">
        <v>5.0168999999999997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1.86459</v>
      </c>
      <c r="EM55">
        <v>1.86917</v>
      </c>
      <c r="EN55">
        <v>1.8672200000000001</v>
      </c>
      <c r="EO55">
        <v>1.8633500000000001</v>
      </c>
      <c r="EP55">
        <v>1.8644400000000001</v>
      </c>
      <c r="EQ55">
        <v>1.87012</v>
      </c>
      <c r="ER55">
        <v>1.86937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-0.33600000000000002</v>
      </c>
      <c r="FG55">
        <v>0.15140000000000001</v>
      </c>
      <c r="FH55">
        <v>5.0310448532705943E-2</v>
      </c>
      <c r="FI55">
        <v>-6.1462078757559423E-4</v>
      </c>
      <c r="FJ55">
        <v>-1.8861989874597051E-7</v>
      </c>
      <c r="FK55">
        <v>1.1980462299894961E-10</v>
      </c>
      <c r="FL55">
        <v>0.15140825623214971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11.8</v>
      </c>
      <c r="FU55">
        <v>11.8</v>
      </c>
      <c r="FV55">
        <v>1.77979</v>
      </c>
      <c r="FW55">
        <v>2.5842299999999998</v>
      </c>
      <c r="FX55">
        <v>1.5490699999999999</v>
      </c>
      <c r="FY55">
        <v>2.3315399999999999</v>
      </c>
      <c r="FZ55">
        <v>1.50146</v>
      </c>
      <c r="GA55">
        <v>2.34375</v>
      </c>
      <c r="GB55">
        <v>32.975999999999999</v>
      </c>
      <c r="GC55">
        <v>23.912400000000002</v>
      </c>
      <c r="GD55">
        <v>19</v>
      </c>
      <c r="GE55">
        <v>283.92</v>
      </c>
      <c r="GF55">
        <v>593.25099999999998</v>
      </c>
      <c r="GG55">
        <v>20.328199999999999</v>
      </c>
      <c r="GH55">
        <v>26.1935</v>
      </c>
      <c r="GI55">
        <v>30.000299999999999</v>
      </c>
      <c r="GJ55">
        <v>26.251100000000001</v>
      </c>
      <c r="GK55">
        <v>26.213899999999999</v>
      </c>
      <c r="GL55">
        <v>35.572699999999998</v>
      </c>
      <c r="GM55">
        <v>62.551400000000001</v>
      </c>
      <c r="GN55">
        <v>78.835300000000004</v>
      </c>
      <c r="GO55">
        <v>24.6541</v>
      </c>
      <c r="GP55">
        <v>800</v>
      </c>
      <c r="GQ55">
        <v>8.1958599999999997</v>
      </c>
      <c r="GR55">
        <v>99.723100000000002</v>
      </c>
      <c r="GS55">
        <v>99.518100000000004</v>
      </c>
    </row>
    <row r="56" spans="1:201" x14ac:dyDescent="0.25">
      <c r="A56">
        <v>40</v>
      </c>
      <c r="B56">
        <v>1690292789.5999999</v>
      </c>
      <c r="C56">
        <v>519</v>
      </c>
      <c r="D56" t="s">
        <v>413</v>
      </c>
      <c r="E56" t="s">
        <v>414</v>
      </c>
      <c r="F56" t="s">
        <v>330</v>
      </c>
      <c r="H56">
        <v>1690292789.5999999</v>
      </c>
      <c r="I56">
        <f t="shared" si="0"/>
        <v>1.5872835437357336E-3</v>
      </c>
      <c r="J56">
        <f t="shared" si="1"/>
        <v>1.5872835437357335</v>
      </c>
      <c r="K56">
        <f t="shared" si="2"/>
        <v>22.914631049808072</v>
      </c>
      <c r="L56">
        <f t="shared" si="3"/>
        <v>562.37599999999998</v>
      </c>
      <c r="M56">
        <f t="shared" si="4"/>
        <v>268.84489873006919</v>
      </c>
      <c r="N56">
        <f t="shared" si="5"/>
        <v>26.735522807082631</v>
      </c>
      <c r="O56">
        <f t="shared" si="6"/>
        <v>55.925987233449604</v>
      </c>
      <c r="P56">
        <f t="shared" si="7"/>
        <v>0.13206835537740819</v>
      </c>
      <c r="Q56">
        <f t="shared" si="8"/>
        <v>2.2578105632096479</v>
      </c>
      <c r="R56">
        <f t="shared" si="9"/>
        <v>0.12792185531847122</v>
      </c>
      <c r="S56">
        <f t="shared" si="10"/>
        <v>8.0312861481110637E-2</v>
      </c>
      <c r="T56">
        <f t="shared" si="11"/>
        <v>276.11560071000002</v>
      </c>
      <c r="U56">
        <f t="shared" si="12"/>
        <v>26.706759572883819</v>
      </c>
      <c r="V56">
        <f t="shared" si="13"/>
        <v>26.706759572883819</v>
      </c>
      <c r="W56">
        <f t="shared" si="14"/>
        <v>3.5179781890847672</v>
      </c>
      <c r="X56">
        <f t="shared" si="15"/>
        <v>72.284534952024387</v>
      </c>
      <c r="Y56">
        <f t="shared" si="16"/>
        <v>2.32025184028728</v>
      </c>
      <c r="Z56">
        <f t="shared" si="17"/>
        <v>3.209886930623878</v>
      </c>
      <c r="AA56">
        <f t="shared" si="18"/>
        <v>1.1977263487974872</v>
      </c>
      <c r="AB56">
        <f t="shared" si="19"/>
        <v>-69.99920427874585</v>
      </c>
      <c r="AC56">
        <f t="shared" si="20"/>
        <v>-188.43458400874488</v>
      </c>
      <c r="AD56">
        <f t="shared" si="21"/>
        <v>-17.819997398389955</v>
      </c>
      <c r="AE56">
        <f t="shared" si="22"/>
        <v>-0.13818497588064815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52865.39763757457</v>
      </c>
      <c r="AK56">
        <f t="shared" si="26"/>
        <v>1800</v>
      </c>
      <c r="AL56">
        <f t="shared" si="27"/>
        <v>1499.1124949999999</v>
      </c>
      <c r="AM56">
        <f t="shared" si="28"/>
        <v>0.83284027499999991</v>
      </c>
      <c r="AN56">
        <f t="shared" si="29"/>
        <v>0.15339755595000001</v>
      </c>
      <c r="AO56">
        <v>30</v>
      </c>
      <c r="AP56">
        <v>0.5</v>
      </c>
      <c r="AQ56" t="s">
        <v>331</v>
      </c>
      <c r="AR56">
        <v>2</v>
      </c>
      <c r="AS56">
        <v>1690292789.5999999</v>
      </c>
      <c r="AT56">
        <v>562.37599999999998</v>
      </c>
      <c r="AU56">
        <v>800.35599999999999</v>
      </c>
      <c r="AV56">
        <v>23.331800000000001</v>
      </c>
      <c r="AW56">
        <v>7.83535</v>
      </c>
      <c r="AX56">
        <v>562.71</v>
      </c>
      <c r="AY56">
        <v>23.180399999999999</v>
      </c>
      <c r="AZ56">
        <v>300.11700000000002</v>
      </c>
      <c r="BA56">
        <v>99.346000000000004</v>
      </c>
      <c r="BB56">
        <v>9.9899600000000005E-2</v>
      </c>
      <c r="BC56">
        <v>25.1587</v>
      </c>
      <c r="BD56">
        <v>27.009599999999999</v>
      </c>
      <c r="BE56">
        <v>26.377199999999998</v>
      </c>
      <c r="BF56">
        <v>0</v>
      </c>
      <c r="BG56">
        <v>0</v>
      </c>
      <c r="BH56">
        <v>10001.9</v>
      </c>
      <c r="BI56">
        <v>1059.95</v>
      </c>
      <c r="BJ56">
        <v>2.1865800000000002</v>
      </c>
      <c r="BK56">
        <v>-237.98</v>
      </c>
      <c r="BL56">
        <v>575.81100000000004</v>
      </c>
      <c r="BM56">
        <v>806.67700000000002</v>
      </c>
      <c r="BN56">
        <v>15.4964</v>
      </c>
      <c r="BO56">
        <v>800.35599999999999</v>
      </c>
      <c r="BP56">
        <v>7.83535</v>
      </c>
      <c r="BQ56">
        <v>2.31792</v>
      </c>
      <c r="BR56">
        <v>0.77841099999999996</v>
      </c>
      <c r="BS56">
        <v>19.801500000000001</v>
      </c>
      <c r="BT56">
        <v>3.3195899999999998</v>
      </c>
      <c r="BU56">
        <v>1800</v>
      </c>
      <c r="BV56">
        <v>0.90999699999999994</v>
      </c>
      <c r="BW56">
        <v>3.3995400000000002E-2</v>
      </c>
      <c r="BX56">
        <v>2.2002000000000001E-2</v>
      </c>
      <c r="BY56">
        <v>3.40057E-2</v>
      </c>
      <c r="BZ56">
        <v>25</v>
      </c>
      <c r="CA56">
        <v>33528.300000000003</v>
      </c>
      <c r="CB56">
        <v>1690292073.5</v>
      </c>
      <c r="CC56" t="s">
        <v>332</v>
      </c>
      <c r="CD56">
        <v>1690292069.5</v>
      </c>
      <c r="CE56">
        <v>1690292073.5</v>
      </c>
      <c r="CF56">
        <v>4</v>
      </c>
      <c r="CG56">
        <v>-3.6999999999999998E-2</v>
      </c>
      <c r="CH56">
        <v>-1.6E-2</v>
      </c>
      <c r="CI56">
        <v>-0.45200000000000001</v>
      </c>
      <c r="CJ56">
        <v>0.108</v>
      </c>
      <c r="CK56">
        <v>730</v>
      </c>
      <c r="CL56">
        <v>18</v>
      </c>
      <c r="CM56">
        <v>0</v>
      </c>
      <c r="CN56">
        <v>0.01</v>
      </c>
      <c r="CO56">
        <v>-235.4075365853659</v>
      </c>
      <c r="CP56">
        <v>-12.385421602787259</v>
      </c>
      <c r="CQ56">
        <v>1.2303453827509681</v>
      </c>
      <c r="CR56">
        <v>-1</v>
      </c>
      <c r="CS56">
        <v>14.59596341463415</v>
      </c>
      <c r="CT56">
        <v>1.229673867595821</v>
      </c>
      <c r="CU56">
        <v>0.2126366060265415</v>
      </c>
      <c r="CV56">
        <v>-1</v>
      </c>
      <c r="CW56">
        <v>0</v>
      </c>
      <c r="CX56">
        <v>0</v>
      </c>
      <c r="CY56" t="s">
        <v>333</v>
      </c>
      <c r="CZ56">
        <v>2.36449</v>
      </c>
      <c r="DA56">
        <v>2.7136900000000002</v>
      </c>
      <c r="DB56">
        <v>0.115444</v>
      </c>
      <c r="DC56">
        <v>0.146594</v>
      </c>
      <c r="DD56">
        <v>0.112093</v>
      </c>
      <c r="DE56">
        <v>4.9040800000000002E-2</v>
      </c>
      <c r="DF56">
        <v>32294.1</v>
      </c>
      <c r="DG56">
        <v>27490.3</v>
      </c>
      <c r="DH56">
        <v>31167.4</v>
      </c>
      <c r="DI56">
        <v>28068.6</v>
      </c>
      <c r="DJ56">
        <v>37567.300000000003</v>
      </c>
      <c r="DK56">
        <v>37952.800000000003</v>
      </c>
      <c r="DL56">
        <v>44352.6</v>
      </c>
      <c r="DM56">
        <v>42536.7</v>
      </c>
      <c r="DN56">
        <v>1.4863299999999999</v>
      </c>
      <c r="DO56">
        <v>2.0489000000000002</v>
      </c>
      <c r="DP56">
        <v>0.118103</v>
      </c>
      <c r="DQ56">
        <v>0.111494</v>
      </c>
      <c r="DR56">
        <v>25.075099999999999</v>
      </c>
      <c r="DS56">
        <v>24.549199999999999</v>
      </c>
      <c r="DT56">
        <v>56.2</v>
      </c>
      <c r="DU56">
        <v>28.2</v>
      </c>
      <c r="DV56">
        <v>21.7193</v>
      </c>
      <c r="DW56">
        <v>61.613399999999999</v>
      </c>
      <c r="DX56">
        <v>34.595399999999998</v>
      </c>
      <c r="DY56">
        <v>1</v>
      </c>
      <c r="DZ56">
        <v>-8.2703299999999993E-2</v>
      </c>
      <c r="EA56">
        <v>-6.6666699999999999</v>
      </c>
      <c r="EB56">
        <v>20.0106</v>
      </c>
      <c r="EC56">
        <v>5.24125</v>
      </c>
      <c r="ED56">
        <v>12.039899999999999</v>
      </c>
      <c r="EE56">
        <v>5.0167999999999999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1.8688800000000001</v>
      </c>
      <c r="EL56">
        <v>1.8645700000000001</v>
      </c>
      <c r="EM56">
        <v>1.8691899999999999</v>
      </c>
      <c r="EN56">
        <v>1.8672200000000001</v>
      </c>
      <c r="EO56">
        <v>1.86337</v>
      </c>
      <c r="EP56">
        <v>1.8644499999999999</v>
      </c>
      <c r="EQ56">
        <v>1.87012</v>
      </c>
      <c r="ER56">
        <v>1.86937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-0.33400000000000002</v>
      </c>
      <c r="FG56">
        <v>0.15140000000000001</v>
      </c>
      <c r="FH56">
        <v>5.0310448532705943E-2</v>
      </c>
      <c r="FI56">
        <v>-6.1462078757559423E-4</v>
      </c>
      <c r="FJ56">
        <v>-1.8861989874597051E-7</v>
      </c>
      <c r="FK56">
        <v>1.1980462299894961E-10</v>
      </c>
      <c r="FL56">
        <v>0.15140825623214971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12</v>
      </c>
      <c r="FU56">
        <v>11.9</v>
      </c>
      <c r="FV56">
        <v>1.7785599999999999</v>
      </c>
      <c r="FW56">
        <v>2.5830099999999998</v>
      </c>
      <c r="FX56">
        <v>1.5490699999999999</v>
      </c>
      <c r="FY56">
        <v>2.3315399999999999</v>
      </c>
      <c r="FZ56">
        <v>1.50146</v>
      </c>
      <c r="GA56">
        <v>2.2729499999999998</v>
      </c>
      <c r="GB56">
        <v>32.975999999999999</v>
      </c>
      <c r="GC56">
        <v>23.921099999999999</v>
      </c>
      <c r="GD56">
        <v>19</v>
      </c>
      <c r="GE56">
        <v>286.81200000000001</v>
      </c>
      <c r="GF56">
        <v>592.12800000000004</v>
      </c>
      <c r="GG56">
        <v>24.325199999999999</v>
      </c>
      <c r="GH56">
        <v>26.187999999999999</v>
      </c>
      <c r="GI56">
        <v>30.002400000000002</v>
      </c>
      <c r="GJ56">
        <v>26.260300000000001</v>
      </c>
      <c r="GK56">
        <v>26.212499999999999</v>
      </c>
      <c r="GL56">
        <v>35.549199999999999</v>
      </c>
      <c r="GM56">
        <v>65.922399999999996</v>
      </c>
      <c r="GN56">
        <v>77.644599999999997</v>
      </c>
      <c r="GO56">
        <v>24.732099999999999</v>
      </c>
      <c r="GP56">
        <v>800</v>
      </c>
      <c r="GQ56">
        <v>7.2074999999999996</v>
      </c>
      <c r="GR56">
        <v>99.720299999999995</v>
      </c>
      <c r="GS56">
        <v>99.513300000000001</v>
      </c>
    </row>
    <row r="57" spans="1:201" x14ac:dyDescent="0.25">
      <c r="A57">
        <v>41</v>
      </c>
      <c r="B57">
        <v>1690292799.5999999</v>
      </c>
      <c r="C57">
        <v>529</v>
      </c>
      <c r="D57" t="s">
        <v>415</v>
      </c>
      <c r="E57" t="s">
        <v>416</v>
      </c>
      <c r="F57" t="s">
        <v>330</v>
      </c>
      <c r="H57">
        <v>1690292799.5999999</v>
      </c>
      <c r="I57">
        <f t="shared" si="0"/>
        <v>1.7831394826572002E-3</v>
      </c>
      <c r="J57">
        <f t="shared" si="1"/>
        <v>1.7831394826572002</v>
      </c>
      <c r="K57">
        <f t="shared" si="2"/>
        <v>22.986051021346341</v>
      </c>
      <c r="L57">
        <f t="shared" si="3"/>
        <v>560.56899999999996</v>
      </c>
      <c r="M57">
        <f t="shared" si="4"/>
        <v>301.77117972384144</v>
      </c>
      <c r="N57">
        <f t="shared" si="5"/>
        <v>30.010472714609449</v>
      </c>
      <c r="O57">
        <f t="shared" si="6"/>
        <v>55.747340400600898</v>
      </c>
      <c r="P57">
        <f t="shared" si="7"/>
        <v>0.1515418181386971</v>
      </c>
      <c r="Q57">
        <f t="shared" si="8"/>
        <v>2.2571053626180682</v>
      </c>
      <c r="R57">
        <f t="shared" si="9"/>
        <v>0.14610779681302305</v>
      </c>
      <c r="S57">
        <f t="shared" si="10"/>
        <v>9.1789364404118917E-2</v>
      </c>
      <c r="T57">
        <f t="shared" si="11"/>
        <v>276.11526686399992</v>
      </c>
      <c r="U57">
        <f t="shared" si="12"/>
        <v>27.024718778080462</v>
      </c>
      <c r="V57">
        <f t="shared" si="13"/>
        <v>27.024718778080462</v>
      </c>
      <c r="W57">
        <f t="shared" si="14"/>
        <v>3.5843591927700484</v>
      </c>
      <c r="X57">
        <f t="shared" si="15"/>
        <v>73.306127509765346</v>
      </c>
      <c r="Y57">
        <f t="shared" si="16"/>
        <v>2.4072328682766</v>
      </c>
      <c r="Z57">
        <f t="shared" si="17"/>
        <v>3.2838085301340261</v>
      </c>
      <c r="AA57">
        <f t="shared" si="18"/>
        <v>1.1771263244934485</v>
      </c>
      <c r="AB57">
        <f t="shared" si="19"/>
        <v>-78.636451185182523</v>
      </c>
      <c r="AC57">
        <f t="shared" si="20"/>
        <v>-180.47340388929675</v>
      </c>
      <c r="AD57">
        <f t="shared" si="21"/>
        <v>-17.132553263492557</v>
      </c>
      <c r="AE57">
        <f t="shared" si="22"/>
        <v>-0.12714147397193187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52769.943306757443</v>
      </c>
      <c r="AK57">
        <f t="shared" si="26"/>
        <v>1800</v>
      </c>
      <c r="AL57">
        <f t="shared" si="27"/>
        <v>1499.1123833999998</v>
      </c>
      <c r="AM57">
        <f t="shared" si="28"/>
        <v>0.83284021299999988</v>
      </c>
      <c r="AN57">
        <f t="shared" si="29"/>
        <v>0.15339737047999996</v>
      </c>
      <c r="AO57">
        <v>30</v>
      </c>
      <c r="AP57">
        <v>0.5</v>
      </c>
      <c r="AQ57" t="s">
        <v>331</v>
      </c>
      <c r="AR57">
        <v>2</v>
      </c>
      <c r="AS57">
        <v>1690292799.5999999</v>
      </c>
      <c r="AT57">
        <v>560.56899999999996</v>
      </c>
      <c r="AU57">
        <v>800.28700000000003</v>
      </c>
      <c r="AV57">
        <v>24.206</v>
      </c>
      <c r="AW57">
        <v>6.8162599999999998</v>
      </c>
      <c r="AX57">
        <v>560.90099999999995</v>
      </c>
      <c r="AY57">
        <v>24.054600000000001</v>
      </c>
      <c r="AZ57">
        <v>300.173</v>
      </c>
      <c r="BA57">
        <v>99.347800000000007</v>
      </c>
      <c r="BB57">
        <v>9.9976099999999998E-2</v>
      </c>
      <c r="BC57">
        <v>25.541599999999999</v>
      </c>
      <c r="BD57">
        <v>27.313300000000002</v>
      </c>
      <c r="BE57">
        <v>26.771100000000001</v>
      </c>
      <c r="BF57">
        <v>0</v>
      </c>
      <c r="BG57">
        <v>0</v>
      </c>
      <c r="BH57">
        <v>9996.25</v>
      </c>
      <c r="BI57">
        <v>1060.42</v>
      </c>
      <c r="BJ57">
        <v>2.1865800000000002</v>
      </c>
      <c r="BK57">
        <v>-239.71899999999999</v>
      </c>
      <c r="BL57">
        <v>574.47400000000005</v>
      </c>
      <c r="BM57">
        <v>805.78</v>
      </c>
      <c r="BN57">
        <v>17.389700000000001</v>
      </c>
      <c r="BO57">
        <v>800.28700000000003</v>
      </c>
      <c r="BP57">
        <v>6.8162599999999998</v>
      </c>
      <c r="BQ57">
        <v>2.4048099999999999</v>
      </c>
      <c r="BR57">
        <v>0.67718100000000003</v>
      </c>
      <c r="BS57">
        <v>20.3962</v>
      </c>
      <c r="BT57">
        <v>1.36402</v>
      </c>
      <c r="BU57">
        <v>1800</v>
      </c>
      <c r="BV57">
        <v>0.91000099999999995</v>
      </c>
      <c r="BW57">
        <v>3.3993700000000002E-2</v>
      </c>
      <c r="BX57">
        <v>2.20009E-2</v>
      </c>
      <c r="BY57">
        <v>3.4004E-2</v>
      </c>
      <c r="BZ57">
        <v>25</v>
      </c>
      <c r="CA57">
        <v>33528.300000000003</v>
      </c>
      <c r="CB57">
        <v>1690292073.5</v>
      </c>
      <c r="CC57" t="s">
        <v>332</v>
      </c>
      <c r="CD57">
        <v>1690292069.5</v>
      </c>
      <c r="CE57">
        <v>1690292073.5</v>
      </c>
      <c r="CF57">
        <v>4</v>
      </c>
      <c r="CG57">
        <v>-3.6999999999999998E-2</v>
      </c>
      <c r="CH57">
        <v>-1.6E-2</v>
      </c>
      <c r="CI57">
        <v>-0.45200000000000001</v>
      </c>
      <c r="CJ57">
        <v>0.108</v>
      </c>
      <c r="CK57">
        <v>730</v>
      </c>
      <c r="CL57">
        <v>18</v>
      </c>
      <c r="CM57">
        <v>0</v>
      </c>
      <c r="CN57">
        <v>0.01</v>
      </c>
      <c r="CO57">
        <v>-237.56417073170729</v>
      </c>
      <c r="CP57">
        <v>-13.79422996515745</v>
      </c>
      <c r="CQ57">
        <v>1.3646129783227141</v>
      </c>
      <c r="CR57">
        <v>-1</v>
      </c>
      <c r="CS57">
        <v>15.51390975609756</v>
      </c>
      <c r="CT57">
        <v>9.6954229965157008</v>
      </c>
      <c r="CU57">
        <v>0.98022713913412074</v>
      </c>
      <c r="CV57">
        <v>-1</v>
      </c>
      <c r="CW57">
        <v>0</v>
      </c>
      <c r="CX57">
        <v>0</v>
      </c>
      <c r="CY57" t="s">
        <v>333</v>
      </c>
      <c r="CZ57">
        <v>2.3646400000000001</v>
      </c>
      <c r="DA57">
        <v>2.7137600000000002</v>
      </c>
      <c r="DB57">
        <v>0.115189</v>
      </c>
      <c r="DC57">
        <v>0.146569</v>
      </c>
      <c r="DD57">
        <v>0.11504</v>
      </c>
      <c r="DE57">
        <v>4.3879899999999999E-2</v>
      </c>
      <c r="DF57">
        <v>32303.3</v>
      </c>
      <c r="DG57">
        <v>27491.599999999999</v>
      </c>
      <c r="DH57">
        <v>31167.200000000001</v>
      </c>
      <c r="DI57">
        <v>28069.1</v>
      </c>
      <c r="DJ57">
        <v>37440.800000000003</v>
      </c>
      <c r="DK57">
        <v>38160.199999999997</v>
      </c>
      <c r="DL57">
        <v>44352.1</v>
      </c>
      <c r="DM57">
        <v>42537.8</v>
      </c>
      <c r="DN57">
        <v>1.4835700000000001</v>
      </c>
      <c r="DO57">
        <v>2.0476999999999999</v>
      </c>
      <c r="DP57">
        <v>0.13828699999999999</v>
      </c>
      <c r="DQ57">
        <v>0.13653199999999999</v>
      </c>
      <c r="DR57">
        <v>25.0488</v>
      </c>
      <c r="DS57">
        <v>24.533300000000001</v>
      </c>
      <c r="DT57">
        <v>55.9</v>
      </c>
      <c r="DU57">
        <v>28.2</v>
      </c>
      <c r="DV57">
        <v>21.6035</v>
      </c>
      <c r="DW57">
        <v>61.993400000000001</v>
      </c>
      <c r="DX57">
        <v>35</v>
      </c>
      <c r="DY57">
        <v>1</v>
      </c>
      <c r="DZ57">
        <v>-8.7428900000000004E-2</v>
      </c>
      <c r="EA57">
        <v>-1.26112</v>
      </c>
      <c r="EB57">
        <v>20.165099999999999</v>
      </c>
      <c r="EC57">
        <v>5.2409499999999998</v>
      </c>
      <c r="ED57">
        <v>12.039899999999999</v>
      </c>
      <c r="EE57">
        <v>5.0168999999999997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1.8645799999999999</v>
      </c>
      <c r="EM57">
        <v>1.8692</v>
      </c>
      <c r="EN57">
        <v>1.8672299999999999</v>
      </c>
      <c r="EO57">
        <v>1.8633999999999999</v>
      </c>
      <c r="EP57">
        <v>1.8644499999999999</v>
      </c>
      <c r="EQ57">
        <v>1.87016</v>
      </c>
      <c r="ER57">
        <v>1.8694200000000001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-0.33200000000000002</v>
      </c>
      <c r="FG57">
        <v>0.15140000000000001</v>
      </c>
      <c r="FH57">
        <v>5.0310448532705943E-2</v>
      </c>
      <c r="FI57">
        <v>-6.1462078757559423E-4</v>
      </c>
      <c r="FJ57">
        <v>-1.8861989874597051E-7</v>
      </c>
      <c r="FK57">
        <v>1.1980462299894961E-10</v>
      </c>
      <c r="FL57">
        <v>0.15140825623214971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12.2</v>
      </c>
      <c r="FU57">
        <v>12.1</v>
      </c>
      <c r="FV57">
        <v>1.7761199999999999</v>
      </c>
      <c r="FW57">
        <v>2.5769000000000002</v>
      </c>
      <c r="FX57">
        <v>1.5490699999999999</v>
      </c>
      <c r="FY57">
        <v>2.3315399999999999</v>
      </c>
      <c r="FZ57">
        <v>1.50146</v>
      </c>
      <c r="GA57">
        <v>2.34375</v>
      </c>
      <c r="GB57">
        <v>32.975999999999999</v>
      </c>
      <c r="GC57">
        <v>23.982399999999998</v>
      </c>
      <c r="GD57">
        <v>19</v>
      </c>
      <c r="GE57">
        <v>285.68599999999998</v>
      </c>
      <c r="GF57">
        <v>591.09199999999998</v>
      </c>
      <c r="GG57">
        <v>26.6555</v>
      </c>
      <c r="GH57">
        <v>26.183</v>
      </c>
      <c r="GI57">
        <v>29.996700000000001</v>
      </c>
      <c r="GJ57">
        <v>26.2727</v>
      </c>
      <c r="GK57">
        <v>26.209499999999998</v>
      </c>
      <c r="GL57">
        <v>35.521799999999999</v>
      </c>
      <c r="GM57">
        <v>68.627700000000004</v>
      </c>
      <c r="GN57">
        <v>76.438100000000006</v>
      </c>
      <c r="GO57">
        <v>24.825299999999999</v>
      </c>
      <c r="GP57">
        <v>800</v>
      </c>
      <c r="GQ57">
        <v>6.4901799999999996</v>
      </c>
      <c r="GR57">
        <v>99.719499999999996</v>
      </c>
      <c r="GS57">
        <v>99.515600000000006</v>
      </c>
    </row>
    <row r="58" spans="1:201" x14ac:dyDescent="0.25">
      <c r="A58">
        <v>42</v>
      </c>
      <c r="B58">
        <v>1690292809.5999999</v>
      </c>
      <c r="C58">
        <v>539</v>
      </c>
      <c r="D58" t="s">
        <v>417</v>
      </c>
      <c r="E58" t="s">
        <v>418</v>
      </c>
      <c r="F58" t="s">
        <v>330</v>
      </c>
      <c r="H58">
        <v>1690292809.5999999</v>
      </c>
      <c r="I58">
        <f t="shared" si="0"/>
        <v>1.7845359279014075E-3</v>
      </c>
      <c r="J58">
        <f t="shared" si="1"/>
        <v>1.7845359279014075</v>
      </c>
      <c r="K58">
        <f t="shared" si="2"/>
        <v>23.155657697392833</v>
      </c>
      <c r="L58">
        <f t="shared" si="3"/>
        <v>558.58000000000004</v>
      </c>
      <c r="M58">
        <f t="shared" si="4"/>
        <v>282.46585635497297</v>
      </c>
      <c r="N58">
        <f t="shared" si="5"/>
        <v>28.090813624761509</v>
      </c>
      <c r="O58">
        <f t="shared" si="6"/>
        <v>55.549958770240004</v>
      </c>
      <c r="P58">
        <f t="shared" si="7"/>
        <v>0.14268030405197393</v>
      </c>
      <c r="Q58">
        <f t="shared" si="8"/>
        <v>2.2594536565088612</v>
      </c>
      <c r="R58">
        <f t="shared" si="9"/>
        <v>0.1378571605675761</v>
      </c>
      <c r="S58">
        <f t="shared" si="10"/>
        <v>8.6580483185843549E-2</v>
      </c>
      <c r="T58">
        <f t="shared" si="11"/>
        <v>276.11367120463785</v>
      </c>
      <c r="U58">
        <f t="shared" si="12"/>
        <v>27.194216080073677</v>
      </c>
      <c r="V58">
        <f t="shared" si="13"/>
        <v>27.194216080073677</v>
      </c>
      <c r="W58">
        <f t="shared" si="14"/>
        <v>3.6201902510936206</v>
      </c>
      <c r="X58">
        <f t="shared" si="15"/>
        <v>71.490219753015253</v>
      </c>
      <c r="Y58">
        <f t="shared" si="16"/>
        <v>2.3716286060384002</v>
      </c>
      <c r="Z58">
        <f t="shared" si="17"/>
        <v>3.3174168637778898</v>
      </c>
      <c r="AA58">
        <f t="shared" si="18"/>
        <v>1.2485616450552204</v>
      </c>
      <c r="AB58">
        <f t="shared" si="19"/>
        <v>-78.698034420452075</v>
      </c>
      <c r="AC58">
        <f t="shared" si="20"/>
        <v>-180.4050353900505</v>
      </c>
      <c r="AD58">
        <f t="shared" si="21"/>
        <v>-17.137527564613332</v>
      </c>
      <c r="AE58">
        <f t="shared" si="22"/>
        <v>-0.12692617047804333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52831.829871209404</v>
      </c>
      <c r="AK58">
        <f t="shared" si="26"/>
        <v>1799.99</v>
      </c>
      <c r="AL58">
        <f t="shared" si="27"/>
        <v>1499.1054553900899</v>
      </c>
      <c r="AM58">
        <f t="shared" si="28"/>
        <v>0.83284099099999997</v>
      </c>
      <c r="AN58">
        <f t="shared" si="29"/>
        <v>0.15339733620999998</v>
      </c>
      <c r="AO58">
        <v>30</v>
      </c>
      <c r="AP58">
        <v>0.5</v>
      </c>
      <c r="AQ58" t="s">
        <v>331</v>
      </c>
      <c r="AR58">
        <v>2</v>
      </c>
      <c r="AS58">
        <v>1690292809.5999999</v>
      </c>
      <c r="AT58">
        <v>558.58000000000004</v>
      </c>
      <c r="AU58">
        <v>800.06600000000003</v>
      </c>
      <c r="AV58">
        <v>23.847799999999999</v>
      </c>
      <c r="AW58">
        <v>6.4307999999999996</v>
      </c>
      <c r="AX58">
        <v>558.91200000000003</v>
      </c>
      <c r="AY58">
        <v>23.696400000000001</v>
      </c>
      <c r="AZ58">
        <v>300.048</v>
      </c>
      <c r="BA58">
        <v>99.348500000000001</v>
      </c>
      <c r="BB58">
        <v>0.10002800000000001</v>
      </c>
      <c r="BC58">
        <v>25.713200000000001</v>
      </c>
      <c r="BD58">
        <v>27.5169</v>
      </c>
      <c r="BE58">
        <v>27.027000000000001</v>
      </c>
      <c r="BF58">
        <v>0</v>
      </c>
      <c r="BG58">
        <v>0</v>
      </c>
      <c r="BH58">
        <v>10014.4</v>
      </c>
      <c r="BI58">
        <v>1061.05</v>
      </c>
      <c r="BJ58">
        <v>2.1865800000000002</v>
      </c>
      <c r="BK58">
        <v>-241.48500000000001</v>
      </c>
      <c r="BL58">
        <v>572.22699999999998</v>
      </c>
      <c r="BM58">
        <v>805.24400000000003</v>
      </c>
      <c r="BN58">
        <v>17.417000000000002</v>
      </c>
      <c r="BO58">
        <v>800.06600000000003</v>
      </c>
      <c r="BP58">
        <v>6.4307999999999996</v>
      </c>
      <c r="BQ58">
        <v>2.36924</v>
      </c>
      <c r="BR58">
        <v>0.63888999999999996</v>
      </c>
      <c r="BS58">
        <v>20.155100000000001</v>
      </c>
      <c r="BT58">
        <v>0.55624700000000005</v>
      </c>
      <c r="BU58">
        <v>1799.99</v>
      </c>
      <c r="BV58">
        <v>0.91000599999999998</v>
      </c>
      <c r="BW58">
        <v>3.3992000000000001E-2</v>
      </c>
      <c r="BX58">
        <v>2.19998E-2</v>
      </c>
      <c r="BY58">
        <v>3.4002299999999999E-2</v>
      </c>
      <c r="BZ58">
        <v>25</v>
      </c>
      <c r="CA58">
        <v>33528.300000000003</v>
      </c>
      <c r="CB58">
        <v>1690292073.5</v>
      </c>
      <c r="CC58" t="s">
        <v>332</v>
      </c>
      <c r="CD58">
        <v>1690292069.5</v>
      </c>
      <c r="CE58">
        <v>1690292073.5</v>
      </c>
      <c r="CF58">
        <v>4</v>
      </c>
      <c r="CG58">
        <v>-3.6999999999999998E-2</v>
      </c>
      <c r="CH58">
        <v>-1.6E-2</v>
      </c>
      <c r="CI58">
        <v>-0.45200000000000001</v>
      </c>
      <c r="CJ58">
        <v>0.108</v>
      </c>
      <c r="CK58">
        <v>730</v>
      </c>
      <c r="CL58">
        <v>18</v>
      </c>
      <c r="CM58">
        <v>0</v>
      </c>
      <c r="CN58">
        <v>0.01</v>
      </c>
      <c r="CO58">
        <v>-239.50715</v>
      </c>
      <c r="CP58">
        <v>-10.188697936209561</v>
      </c>
      <c r="CQ58">
        <v>0.98270724404575349</v>
      </c>
      <c r="CR58">
        <v>-1</v>
      </c>
      <c r="CS58">
        <v>16.938585</v>
      </c>
      <c r="CT58">
        <v>7.4824502814258951</v>
      </c>
      <c r="CU58">
        <v>0.76919813265178971</v>
      </c>
      <c r="CV58">
        <v>-1</v>
      </c>
      <c r="CW58">
        <v>0</v>
      </c>
      <c r="CX58">
        <v>0</v>
      </c>
      <c r="CY58" t="s">
        <v>333</v>
      </c>
      <c r="CZ58">
        <v>2.36422</v>
      </c>
      <c r="DA58">
        <v>2.7138300000000002</v>
      </c>
      <c r="DB58">
        <v>0.114898</v>
      </c>
      <c r="DC58">
        <v>0.146535</v>
      </c>
      <c r="DD58">
        <v>0.113842</v>
      </c>
      <c r="DE58">
        <v>4.1866500000000001E-2</v>
      </c>
      <c r="DF58">
        <v>32316.3</v>
      </c>
      <c r="DG58">
        <v>27494.5</v>
      </c>
      <c r="DH58">
        <v>31169.5</v>
      </c>
      <c r="DI58">
        <v>28071</v>
      </c>
      <c r="DJ58">
        <v>37494.800000000003</v>
      </c>
      <c r="DK58">
        <v>38243.4</v>
      </c>
      <c r="DL58">
        <v>44355.4</v>
      </c>
      <c r="DM58">
        <v>42540.7</v>
      </c>
      <c r="DN58">
        <v>1.4800800000000001</v>
      </c>
      <c r="DO58">
        <v>2.0475699999999999</v>
      </c>
      <c r="DP58">
        <v>0.15143300000000001</v>
      </c>
      <c r="DQ58">
        <v>0.151314</v>
      </c>
      <c r="DR58">
        <v>25.037400000000002</v>
      </c>
      <c r="DS58">
        <v>24.547499999999999</v>
      </c>
      <c r="DT58">
        <v>55.5</v>
      </c>
      <c r="DU58">
        <v>28.2</v>
      </c>
      <c r="DV58">
        <v>21.450099999999999</v>
      </c>
      <c r="DW58">
        <v>61.923400000000001</v>
      </c>
      <c r="DX58">
        <v>35.633000000000003</v>
      </c>
      <c r="DY58">
        <v>1</v>
      </c>
      <c r="DZ58">
        <v>-9.1100100000000003E-2</v>
      </c>
      <c r="EA58">
        <v>3.5503200000000001</v>
      </c>
      <c r="EB58">
        <v>20.133700000000001</v>
      </c>
      <c r="EC58">
        <v>5.2408000000000001</v>
      </c>
      <c r="ED58">
        <v>12.039899999999999</v>
      </c>
      <c r="EE58">
        <v>5.01715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</v>
      </c>
      <c r="EM58">
        <v>1.8691899999999999</v>
      </c>
      <c r="EN58">
        <v>1.8672200000000001</v>
      </c>
      <c r="EO58">
        <v>1.8633900000000001</v>
      </c>
      <c r="EP58">
        <v>1.86446</v>
      </c>
      <c r="EQ58">
        <v>1.8701399999999999</v>
      </c>
      <c r="ER58">
        <v>1.8693900000000001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-0.33200000000000002</v>
      </c>
      <c r="FG58">
        <v>0.15140000000000001</v>
      </c>
      <c r="FH58">
        <v>5.0310448532705943E-2</v>
      </c>
      <c r="FI58">
        <v>-6.1462078757559423E-4</v>
      </c>
      <c r="FJ58">
        <v>-1.8861989874597051E-7</v>
      </c>
      <c r="FK58">
        <v>1.1980462299894961E-10</v>
      </c>
      <c r="FL58">
        <v>0.15140825623214971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12.3</v>
      </c>
      <c r="FU58">
        <v>12.3</v>
      </c>
      <c r="FV58">
        <v>1.7761199999999999</v>
      </c>
      <c r="FW58">
        <v>2.5793499999999998</v>
      </c>
      <c r="FX58">
        <v>1.5490699999999999</v>
      </c>
      <c r="FY58">
        <v>2.3315399999999999</v>
      </c>
      <c r="FZ58">
        <v>1.50146</v>
      </c>
      <c r="GA58">
        <v>2.3645</v>
      </c>
      <c r="GB58">
        <v>32.975999999999999</v>
      </c>
      <c r="GC58">
        <v>23.956199999999999</v>
      </c>
      <c r="GD58">
        <v>19</v>
      </c>
      <c r="GE58">
        <v>284.12900000000002</v>
      </c>
      <c r="GF58">
        <v>591.00300000000004</v>
      </c>
      <c r="GG58">
        <v>24.831299999999999</v>
      </c>
      <c r="GH58">
        <v>26.1769</v>
      </c>
      <c r="GI58">
        <v>30.0002</v>
      </c>
      <c r="GJ58">
        <v>26.259399999999999</v>
      </c>
      <c r="GK58">
        <v>26.210899999999999</v>
      </c>
      <c r="GL58">
        <v>35.515700000000002</v>
      </c>
      <c r="GM58">
        <v>68.314499999999995</v>
      </c>
      <c r="GN58">
        <v>75.665400000000005</v>
      </c>
      <c r="GO58">
        <v>23.991199999999999</v>
      </c>
      <c r="GP58">
        <v>800</v>
      </c>
      <c r="GQ58">
        <v>6.5871000000000004</v>
      </c>
      <c r="GR58">
        <v>99.726900000000001</v>
      </c>
      <c r="GS58">
        <v>99.522199999999998</v>
      </c>
    </row>
    <row r="59" spans="1:201" x14ac:dyDescent="0.25">
      <c r="A59">
        <v>43</v>
      </c>
      <c r="B59">
        <v>1690292819.5999999</v>
      </c>
      <c r="C59">
        <v>549</v>
      </c>
      <c r="D59" t="s">
        <v>419</v>
      </c>
      <c r="E59" t="s">
        <v>420</v>
      </c>
      <c r="F59" t="s">
        <v>330</v>
      </c>
      <c r="H59">
        <v>1690292819.5999999</v>
      </c>
      <c r="I59">
        <f t="shared" si="0"/>
        <v>1.6606790249282146E-3</v>
      </c>
      <c r="J59">
        <f t="shared" si="1"/>
        <v>1.6606790249282146</v>
      </c>
      <c r="K59">
        <f t="shared" si="2"/>
        <v>23.437897549099784</v>
      </c>
      <c r="L59">
        <f t="shared" si="3"/>
        <v>556.24599999999998</v>
      </c>
      <c r="M59">
        <f t="shared" si="4"/>
        <v>236.15238384314387</v>
      </c>
      <c r="N59">
        <f t="shared" si="5"/>
        <v>23.48476024849624</v>
      </c>
      <c r="O59">
        <f t="shared" si="6"/>
        <v>55.317264795691798</v>
      </c>
      <c r="P59">
        <f t="shared" si="7"/>
        <v>0.12357322532713644</v>
      </c>
      <c r="Q59">
        <f t="shared" si="8"/>
        <v>2.2579847265581594</v>
      </c>
      <c r="R59">
        <f t="shared" si="9"/>
        <v>0.11993536799752422</v>
      </c>
      <c r="S59">
        <f t="shared" si="10"/>
        <v>7.5277531386348254E-2</v>
      </c>
      <c r="T59">
        <f t="shared" si="11"/>
        <v>276.11503032600001</v>
      </c>
      <c r="U59">
        <f t="shared" si="12"/>
        <v>27.156612696842902</v>
      </c>
      <c r="V59">
        <f t="shared" si="13"/>
        <v>27.156612696842902</v>
      </c>
      <c r="W59">
        <f t="shared" si="14"/>
        <v>3.6122141736377675</v>
      </c>
      <c r="X59">
        <f t="shared" si="15"/>
        <v>68.931854244031072</v>
      </c>
      <c r="Y59">
        <f t="shared" si="16"/>
        <v>2.2759849370487899</v>
      </c>
      <c r="Z59">
        <f t="shared" si="17"/>
        <v>3.3017898067726379</v>
      </c>
      <c r="AA59">
        <f t="shared" si="18"/>
        <v>1.3362292365889776</v>
      </c>
      <c r="AB59">
        <f t="shared" si="19"/>
        <v>-73.235944999334265</v>
      </c>
      <c r="AC59">
        <f t="shared" si="20"/>
        <v>-185.40010135468424</v>
      </c>
      <c r="AD59">
        <f t="shared" si="21"/>
        <v>-17.613151757700027</v>
      </c>
      <c r="AE59">
        <f t="shared" si="22"/>
        <v>-0.13416778571854593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52788.199162625882</v>
      </c>
      <c r="AK59">
        <f t="shared" si="26"/>
        <v>1800</v>
      </c>
      <c r="AL59">
        <f t="shared" si="27"/>
        <v>1499.1117425999998</v>
      </c>
      <c r="AM59">
        <f t="shared" si="28"/>
        <v>0.83283985699999996</v>
      </c>
      <c r="AN59">
        <f t="shared" si="29"/>
        <v>0.15339723907</v>
      </c>
      <c r="AO59">
        <v>30</v>
      </c>
      <c r="AP59">
        <v>0.5</v>
      </c>
      <c r="AQ59" t="s">
        <v>331</v>
      </c>
      <c r="AR59">
        <v>2</v>
      </c>
      <c r="AS59">
        <v>1690292819.5999999</v>
      </c>
      <c r="AT59">
        <v>556.24599999999998</v>
      </c>
      <c r="AU59">
        <v>799.86</v>
      </c>
      <c r="AV59">
        <v>22.886299999999999</v>
      </c>
      <c r="AW59">
        <v>6.6597400000000002</v>
      </c>
      <c r="AX59">
        <v>556.57600000000002</v>
      </c>
      <c r="AY59">
        <v>22.7349</v>
      </c>
      <c r="AZ59">
        <v>300.00299999999999</v>
      </c>
      <c r="BA59">
        <v>99.347499999999997</v>
      </c>
      <c r="BB59">
        <v>9.9983299999999997E-2</v>
      </c>
      <c r="BC59">
        <v>25.633600000000001</v>
      </c>
      <c r="BD59">
        <v>27.491599999999998</v>
      </c>
      <c r="BE59">
        <v>26.99</v>
      </c>
      <c r="BF59">
        <v>0</v>
      </c>
      <c r="BG59">
        <v>0</v>
      </c>
      <c r="BH59">
        <v>10003.1</v>
      </c>
      <c r="BI59">
        <v>1061.52</v>
      </c>
      <c r="BJ59">
        <v>2.1865800000000002</v>
      </c>
      <c r="BK59">
        <v>-243.614</v>
      </c>
      <c r="BL59">
        <v>569.27499999999998</v>
      </c>
      <c r="BM59">
        <v>805.22299999999996</v>
      </c>
      <c r="BN59">
        <v>16.226500000000001</v>
      </c>
      <c r="BO59">
        <v>799.86</v>
      </c>
      <c r="BP59">
        <v>6.6597400000000002</v>
      </c>
      <c r="BQ59">
        <v>2.2736900000000002</v>
      </c>
      <c r="BR59">
        <v>0.66162900000000002</v>
      </c>
      <c r="BS59">
        <v>19.491199999999999</v>
      </c>
      <c r="BT59">
        <v>1.04094</v>
      </c>
      <c r="BU59">
        <v>1800</v>
      </c>
      <c r="BV59">
        <v>0.91000199999999998</v>
      </c>
      <c r="BW59">
        <v>3.3998599999999997E-2</v>
      </c>
      <c r="BX59">
        <v>2.19986E-2</v>
      </c>
      <c r="BY59">
        <v>3.4000500000000003E-2</v>
      </c>
      <c r="BZ59">
        <v>25</v>
      </c>
      <c r="CA59">
        <v>33528.400000000001</v>
      </c>
      <c r="CB59">
        <v>1690292073.5</v>
      </c>
      <c r="CC59" t="s">
        <v>332</v>
      </c>
      <c r="CD59">
        <v>1690292069.5</v>
      </c>
      <c r="CE59">
        <v>1690292073.5</v>
      </c>
      <c r="CF59">
        <v>4</v>
      </c>
      <c r="CG59">
        <v>-3.6999999999999998E-2</v>
      </c>
      <c r="CH59">
        <v>-1.6E-2</v>
      </c>
      <c r="CI59">
        <v>-0.45200000000000001</v>
      </c>
      <c r="CJ59">
        <v>0.108</v>
      </c>
      <c r="CK59">
        <v>730</v>
      </c>
      <c r="CL59">
        <v>18</v>
      </c>
      <c r="CM59">
        <v>0</v>
      </c>
      <c r="CN59">
        <v>0.01</v>
      </c>
      <c r="CO59">
        <v>-241.47685000000001</v>
      </c>
      <c r="CP59">
        <v>-11.64648405253261</v>
      </c>
      <c r="CQ59">
        <v>1.1230055554181371</v>
      </c>
      <c r="CR59">
        <v>-1</v>
      </c>
      <c r="CS59">
        <v>17.239245</v>
      </c>
      <c r="CT59">
        <v>-4.0337808630394374</v>
      </c>
      <c r="CU59">
        <v>0.43333441817492402</v>
      </c>
      <c r="CV59">
        <v>-1</v>
      </c>
      <c r="CW59">
        <v>0</v>
      </c>
      <c r="CX59">
        <v>0</v>
      </c>
      <c r="CY59" t="s">
        <v>333</v>
      </c>
      <c r="CZ59">
        <v>2.3641100000000002</v>
      </c>
      <c r="DA59">
        <v>2.7137799999999999</v>
      </c>
      <c r="DB59">
        <v>0.11454499999999999</v>
      </c>
      <c r="DC59">
        <v>0.146513</v>
      </c>
      <c r="DD59">
        <v>0.11058</v>
      </c>
      <c r="DE59">
        <v>4.3066399999999998E-2</v>
      </c>
      <c r="DF59">
        <v>32329.1</v>
      </c>
      <c r="DG59">
        <v>27494.9</v>
      </c>
      <c r="DH59">
        <v>31169.5</v>
      </c>
      <c r="DI59">
        <v>28070.6</v>
      </c>
      <c r="DJ59">
        <v>37634.300000000003</v>
      </c>
      <c r="DK59">
        <v>38194.699999999997</v>
      </c>
      <c r="DL59">
        <v>44355.5</v>
      </c>
      <c r="DM59">
        <v>42539.9</v>
      </c>
      <c r="DN59">
        <v>1.47987</v>
      </c>
      <c r="DO59">
        <v>2.0482200000000002</v>
      </c>
      <c r="DP59">
        <v>0.14996499999999999</v>
      </c>
      <c r="DQ59">
        <v>0.14749499999999999</v>
      </c>
      <c r="DR59">
        <v>25.036200000000001</v>
      </c>
      <c r="DS59">
        <v>24.573</v>
      </c>
      <c r="DT59">
        <v>55.3</v>
      </c>
      <c r="DU59">
        <v>28.2</v>
      </c>
      <c r="DV59">
        <v>21.368099999999998</v>
      </c>
      <c r="DW59">
        <v>61.523400000000002</v>
      </c>
      <c r="DX59">
        <v>35.480800000000002</v>
      </c>
      <c r="DY59">
        <v>1</v>
      </c>
      <c r="DZ59">
        <v>-8.8480699999999995E-2</v>
      </c>
      <c r="EA59">
        <v>4.0071099999999999</v>
      </c>
      <c r="EB59">
        <v>20.122599999999998</v>
      </c>
      <c r="EC59">
        <v>5.2411000000000003</v>
      </c>
      <c r="ED59">
        <v>12.039899999999999</v>
      </c>
      <c r="EE59">
        <v>5.0169499999999996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1.8646199999999999</v>
      </c>
      <c r="EM59">
        <v>1.8692</v>
      </c>
      <c r="EN59">
        <v>1.8672200000000001</v>
      </c>
      <c r="EO59">
        <v>1.86338</v>
      </c>
      <c r="EP59">
        <v>1.8644499999999999</v>
      </c>
      <c r="EQ59">
        <v>1.8701399999999999</v>
      </c>
      <c r="ER59">
        <v>1.86937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-0.33</v>
      </c>
      <c r="FG59">
        <v>0.15140000000000001</v>
      </c>
      <c r="FH59">
        <v>5.0310448532705943E-2</v>
      </c>
      <c r="FI59">
        <v>-6.1462078757559423E-4</v>
      </c>
      <c r="FJ59">
        <v>-1.8861989874597051E-7</v>
      </c>
      <c r="FK59">
        <v>1.1980462299894961E-10</v>
      </c>
      <c r="FL59">
        <v>0.15140825623214971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12.5</v>
      </c>
      <c r="FU59">
        <v>12.4</v>
      </c>
      <c r="FV59">
        <v>1.7761199999999999</v>
      </c>
      <c r="FW59">
        <v>2.5781200000000002</v>
      </c>
      <c r="FX59">
        <v>1.5490699999999999</v>
      </c>
      <c r="FY59">
        <v>2.3315399999999999</v>
      </c>
      <c r="FZ59">
        <v>1.50146</v>
      </c>
      <c r="GA59">
        <v>2.3852500000000001</v>
      </c>
      <c r="GB59">
        <v>32.975999999999999</v>
      </c>
      <c r="GC59">
        <v>23.956199999999999</v>
      </c>
      <c r="GD59">
        <v>19</v>
      </c>
      <c r="GE59">
        <v>283.95699999999999</v>
      </c>
      <c r="GF59">
        <v>591.57600000000002</v>
      </c>
      <c r="GG59">
        <v>23.369399999999999</v>
      </c>
      <c r="GH59">
        <v>26.170300000000001</v>
      </c>
      <c r="GI59">
        <v>30.000499999999999</v>
      </c>
      <c r="GJ59">
        <v>26.240400000000001</v>
      </c>
      <c r="GK59">
        <v>26.2136</v>
      </c>
      <c r="GL59">
        <v>35.521099999999997</v>
      </c>
      <c r="GM59">
        <v>66.348100000000002</v>
      </c>
      <c r="GN59">
        <v>74.885000000000005</v>
      </c>
      <c r="GO59">
        <v>22.9558</v>
      </c>
      <c r="GP59">
        <v>800</v>
      </c>
      <c r="GQ59">
        <v>6.9567899999999998</v>
      </c>
      <c r="GR59">
        <v>99.726900000000001</v>
      </c>
      <c r="GS59">
        <v>99.520700000000005</v>
      </c>
    </row>
    <row r="60" spans="1:201" x14ac:dyDescent="0.25">
      <c r="A60">
        <v>44</v>
      </c>
      <c r="B60">
        <v>1690292829.5999999</v>
      </c>
      <c r="C60">
        <v>559</v>
      </c>
      <c r="D60" t="s">
        <v>421</v>
      </c>
      <c r="E60" t="s">
        <v>422</v>
      </c>
      <c r="F60" t="s">
        <v>330</v>
      </c>
      <c r="H60">
        <v>1690292829.5999999</v>
      </c>
      <c r="I60">
        <f t="shared" si="0"/>
        <v>1.5720779923913575E-3</v>
      </c>
      <c r="J60">
        <f t="shared" si="1"/>
        <v>1.5720779923913575</v>
      </c>
      <c r="K60">
        <f t="shared" si="2"/>
        <v>23.779635062114075</v>
      </c>
      <c r="L60">
        <f t="shared" si="3"/>
        <v>553.59100000000001</v>
      </c>
      <c r="M60">
        <f t="shared" si="4"/>
        <v>202.79156402075037</v>
      </c>
      <c r="N60">
        <f t="shared" si="5"/>
        <v>20.166657153280678</v>
      </c>
      <c r="O60">
        <f t="shared" si="6"/>
        <v>55.051993676617904</v>
      </c>
      <c r="P60">
        <f t="shared" si="7"/>
        <v>0.11383056620551404</v>
      </c>
      <c r="Q60">
        <f t="shared" si="8"/>
        <v>2.259090122065607</v>
      </c>
      <c r="R60">
        <f t="shared" si="9"/>
        <v>0.11073745836461232</v>
      </c>
      <c r="S60">
        <f t="shared" si="10"/>
        <v>6.9481814260723723E-2</v>
      </c>
      <c r="T60">
        <f t="shared" si="11"/>
        <v>276.11372896631701</v>
      </c>
      <c r="U60">
        <f t="shared" si="12"/>
        <v>27.045129159983098</v>
      </c>
      <c r="V60">
        <f t="shared" si="13"/>
        <v>27.045129159983098</v>
      </c>
      <c r="W60">
        <f t="shared" si="14"/>
        <v>3.5886574067310422</v>
      </c>
      <c r="X60">
        <f t="shared" si="15"/>
        <v>67.740793639879399</v>
      </c>
      <c r="Y60">
        <f t="shared" si="16"/>
        <v>2.21810634305512</v>
      </c>
      <c r="Z60">
        <f t="shared" si="17"/>
        <v>3.2744026514465103</v>
      </c>
      <c r="AA60">
        <f t="shared" si="18"/>
        <v>1.3705510636759222</v>
      </c>
      <c r="AB60">
        <f t="shared" si="19"/>
        <v>-69.328639464458874</v>
      </c>
      <c r="AC60">
        <f t="shared" si="20"/>
        <v>-189.00048049883617</v>
      </c>
      <c r="AD60">
        <f t="shared" si="21"/>
        <v>-17.923780236693883</v>
      </c>
      <c r="AE60">
        <f t="shared" si="22"/>
        <v>-0.13917123367190243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52856.393421506393</v>
      </c>
      <c r="AK60">
        <f t="shared" si="26"/>
        <v>1799.99</v>
      </c>
      <c r="AL60">
        <f t="shared" si="27"/>
        <v>1499.1021416085</v>
      </c>
      <c r="AM60">
        <f t="shared" si="28"/>
        <v>0.83283914999999997</v>
      </c>
      <c r="AN60">
        <f t="shared" si="29"/>
        <v>0.1533973683</v>
      </c>
      <c r="AO60">
        <v>30</v>
      </c>
      <c r="AP60">
        <v>0.5</v>
      </c>
      <c r="AQ60" t="s">
        <v>331</v>
      </c>
      <c r="AR60">
        <v>2</v>
      </c>
      <c r="AS60">
        <v>1690292829.5999999</v>
      </c>
      <c r="AT60">
        <v>553.59100000000001</v>
      </c>
      <c r="AU60">
        <v>799.98099999999999</v>
      </c>
      <c r="AV60">
        <v>22.3048</v>
      </c>
      <c r="AW60">
        <v>6.9414800000000003</v>
      </c>
      <c r="AX60">
        <v>553.91899999999998</v>
      </c>
      <c r="AY60">
        <v>22.153400000000001</v>
      </c>
      <c r="AZ60">
        <v>300.13299999999998</v>
      </c>
      <c r="BA60">
        <v>99.345299999999995</v>
      </c>
      <c r="BB60">
        <v>9.9946900000000005E-2</v>
      </c>
      <c r="BC60">
        <v>25.493300000000001</v>
      </c>
      <c r="BD60">
        <v>27.349799999999998</v>
      </c>
      <c r="BE60">
        <v>26.8291</v>
      </c>
      <c r="BF60">
        <v>0</v>
      </c>
      <c r="BG60">
        <v>0</v>
      </c>
      <c r="BH60">
        <v>10011.9</v>
      </c>
      <c r="BI60">
        <v>1061.75</v>
      </c>
      <c r="BJ60">
        <v>2.2426400000000002</v>
      </c>
      <c r="BK60">
        <v>-246.39</v>
      </c>
      <c r="BL60">
        <v>566.221</v>
      </c>
      <c r="BM60">
        <v>805.57299999999998</v>
      </c>
      <c r="BN60">
        <v>15.3634</v>
      </c>
      <c r="BO60">
        <v>799.98099999999999</v>
      </c>
      <c r="BP60">
        <v>6.9414800000000003</v>
      </c>
      <c r="BQ60">
        <v>2.2158799999999998</v>
      </c>
      <c r="BR60">
        <v>0.68960299999999997</v>
      </c>
      <c r="BS60">
        <v>19.0776</v>
      </c>
      <c r="BT60">
        <v>1.61741</v>
      </c>
      <c r="BU60">
        <v>1799.99</v>
      </c>
      <c r="BV60">
        <v>0.909995</v>
      </c>
      <c r="BW60">
        <v>3.4007700000000002E-2</v>
      </c>
      <c r="BX60">
        <v>2.1998E-2</v>
      </c>
      <c r="BY60">
        <v>3.3999599999999998E-2</v>
      </c>
      <c r="BZ60">
        <v>25</v>
      </c>
      <c r="CA60">
        <v>33528.199999999997</v>
      </c>
      <c r="CB60">
        <v>1690292073.5</v>
      </c>
      <c r="CC60" t="s">
        <v>332</v>
      </c>
      <c r="CD60">
        <v>1690292069.5</v>
      </c>
      <c r="CE60">
        <v>1690292073.5</v>
      </c>
      <c r="CF60">
        <v>4</v>
      </c>
      <c r="CG60">
        <v>-3.6999999999999998E-2</v>
      </c>
      <c r="CH60">
        <v>-1.6E-2</v>
      </c>
      <c r="CI60">
        <v>-0.45200000000000001</v>
      </c>
      <c r="CJ60">
        <v>0.108</v>
      </c>
      <c r="CK60">
        <v>730</v>
      </c>
      <c r="CL60">
        <v>18</v>
      </c>
      <c r="CM60">
        <v>0</v>
      </c>
      <c r="CN60">
        <v>0.01</v>
      </c>
      <c r="CO60">
        <v>-243.663375</v>
      </c>
      <c r="CP60">
        <v>-14.549324577861411</v>
      </c>
      <c r="CQ60">
        <v>1.4018241988120339</v>
      </c>
      <c r="CR60">
        <v>-1</v>
      </c>
      <c r="CS60">
        <v>16.323530000000002</v>
      </c>
      <c r="CT60">
        <v>-6.6254048780488226</v>
      </c>
      <c r="CU60">
        <v>0.63990272198202147</v>
      </c>
      <c r="CV60">
        <v>-1</v>
      </c>
      <c r="CW60">
        <v>0</v>
      </c>
      <c r="CX60">
        <v>0</v>
      </c>
      <c r="CY60" t="s">
        <v>333</v>
      </c>
      <c r="CZ60">
        <v>2.3645499999999999</v>
      </c>
      <c r="DA60">
        <v>2.7137500000000001</v>
      </c>
      <c r="DB60">
        <v>0.114144</v>
      </c>
      <c r="DC60">
        <v>0.14652899999999999</v>
      </c>
      <c r="DD60">
        <v>0.10857600000000001</v>
      </c>
      <c r="DE60">
        <v>4.4526299999999998E-2</v>
      </c>
      <c r="DF60">
        <v>32343.3</v>
      </c>
      <c r="DG60">
        <v>27494.400000000001</v>
      </c>
      <c r="DH60">
        <v>31169.1</v>
      </c>
      <c r="DI60">
        <v>28070.7</v>
      </c>
      <c r="DJ60">
        <v>37719.699999999997</v>
      </c>
      <c r="DK60">
        <v>38136.6</v>
      </c>
      <c r="DL60">
        <v>44355.3</v>
      </c>
      <c r="DM60">
        <v>42540.2</v>
      </c>
      <c r="DN60">
        <v>1.4797499999999999</v>
      </c>
      <c r="DO60">
        <v>2.04772</v>
      </c>
      <c r="DP60">
        <v>0.14141200000000001</v>
      </c>
      <c r="DQ60">
        <v>0.13671800000000001</v>
      </c>
      <c r="DR60">
        <v>25.034099999999999</v>
      </c>
      <c r="DS60">
        <v>24.5885</v>
      </c>
      <c r="DT60">
        <v>54.9</v>
      </c>
      <c r="DU60">
        <v>28.2</v>
      </c>
      <c r="DV60">
        <v>21.2166</v>
      </c>
      <c r="DW60">
        <v>61.873399999999997</v>
      </c>
      <c r="DX60">
        <v>34.839700000000001</v>
      </c>
      <c r="DY60">
        <v>1</v>
      </c>
      <c r="DZ60">
        <v>-8.8694099999999998E-2</v>
      </c>
      <c r="EA60">
        <v>3.9137200000000001</v>
      </c>
      <c r="EB60">
        <v>20.129000000000001</v>
      </c>
      <c r="EC60">
        <v>5.2411000000000003</v>
      </c>
      <c r="ED60">
        <v>12.039899999999999</v>
      </c>
      <c r="EE60">
        <v>5.0167999999999999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1.8646100000000001</v>
      </c>
      <c r="EM60">
        <v>1.8692</v>
      </c>
      <c r="EN60">
        <v>1.8672200000000001</v>
      </c>
      <c r="EO60">
        <v>1.86338</v>
      </c>
      <c r="EP60">
        <v>1.86446</v>
      </c>
      <c r="EQ60">
        <v>1.8701300000000001</v>
      </c>
      <c r="ER60">
        <v>1.8693900000000001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-0.32800000000000001</v>
      </c>
      <c r="FG60">
        <v>0.15140000000000001</v>
      </c>
      <c r="FH60">
        <v>5.0310448532705943E-2</v>
      </c>
      <c r="FI60">
        <v>-6.1462078757559423E-4</v>
      </c>
      <c r="FJ60">
        <v>-1.8861989874597051E-7</v>
      </c>
      <c r="FK60">
        <v>1.1980462299894961E-10</v>
      </c>
      <c r="FL60">
        <v>0.15140825623214971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12.7</v>
      </c>
      <c r="FU60">
        <v>12.6</v>
      </c>
      <c r="FV60">
        <v>1.7773399999999999</v>
      </c>
      <c r="FW60">
        <v>2.5793499999999998</v>
      </c>
      <c r="FX60">
        <v>1.5490699999999999</v>
      </c>
      <c r="FY60">
        <v>2.3315399999999999</v>
      </c>
      <c r="FZ60">
        <v>1.50146</v>
      </c>
      <c r="GA60">
        <v>2.36084</v>
      </c>
      <c r="GB60">
        <v>32.9983</v>
      </c>
      <c r="GC60">
        <v>23.956199999999999</v>
      </c>
      <c r="GD60">
        <v>19</v>
      </c>
      <c r="GE60">
        <v>283.892</v>
      </c>
      <c r="GF60">
        <v>591.16300000000001</v>
      </c>
      <c r="GG60">
        <v>22.314599999999999</v>
      </c>
      <c r="GH60">
        <v>26.164200000000001</v>
      </c>
      <c r="GI60">
        <v>29.9998</v>
      </c>
      <c r="GJ60">
        <v>26.2379</v>
      </c>
      <c r="GK60">
        <v>26.213899999999999</v>
      </c>
      <c r="GL60">
        <v>35.530799999999999</v>
      </c>
      <c r="GM60">
        <v>65.123000000000005</v>
      </c>
      <c r="GN60">
        <v>74.069199999999995</v>
      </c>
      <c r="GO60">
        <v>22.071899999999999</v>
      </c>
      <c r="GP60">
        <v>800</v>
      </c>
      <c r="GQ60">
        <v>7.0458100000000004</v>
      </c>
      <c r="GR60">
        <v>99.726100000000002</v>
      </c>
      <c r="GS60">
        <v>99.521199999999993</v>
      </c>
    </row>
    <row r="61" spans="1:201" x14ac:dyDescent="0.25">
      <c r="A61">
        <v>45</v>
      </c>
      <c r="B61">
        <v>1690292839.5999999</v>
      </c>
      <c r="C61">
        <v>569</v>
      </c>
      <c r="D61" t="s">
        <v>423</v>
      </c>
      <c r="E61" t="s">
        <v>424</v>
      </c>
      <c r="F61" t="s">
        <v>330</v>
      </c>
      <c r="H61">
        <v>1690292839.5999999</v>
      </c>
      <c r="I61">
        <f t="shared" si="0"/>
        <v>1.5327651819421093E-3</v>
      </c>
      <c r="J61">
        <f t="shared" si="1"/>
        <v>1.5327651819421093</v>
      </c>
      <c r="K61">
        <f t="shared" si="2"/>
        <v>24.069875068008983</v>
      </c>
      <c r="L61">
        <f t="shared" si="3"/>
        <v>550.95000000000005</v>
      </c>
      <c r="M61">
        <f t="shared" si="4"/>
        <v>186.33723139077844</v>
      </c>
      <c r="N61">
        <f t="shared" si="5"/>
        <v>18.531008709256707</v>
      </c>
      <c r="O61">
        <f t="shared" si="6"/>
        <v>54.791300547735005</v>
      </c>
      <c r="P61">
        <f t="shared" si="7"/>
        <v>0.11061087947379163</v>
      </c>
      <c r="Q61">
        <f t="shared" si="8"/>
        <v>2.2642793990966643</v>
      </c>
      <c r="R61">
        <f t="shared" si="9"/>
        <v>0.1076943629402721</v>
      </c>
      <c r="S61">
        <f t="shared" si="10"/>
        <v>6.7564609052665731E-2</v>
      </c>
      <c r="T61">
        <f t="shared" si="11"/>
        <v>276.11492515200001</v>
      </c>
      <c r="U61">
        <f t="shared" si="12"/>
        <v>26.912761821100325</v>
      </c>
      <c r="V61">
        <f t="shared" si="13"/>
        <v>26.912761821100325</v>
      </c>
      <c r="W61">
        <f t="shared" si="14"/>
        <v>3.5608620606126116</v>
      </c>
      <c r="X61">
        <f t="shared" si="15"/>
        <v>67.338072392881955</v>
      </c>
      <c r="Y61">
        <f t="shared" si="16"/>
        <v>2.1863514023991102</v>
      </c>
      <c r="Z61">
        <f t="shared" si="17"/>
        <v>3.2468280197314066</v>
      </c>
      <c r="AA61">
        <f t="shared" si="18"/>
        <v>1.3745106582135014</v>
      </c>
      <c r="AB61">
        <f t="shared" si="19"/>
        <v>-67.594944523647015</v>
      </c>
      <c r="AC61">
        <f t="shared" si="20"/>
        <v>-190.64712503154303</v>
      </c>
      <c r="AD61">
        <f t="shared" si="21"/>
        <v>-18.013683084882175</v>
      </c>
      <c r="AE61">
        <f t="shared" si="22"/>
        <v>-0.14082748807223311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53085.934668941998</v>
      </c>
      <c r="AK61">
        <f t="shared" si="26"/>
        <v>1800</v>
      </c>
      <c r="AL61">
        <f t="shared" si="27"/>
        <v>1499.1100182</v>
      </c>
      <c r="AM61">
        <f t="shared" si="28"/>
        <v>0.83283889899999997</v>
      </c>
      <c r="AN61">
        <f t="shared" si="29"/>
        <v>0.15339718064000002</v>
      </c>
      <c r="AO61">
        <v>30</v>
      </c>
      <c r="AP61">
        <v>0.5</v>
      </c>
      <c r="AQ61" t="s">
        <v>331</v>
      </c>
      <c r="AR61">
        <v>2</v>
      </c>
      <c r="AS61">
        <v>1690292839.5999999</v>
      </c>
      <c r="AT61">
        <v>550.95000000000005</v>
      </c>
      <c r="AU61">
        <v>799.93499999999995</v>
      </c>
      <c r="AV61">
        <v>21.9847</v>
      </c>
      <c r="AW61">
        <v>7.0035600000000002</v>
      </c>
      <c r="AX61">
        <v>551.27599999999995</v>
      </c>
      <c r="AY61">
        <v>21.833300000000001</v>
      </c>
      <c r="AZ61">
        <v>300.19099999999997</v>
      </c>
      <c r="BA61">
        <v>99.348799999999997</v>
      </c>
      <c r="BB61">
        <v>9.9971299999999999E-2</v>
      </c>
      <c r="BC61">
        <v>25.350999999999999</v>
      </c>
      <c r="BD61">
        <v>27.2318</v>
      </c>
      <c r="BE61">
        <v>26.676200000000001</v>
      </c>
      <c r="BF61">
        <v>0</v>
      </c>
      <c r="BG61">
        <v>0</v>
      </c>
      <c r="BH61">
        <v>10051.9</v>
      </c>
      <c r="BI61">
        <v>1061.67</v>
      </c>
      <c r="BJ61">
        <v>2.2426400000000002</v>
      </c>
      <c r="BK61">
        <v>-248.98500000000001</v>
      </c>
      <c r="BL61">
        <v>563.33500000000004</v>
      </c>
      <c r="BM61">
        <v>805.577</v>
      </c>
      <c r="BN61">
        <v>14.981199999999999</v>
      </c>
      <c r="BO61">
        <v>799.93499999999995</v>
      </c>
      <c r="BP61">
        <v>7.0035600000000002</v>
      </c>
      <c r="BQ61">
        <v>2.1841499999999998</v>
      </c>
      <c r="BR61">
        <v>0.69579500000000005</v>
      </c>
      <c r="BS61">
        <v>18.846599999999999</v>
      </c>
      <c r="BT61">
        <v>1.7422</v>
      </c>
      <c r="BU61">
        <v>1800</v>
      </c>
      <c r="BV61">
        <v>0.90999799999999997</v>
      </c>
      <c r="BW61">
        <v>3.4007500000000003E-2</v>
      </c>
      <c r="BX61">
        <v>2.1996700000000001E-2</v>
      </c>
      <c r="BY61">
        <v>3.3997600000000003E-2</v>
      </c>
      <c r="BZ61">
        <v>25</v>
      </c>
      <c r="CA61">
        <v>33528.300000000003</v>
      </c>
      <c r="CB61">
        <v>1690292073.5</v>
      </c>
      <c r="CC61" t="s">
        <v>332</v>
      </c>
      <c r="CD61">
        <v>1690292069.5</v>
      </c>
      <c r="CE61">
        <v>1690292073.5</v>
      </c>
      <c r="CF61">
        <v>4</v>
      </c>
      <c r="CG61">
        <v>-3.6999999999999998E-2</v>
      </c>
      <c r="CH61">
        <v>-1.6E-2</v>
      </c>
      <c r="CI61">
        <v>-0.45200000000000001</v>
      </c>
      <c r="CJ61">
        <v>0.108</v>
      </c>
      <c r="CK61">
        <v>730</v>
      </c>
      <c r="CL61">
        <v>18</v>
      </c>
      <c r="CM61">
        <v>0</v>
      </c>
      <c r="CN61">
        <v>0.01</v>
      </c>
      <c r="CO61">
        <v>-246.01009999999999</v>
      </c>
      <c r="CP61">
        <v>-16.509545966228401</v>
      </c>
      <c r="CQ61">
        <v>1.589686868537324</v>
      </c>
      <c r="CR61">
        <v>-1</v>
      </c>
      <c r="CS61">
        <v>15.518005</v>
      </c>
      <c r="CT61">
        <v>-4.0286904315197436</v>
      </c>
      <c r="CU61">
        <v>0.39536218645060139</v>
      </c>
      <c r="CV61">
        <v>-1</v>
      </c>
      <c r="CW61">
        <v>0</v>
      </c>
      <c r="CX61">
        <v>0</v>
      </c>
      <c r="CY61" t="s">
        <v>333</v>
      </c>
      <c r="CZ61">
        <v>2.3647300000000002</v>
      </c>
      <c r="DA61">
        <v>2.7138100000000001</v>
      </c>
      <c r="DB61">
        <v>0.11375399999999999</v>
      </c>
      <c r="DC61">
        <v>0.14653099999999999</v>
      </c>
      <c r="DD61">
        <v>0.107469</v>
      </c>
      <c r="DE61">
        <v>4.4847499999999998E-2</v>
      </c>
      <c r="DF61">
        <v>32358.1</v>
      </c>
      <c r="DG61">
        <v>27494.9</v>
      </c>
      <c r="DH61">
        <v>31169.599999999999</v>
      </c>
      <c r="DI61">
        <v>28071.1</v>
      </c>
      <c r="DJ61">
        <v>37767.5</v>
      </c>
      <c r="DK61">
        <v>38124.300000000003</v>
      </c>
      <c r="DL61">
        <v>44355.8</v>
      </c>
      <c r="DM61">
        <v>42540.9</v>
      </c>
      <c r="DN61">
        <v>1.4802</v>
      </c>
      <c r="DO61">
        <v>2.0481500000000001</v>
      </c>
      <c r="DP61">
        <v>0.13464699999999999</v>
      </c>
      <c r="DQ61">
        <v>0.127502</v>
      </c>
      <c r="DR61">
        <v>25.026599999999998</v>
      </c>
      <c r="DS61">
        <v>24.586400000000001</v>
      </c>
      <c r="DT61">
        <v>54.7</v>
      </c>
      <c r="DU61">
        <v>28.2</v>
      </c>
      <c r="DV61">
        <v>21.1387</v>
      </c>
      <c r="DW61">
        <v>61.1434</v>
      </c>
      <c r="DX61">
        <v>34.435099999999998</v>
      </c>
      <c r="DY61">
        <v>1</v>
      </c>
      <c r="DZ61">
        <v>-9.0480199999999997E-2</v>
      </c>
      <c r="EA61">
        <v>3.4944299999999999</v>
      </c>
      <c r="EB61">
        <v>20.143799999999999</v>
      </c>
      <c r="EC61">
        <v>5.2406499999999996</v>
      </c>
      <c r="ED61">
        <v>12.039899999999999</v>
      </c>
      <c r="EE61">
        <v>5.0168499999999998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</v>
      </c>
      <c r="EL61">
        <v>1.8646100000000001</v>
      </c>
      <c r="EM61">
        <v>1.8691899999999999</v>
      </c>
      <c r="EN61">
        <v>1.8672200000000001</v>
      </c>
      <c r="EO61">
        <v>1.8633900000000001</v>
      </c>
      <c r="EP61">
        <v>1.86443</v>
      </c>
      <c r="EQ61">
        <v>1.8701399999999999</v>
      </c>
      <c r="ER61">
        <v>1.8693900000000001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-0.32600000000000001</v>
      </c>
      <c r="FG61">
        <v>0.15140000000000001</v>
      </c>
      <c r="FH61">
        <v>5.0310448532705943E-2</v>
      </c>
      <c r="FI61">
        <v>-6.1462078757559423E-4</v>
      </c>
      <c r="FJ61">
        <v>-1.8861989874597051E-7</v>
      </c>
      <c r="FK61">
        <v>1.1980462299894961E-10</v>
      </c>
      <c r="FL61">
        <v>0.15140825623214971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12.8</v>
      </c>
      <c r="FU61">
        <v>12.8</v>
      </c>
      <c r="FV61">
        <v>1.7773399999999999</v>
      </c>
      <c r="FW61">
        <v>2.5830099999999998</v>
      </c>
      <c r="FX61">
        <v>1.5490699999999999</v>
      </c>
      <c r="FY61">
        <v>2.3315399999999999</v>
      </c>
      <c r="FZ61">
        <v>1.50146</v>
      </c>
      <c r="GA61">
        <v>2.3315399999999999</v>
      </c>
      <c r="GB61">
        <v>32.9983</v>
      </c>
      <c r="GC61">
        <v>23.9649</v>
      </c>
      <c r="GD61">
        <v>19</v>
      </c>
      <c r="GE61">
        <v>284.09100000000001</v>
      </c>
      <c r="GF61">
        <v>591.51700000000005</v>
      </c>
      <c r="GG61">
        <v>21.597899999999999</v>
      </c>
      <c r="GH61">
        <v>26.160299999999999</v>
      </c>
      <c r="GI61">
        <v>29.999199999999998</v>
      </c>
      <c r="GJ61">
        <v>26.2393</v>
      </c>
      <c r="GK61">
        <v>26.213899999999999</v>
      </c>
      <c r="GL61">
        <v>35.531300000000002</v>
      </c>
      <c r="GM61">
        <v>64.831999999999994</v>
      </c>
      <c r="GN61">
        <v>73.299599999999998</v>
      </c>
      <c r="GO61">
        <v>21.4924</v>
      </c>
      <c r="GP61">
        <v>800</v>
      </c>
      <c r="GQ61">
        <v>7.0190900000000003</v>
      </c>
      <c r="GR61">
        <v>99.727500000000006</v>
      </c>
      <c r="GS61">
        <v>99.522800000000004</v>
      </c>
    </row>
    <row r="62" spans="1:201" x14ac:dyDescent="0.25">
      <c r="A62">
        <v>46</v>
      </c>
      <c r="B62">
        <v>1690292849.5999999</v>
      </c>
      <c r="C62">
        <v>579</v>
      </c>
      <c r="D62" t="s">
        <v>425</v>
      </c>
      <c r="E62" t="s">
        <v>426</v>
      </c>
      <c r="F62" t="s">
        <v>330</v>
      </c>
      <c r="H62">
        <v>1690292849.5999999</v>
      </c>
      <c r="I62">
        <f t="shared" si="0"/>
        <v>1.5114684732492458E-3</v>
      </c>
      <c r="J62">
        <f t="shared" si="1"/>
        <v>1.5114684732492458</v>
      </c>
      <c r="K62">
        <f t="shared" si="2"/>
        <v>24.327646226593707</v>
      </c>
      <c r="L62">
        <f t="shared" si="3"/>
        <v>548.553</v>
      </c>
      <c r="M62">
        <f t="shared" si="4"/>
        <v>175.92363876895018</v>
      </c>
      <c r="N62">
        <f t="shared" si="5"/>
        <v>17.494859501942258</v>
      </c>
      <c r="O62">
        <f t="shared" si="6"/>
        <v>54.551268559042207</v>
      </c>
      <c r="P62">
        <f t="shared" si="7"/>
        <v>0.1092637739109542</v>
      </c>
      <c r="Q62">
        <f t="shared" si="8"/>
        <v>2.2576416623081572</v>
      </c>
      <c r="R62">
        <f t="shared" si="9"/>
        <v>0.1064087447810477</v>
      </c>
      <c r="S62">
        <f t="shared" si="10"/>
        <v>6.6755764881131371E-2</v>
      </c>
      <c r="T62">
        <f t="shared" si="11"/>
        <v>276.11490418199998</v>
      </c>
      <c r="U62">
        <f t="shared" si="12"/>
        <v>26.810566340408876</v>
      </c>
      <c r="V62">
        <f t="shared" si="13"/>
        <v>26.810566340408876</v>
      </c>
      <c r="W62">
        <f t="shared" si="14"/>
        <v>3.5395311389095712</v>
      </c>
      <c r="X62">
        <f t="shared" si="15"/>
        <v>67.210116968966389</v>
      </c>
      <c r="Y62">
        <f t="shared" si="16"/>
        <v>2.16749983913892</v>
      </c>
      <c r="Z62">
        <f t="shared" si="17"/>
        <v>3.2249606709355105</v>
      </c>
      <c r="AA62">
        <f t="shared" si="18"/>
        <v>1.3720312997706512</v>
      </c>
      <c r="AB62">
        <f t="shared" si="19"/>
        <v>-66.655759670291744</v>
      </c>
      <c r="AC62">
        <f t="shared" si="20"/>
        <v>-191.47633224306577</v>
      </c>
      <c r="AD62">
        <f t="shared" si="21"/>
        <v>-18.125599039653654</v>
      </c>
      <c r="AE62">
        <f t="shared" si="22"/>
        <v>-0.1427867710111741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52844.805702687161</v>
      </c>
      <c r="AK62">
        <f t="shared" si="26"/>
        <v>1800</v>
      </c>
      <c r="AL62">
        <f t="shared" si="27"/>
        <v>1499.1115752000001</v>
      </c>
      <c r="AM62">
        <f t="shared" si="28"/>
        <v>0.83283976400000004</v>
      </c>
      <c r="AN62">
        <f t="shared" si="29"/>
        <v>0.15339716899</v>
      </c>
      <c r="AO62">
        <v>30</v>
      </c>
      <c r="AP62">
        <v>0.5</v>
      </c>
      <c r="AQ62" t="s">
        <v>331</v>
      </c>
      <c r="AR62">
        <v>2</v>
      </c>
      <c r="AS62">
        <v>1690292849.5999999</v>
      </c>
      <c r="AT62">
        <v>548.553</v>
      </c>
      <c r="AU62">
        <v>800.005</v>
      </c>
      <c r="AV62">
        <v>21.7958</v>
      </c>
      <c r="AW62">
        <v>7.0173500000000004</v>
      </c>
      <c r="AX62">
        <v>548.87699999999995</v>
      </c>
      <c r="AY62">
        <v>21.644400000000001</v>
      </c>
      <c r="AZ62">
        <v>300.13799999999998</v>
      </c>
      <c r="BA62">
        <v>99.3459</v>
      </c>
      <c r="BB62">
        <v>9.9857399999999999E-2</v>
      </c>
      <c r="BC62">
        <v>25.237400000000001</v>
      </c>
      <c r="BD62">
        <v>27.111000000000001</v>
      </c>
      <c r="BE62">
        <v>26.524699999999999</v>
      </c>
      <c r="BF62">
        <v>0</v>
      </c>
      <c r="BG62">
        <v>0</v>
      </c>
      <c r="BH62">
        <v>10000.6</v>
      </c>
      <c r="BI62">
        <v>1061.42</v>
      </c>
      <c r="BJ62">
        <v>2.2426400000000002</v>
      </c>
      <c r="BK62">
        <v>-251.45099999999999</v>
      </c>
      <c r="BL62">
        <v>560.77599999999995</v>
      </c>
      <c r="BM62">
        <v>805.65800000000002</v>
      </c>
      <c r="BN62">
        <v>14.7784</v>
      </c>
      <c r="BO62">
        <v>800.005</v>
      </c>
      <c r="BP62">
        <v>7.0173500000000004</v>
      </c>
      <c r="BQ62">
        <v>2.1653199999999999</v>
      </c>
      <c r="BR62">
        <v>0.69714500000000001</v>
      </c>
      <c r="BS62">
        <v>18.707999999999998</v>
      </c>
      <c r="BT62">
        <v>1.76928</v>
      </c>
      <c r="BU62">
        <v>1800</v>
      </c>
      <c r="BV62">
        <v>0.91000300000000001</v>
      </c>
      <c r="BW62">
        <v>3.4005800000000003E-2</v>
      </c>
      <c r="BX62">
        <v>2.19957E-2</v>
      </c>
      <c r="BY62">
        <v>3.3995900000000003E-2</v>
      </c>
      <c r="BZ62">
        <v>25</v>
      </c>
      <c r="CA62">
        <v>33528.300000000003</v>
      </c>
      <c r="CB62">
        <v>1690292073.5</v>
      </c>
      <c r="CC62" t="s">
        <v>332</v>
      </c>
      <c r="CD62">
        <v>1690292069.5</v>
      </c>
      <c r="CE62">
        <v>1690292073.5</v>
      </c>
      <c r="CF62">
        <v>4</v>
      </c>
      <c r="CG62">
        <v>-3.6999999999999998E-2</v>
      </c>
      <c r="CH62">
        <v>-1.6E-2</v>
      </c>
      <c r="CI62">
        <v>-0.45200000000000001</v>
      </c>
      <c r="CJ62">
        <v>0.108</v>
      </c>
      <c r="CK62">
        <v>730</v>
      </c>
      <c r="CL62">
        <v>18</v>
      </c>
      <c r="CM62">
        <v>0</v>
      </c>
      <c r="CN62">
        <v>0.01</v>
      </c>
      <c r="CO62">
        <v>-248.7371951219512</v>
      </c>
      <c r="CP62">
        <v>-15.380550522647409</v>
      </c>
      <c r="CQ62">
        <v>1.5177003659984449</v>
      </c>
      <c r="CR62">
        <v>-1</v>
      </c>
      <c r="CS62">
        <v>15.02561463414634</v>
      </c>
      <c r="CT62">
        <v>-1.8464759581880661</v>
      </c>
      <c r="CU62">
        <v>0.18541514075174151</v>
      </c>
      <c r="CV62">
        <v>-1</v>
      </c>
      <c r="CW62">
        <v>0</v>
      </c>
      <c r="CX62">
        <v>0</v>
      </c>
      <c r="CY62" t="s">
        <v>333</v>
      </c>
      <c r="CZ62">
        <v>2.3645700000000001</v>
      </c>
      <c r="DA62">
        <v>2.7136499999999999</v>
      </c>
      <c r="DB62">
        <v>0.11339200000000001</v>
      </c>
      <c r="DC62">
        <v>0.146534</v>
      </c>
      <c r="DD62">
        <v>0.106805</v>
      </c>
      <c r="DE62">
        <v>4.4916699999999997E-2</v>
      </c>
      <c r="DF62">
        <v>32371.599999999999</v>
      </c>
      <c r="DG62">
        <v>27495.3</v>
      </c>
      <c r="DH62">
        <v>31169.9</v>
      </c>
      <c r="DI62">
        <v>28071.7</v>
      </c>
      <c r="DJ62">
        <v>37796.1</v>
      </c>
      <c r="DK62">
        <v>38122.300000000003</v>
      </c>
      <c r="DL62">
        <v>44356.1</v>
      </c>
      <c r="DM62">
        <v>42541.8</v>
      </c>
      <c r="DN62">
        <v>1.48</v>
      </c>
      <c r="DO62">
        <v>2.0480499999999999</v>
      </c>
      <c r="DP62">
        <v>0.128243</v>
      </c>
      <c r="DQ62">
        <v>0.119321</v>
      </c>
      <c r="DR62">
        <v>25.0105</v>
      </c>
      <c r="DS62">
        <v>24.5687</v>
      </c>
      <c r="DT62">
        <v>54.4</v>
      </c>
      <c r="DU62">
        <v>28.2</v>
      </c>
      <c r="DV62">
        <v>21.023700000000002</v>
      </c>
      <c r="DW62">
        <v>61.223399999999998</v>
      </c>
      <c r="DX62">
        <v>34.535299999999999</v>
      </c>
      <c r="DY62">
        <v>1</v>
      </c>
      <c r="DZ62">
        <v>-9.2451699999999998E-2</v>
      </c>
      <c r="EA62">
        <v>3.1507999999999998</v>
      </c>
      <c r="EB62">
        <v>20.1538</v>
      </c>
      <c r="EC62">
        <v>5.2411000000000003</v>
      </c>
      <c r="ED62">
        <v>12.039899999999999</v>
      </c>
      <c r="EE62">
        <v>5.01675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</v>
      </c>
      <c r="EL62">
        <v>1.8646</v>
      </c>
      <c r="EM62">
        <v>1.8691899999999999</v>
      </c>
      <c r="EN62">
        <v>1.8672200000000001</v>
      </c>
      <c r="EO62">
        <v>1.86338</v>
      </c>
      <c r="EP62">
        <v>1.8644499999999999</v>
      </c>
      <c r="EQ62">
        <v>1.87012</v>
      </c>
      <c r="ER62">
        <v>1.8693599999999999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-0.32400000000000001</v>
      </c>
      <c r="FG62">
        <v>0.15140000000000001</v>
      </c>
      <c r="FH62">
        <v>5.0310448532705943E-2</v>
      </c>
      <c r="FI62">
        <v>-6.1462078757559423E-4</v>
      </c>
      <c r="FJ62">
        <v>-1.8861989874597051E-7</v>
      </c>
      <c r="FK62">
        <v>1.1980462299894961E-10</v>
      </c>
      <c r="FL62">
        <v>0.15140825623214971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13</v>
      </c>
      <c r="FU62">
        <v>12.9</v>
      </c>
      <c r="FV62">
        <v>1.7773399999999999</v>
      </c>
      <c r="FW62">
        <v>2.5817899999999998</v>
      </c>
      <c r="FX62">
        <v>1.5490699999999999</v>
      </c>
      <c r="FY62">
        <v>2.3315399999999999</v>
      </c>
      <c r="FZ62">
        <v>1.50146</v>
      </c>
      <c r="GA62">
        <v>2.2875999999999999</v>
      </c>
      <c r="GB62">
        <v>32.9983</v>
      </c>
      <c r="GC62">
        <v>23.9649</v>
      </c>
      <c r="GD62">
        <v>19</v>
      </c>
      <c r="GE62">
        <v>284.00900000000001</v>
      </c>
      <c r="GF62">
        <v>591.43399999999997</v>
      </c>
      <c r="GG62">
        <v>21.1633</v>
      </c>
      <c r="GH62">
        <v>26.158100000000001</v>
      </c>
      <c r="GI62">
        <v>29.999300000000002</v>
      </c>
      <c r="GJ62">
        <v>26.24</v>
      </c>
      <c r="GK62">
        <v>26.213899999999999</v>
      </c>
      <c r="GL62">
        <v>35.534300000000002</v>
      </c>
      <c r="GM62">
        <v>64.831999999999994</v>
      </c>
      <c r="GN62">
        <v>72.520899999999997</v>
      </c>
      <c r="GO62">
        <v>21.1114</v>
      </c>
      <c r="GP62">
        <v>800</v>
      </c>
      <c r="GQ62">
        <v>6.9388699999999996</v>
      </c>
      <c r="GR62">
        <v>99.728300000000004</v>
      </c>
      <c r="GS62">
        <v>99.524799999999999</v>
      </c>
    </row>
    <row r="63" spans="1:201" x14ac:dyDescent="0.25">
      <c r="A63">
        <v>47</v>
      </c>
      <c r="B63">
        <v>1690292859.5999999</v>
      </c>
      <c r="C63">
        <v>589</v>
      </c>
      <c r="D63" t="s">
        <v>427</v>
      </c>
      <c r="E63" t="s">
        <v>428</v>
      </c>
      <c r="F63" t="s">
        <v>330</v>
      </c>
      <c r="H63">
        <v>1690292859.5999999</v>
      </c>
      <c r="I63">
        <f t="shared" si="0"/>
        <v>1.5061001686475777E-3</v>
      </c>
      <c r="J63">
        <f t="shared" si="1"/>
        <v>1.5061001686475777</v>
      </c>
      <c r="K63">
        <f t="shared" si="2"/>
        <v>24.555203247120332</v>
      </c>
      <c r="L63">
        <f t="shared" si="3"/>
        <v>546.38400000000001</v>
      </c>
      <c r="M63">
        <f t="shared" si="4"/>
        <v>171.83796315556222</v>
      </c>
      <c r="N63">
        <f t="shared" si="5"/>
        <v>17.089469989793091</v>
      </c>
      <c r="O63">
        <f t="shared" si="6"/>
        <v>54.338475616416005</v>
      </c>
      <c r="P63">
        <f t="shared" si="7"/>
        <v>0.10967494566752763</v>
      </c>
      <c r="Q63">
        <f t="shared" si="8"/>
        <v>2.2615710130563746</v>
      </c>
      <c r="R63">
        <f t="shared" si="9"/>
        <v>0.1068035495318742</v>
      </c>
      <c r="S63">
        <f t="shared" si="10"/>
        <v>6.7003940472773194E-2</v>
      </c>
      <c r="T63">
        <f t="shared" si="11"/>
        <v>276.11306471600733</v>
      </c>
      <c r="U63">
        <f t="shared" si="12"/>
        <v>26.71296028567323</v>
      </c>
      <c r="V63">
        <f t="shared" si="13"/>
        <v>26.71296028567323</v>
      </c>
      <c r="W63">
        <f t="shared" si="14"/>
        <v>3.519262390896055</v>
      </c>
      <c r="X63">
        <f t="shared" si="15"/>
        <v>67.267693366523787</v>
      </c>
      <c r="Y63">
        <f t="shared" si="16"/>
        <v>2.1568650575897999</v>
      </c>
      <c r="Z63">
        <f t="shared" si="17"/>
        <v>3.2063906901603052</v>
      </c>
      <c r="AA63">
        <f t="shared" si="18"/>
        <v>1.3623973333062551</v>
      </c>
      <c r="AB63">
        <f t="shared" si="19"/>
        <v>-66.419017437358178</v>
      </c>
      <c r="AC63">
        <f t="shared" si="20"/>
        <v>-191.7356967568245</v>
      </c>
      <c r="AD63">
        <f t="shared" si="21"/>
        <v>-18.100934473620359</v>
      </c>
      <c r="AE63">
        <f t="shared" si="22"/>
        <v>-0.14258395179572858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53016.746452737993</v>
      </c>
      <c r="AK63">
        <f t="shared" si="26"/>
        <v>1799.99</v>
      </c>
      <c r="AL63">
        <f t="shared" si="27"/>
        <v>1499.1032702022301</v>
      </c>
      <c r="AM63">
        <f t="shared" si="28"/>
        <v>0.832839777</v>
      </c>
      <c r="AN63">
        <f t="shared" si="29"/>
        <v>0.15339699927</v>
      </c>
      <c r="AO63">
        <v>30</v>
      </c>
      <c r="AP63">
        <v>0.5</v>
      </c>
      <c r="AQ63" t="s">
        <v>331</v>
      </c>
      <c r="AR63">
        <v>2</v>
      </c>
      <c r="AS63">
        <v>1690292859.5999999</v>
      </c>
      <c r="AT63">
        <v>546.38400000000001</v>
      </c>
      <c r="AU63">
        <v>800.029</v>
      </c>
      <c r="AV63">
        <v>21.6877</v>
      </c>
      <c r="AW63">
        <v>6.9612400000000001</v>
      </c>
      <c r="AX63">
        <v>546.70600000000002</v>
      </c>
      <c r="AY63">
        <v>21.536300000000001</v>
      </c>
      <c r="AZ63">
        <v>300.161</v>
      </c>
      <c r="BA63">
        <v>99.350999999999999</v>
      </c>
      <c r="BB63">
        <v>0.100074</v>
      </c>
      <c r="BC63">
        <v>25.1404</v>
      </c>
      <c r="BD63">
        <v>27.026399999999999</v>
      </c>
      <c r="BE63">
        <v>26.4146</v>
      </c>
      <c r="BF63">
        <v>0</v>
      </c>
      <c r="BG63">
        <v>0</v>
      </c>
      <c r="BH63">
        <v>10030.6</v>
      </c>
      <c r="BI63">
        <v>1061.05</v>
      </c>
      <c r="BJ63">
        <v>2.2426400000000002</v>
      </c>
      <c r="BK63">
        <v>-253.64500000000001</v>
      </c>
      <c r="BL63">
        <v>558.49599999999998</v>
      </c>
      <c r="BM63">
        <v>805.63699999999994</v>
      </c>
      <c r="BN63">
        <v>14.7265</v>
      </c>
      <c r="BO63">
        <v>800.029</v>
      </c>
      <c r="BP63">
        <v>6.9612400000000001</v>
      </c>
      <c r="BQ63">
        <v>2.1547000000000001</v>
      </c>
      <c r="BR63">
        <v>0.69160699999999997</v>
      </c>
      <c r="BS63">
        <v>18.6294</v>
      </c>
      <c r="BT63">
        <v>1.6578900000000001</v>
      </c>
      <c r="BU63">
        <v>1799.99</v>
      </c>
      <c r="BV63">
        <v>0.91000700000000001</v>
      </c>
      <c r="BW63">
        <v>3.4004100000000002E-2</v>
      </c>
      <c r="BX63">
        <v>2.19946E-2</v>
      </c>
      <c r="BY63">
        <v>3.3994299999999998E-2</v>
      </c>
      <c r="BZ63">
        <v>25</v>
      </c>
      <c r="CA63">
        <v>33528.300000000003</v>
      </c>
      <c r="CB63">
        <v>1690292073.5</v>
      </c>
      <c r="CC63" t="s">
        <v>332</v>
      </c>
      <c r="CD63">
        <v>1690292069.5</v>
      </c>
      <c r="CE63">
        <v>1690292073.5</v>
      </c>
      <c r="CF63">
        <v>4</v>
      </c>
      <c r="CG63">
        <v>-3.6999999999999998E-2</v>
      </c>
      <c r="CH63">
        <v>-1.6E-2</v>
      </c>
      <c r="CI63">
        <v>-0.45200000000000001</v>
      </c>
      <c r="CJ63">
        <v>0.108</v>
      </c>
      <c r="CK63">
        <v>730</v>
      </c>
      <c r="CL63">
        <v>18</v>
      </c>
      <c r="CM63">
        <v>0</v>
      </c>
      <c r="CN63">
        <v>0.01</v>
      </c>
      <c r="CO63">
        <v>-251.349525</v>
      </c>
      <c r="CP63">
        <v>-14.186757973732281</v>
      </c>
      <c r="CQ63">
        <v>1.366939574149127</v>
      </c>
      <c r="CR63">
        <v>-1</v>
      </c>
      <c r="CS63">
        <v>14.802687499999999</v>
      </c>
      <c r="CT63">
        <v>-0.68181500938086081</v>
      </c>
      <c r="CU63">
        <v>7.0233728320159672E-2</v>
      </c>
      <c r="CV63">
        <v>-1</v>
      </c>
      <c r="CW63">
        <v>0</v>
      </c>
      <c r="CX63">
        <v>0</v>
      </c>
      <c r="CY63" t="s">
        <v>333</v>
      </c>
      <c r="CZ63">
        <v>2.3646600000000002</v>
      </c>
      <c r="DA63">
        <v>2.7138900000000001</v>
      </c>
      <c r="DB63">
        <v>0.11307399999999999</v>
      </c>
      <c r="DC63">
        <v>0.14654300000000001</v>
      </c>
      <c r="DD63">
        <v>0.106432</v>
      </c>
      <c r="DE63">
        <v>4.4630299999999998E-2</v>
      </c>
      <c r="DF63">
        <v>32383.5</v>
      </c>
      <c r="DG63">
        <v>27495.5</v>
      </c>
      <c r="DH63">
        <v>31170.2</v>
      </c>
      <c r="DI63">
        <v>28072.2</v>
      </c>
      <c r="DJ63">
        <v>37812.400000000001</v>
      </c>
      <c r="DK63">
        <v>38134.300000000003</v>
      </c>
      <c r="DL63">
        <v>44356.6</v>
      </c>
      <c r="DM63">
        <v>42542.3</v>
      </c>
      <c r="DN63">
        <v>1.4812700000000001</v>
      </c>
      <c r="DO63">
        <v>2.0479799999999999</v>
      </c>
      <c r="DP63">
        <v>0.124376</v>
      </c>
      <c r="DQ63">
        <v>0.114318</v>
      </c>
      <c r="DR63">
        <v>24.989000000000001</v>
      </c>
      <c r="DS63">
        <v>24.540400000000002</v>
      </c>
      <c r="DT63">
        <v>54.1</v>
      </c>
      <c r="DU63">
        <v>28.2</v>
      </c>
      <c r="DV63">
        <v>20.905899999999999</v>
      </c>
      <c r="DW63">
        <v>61.303400000000003</v>
      </c>
      <c r="DX63">
        <v>34.895800000000001</v>
      </c>
      <c r="DY63">
        <v>1</v>
      </c>
      <c r="DZ63">
        <v>-9.3993900000000005E-2</v>
      </c>
      <c r="EA63">
        <v>2.7174200000000002</v>
      </c>
      <c r="EB63">
        <v>20.164200000000001</v>
      </c>
      <c r="EC63">
        <v>5.2408000000000001</v>
      </c>
      <c r="ED63">
        <v>12.039899999999999</v>
      </c>
      <c r="EE63">
        <v>5.0168499999999998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</v>
      </c>
      <c r="EL63">
        <v>1.8646</v>
      </c>
      <c r="EM63">
        <v>1.8692</v>
      </c>
      <c r="EN63">
        <v>1.8672200000000001</v>
      </c>
      <c r="EO63">
        <v>1.86337</v>
      </c>
      <c r="EP63">
        <v>1.8644499999999999</v>
      </c>
      <c r="EQ63">
        <v>1.8701399999999999</v>
      </c>
      <c r="ER63">
        <v>1.86938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-0.32200000000000001</v>
      </c>
      <c r="FG63">
        <v>0.15140000000000001</v>
      </c>
      <c r="FH63">
        <v>5.0310448532705943E-2</v>
      </c>
      <c r="FI63">
        <v>-6.1462078757559423E-4</v>
      </c>
      <c r="FJ63">
        <v>-1.8861989874597051E-7</v>
      </c>
      <c r="FK63">
        <v>1.1980462299894961E-10</v>
      </c>
      <c r="FL63">
        <v>0.15140825623214971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13.2</v>
      </c>
      <c r="FU63">
        <v>13.1</v>
      </c>
      <c r="FV63">
        <v>1.7773399999999999</v>
      </c>
      <c r="FW63">
        <v>2.5769000000000002</v>
      </c>
      <c r="FX63">
        <v>1.5490699999999999</v>
      </c>
      <c r="FY63">
        <v>2.3315399999999999</v>
      </c>
      <c r="FZ63">
        <v>1.50146</v>
      </c>
      <c r="GA63">
        <v>2.3107899999999999</v>
      </c>
      <c r="GB63">
        <v>33.020600000000002</v>
      </c>
      <c r="GC63">
        <v>23.982399999999998</v>
      </c>
      <c r="GD63">
        <v>19</v>
      </c>
      <c r="GE63">
        <v>284.55799999999999</v>
      </c>
      <c r="GF63">
        <v>591.37099999999998</v>
      </c>
      <c r="GG63">
        <v>20.930499999999999</v>
      </c>
      <c r="GH63">
        <v>26.155899999999999</v>
      </c>
      <c r="GI63">
        <v>29.999400000000001</v>
      </c>
      <c r="GJ63">
        <v>26.241</v>
      </c>
      <c r="GK63">
        <v>26.213899999999999</v>
      </c>
      <c r="GL63">
        <v>35.529200000000003</v>
      </c>
      <c r="GM63">
        <v>65.226600000000005</v>
      </c>
      <c r="GN63">
        <v>71.335400000000007</v>
      </c>
      <c r="GO63">
        <v>20.9361</v>
      </c>
      <c r="GP63">
        <v>800</v>
      </c>
      <c r="GQ63">
        <v>6.8143700000000003</v>
      </c>
      <c r="GR63">
        <v>99.729299999999995</v>
      </c>
      <c r="GS63">
        <v>99.526200000000003</v>
      </c>
    </row>
    <row r="64" spans="1:201" x14ac:dyDescent="0.25">
      <c r="A64">
        <v>48</v>
      </c>
      <c r="B64">
        <v>1690292869.5999999</v>
      </c>
      <c r="C64">
        <v>599</v>
      </c>
      <c r="D64" t="s">
        <v>429</v>
      </c>
      <c r="E64" t="s">
        <v>430</v>
      </c>
      <c r="F64" t="s">
        <v>330</v>
      </c>
      <c r="H64">
        <v>1690292869.5999999</v>
      </c>
      <c r="I64">
        <f t="shared" si="0"/>
        <v>1.5161583710805451E-3</v>
      </c>
      <c r="J64">
        <f t="shared" si="1"/>
        <v>1.5161583710805451</v>
      </c>
      <c r="K64">
        <f t="shared" si="2"/>
        <v>24.754936617842585</v>
      </c>
      <c r="L64">
        <f t="shared" si="3"/>
        <v>544.38699999999994</v>
      </c>
      <c r="M64">
        <f t="shared" si="4"/>
        <v>172.57591245279653</v>
      </c>
      <c r="N64">
        <f t="shared" si="5"/>
        <v>17.161887202118002</v>
      </c>
      <c r="O64">
        <f t="shared" si="6"/>
        <v>54.136803656505997</v>
      </c>
      <c r="P64">
        <f t="shared" si="7"/>
        <v>0.11141554924550737</v>
      </c>
      <c r="Q64">
        <f t="shared" si="8"/>
        <v>2.258769359980763</v>
      </c>
      <c r="R64">
        <f t="shared" si="9"/>
        <v>0.10845004541452767</v>
      </c>
      <c r="S64">
        <f t="shared" si="10"/>
        <v>6.8041142735867477E-2</v>
      </c>
      <c r="T64">
        <f t="shared" si="11"/>
        <v>276.11289648894194</v>
      </c>
      <c r="U64">
        <f t="shared" si="12"/>
        <v>26.637612233053559</v>
      </c>
      <c r="V64">
        <f t="shared" si="13"/>
        <v>26.637612233053559</v>
      </c>
      <c r="W64">
        <f t="shared" si="14"/>
        <v>3.5036850898589917</v>
      </c>
      <c r="X64">
        <f t="shared" si="15"/>
        <v>67.441970653435362</v>
      </c>
      <c r="Y64">
        <f t="shared" si="16"/>
        <v>2.1529539545247998</v>
      </c>
      <c r="Z64">
        <f t="shared" si="17"/>
        <v>3.192305820344727</v>
      </c>
      <c r="AA64">
        <f t="shared" si="18"/>
        <v>1.350731135334192</v>
      </c>
      <c r="AB64">
        <f t="shared" si="19"/>
        <v>-66.862584164652034</v>
      </c>
      <c r="AC64">
        <f t="shared" si="20"/>
        <v>-191.32183669283208</v>
      </c>
      <c r="AD64">
        <f t="shared" si="21"/>
        <v>-18.070726232402293</v>
      </c>
      <c r="AE64">
        <f t="shared" si="22"/>
        <v>-0.14225060094449304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52919.457764976294</v>
      </c>
      <c r="AK64">
        <f t="shared" si="26"/>
        <v>1799.99</v>
      </c>
      <c r="AL64">
        <f t="shared" si="27"/>
        <v>1499.1035474006901</v>
      </c>
      <c r="AM64">
        <f t="shared" si="28"/>
        <v>0.83283993100000009</v>
      </c>
      <c r="AN64">
        <f t="shared" si="29"/>
        <v>0.15339690581000001</v>
      </c>
      <c r="AO64">
        <v>30</v>
      </c>
      <c r="AP64">
        <v>0.5</v>
      </c>
      <c r="AQ64" t="s">
        <v>331</v>
      </c>
      <c r="AR64">
        <v>2</v>
      </c>
      <c r="AS64">
        <v>1690292869.5999999</v>
      </c>
      <c r="AT64">
        <v>544.38699999999994</v>
      </c>
      <c r="AU64">
        <v>800.16200000000003</v>
      </c>
      <c r="AV64">
        <v>21.6496</v>
      </c>
      <c r="AW64">
        <v>6.8178900000000002</v>
      </c>
      <c r="AX64">
        <v>544.70799999999997</v>
      </c>
      <c r="AY64">
        <v>21.498200000000001</v>
      </c>
      <c r="AZ64">
        <v>300.03300000000002</v>
      </c>
      <c r="BA64">
        <v>99.345399999999998</v>
      </c>
      <c r="BB64">
        <v>0.100038</v>
      </c>
      <c r="BC64">
        <v>25.066500000000001</v>
      </c>
      <c r="BD64">
        <v>26.924499999999998</v>
      </c>
      <c r="BE64">
        <v>26.338000000000001</v>
      </c>
      <c r="BF64">
        <v>0</v>
      </c>
      <c r="BG64">
        <v>0</v>
      </c>
      <c r="BH64">
        <v>10009.4</v>
      </c>
      <c r="BI64">
        <v>1060.6400000000001</v>
      </c>
      <c r="BJ64">
        <v>2.2426400000000002</v>
      </c>
      <c r="BK64">
        <v>-255.77500000000001</v>
      </c>
      <c r="BL64">
        <v>556.43399999999997</v>
      </c>
      <c r="BM64">
        <v>805.65499999999997</v>
      </c>
      <c r="BN64">
        <v>14.8317</v>
      </c>
      <c r="BO64">
        <v>800.16200000000003</v>
      </c>
      <c r="BP64">
        <v>6.8178900000000002</v>
      </c>
      <c r="BQ64">
        <v>2.1507900000000002</v>
      </c>
      <c r="BR64">
        <v>0.67732599999999998</v>
      </c>
      <c r="BS64">
        <v>18.6004</v>
      </c>
      <c r="BT64">
        <v>1.3670100000000001</v>
      </c>
      <c r="BU64">
        <v>1799.99</v>
      </c>
      <c r="BV64">
        <v>0.91000999999999999</v>
      </c>
      <c r="BW64">
        <v>3.4002999999999999E-2</v>
      </c>
      <c r="BX64">
        <v>2.1993800000000001E-2</v>
      </c>
      <c r="BY64">
        <v>3.3993099999999998E-2</v>
      </c>
      <c r="BZ64">
        <v>25</v>
      </c>
      <c r="CA64">
        <v>33528.300000000003</v>
      </c>
      <c r="CB64">
        <v>1690292073.5</v>
      </c>
      <c r="CC64" t="s">
        <v>332</v>
      </c>
      <c r="CD64">
        <v>1690292069.5</v>
      </c>
      <c r="CE64">
        <v>1690292073.5</v>
      </c>
      <c r="CF64">
        <v>4</v>
      </c>
      <c r="CG64">
        <v>-3.6999999999999998E-2</v>
      </c>
      <c r="CH64">
        <v>-1.6E-2</v>
      </c>
      <c r="CI64">
        <v>-0.45200000000000001</v>
      </c>
      <c r="CJ64">
        <v>0.108</v>
      </c>
      <c r="CK64">
        <v>730</v>
      </c>
      <c r="CL64">
        <v>18</v>
      </c>
      <c r="CM64">
        <v>0</v>
      </c>
      <c r="CN64">
        <v>0.01</v>
      </c>
      <c r="CO64">
        <v>-253.356875</v>
      </c>
      <c r="CP64">
        <v>-12.86034146341362</v>
      </c>
      <c r="CQ64">
        <v>1.238556340815792</v>
      </c>
      <c r="CR64">
        <v>-1</v>
      </c>
      <c r="CS64">
        <v>14.7538275</v>
      </c>
      <c r="CT64">
        <v>3.092870544087464E-2</v>
      </c>
      <c r="CU64">
        <v>2.708273423696347E-2</v>
      </c>
      <c r="CV64">
        <v>-1</v>
      </c>
      <c r="CW64">
        <v>0</v>
      </c>
      <c r="CX64">
        <v>0</v>
      </c>
      <c r="CY64" t="s">
        <v>333</v>
      </c>
      <c r="CZ64">
        <v>2.3642400000000001</v>
      </c>
      <c r="DA64">
        <v>2.7138399999999998</v>
      </c>
      <c r="DB64">
        <v>0.112771</v>
      </c>
      <c r="DC64">
        <v>0.14655000000000001</v>
      </c>
      <c r="DD64">
        <v>0.106293</v>
      </c>
      <c r="DE64">
        <v>4.3888099999999999E-2</v>
      </c>
      <c r="DF64">
        <v>32394.2</v>
      </c>
      <c r="DG64">
        <v>27495.200000000001</v>
      </c>
      <c r="DH64">
        <v>31169.8</v>
      </c>
      <c r="DI64">
        <v>28072.1</v>
      </c>
      <c r="DJ64">
        <v>37817.800000000003</v>
      </c>
      <c r="DK64">
        <v>38163.9</v>
      </c>
      <c r="DL64">
        <v>44356.1</v>
      </c>
      <c r="DM64">
        <v>42542.2</v>
      </c>
      <c r="DN64">
        <v>1.4812700000000001</v>
      </c>
      <c r="DO64">
        <v>2.0474999999999999</v>
      </c>
      <c r="DP64">
        <v>0.119656</v>
      </c>
      <c r="DQ64">
        <v>0.111666</v>
      </c>
      <c r="DR64">
        <v>24.964300000000001</v>
      </c>
      <c r="DS64">
        <v>24.507100000000001</v>
      </c>
      <c r="DT64">
        <v>53.7</v>
      </c>
      <c r="DU64">
        <v>28.2</v>
      </c>
      <c r="DV64">
        <v>20.753699999999998</v>
      </c>
      <c r="DW64">
        <v>61.7134</v>
      </c>
      <c r="DX64">
        <v>35.436700000000002</v>
      </c>
      <c r="DY64">
        <v>1</v>
      </c>
      <c r="DZ64">
        <v>-9.5071100000000006E-2</v>
      </c>
      <c r="EA64">
        <v>-1.01454</v>
      </c>
      <c r="EB64">
        <v>20.108499999999999</v>
      </c>
      <c r="EC64">
        <v>5.2401999999999997</v>
      </c>
      <c r="ED64">
        <v>12.039899999999999</v>
      </c>
      <c r="EE64">
        <v>5.0167999999999999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1.8688899999999999</v>
      </c>
      <c r="EL64">
        <v>1.8646100000000001</v>
      </c>
      <c r="EM64">
        <v>1.8691899999999999</v>
      </c>
      <c r="EN64">
        <v>1.8672200000000001</v>
      </c>
      <c r="EO64">
        <v>1.86338</v>
      </c>
      <c r="EP64">
        <v>1.86446</v>
      </c>
      <c r="EQ64">
        <v>1.87012</v>
      </c>
      <c r="ER64">
        <v>1.8693599999999999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-0.32100000000000001</v>
      </c>
      <c r="FG64">
        <v>0.15140000000000001</v>
      </c>
      <c r="FH64">
        <v>5.0310448532705943E-2</v>
      </c>
      <c r="FI64">
        <v>-6.1462078757559423E-4</v>
      </c>
      <c r="FJ64">
        <v>-1.8861989874597051E-7</v>
      </c>
      <c r="FK64">
        <v>1.1980462299894961E-10</v>
      </c>
      <c r="FL64">
        <v>0.15140825623214971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13.3</v>
      </c>
      <c r="FU64">
        <v>13.3</v>
      </c>
      <c r="FV64">
        <v>1.7761199999999999</v>
      </c>
      <c r="FW64">
        <v>2.5781200000000002</v>
      </c>
      <c r="FX64">
        <v>1.5490699999999999</v>
      </c>
      <c r="FY64">
        <v>2.3315399999999999</v>
      </c>
      <c r="FZ64">
        <v>1.50024</v>
      </c>
      <c r="GA64">
        <v>2.3730500000000001</v>
      </c>
      <c r="GB64">
        <v>32.9983</v>
      </c>
      <c r="GC64">
        <v>23.921099999999999</v>
      </c>
      <c r="GD64">
        <v>19</v>
      </c>
      <c r="GE64">
        <v>284.56400000000002</v>
      </c>
      <c r="GF64">
        <v>590.97500000000002</v>
      </c>
      <c r="GG64">
        <v>20.917200000000001</v>
      </c>
      <c r="GH64">
        <v>26.155899999999999</v>
      </c>
      <c r="GI64">
        <v>30</v>
      </c>
      <c r="GJ64">
        <v>26.2423</v>
      </c>
      <c r="GK64">
        <v>26.213899999999999</v>
      </c>
      <c r="GL64">
        <v>35.521599999999999</v>
      </c>
      <c r="GM64">
        <v>65.796400000000006</v>
      </c>
      <c r="GN64">
        <v>70.562200000000004</v>
      </c>
      <c r="GO64">
        <v>22.9422</v>
      </c>
      <c r="GP64">
        <v>800</v>
      </c>
      <c r="GQ64">
        <v>6.7221399999999996</v>
      </c>
      <c r="GR64">
        <v>99.728099999999998</v>
      </c>
      <c r="GS64">
        <v>99.525999999999996</v>
      </c>
    </row>
    <row r="65" spans="1:201" x14ac:dyDescent="0.25">
      <c r="A65">
        <v>49</v>
      </c>
      <c r="B65">
        <v>1690292879.5999999</v>
      </c>
      <c r="C65">
        <v>609</v>
      </c>
      <c r="D65" t="s">
        <v>431</v>
      </c>
      <c r="E65" t="s">
        <v>432</v>
      </c>
      <c r="F65" t="s">
        <v>330</v>
      </c>
      <c r="H65">
        <v>1690292879.5999999</v>
      </c>
      <c r="I65">
        <f t="shared" si="0"/>
        <v>1.5937906406779348E-3</v>
      </c>
      <c r="J65">
        <f t="shared" si="1"/>
        <v>1.5937906406779347</v>
      </c>
      <c r="K65">
        <f t="shared" si="2"/>
        <v>24.915485193885473</v>
      </c>
      <c r="L65">
        <f t="shared" si="3"/>
        <v>542.29200000000003</v>
      </c>
      <c r="M65">
        <f t="shared" si="4"/>
        <v>191.81431748388434</v>
      </c>
      <c r="N65">
        <f t="shared" si="5"/>
        <v>19.075166961768133</v>
      </c>
      <c r="O65">
        <f t="shared" si="6"/>
        <v>53.928771208125603</v>
      </c>
      <c r="P65">
        <f t="shared" si="7"/>
        <v>0.1193415673543942</v>
      </c>
      <c r="Q65">
        <f t="shared" si="8"/>
        <v>2.2536137426492608</v>
      </c>
      <c r="R65">
        <f t="shared" si="9"/>
        <v>0.11593852217034817</v>
      </c>
      <c r="S65">
        <f t="shared" si="10"/>
        <v>7.2759243612457655E-2</v>
      </c>
      <c r="T65">
        <f t="shared" si="11"/>
        <v>276.11430231600002</v>
      </c>
      <c r="U65">
        <f t="shared" si="12"/>
        <v>26.720807821464255</v>
      </c>
      <c r="V65">
        <f t="shared" si="13"/>
        <v>26.720807821464255</v>
      </c>
      <c r="W65">
        <f t="shared" si="14"/>
        <v>3.5208882455775385</v>
      </c>
      <c r="X65">
        <f t="shared" si="15"/>
        <v>68.267742662454864</v>
      </c>
      <c r="Y65">
        <f t="shared" si="16"/>
        <v>2.19309262229558</v>
      </c>
      <c r="Z65">
        <f t="shared" si="17"/>
        <v>3.2124873868163104</v>
      </c>
      <c r="AA65">
        <f t="shared" si="18"/>
        <v>1.3277956232819585</v>
      </c>
      <c r="AB65">
        <f t="shared" si="19"/>
        <v>-70.28616725389692</v>
      </c>
      <c r="AC65">
        <f t="shared" si="20"/>
        <v>-188.13878239217206</v>
      </c>
      <c r="AD65">
        <f t="shared" si="21"/>
        <v>-17.827630412116797</v>
      </c>
      <c r="AE65">
        <f t="shared" si="22"/>
        <v>-0.13827774218572131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52698.116348383701</v>
      </c>
      <c r="AK65">
        <f t="shared" si="26"/>
        <v>1800</v>
      </c>
      <c r="AL65">
        <f t="shared" si="27"/>
        <v>1499.1123186</v>
      </c>
      <c r="AM65">
        <f t="shared" si="28"/>
        <v>0.83284017700000001</v>
      </c>
      <c r="AN65">
        <f t="shared" si="29"/>
        <v>0.15339683462000001</v>
      </c>
      <c r="AO65">
        <v>30</v>
      </c>
      <c r="AP65">
        <v>0.5</v>
      </c>
      <c r="AQ65" t="s">
        <v>331</v>
      </c>
      <c r="AR65">
        <v>2</v>
      </c>
      <c r="AS65">
        <v>1690292879.5999999</v>
      </c>
      <c r="AT65">
        <v>542.29200000000003</v>
      </c>
      <c r="AU65">
        <v>800.14400000000001</v>
      </c>
      <c r="AV65">
        <v>22.053100000000001</v>
      </c>
      <c r="AW65">
        <v>6.4634</v>
      </c>
      <c r="AX65">
        <v>542.61199999999997</v>
      </c>
      <c r="AY65">
        <v>21.901599999999998</v>
      </c>
      <c r="AZ65">
        <v>299.93700000000001</v>
      </c>
      <c r="BA65">
        <v>99.346100000000007</v>
      </c>
      <c r="BB65">
        <v>9.9901799999999999E-2</v>
      </c>
      <c r="BC65">
        <v>25.1723</v>
      </c>
      <c r="BD65">
        <v>26.9603</v>
      </c>
      <c r="BE65">
        <v>26.376799999999999</v>
      </c>
      <c r="BF65">
        <v>0</v>
      </c>
      <c r="BG65">
        <v>0</v>
      </c>
      <c r="BH65">
        <v>9969.3799999999992</v>
      </c>
      <c r="BI65">
        <v>1060.3800000000001</v>
      </c>
      <c r="BJ65">
        <v>2.2426400000000002</v>
      </c>
      <c r="BK65">
        <v>-257.851</v>
      </c>
      <c r="BL65">
        <v>554.52099999999996</v>
      </c>
      <c r="BM65">
        <v>805.34900000000005</v>
      </c>
      <c r="BN65">
        <v>15.589700000000001</v>
      </c>
      <c r="BO65">
        <v>800.14400000000001</v>
      </c>
      <c r="BP65">
        <v>6.4634</v>
      </c>
      <c r="BQ65">
        <v>2.1908799999999999</v>
      </c>
      <c r="BR65">
        <v>0.64211300000000004</v>
      </c>
      <c r="BS65">
        <v>18.895800000000001</v>
      </c>
      <c r="BT65">
        <v>0.62587099999999996</v>
      </c>
      <c r="BU65">
        <v>1800</v>
      </c>
      <c r="BV65">
        <v>0.91001299999999996</v>
      </c>
      <c r="BW65">
        <v>3.4001799999999999E-2</v>
      </c>
      <c r="BX65">
        <v>2.1993100000000002E-2</v>
      </c>
      <c r="BY65">
        <v>3.3992000000000001E-2</v>
      </c>
      <c r="BZ65">
        <v>25</v>
      </c>
      <c r="CA65">
        <v>33528.5</v>
      </c>
      <c r="CB65">
        <v>1690292073.5</v>
      </c>
      <c r="CC65" t="s">
        <v>332</v>
      </c>
      <c r="CD65">
        <v>1690292069.5</v>
      </c>
      <c r="CE65">
        <v>1690292073.5</v>
      </c>
      <c r="CF65">
        <v>4</v>
      </c>
      <c r="CG65">
        <v>-3.6999999999999998E-2</v>
      </c>
      <c r="CH65">
        <v>-1.6E-2</v>
      </c>
      <c r="CI65">
        <v>-0.45200000000000001</v>
      </c>
      <c r="CJ65">
        <v>0.108</v>
      </c>
      <c r="CK65">
        <v>730</v>
      </c>
      <c r="CL65">
        <v>18</v>
      </c>
      <c r="CM65">
        <v>0</v>
      </c>
      <c r="CN65">
        <v>0.01</v>
      </c>
      <c r="CO65">
        <v>-255.5170243902439</v>
      </c>
      <c r="CP65">
        <v>-12.562327526132581</v>
      </c>
      <c r="CQ65">
        <v>1.239879232667533</v>
      </c>
      <c r="CR65">
        <v>-1</v>
      </c>
      <c r="CS65">
        <v>14.896258536585369</v>
      </c>
      <c r="CT65">
        <v>1.8177574912892049</v>
      </c>
      <c r="CU65">
        <v>0.20358953561637841</v>
      </c>
      <c r="CV65">
        <v>-1</v>
      </c>
      <c r="CW65">
        <v>0</v>
      </c>
      <c r="CX65">
        <v>0</v>
      </c>
      <c r="CY65" t="s">
        <v>333</v>
      </c>
      <c r="CZ65">
        <v>2.3639199999999998</v>
      </c>
      <c r="DA65">
        <v>2.71366</v>
      </c>
      <c r="DB65">
        <v>0.11246399999999999</v>
      </c>
      <c r="DC65">
        <v>0.14654200000000001</v>
      </c>
      <c r="DD65">
        <v>0.10770100000000001</v>
      </c>
      <c r="DE65">
        <v>4.2036499999999997E-2</v>
      </c>
      <c r="DF65">
        <v>32404.400000000001</v>
      </c>
      <c r="DG65">
        <v>27494.9</v>
      </c>
      <c r="DH65">
        <v>31168.799999999999</v>
      </c>
      <c r="DI65">
        <v>28071.599999999999</v>
      </c>
      <c r="DJ65">
        <v>37756.6</v>
      </c>
      <c r="DK65">
        <v>38237.5</v>
      </c>
      <c r="DL65">
        <v>44354.9</v>
      </c>
      <c r="DM65">
        <v>42541.7</v>
      </c>
      <c r="DN65">
        <v>1.48295</v>
      </c>
      <c r="DO65">
        <v>2.0468500000000001</v>
      </c>
      <c r="DP65">
        <v>0.12341100000000001</v>
      </c>
      <c r="DQ65">
        <v>0.116151</v>
      </c>
      <c r="DR65">
        <v>24.938600000000001</v>
      </c>
      <c r="DS65">
        <v>24.4724</v>
      </c>
      <c r="DT65">
        <v>53.3</v>
      </c>
      <c r="DU65">
        <v>28.2</v>
      </c>
      <c r="DV65">
        <v>20.596800000000002</v>
      </c>
      <c r="DW65">
        <v>62.333399999999997</v>
      </c>
      <c r="DX65">
        <v>35.665100000000002</v>
      </c>
      <c r="DY65">
        <v>1</v>
      </c>
      <c r="DZ65">
        <v>-9.6984200000000007E-2</v>
      </c>
      <c r="EA65">
        <v>-0.99261200000000005</v>
      </c>
      <c r="EB65">
        <v>20.183299999999999</v>
      </c>
      <c r="EC65">
        <v>5.2409499999999998</v>
      </c>
      <c r="ED65">
        <v>12.039899999999999</v>
      </c>
      <c r="EE65">
        <v>5.0167999999999999</v>
      </c>
      <c r="EF65">
        <v>3.2879700000000001</v>
      </c>
      <c r="EG65">
        <v>9999</v>
      </c>
      <c r="EH65">
        <v>9999</v>
      </c>
      <c r="EI65">
        <v>9999</v>
      </c>
      <c r="EJ65">
        <v>999.9</v>
      </c>
      <c r="EK65">
        <v>1.8689</v>
      </c>
      <c r="EL65">
        <v>1.8646199999999999</v>
      </c>
      <c r="EM65">
        <v>1.8691899999999999</v>
      </c>
      <c r="EN65">
        <v>1.8672200000000001</v>
      </c>
      <c r="EO65">
        <v>1.8633900000000001</v>
      </c>
      <c r="EP65">
        <v>1.86446</v>
      </c>
      <c r="EQ65">
        <v>1.87015</v>
      </c>
      <c r="ER65">
        <v>1.86937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-0.32</v>
      </c>
      <c r="FG65">
        <v>0.1515</v>
      </c>
      <c r="FH65">
        <v>5.0310448532705943E-2</v>
      </c>
      <c r="FI65">
        <v>-6.1462078757559423E-4</v>
      </c>
      <c r="FJ65">
        <v>-1.8861989874597051E-7</v>
      </c>
      <c r="FK65">
        <v>1.1980462299894961E-10</v>
      </c>
      <c r="FL65">
        <v>0.15140825623214971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13.5</v>
      </c>
      <c r="FU65">
        <v>13.4</v>
      </c>
      <c r="FV65">
        <v>1.7761199999999999</v>
      </c>
      <c r="FW65">
        <v>2.5805699999999998</v>
      </c>
      <c r="FX65">
        <v>1.5490699999999999</v>
      </c>
      <c r="FY65">
        <v>2.3315399999999999</v>
      </c>
      <c r="FZ65">
        <v>1.50146</v>
      </c>
      <c r="GA65">
        <v>2.3974600000000001</v>
      </c>
      <c r="GB65">
        <v>33.020600000000002</v>
      </c>
      <c r="GC65">
        <v>23.991199999999999</v>
      </c>
      <c r="GD65">
        <v>19</v>
      </c>
      <c r="GE65">
        <v>285.30799999999999</v>
      </c>
      <c r="GF65">
        <v>590.42399999999998</v>
      </c>
      <c r="GG65">
        <v>23.214500000000001</v>
      </c>
      <c r="GH65">
        <v>26.155899999999999</v>
      </c>
      <c r="GI65">
        <v>29.996700000000001</v>
      </c>
      <c r="GJ65">
        <v>26.248100000000001</v>
      </c>
      <c r="GK65">
        <v>26.213100000000001</v>
      </c>
      <c r="GL65">
        <v>35.514600000000002</v>
      </c>
      <c r="GM65">
        <v>67.729399999999998</v>
      </c>
      <c r="GN65">
        <v>69.794200000000004</v>
      </c>
      <c r="GO65">
        <v>23.067699999999999</v>
      </c>
      <c r="GP65">
        <v>800</v>
      </c>
      <c r="GQ65">
        <v>6.18459</v>
      </c>
      <c r="GR65">
        <v>99.725200000000001</v>
      </c>
      <c r="GS65">
        <v>99.524500000000003</v>
      </c>
    </row>
    <row r="66" spans="1:201" x14ac:dyDescent="0.25">
      <c r="A66">
        <v>50</v>
      </c>
      <c r="B66">
        <v>1690292889.5999999</v>
      </c>
      <c r="C66">
        <v>619</v>
      </c>
      <c r="D66" t="s">
        <v>433</v>
      </c>
      <c r="E66" t="s">
        <v>434</v>
      </c>
      <c r="F66" t="s">
        <v>330</v>
      </c>
      <c r="H66">
        <v>1690292889.5999999</v>
      </c>
      <c r="I66">
        <f t="shared" si="0"/>
        <v>1.6484558144101401E-3</v>
      </c>
      <c r="J66">
        <f t="shared" si="1"/>
        <v>1.64845581441014</v>
      </c>
      <c r="K66">
        <f t="shared" si="2"/>
        <v>25.075494010692719</v>
      </c>
      <c r="L66">
        <f t="shared" si="3"/>
        <v>540.48599999999999</v>
      </c>
      <c r="M66">
        <f t="shared" si="4"/>
        <v>197.90006996299758</v>
      </c>
      <c r="N66">
        <f t="shared" si="5"/>
        <v>19.680553019304831</v>
      </c>
      <c r="O66">
        <f t="shared" si="6"/>
        <v>53.749669624577997</v>
      </c>
      <c r="P66">
        <f t="shared" si="7"/>
        <v>0.12305450663107502</v>
      </c>
      <c r="Q66">
        <f t="shared" si="8"/>
        <v>2.260076671544732</v>
      </c>
      <c r="R66">
        <f t="shared" si="9"/>
        <v>0.11944988034390738</v>
      </c>
      <c r="S66">
        <f t="shared" si="10"/>
        <v>7.4971241268062538E-2</v>
      </c>
      <c r="T66">
        <f t="shared" si="11"/>
        <v>276.11272651588627</v>
      </c>
      <c r="U66">
        <f t="shared" si="12"/>
        <v>26.817501477676977</v>
      </c>
      <c r="V66">
        <f t="shared" si="13"/>
        <v>26.817501477676977</v>
      </c>
      <c r="W66">
        <f t="shared" si="14"/>
        <v>3.5409751504728866</v>
      </c>
      <c r="X66">
        <f t="shared" si="15"/>
        <v>68.254107913735737</v>
      </c>
      <c r="Y66">
        <f t="shared" si="16"/>
        <v>2.2082388145995999</v>
      </c>
      <c r="Z66">
        <f t="shared" si="17"/>
        <v>3.2353200153029982</v>
      </c>
      <c r="AA66">
        <f t="shared" si="18"/>
        <v>1.3327363358732867</v>
      </c>
      <c r="AB66">
        <f t="shared" si="19"/>
        <v>-72.696901415487176</v>
      </c>
      <c r="AC66">
        <f t="shared" si="20"/>
        <v>-185.96040596453292</v>
      </c>
      <c r="AD66">
        <f t="shared" si="21"/>
        <v>-17.589842129718342</v>
      </c>
      <c r="AE66">
        <f t="shared" si="22"/>
        <v>-0.13442299385218348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52931.026756398838</v>
      </c>
      <c r="AK66">
        <f t="shared" si="26"/>
        <v>1799.99</v>
      </c>
      <c r="AL66">
        <f t="shared" si="27"/>
        <v>1499.1048199936199</v>
      </c>
      <c r="AM66">
        <f t="shared" si="28"/>
        <v>0.83284063799999997</v>
      </c>
      <c r="AN66">
        <f t="shared" si="29"/>
        <v>0.15339681138000003</v>
      </c>
      <c r="AO66">
        <v>30</v>
      </c>
      <c r="AP66">
        <v>0.5</v>
      </c>
      <c r="AQ66" t="s">
        <v>331</v>
      </c>
      <c r="AR66">
        <v>2</v>
      </c>
      <c r="AS66">
        <v>1690292889.5999999</v>
      </c>
      <c r="AT66">
        <v>540.48599999999999</v>
      </c>
      <c r="AU66">
        <v>800.16099999999994</v>
      </c>
      <c r="AV66">
        <v>22.205200000000001</v>
      </c>
      <c r="AW66">
        <v>6.0860399999999997</v>
      </c>
      <c r="AX66">
        <v>540.80499999999995</v>
      </c>
      <c r="AY66">
        <v>22.053799999999999</v>
      </c>
      <c r="AZ66">
        <v>299.988</v>
      </c>
      <c r="BA66">
        <v>99.346900000000005</v>
      </c>
      <c r="BB66">
        <v>0.100023</v>
      </c>
      <c r="BC66">
        <v>25.2913</v>
      </c>
      <c r="BD66">
        <v>27.041399999999999</v>
      </c>
      <c r="BE66">
        <v>26.5198</v>
      </c>
      <c r="BF66">
        <v>0</v>
      </c>
      <c r="BG66">
        <v>0</v>
      </c>
      <c r="BH66">
        <v>10019.4</v>
      </c>
      <c r="BI66">
        <v>1060.3699999999999</v>
      </c>
      <c r="BJ66">
        <v>2.2566600000000001</v>
      </c>
      <c r="BK66">
        <v>-259.67500000000001</v>
      </c>
      <c r="BL66">
        <v>552.76099999999997</v>
      </c>
      <c r="BM66">
        <v>805.06100000000004</v>
      </c>
      <c r="BN66">
        <v>16.1191</v>
      </c>
      <c r="BO66">
        <v>800.16099999999994</v>
      </c>
      <c r="BP66">
        <v>6.0860399999999997</v>
      </c>
      <c r="BQ66">
        <v>2.2060200000000001</v>
      </c>
      <c r="BR66">
        <v>0.60463</v>
      </c>
      <c r="BS66">
        <v>19.0061</v>
      </c>
      <c r="BT66">
        <v>-0.20371600000000001</v>
      </c>
      <c r="BU66">
        <v>1799.99</v>
      </c>
      <c r="BV66">
        <v>0.91001600000000005</v>
      </c>
      <c r="BW66">
        <v>3.4000799999999998E-2</v>
      </c>
      <c r="BX66">
        <v>2.1992399999999999E-2</v>
      </c>
      <c r="BY66">
        <v>3.3991E-2</v>
      </c>
      <c r="BZ66">
        <v>25</v>
      </c>
      <c r="CA66">
        <v>33528.400000000001</v>
      </c>
      <c r="CB66">
        <v>1690292073.5</v>
      </c>
      <c r="CC66" t="s">
        <v>332</v>
      </c>
      <c r="CD66">
        <v>1690292069.5</v>
      </c>
      <c r="CE66">
        <v>1690292073.5</v>
      </c>
      <c r="CF66">
        <v>4</v>
      </c>
      <c r="CG66">
        <v>-3.6999999999999998E-2</v>
      </c>
      <c r="CH66">
        <v>-1.6E-2</v>
      </c>
      <c r="CI66">
        <v>-0.45200000000000001</v>
      </c>
      <c r="CJ66">
        <v>0.108</v>
      </c>
      <c r="CK66">
        <v>730</v>
      </c>
      <c r="CL66">
        <v>18</v>
      </c>
      <c r="CM66">
        <v>0</v>
      </c>
      <c r="CN66">
        <v>0.01</v>
      </c>
      <c r="CO66">
        <v>-257.56599999999997</v>
      </c>
      <c r="CP66">
        <v>-11.932432055749191</v>
      </c>
      <c r="CQ66">
        <v>1.178077578297714</v>
      </c>
      <c r="CR66">
        <v>-1</v>
      </c>
      <c r="CS66">
        <v>15.45520243902439</v>
      </c>
      <c r="CT66">
        <v>4.7193637630662186</v>
      </c>
      <c r="CU66">
        <v>0.47273206482742669</v>
      </c>
      <c r="CV66">
        <v>-1</v>
      </c>
      <c r="CW66">
        <v>0</v>
      </c>
      <c r="CX66">
        <v>0</v>
      </c>
      <c r="CY66" t="s">
        <v>333</v>
      </c>
      <c r="CZ66">
        <v>2.3640699999999999</v>
      </c>
      <c r="DA66">
        <v>2.7138300000000002</v>
      </c>
      <c r="DB66">
        <v>0.112195</v>
      </c>
      <c r="DC66">
        <v>0.146536</v>
      </c>
      <c r="DD66">
        <v>0.10822900000000001</v>
      </c>
      <c r="DE66">
        <v>4.0031499999999998E-2</v>
      </c>
      <c r="DF66">
        <v>32415</v>
      </c>
      <c r="DG66">
        <v>27495.599999999999</v>
      </c>
      <c r="DH66">
        <v>31169.599999999999</v>
      </c>
      <c r="DI66">
        <v>28072.1</v>
      </c>
      <c r="DJ66">
        <v>37734.800000000003</v>
      </c>
      <c r="DK66">
        <v>38318.5</v>
      </c>
      <c r="DL66">
        <v>44355.7</v>
      </c>
      <c r="DM66">
        <v>42542.5</v>
      </c>
      <c r="DN66">
        <v>1.4816499999999999</v>
      </c>
      <c r="DO66">
        <v>2.0465499999999999</v>
      </c>
      <c r="DP66">
        <v>0.12975200000000001</v>
      </c>
      <c r="DQ66">
        <v>0.12620899999999999</v>
      </c>
      <c r="DR66">
        <v>24.915900000000001</v>
      </c>
      <c r="DS66">
        <v>24.450700000000001</v>
      </c>
      <c r="DT66">
        <v>52.9</v>
      </c>
      <c r="DU66">
        <v>28.2</v>
      </c>
      <c r="DV66">
        <v>20.446200000000001</v>
      </c>
      <c r="DW66">
        <v>61.423400000000001</v>
      </c>
      <c r="DX66">
        <v>35.192300000000003</v>
      </c>
      <c r="DY66">
        <v>1</v>
      </c>
      <c r="DZ66">
        <v>-9.8597599999999994E-2</v>
      </c>
      <c r="EA66">
        <v>0.66537900000000005</v>
      </c>
      <c r="EB66">
        <v>20.188500000000001</v>
      </c>
      <c r="EC66">
        <v>5.2403500000000003</v>
      </c>
      <c r="ED66">
        <v>12.039899999999999</v>
      </c>
      <c r="EE66">
        <v>5.0168999999999997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</v>
      </c>
      <c r="EL66">
        <v>1.8646199999999999</v>
      </c>
      <c r="EM66">
        <v>1.8692</v>
      </c>
      <c r="EN66">
        <v>1.8672200000000001</v>
      </c>
      <c r="EO66">
        <v>1.8633900000000001</v>
      </c>
      <c r="EP66">
        <v>1.86446</v>
      </c>
      <c r="EQ66">
        <v>1.87015</v>
      </c>
      <c r="ER66">
        <v>1.86938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-0.31900000000000001</v>
      </c>
      <c r="FG66">
        <v>0.15140000000000001</v>
      </c>
      <c r="FH66">
        <v>5.0310448532705943E-2</v>
      </c>
      <c r="FI66">
        <v>-6.1462078757559423E-4</v>
      </c>
      <c r="FJ66">
        <v>-1.8861989874597051E-7</v>
      </c>
      <c r="FK66">
        <v>1.1980462299894961E-10</v>
      </c>
      <c r="FL66">
        <v>0.15140825623214971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13.7</v>
      </c>
      <c r="FU66">
        <v>13.6</v>
      </c>
      <c r="FV66">
        <v>1.7761199999999999</v>
      </c>
      <c r="FW66">
        <v>2.5781200000000002</v>
      </c>
      <c r="FX66">
        <v>1.5490699999999999</v>
      </c>
      <c r="FY66">
        <v>2.3315399999999999</v>
      </c>
      <c r="FZ66">
        <v>1.50146</v>
      </c>
      <c r="GA66">
        <v>2.4011200000000001</v>
      </c>
      <c r="GB66">
        <v>33.020600000000002</v>
      </c>
      <c r="GC66">
        <v>23.991199999999999</v>
      </c>
      <c r="GD66">
        <v>19</v>
      </c>
      <c r="GE66">
        <v>284.75400000000002</v>
      </c>
      <c r="GF66">
        <v>590.15800000000002</v>
      </c>
      <c r="GG66">
        <v>23.233599999999999</v>
      </c>
      <c r="GH66">
        <v>26.153700000000001</v>
      </c>
      <c r="GI66">
        <v>29.999500000000001</v>
      </c>
      <c r="GJ66">
        <v>26.2485</v>
      </c>
      <c r="GK66">
        <v>26.2117</v>
      </c>
      <c r="GL66">
        <v>35.498199999999997</v>
      </c>
      <c r="GM66">
        <v>68.332899999999995</v>
      </c>
      <c r="GN66">
        <v>68.663600000000002</v>
      </c>
      <c r="GO66">
        <v>23.098700000000001</v>
      </c>
      <c r="GP66">
        <v>800</v>
      </c>
      <c r="GQ66">
        <v>6.0460500000000001</v>
      </c>
      <c r="GR66">
        <v>99.7273</v>
      </c>
      <c r="GS66">
        <v>99.526399999999995</v>
      </c>
    </row>
    <row r="67" spans="1:201" x14ac:dyDescent="0.25">
      <c r="A67">
        <v>51</v>
      </c>
      <c r="B67">
        <v>1690292899.5999999</v>
      </c>
      <c r="C67">
        <v>629</v>
      </c>
      <c r="D67" t="s">
        <v>435</v>
      </c>
      <c r="E67" t="s">
        <v>436</v>
      </c>
      <c r="F67" t="s">
        <v>330</v>
      </c>
      <c r="H67">
        <v>1690292899.5999999</v>
      </c>
      <c r="I67">
        <f t="shared" si="0"/>
        <v>1.6506453258719265E-3</v>
      </c>
      <c r="J67">
        <f t="shared" si="1"/>
        <v>1.6506453258719265</v>
      </c>
      <c r="K67">
        <f t="shared" si="2"/>
        <v>25.275145612853269</v>
      </c>
      <c r="L67">
        <f t="shared" si="3"/>
        <v>538.58600000000001</v>
      </c>
      <c r="M67">
        <f t="shared" si="4"/>
        <v>188.36326791865795</v>
      </c>
      <c r="N67">
        <f t="shared" si="5"/>
        <v>18.731765588391077</v>
      </c>
      <c r="O67">
        <f t="shared" si="6"/>
        <v>53.559628757056004</v>
      </c>
      <c r="P67">
        <f t="shared" si="7"/>
        <v>0.12122624922500699</v>
      </c>
      <c r="Q67">
        <f t="shared" si="8"/>
        <v>2.2562601001596931</v>
      </c>
      <c r="R67">
        <f t="shared" si="9"/>
        <v>0.11772056128124497</v>
      </c>
      <c r="S67">
        <f t="shared" si="10"/>
        <v>7.3881878439751136E-2</v>
      </c>
      <c r="T67">
        <f t="shared" si="11"/>
        <v>276.11253843493114</v>
      </c>
      <c r="U67">
        <f t="shared" si="12"/>
        <v>26.851191857103508</v>
      </c>
      <c r="V67">
        <f t="shared" si="13"/>
        <v>26.851191857103508</v>
      </c>
      <c r="W67">
        <f t="shared" si="14"/>
        <v>3.5479973711434778</v>
      </c>
      <c r="X67">
        <f t="shared" si="15"/>
        <v>67.680443081393989</v>
      </c>
      <c r="Y67">
        <f t="shared" si="16"/>
        <v>2.1938637951455999</v>
      </c>
      <c r="Z67">
        <f t="shared" si="17"/>
        <v>3.2415032988291919</v>
      </c>
      <c r="AA67">
        <f t="shared" si="18"/>
        <v>1.3541335759978779</v>
      </c>
      <c r="AB67">
        <f t="shared" si="19"/>
        <v>-72.793458870951966</v>
      </c>
      <c r="AC67">
        <f t="shared" si="20"/>
        <v>-185.83982922955167</v>
      </c>
      <c r="AD67">
        <f t="shared" si="21"/>
        <v>-17.613983047632182</v>
      </c>
      <c r="AE67">
        <f t="shared" si="22"/>
        <v>-0.13473271320467006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52775.272584560691</v>
      </c>
      <c r="AK67">
        <f t="shared" si="26"/>
        <v>1799.99</v>
      </c>
      <c r="AL67">
        <f t="shared" si="27"/>
        <v>1499.1056677889098</v>
      </c>
      <c r="AM67">
        <f t="shared" si="28"/>
        <v>0.83284110899999986</v>
      </c>
      <c r="AN67">
        <f t="shared" si="29"/>
        <v>0.15339670689000001</v>
      </c>
      <c r="AO67">
        <v>30</v>
      </c>
      <c r="AP67">
        <v>0.5</v>
      </c>
      <c r="AQ67" t="s">
        <v>331</v>
      </c>
      <c r="AR67">
        <v>2</v>
      </c>
      <c r="AS67">
        <v>1690292899.5999999</v>
      </c>
      <c r="AT67">
        <v>538.58600000000001</v>
      </c>
      <c r="AU67">
        <v>800.03499999999997</v>
      </c>
      <c r="AV67">
        <v>22.0611</v>
      </c>
      <c r="AW67">
        <v>5.9306799999999997</v>
      </c>
      <c r="AX67">
        <v>538.90300000000002</v>
      </c>
      <c r="AY67">
        <v>21.909700000000001</v>
      </c>
      <c r="AZ67">
        <v>300.221</v>
      </c>
      <c r="BA67">
        <v>99.344800000000006</v>
      </c>
      <c r="BB67">
        <v>0.100096</v>
      </c>
      <c r="BC67">
        <v>25.323399999999999</v>
      </c>
      <c r="BD67">
        <v>27.146100000000001</v>
      </c>
      <c r="BE67">
        <v>26.571000000000002</v>
      </c>
      <c r="BF67">
        <v>0</v>
      </c>
      <c r="BG67">
        <v>0</v>
      </c>
      <c r="BH67">
        <v>9990</v>
      </c>
      <c r="BI67">
        <v>1060.3499999999999</v>
      </c>
      <c r="BJ67">
        <v>2.2846899999999999</v>
      </c>
      <c r="BK67">
        <v>-261.44799999999998</v>
      </c>
      <c r="BL67">
        <v>550.73599999999999</v>
      </c>
      <c r="BM67">
        <v>804.80799999999999</v>
      </c>
      <c r="BN67">
        <v>16.130400000000002</v>
      </c>
      <c r="BO67">
        <v>800.03499999999997</v>
      </c>
      <c r="BP67">
        <v>5.9306799999999997</v>
      </c>
      <c r="BQ67">
        <v>2.1916600000000002</v>
      </c>
      <c r="BR67">
        <v>0.58918199999999998</v>
      </c>
      <c r="BS67">
        <v>18.901499999999999</v>
      </c>
      <c r="BT67">
        <v>-0.55891500000000005</v>
      </c>
      <c r="BU67">
        <v>1799.99</v>
      </c>
      <c r="BV67">
        <v>0.91002099999999997</v>
      </c>
      <c r="BW67">
        <v>3.3999000000000001E-2</v>
      </c>
      <c r="BX67">
        <v>2.1991199999999999E-2</v>
      </c>
      <c r="BY67">
        <v>3.3989100000000001E-2</v>
      </c>
      <c r="BZ67">
        <v>25</v>
      </c>
      <c r="CA67">
        <v>33528.5</v>
      </c>
      <c r="CB67">
        <v>1690292073.5</v>
      </c>
      <c r="CC67" t="s">
        <v>332</v>
      </c>
      <c r="CD67">
        <v>1690292069.5</v>
      </c>
      <c r="CE67">
        <v>1690292073.5</v>
      </c>
      <c r="CF67">
        <v>4</v>
      </c>
      <c r="CG67">
        <v>-3.6999999999999998E-2</v>
      </c>
      <c r="CH67">
        <v>-1.6E-2</v>
      </c>
      <c r="CI67">
        <v>-0.45200000000000001</v>
      </c>
      <c r="CJ67">
        <v>0.108</v>
      </c>
      <c r="CK67">
        <v>730</v>
      </c>
      <c r="CL67">
        <v>18</v>
      </c>
      <c r="CM67">
        <v>0</v>
      </c>
      <c r="CN67">
        <v>0.01</v>
      </c>
      <c r="CO67">
        <v>-259.48309756097558</v>
      </c>
      <c r="CP67">
        <v>-10.86472473867564</v>
      </c>
      <c r="CQ67">
        <v>1.0716503526275429</v>
      </c>
      <c r="CR67">
        <v>-1</v>
      </c>
      <c r="CS67">
        <v>16.011790243902439</v>
      </c>
      <c r="CT67">
        <v>1.696710104529636</v>
      </c>
      <c r="CU67">
        <v>0.19324734915025099</v>
      </c>
      <c r="CV67">
        <v>-1</v>
      </c>
      <c r="CW67">
        <v>0</v>
      </c>
      <c r="CX67">
        <v>0</v>
      </c>
      <c r="CY67" t="s">
        <v>333</v>
      </c>
      <c r="CZ67">
        <v>2.3648199999999999</v>
      </c>
      <c r="DA67">
        <v>2.7138800000000001</v>
      </c>
      <c r="DB67">
        <v>0.11191</v>
      </c>
      <c r="DC67">
        <v>0.14651600000000001</v>
      </c>
      <c r="DD67">
        <v>0.10772900000000001</v>
      </c>
      <c r="DE67">
        <v>3.9195099999999997E-2</v>
      </c>
      <c r="DF67">
        <v>32425.4</v>
      </c>
      <c r="DG67">
        <v>27496</v>
      </c>
      <c r="DH67">
        <v>31169.599999999999</v>
      </c>
      <c r="DI67">
        <v>28071.8</v>
      </c>
      <c r="DJ67">
        <v>37756</v>
      </c>
      <c r="DK67">
        <v>38351.5</v>
      </c>
      <c r="DL67">
        <v>44355.6</v>
      </c>
      <c r="DM67">
        <v>42542</v>
      </c>
      <c r="DN67">
        <v>1.4819500000000001</v>
      </c>
      <c r="DO67">
        <v>2.0460799999999999</v>
      </c>
      <c r="DP67">
        <v>0.137128</v>
      </c>
      <c r="DQ67">
        <v>0.13000100000000001</v>
      </c>
      <c r="DR67">
        <v>24.9</v>
      </c>
      <c r="DS67">
        <v>24.439699999999998</v>
      </c>
      <c r="DT67">
        <v>52.4</v>
      </c>
      <c r="DU67">
        <v>28.2</v>
      </c>
      <c r="DV67">
        <v>20.247199999999999</v>
      </c>
      <c r="DW67">
        <v>61.443399999999997</v>
      </c>
      <c r="DX67">
        <v>34.615400000000001</v>
      </c>
      <c r="DY67">
        <v>1</v>
      </c>
      <c r="DZ67">
        <v>-9.7505099999999997E-2</v>
      </c>
      <c r="EA67">
        <v>1.23472</v>
      </c>
      <c r="EB67">
        <v>20.184100000000001</v>
      </c>
      <c r="EC67">
        <v>5.2409499999999998</v>
      </c>
      <c r="ED67">
        <v>12.039899999999999</v>
      </c>
      <c r="EE67">
        <v>5.0174000000000003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1.8688899999999999</v>
      </c>
      <c r="EL67">
        <v>1.8646100000000001</v>
      </c>
      <c r="EM67">
        <v>1.8692</v>
      </c>
      <c r="EN67">
        <v>1.8672200000000001</v>
      </c>
      <c r="EO67">
        <v>1.8633900000000001</v>
      </c>
      <c r="EP67">
        <v>1.86443</v>
      </c>
      <c r="EQ67">
        <v>1.87016</v>
      </c>
      <c r="ER67">
        <v>1.86937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-0.317</v>
      </c>
      <c r="FG67">
        <v>0.15140000000000001</v>
      </c>
      <c r="FH67">
        <v>5.0310448532705943E-2</v>
      </c>
      <c r="FI67">
        <v>-6.1462078757559423E-4</v>
      </c>
      <c r="FJ67">
        <v>-1.8861989874597051E-7</v>
      </c>
      <c r="FK67">
        <v>1.1980462299894961E-10</v>
      </c>
      <c r="FL67">
        <v>0.15140825623214971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13.8</v>
      </c>
      <c r="FU67">
        <v>13.8</v>
      </c>
      <c r="FV67">
        <v>1.7748999999999999</v>
      </c>
      <c r="FW67">
        <v>2.5830099999999998</v>
      </c>
      <c r="FX67">
        <v>1.5490699999999999</v>
      </c>
      <c r="FY67">
        <v>2.3315399999999999</v>
      </c>
      <c r="FZ67">
        <v>1.50146</v>
      </c>
      <c r="GA67">
        <v>2.36328</v>
      </c>
      <c r="GB67">
        <v>33.020600000000002</v>
      </c>
      <c r="GC67">
        <v>23.982399999999998</v>
      </c>
      <c r="GD67">
        <v>19</v>
      </c>
      <c r="GE67">
        <v>284.863</v>
      </c>
      <c r="GF67">
        <v>589.76499999999999</v>
      </c>
      <c r="GG67">
        <v>23.0715</v>
      </c>
      <c r="GH67">
        <v>26.153700000000001</v>
      </c>
      <c r="GI67">
        <v>30.000499999999999</v>
      </c>
      <c r="GJ67">
        <v>26.244399999999999</v>
      </c>
      <c r="GK67">
        <v>26.212</v>
      </c>
      <c r="GL67">
        <v>35.494500000000002</v>
      </c>
      <c r="GM67">
        <v>68.332899999999995</v>
      </c>
      <c r="GN67">
        <v>67.870800000000003</v>
      </c>
      <c r="GO67">
        <v>22.9146</v>
      </c>
      <c r="GP67">
        <v>800</v>
      </c>
      <c r="GQ67">
        <v>5.9794999999999998</v>
      </c>
      <c r="GR67">
        <v>99.727199999999996</v>
      </c>
      <c r="GS67">
        <v>99.525300000000001</v>
      </c>
    </row>
    <row r="68" spans="1:201" x14ac:dyDescent="0.25">
      <c r="A68">
        <v>52</v>
      </c>
      <c r="B68">
        <v>1690292909.5999999</v>
      </c>
      <c r="C68">
        <v>639</v>
      </c>
      <c r="D68" t="s">
        <v>437</v>
      </c>
      <c r="E68" t="s">
        <v>438</v>
      </c>
      <c r="F68" t="s">
        <v>330</v>
      </c>
      <c r="H68">
        <v>1690292909.5999999</v>
      </c>
      <c r="I68">
        <f t="shared" si="0"/>
        <v>1.6437842037783103E-3</v>
      </c>
      <c r="J68">
        <f t="shared" si="1"/>
        <v>1.6437842037783104</v>
      </c>
      <c r="K68">
        <f t="shared" si="2"/>
        <v>25.489671055289843</v>
      </c>
      <c r="L68">
        <f t="shared" si="3"/>
        <v>536.404</v>
      </c>
      <c r="M68">
        <f t="shared" si="4"/>
        <v>179.1876452661264</v>
      </c>
      <c r="N68">
        <f t="shared" si="5"/>
        <v>17.819538113733003</v>
      </c>
      <c r="O68">
        <f t="shared" si="6"/>
        <v>53.343362530171994</v>
      </c>
      <c r="P68">
        <f t="shared" si="7"/>
        <v>0.11974257766009089</v>
      </c>
      <c r="Q68">
        <f t="shared" si="8"/>
        <v>2.2600688818530177</v>
      </c>
      <c r="R68">
        <f t="shared" si="9"/>
        <v>0.11632646125759519</v>
      </c>
      <c r="S68">
        <f t="shared" si="10"/>
        <v>7.3002845001707492E-2</v>
      </c>
      <c r="T68">
        <f t="shared" si="11"/>
        <v>276.11495195399999</v>
      </c>
      <c r="U68">
        <f t="shared" si="12"/>
        <v>26.841439177735818</v>
      </c>
      <c r="V68">
        <f t="shared" si="13"/>
        <v>26.841439177735818</v>
      </c>
      <c r="W68">
        <f t="shared" si="14"/>
        <v>3.5459633319702459</v>
      </c>
      <c r="X68">
        <f t="shared" si="15"/>
        <v>67.327806489110088</v>
      </c>
      <c r="Y68">
        <f t="shared" si="16"/>
        <v>2.1811743369675995</v>
      </c>
      <c r="Z68">
        <f t="shared" si="17"/>
        <v>3.2396337422939703</v>
      </c>
      <c r="AA68">
        <f t="shared" si="18"/>
        <v>1.3647889950026464</v>
      </c>
      <c r="AB68">
        <f t="shared" si="19"/>
        <v>-72.49088338662348</v>
      </c>
      <c r="AC68">
        <f t="shared" si="20"/>
        <v>-186.14712583195907</v>
      </c>
      <c r="AD68">
        <f t="shared" si="21"/>
        <v>-17.611657395581787</v>
      </c>
      <c r="AE68">
        <f t="shared" si="22"/>
        <v>-0.13471466016434874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52926.73258232035</v>
      </c>
      <c r="AK68">
        <f t="shared" si="26"/>
        <v>1800</v>
      </c>
      <c r="AL68">
        <f t="shared" si="27"/>
        <v>1499.1152543999999</v>
      </c>
      <c r="AM68">
        <f t="shared" si="28"/>
        <v>0.83284180799999996</v>
      </c>
      <c r="AN68">
        <f t="shared" si="29"/>
        <v>0.15339719553</v>
      </c>
      <c r="AO68">
        <v>30</v>
      </c>
      <c r="AP68">
        <v>0.5</v>
      </c>
      <c r="AQ68" t="s">
        <v>331</v>
      </c>
      <c r="AR68">
        <v>2</v>
      </c>
      <c r="AS68">
        <v>1690292909.5999999</v>
      </c>
      <c r="AT68">
        <v>536.404</v>
      </c>
      <c r="AU68">
        <v>799.98800000000006</v>
      </c>
      <c r="AV68">
        <v>21.933199999999999</v>
      </c>
      <c r="AW68">
        <v>5.8638199999999996</v>
      </c>
      <c r="AX68">
        <v>536.72</v>
      </c>
      <c r="AY68">
        <v>21.7818</v>
      </c>
      <c r="AZ68">
        <v>300.14800000000002</v>
      </c>
      <c r="BA68">
        <v>99.346299999999999</v>
      </c>
      <c r="BB68">
        <v>9.9943000000000004E-2</v>
      </c>
      <c r="BC68">
        <v>25.313700000000001</v>
      </c>
      <c r="BD68">
        <v>27.130500000000001</v>
      </c>
      <c r="BE68">
        <v>26.575900000000001</v>
      </c>
      <c r="BF68">
        <v>0</v>
      </c>
      <c r="BG68">
        <v>0</v>
      </c>
      <c r="BH68">
        <v>10019.4</v>
      </c>
      <c r="BI68">
        <v>1060.31</v>
      </c>
      <c r="BJ68">
        <v>2.2987099999999998</v>
      </c>
      <c r="BK68">
        <v>-263.58300000000003</v>
      </c>
      <c r="BL68">
        <v>548.43299999999999</v>
      </c>
      <c r="BM68">
        <v>804.70600000000002</v>
      </c>
      <c r="BN68">
        <v>16.069299999999998</v>
      </c>
      <c r="BO68">
        <v>799.98800000000006</v>
      </c>
      <c r="BP68">
        <v>5.8638199999999996</v>
      </c>
      <c r="BQ68">
        <v>2.1789800000000001</v>
      </c>
      <c r="BR68">
        <v>0.58254899999999998</v>
      </c>
      <c r="BS68">
        <v>18.808599999999998</v>
      </c>
      <c r="BT68">
        <v>-0.71397600000000006</v>
      </c>
      <c r="BU68">
        <v>1800</v>
      </c>
      <c r="BV68">
        <v>0.91001799999999999</v>
      </c>
      <c r="BW68">
        <v>3.3997199999999998E-2</v>
      </c>
      <c r="BX68">
        <v>2.1997900000000001E-2</v>
      </c>
      <c r="BY68">
        <v>3.3987299999999998E-2</v>
      </c>
      <c r="BZ68">
        <v>25</v>
      </c>
      <c r="CA68">
        <v>33528.400000000001</v>
      </c>
      <c r="CB68">
        <v>1690292073.5</v>
      </c>
      <c r="CC68" t="s">
        <v>332</v>
      </c>
      <c r="CD68">
        <v>1690292069.5</v>
      </c>
      <c r="CE68">
        <v>1690292073.5</v>
      </c>
      <c r="CF68">
        <v>4</v>
      </c>
      <c r="CG68">
        <v>-3.6999999999999998E-2</v>
      </c>
      <c r="CH68">
        <v>-1.6E-2</v>
      </c>
      <c r="CI68">
        <v>-0.45200000000000001</v>
      </c>
      <c r="CJ68">
        <v>0.108</v>
      </c>
      <c r="CK68">
        <v>730</v>
      </c>
      <c r="CL68">
        <v>18</v>
      </c>
      <c r="CM68">
        <v>0</v>
      </c>
      <c r="CN68">
        <v>0.01</v>
      </c>
      <c r="CO68">
        <v>-261.40239024390252</v>
      </c>
      <c r="CP68">
        <v>-12.05512891986106</v>
      </c>
      <c r="CQ68">
        <v>1.1917016502965201</v>
      </c>
      <c r="CR68">
        <v>-1</v>
      </c>
      <c r="CS68">
        <v>16.126070731707319</v>
      </c>
      <c r="CT68">
        <v>-0.22120557491294501</v>
      </c>
      <c r="CU68">
        <v>3.0400956691480831E-2</v>
      </c>
      <c r="CV68">
        <v>-1</v>
      </c>
      <c r="CW68">
        <v>0</v>
      </c>
      <c r="CX68">
        <v>0</v>
      </c>
      <c r="CY68" t="s">
        <v>333</v>
      </c>
      <c r="CZ68">
        <v>2.3645800000000001</v>
      </c>
      <c r="DA68">
        <v>2.7137500000000001</v>
      </c>
      <c r="DB68">
        <v>0.111584</v>
      </c>
      <c r="DC68">
        <v>0.14651</v>
      </c>
      <c r="DD68">
        <v>0.10728500000000001</v>
      </c>
      <c r="DE68">
        <v>3.8833600000000003E-2</v>
      </c>
      <c r="DF68">
        <v>32437.3</v>
      </c>
      <c r="DG68">
        <v>27495.8</v>
      </c>
      <c r="DH68">
        <v>31169.5</v>
      </c>
      <c r="DI68">
        <v>28071.5</v>
      </c>
      <c r="DJ68">
        <v>37774.9</v>
      </c>
      <c r="DK68">
        <v>38365.800000000003</v>
      </c>
      <c r="DL68">
        <v>44355.6</v>
      </c>
      <c r="DM68">
        <v>42541.8</v>
      </c>
      <c r="DN68">
        <v>1.48167</v>
      </c>
      <c r="DO68">
        <v>2.04603</v>
      </c>
      <c r="DP68">
        <v>0.13694899999999999</v>
      </c>
      <c r="DQ68">
        <v>0.13061600000000001</v>
      </c>
      <c r="DR68">
        <v>24.8872</v>
      </c>
      <c r="DS68">
        <v>24.4346</v>
      </c>
      <c r="DT68">
        <v>52.1</v>
      </c>
      <c r="DU68">
        <v>28.2</v>
      </c>
      <c r="DV68">
        <v>20.133500000000002</v>
      </c>
      <c r="DW68">
        <v>61.523400000000002</v>
      </c>
      <c r="DX68">
        <v>34.603400000000001</v>
      </c>
      <c r="DY68">
        <v>1</v>
      </c>
      <c r="DZ68">
        <v>-9.6422800000000003E-2</v>
      </c>
      <c r="EA68">
        <v>1.6375500000000001</v>
      </c>
      <c r="EB68">
        <v>20.1798</v>
      </c>
      <c r="EC68">
        <v>5.2404999999999999</v>
      </c>
      <c r="ED68">
        <v>12.039899999999999</v>
      </c>
      <c r="EE68">
        <v>5.0170000000000003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1.8688899999999999</v>
      </c>
      <c r="EL68">
        <v>1.8646100000000001</v>
      </c>
      <c r="EM68">
        <v>1.8692</v>
      </c>
      <c r="EN68">
        <v>1.8672200000000001</v>
      </c>
      <c r="EO68">
        <v>1.86338</v>
      </c>
      <c r="EP68">
        <v>1.8644499999999999</v>
      </c>
      <c r="EQ68">
        <v>1.87015</v>
      </c>
      <c r="ER68">
        <v>1.86937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-0.316</v>
      </c>
      <c r="FG68">
        <v>0.15140000000000001</v>
      </c>
      <c r="FH68">
        <v>5.0310448532705943E-2</v>
      </c>
      <c r="FI68">
        <v>-6.1462078757559423E-4</v>
      </c>
      <c r="FJ68">
        <v>-1.8861989874597051E-7</v>
      </c>
      <c r="FK68">
        <v>1.1980462299894961E-10</v>
      </c>
      <c r="FL68">
        <v>0.15140825623214971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14</v>
      </c>
      <c r="FU68">
        <v>13.9</v>
      </c>
      <c r="FV68">
        <v>1.7748999999999999</v>
      </c>
      <c r="FW68">
        <v>2.5854499999999998</v>
      </c>
      <c r="FX68">
        <v>1.5490699999999999</v>
      </c>
      <c r="FY68">
        <v>2.3315399999999999</v>
      </c>
      <c r="FZ68">
        <v>1.50146</v>
      </c>
      <c r="GA68">
        <v>2.323</v>
      </c>
      <c r="GB68">
        <v>33.020600000000002</v>
      </c>
      <c r="GC68">
        <v>23.973700000000001</v>
      </c>
      <c r="GD68">
        <v>19</v>
      </c>
      <c r="GE68">
        <v>284.73500000000001</v>
      </c>
      <c r="GF68">
        <v>589.74599999999998</v>
      </c>
      <c r="GG68">
        <v>22.763500000000001</v>
      </c>
      <c r="GH68">
        <v>26.151499999999999</v>
      </c>
      <c r="GI68">
        <v>30.000399999999999</v>
      </c>
      <c r="GJ68">
        <v>26.2423</v>
      </c>
      <c r="GK68">
        <v>26.213899999999999</v>
      </c>
      <c r="GL68">
        <v>35.488</v>
      </c>
      <c r="GM68">
        <v>68.332899999999995</v>
      </c>
      <c r="GN68">
        <v>67.092500000000001</v>
      </c>
      <c r="GO68">
        <v>22.645299999999999</v>
      </c>
      <c r="GP68">
        <v>800</v>
      </c>
      <c r="GQ68">
        <v>5.91798</v>
      </c>
      <c r="GR68">
        <v>99.727099999999993</v>
      </c>
      <c r="GS68">
        <v>99.524600000000007</v>
      </c>
    </row>
    <row r="69" spans="1:201" x14ac:dyDescent="0.25">
      <c r="A69">
        <v>53</v>
      </c>
      <c r="B69">
        <v>1690292919.5999999</v>
      </c>
      <c r="C69">
        <v>649</v>
      </c>
      <c r="D69" t="s">
        <v>439</v>
      </c>
      <c r="E69" t="s">
        <v>440</v>
      </c>
      <c r="F69" t="s">
        <v>330</v>
      </c>
      <c r="H69">
        <v>1690292919.5999999</v>
      </c>
      <c r="I69">
        <f t="shared" si="0"/>
        <v>1.6387167455838836E-3</v>
      </c>
      <c r="J69">
        <f t="shared" si="1"/>
        <v>1.6387167455838836</v>
      </c>
      <c r="K69">
        <f t="shared" si="2"/>
        <v>25.733452072686006</v>
      </c>
      <c r="L69">
        <f t="shared" si="3"/>
        <v>534.07000000000005</v>
      </c>
      <c r="M69">
        <f t="shared" si="4"/>
        <v>172.16510329010129</v>
      </c>
      <c r="N69">
        <f t="shared" si="5"/>
        <v>17.121552459692349</v>
      </c>
      <c r="O69">
        <f t="shared" si="6"/>
        <v>53.112433050616012</v>
      </c>
      <c r="P69">
        <f t="shared" si="7"/>
        <v>0.11923533341881136</v>
      </c>
      <c r="Q69">
        <f t="shared" si="8"/>
        <v>2.264352528802493</v>
      </c>
      <c r="R69">
        <f t="shared" si="9"/>
        <v>0.11585387010393303</v>
      </c>
      <c r="S69">
        <f t="shared" si="10"/>
        <v>7.2704492138491283E-2</v>
      </c>
      <c r="T69">
        <f t="shared" si="11"/>
        <v>276.11650274399994</v>
      </c>
      <c r="U69">
        <f t="shared" si="12"/>
        <v>26.806327046100769</v>
      </c>
      <c r="V69">
        <f t="shared" si="13"/>
        <v>26.806327046100769</v>
      </c>
      <c r="W69">
        <f t="shared" si="14"/>
        <v>3.5386487001325784</v>
      </c>
      <c r="X69">
        <f t="shared" si="15"/>
        <v>67.192652684977389</v>
      </c>
      <c r="Y69">
        <f t="shared" si="16"/>
        <v>2.1723718052769603</v>
      </c>
      <c r="Z69">
        <f t="shared" si="17"/>
        <v>3.233049624431108</v>
      </c>
      <c r="AA69">
        <f t="shared" si="18"/>
        <v>1.3662768948556181</v>
      </c>
      <c r="AB69">
        <f t="shared" si="19"/>
        <v>-72.267408480249273</v>
      </c>
      <c r="AC69">
        <f t="shared" si="20"/>
        <v>-186.38859270355161</v>
      </c>
      <c r="AD69">
        <f t="shared" si="21"/>
        <v>-17.595024335175818</v>
      </c>
      <c r="AE69">
        <f t="shared" si="22"/>
        <v>-0.13452277497677301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53101.535396379535</v>
      </c>
      <c r="AK69">
        <f t="shared" si="26"/>
        <v>1800</v>
      </c>
      <c r="AL69">
        <f t="shared" si="27"/>
        <v>1499.1157223999999</v>
      </c>
      <c r="AM69">
        <f t="shared" si="28"/>
        <v>0.83284206799999994</v>
      </c>
      <c r="AN69">
        <f t="shared" si="29"/>
        <v>0.15339805707999998</v>
      </c>
      <c r="AO69">
        <v>30</v>
      </c>
      <c r="AP69">
        <v>0.5</v>
      </c>
      <c r="AQ69" t="s">
        <v>331</v>
      </c>
      <c r="AR69">
        <v>2</v>
      </c>
      <c r="AS69">
        <v>1690292919.5999999</v>
      </c>
      <c r="AT69">
        <v>534.07000000000005</v>
      </c>
      <c r="AU69">
        <v>799.95699999999999</v>
      </c>
      <c r="AV69">
        <v>21.844200000000001</v>
      </c>
      <c r="AW69">
        <v>5.8270099999999996</v>
      </c>
      <c r="AX69">
        <v>534.38400000000001</v>
      </c>
      <c r="AY69">
        <v>21.692799999999998</v>
      </c>
      <c r="AZ69">
        <v>300.22500000000002</v>
      </c>
      <c r="BA69">
        <v>99.348500000000001</v>
      </c>
      <c r="BB69">
        <v>9.9948800000000004E-2</v>
      </c>
      <c r="BC69">
        <v>25.279499999999999</v>
      </c>
      <c r="BD69">
        <v>27.096499999999999</v>
      </c>
      <c r="BE69">
        <v>26.563600000000001</v>
      </c>
      <c r="BF69">
        <v>0</v>
      </c>
      <c r="BG69">
        <v>0</v>
      </c>
      <c r="BH69">
        <v>10052.5</v>
      </c>
      <c r="BI69">
        <v>1060.24</v>
      </c>
      <c r="BJ69">
        <v>2.2987099999999998</v>
      </c>
      <c r="BK69">
        <v>-265.887</v>
      </c>
      <c r="BL69">
        <v>545.99699999999996</v>
      </c>
      <c r="BM69">
        <v>804.64599999999996</v>
      </c>
      <c r="BN69">
        <v>16.017199999999999</v>
      </c>
      <c r="BO69">
        <v>799.95699999999999</v>
      </c>
      <c r="BP69">
        <v>5.8270099999999996</v>
      </c>
      <c r="BQ69">
        <v>2.1701899999999998</v>
      </c>
      <c r="BR69">
        <v>0.578905</v>
      </c>
      <c r="BS69">
        <v>18.7439</v>
      </c>
      <c r="BT69">
        <v>-0.79983199999999999</v>
      </c>
      <c r="BU69">
        <v>1800</v>
      </c>
      <c r="BV69">
        <v>0.91000700000000001</v>
      </c>
      <c r="BW69">
        <v>3.3996199999999997E-2</v>
      </c>
      <c r="BX69">
        <v>2.2010399999999999E-2</v>
      </c>
      <c r="BY69">
        <v>3.39864E-2</v>
      </c>
      <c r="BZ69">
        <v>25</v>
      </c>
      <c r="CA69">
        <v>33528.300000000003</v>
      </c>
      <c r="CB69">
        <v>1690292073.5</v>
      </c>
      <c r="CC69" t="s">
        <v>332</v>
      </c>
      <c r="CD69">
        <v>1690292069.5</v>
      </c>
      <c r="CE69">
        <v>1690292073.5</v>
      </c>
      <c r="CF69">
        <v>4</v>
      </c>
      <c r="CG69">
        <v>-3.6999999999999998E-2</v>
      </c>
      <c r="CH69">
        <v>-1.6E-2</v>
      </c>
      <c r="CI69">
        <v>-0.45200000000000001</v>
      </c>
      <c r="CJ69">
        <v>0.108</v>
      </c>
      <c r="CK69">
        <v>730</v>
      </c>
      <c r="CL69">
        <v>18</v>
      </c>
      <c r="CM69">
        <v>0</v>
      </c>
      <c r="CN69">
        <v>0.01</v>
      </c>
      <c r="CO69">
        <v>-263.46573170731699</v>
      </c>
      <c r="CP69">
        <v>-13.044062717770309</v>
      </c>
      <c r="CQ69">
        <v>1.2882266128549831</v>
      </c>
      <c r="CR69">
        <v>-1</v>
      </c>
      <c r="CS69">
        <v>16.073956097560981</v>
      </c>
      <c r="CT69">
        <v>-0.3653623693379755</v>
      </c>
      <c r="CU69">
        <v>3.6090489584231299E-2</v>
      </c>
      <c r="CV69">
        <v>-1</v>
      </c>
      <c r="CW69">
        <v>0</v>
      </c>
      <c r="CX69">
        <v>0</v>
      </c>
      <c r="CY69" t="s">
        <v>333</v>
      </c>
      <c r="CZ69">
        <v>2.3648600000000002</v>
      </c>
      <c r="DA69">
        <v>2.7137899999999999</v>
      </c>
      <c r="DB69">
        <v>0.111235</v>
      </c>
      <c r="DC69">
        <v>0.146509</v>
      </c>
      <c r="DD69">
        <v>0.106977</v>
      </c>
      <c r="DE69">
        <v>3.8634599999999998E-2</v>
      </c>
      <c r="DF69">
        <v>32449.599999999999</v>
      </c>
      <c r="DG69">
        <v>27496.1</v>
      </c>
      <c r="DH69">
        <v>31169.1</v>
      </c>
      <c r="DI69">
        <v>28071.7</v>
      </c>
      <c r="DJ69">
        <v>37787.599999999999</v>
      </c>
      <c r="DK69">
        <v>38374.1</v>
      </c>
      <c r="DL69">
        <v>44355.1</v>
      </c>
      <c r="DM69">
        <v>42542.2</v>
      </c>
      <c r="DN69">
        <v>1.4816199999999999</v>
      </c>
      <c r="DO69">
        <v>2.0455299999999998</v>
      </c>
      <c r="DP69">
        <v>0.135571</v>
      </c>
      <c r="DQ69">
        <v>0.13022900000000001</v>
      </c>
      <c r="DR69">
        <v>24.875699999999998</v>
      </c>
      <c r="DS69">
        <v>24.428599999999999</v>
      </c>
      <c r="DT69">
        <v>51.7</v>
      </c>
      <c r="DU69">
        <v>28.2</v>
      </c>
      <c r="DV69">
        <v>19.9756</v>
      </c>
      <c r="DW69">
        <v>61.3934</v>
      </c>
      <c r="DX69">
        <v>34.435099999999998</v>
      </c>
      <c r="DY69">
        <v>1</v>
      </c>
      <c r="DZ69">
        <v>-9.6097600000000005E-2</v>
      </c>
      <c r="EA69">
        <v>1.68967</v>
      </c>
      <c r="EB69">
        <v>20.179300000000001</v>
      </c>
      <c r="EC69">
        <v>5.2411000000000003</v>
      </c>
      <c r="ED69">
        <v>12.039899999999999</v>
      </c>
      <c r="EE69">
        <v>5.0171000000000001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1.8646100000000001</v>
      </c>
      <c r="EM69">
        <v>1.8692</v>
      </c>
      <c r="EN69">
        <v>1.8672200000000001</v>
      </c>
      <c r="EO69">
        <v>1.86337</v>
      </c>
      <c r="EP69">
        <v>1.8644499999999999</v>
      </c>
      <c r="EQ69">
        <v>1.8701399999999999</v>
      </c>
      <c r="ER69">
        <v>1.86937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-0.314</v>
      </c>
      <c r="FG69">
        <v>0.15140000000000001</v>
      </c>
      <c r="FH69">
        <v>5.0310448532705943E-2</v>
      </c>
      <c r="FI69">
        <v>-6.1462078757559423E-4</v>
      </c>
      <c r="FJ69">
        <v>-1.8861989874597051E-7</v>
      </c>
      <c r="FK69">
        <v>1.1980462299894961E-10</v>
      </c>
      <c r="FL69">
        <v>0.15140825623214971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14.2</v>
      </c>
      <c r="FU69">
        <v>14.1</v>
      </c>
      <c r="FV69">
        <v>1.7748999999999999</v>
      </c>
      <c r="FW69">
        <v>2.5878899999999998</v>
      </c>
      <c r="FX69">
        <v>1.5490699999999999</v>
      </c>
      <c r="FY69">
        <v>2.3315399999999999</v>
      </c>
      <c r="FZ69">
        <v>1.50146</v>
      </c>
      <c r="GA69">
        <v>2.2985799999999998</v>
      </c>
      <c r="GB69">
        <v>33.020600000000002</v>
      </c>
      <c r="GC69">
        <v>23.973700000000001</v>
      </c>
      <c r="GD69">
        <v>19</v>
      </c>
      <c r="GE69">
        <v>284.714</v>
      </c>
      <c r="GF69">
        <v>589.33000000000004</v>
      </c>
      <c r="GG69">
        <v>22.486899999999999</v>
      </c>
      <c r="GH69">
        <v>26.1493</v>
      </c>
      <c r="GI69">
        <v>30.000499999999999</v>
      </c>
      <c r="GJ69">
        <v>26.2423</v>
      </c>
      <c r="GK69">
        <v>26.213899999999999</v>
      </c>
      <c r="GL69">
        <v>35.4895</v>
      </c>
      <c r="GM69">
        <v>68.0488</v>
      </c>
      <c r="GN69">
        <v>66.320099999999996</v>
      </c>
      <c r="GO69">
        <v>22.4129</v>
      </c>
      <c r="GP69">
        <v>800</v>
      </c>
      <c r="GQ69">
        <v>5.8439100000000002</v>
      </c>
      <c r="GR69">
        <v>99.725999999999999</v>
      </c>
      <c r="GS69">
        <v>99.525499999999994</v>
      </c>
    </row>
    <row r="70" spans="1:201" x14ac:dyDescent="0.25">
      <c r="A70">
        <v>54</v>
      </c>
      <c r="B70">
        <v>1690292929.5999999</v>
      </c>
      <c r="C70">
        <v>659</v>
      </c>
      <c r="D70" t="s">
        <v>441</v>
      </c>
      <c r="E70" t="s">
        <v>442</v>
      </c>
      <c r="F70" t="s">
        <v>330</v>
      </c>
      <c r="H70">
        <v>1690292929.5999999</v>
      </c>
      <c r="I70">
        <f t="shared" si="0"/>
        <v>1.6401791667578207E-3</v>
      </c>
      <c r="J70">
        <f t="shared" si="1"/>
        <v>1.6401791667578207</v>
      </c>
      <c r="K70">
        <f t="shared" si="2"/>
        <v>25.960616028401532</v>
      </c>
      <c r="L70">
        <f t="shared" si="3"/>
        <v>531.80399999999997</v>
      </c>
      <c r="M70">
        <f t="shared" si="4"/>
        <v>167.55897320680765</v>
      </c>
      <c r="N70">
        <f t="shared" si="5"/>
        <v>16.662976654294063</v>
      </c>
      <c r="O70">
        <f t="shared" si="6"/>
        <v>52.885485432779994</v>
      </c>
      <c r="P70">
        <f t="shared" si="7"/>
        <v>0.11948741033708157</v>
      </c>
      <c r="Q70">
        <f t="shared" si="8"/>
        <v>2.2548968069399145</v>
      </c>
      <c r="R70">
        <f t="shared" si="9"/>
        <v>0.11607805199259134</v>
      </c>
      <c r="S70">
        <f t="shared" si="10"/>
        <v>7.2846996845325931E-2</v>
      </c>
      <c r="T70">
        <f t="shared" si="11"/>
        <v>276.11646831000002</v>
      </c>
      <c r="U70">
        <f t="shared" si="12"/>
        <v>26.779037319663228</v>
      </c>
      <c r="V70">
        <f t="shared" si="13"/>
        <v>26.779037319663228</v>
      </c>
      <c r="W70">
        <f t="shared" si="14"/>
        <v>3.5329727488849603</v>
      </c>
      <c r="X70">
        <f t="shared" si="15"/>
        <v>67.190810443486853</v>
      </c>
      <c r="Y70">
        <f t="shared" si="16"/>
        <v>2.1680897028009998</v>
      </c>
      <c r="Z70">
        <f t="shared" si="17"/>
        <v>3.2267652205572754</v>
      </c>
      <c r="AA70">
        <f t="shared" si="18"/>
        <v>1.3648830460839605</v>
      </c>
      <c r="AB70">
        <f t="shared" si="19"/>
        <v>-72.331901254019897</v>
      </c>
      <c r="AC70">
        <f t="shared" si="20"/>
        <v>-186.26795687798713</v>
      </c>
      <c r="AD70">
        <f t="shared" si="21"/>
        <v>-17.652059982657047</v>
      </c>
      <c r="AE70">
        <f t="shared" si="22"/>
        <v>-0.13544980466403445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52735.299549096941</v>
      </c>
      <c r="AK70">
        <f t="shared" si="26"/>
        <v>1800</v>
      </c>
      <c r="AL70">
        <f t="shared" si="27"/>
        <v>1499.1160500000001</v>
      </c>
      <c r="AM70">
        <f t="shared" si="28"/>
        <v>0.83284225000000001</v>
      </c>
      <c r="AN70">
        <f t="shared" si="29"/>
        <v>0.15339803795000001</v>
      </c>
      <c r="AO70">
        <v>30</v>
      </c>
      <c r="AP70">
        <v>0.5</v>
      </c>
      <c r="AQ70" t="s">
        <v>331</v>
      </c>
      <c r="AR70">
        <v>2</v>
      </c>
      <c r="AS70">
        <v>1690292929.5999999</v>
      </c>
      <c r="AT70">
        <v>531.80399999999997</v>
      </c>
      <c r="AU70">
        <v>799.94500000000005</v>
      </c>
      <c r="AV70">
        <v>21.8018</v>
      </c>
      <c r="AW70">
        <v>5.7688199999999998</v>
      </c>
      <c r="AX70">
        <v>532.11599999999999</v>
      </c>
      <c r="AY70">
        <v>21.650400000000001</v>
      </c>
      <c r="AZ70">
        <v>300.20999999999998</v>
      </c>
      <c r="BA70">
        <v>99.345399999999998</v>
      </c>
      <c r="BB70">
        <v>0.100045</v>
      </c>
      <c r="BC70">
        <v>25.2468</v>
      </c>
      <c r="BD70">
        <v>27.051600000000001</v>
      </c>
      <c r="BE70">
        <v>26.500699999999998</v>
      </c>
      <c r="BF70">
        <v>0</v>
      </c>
      <c r="BG70">
        <v>0</v>
      </c>
      <c r="BH70">
        <v>9979.3799999999992</v>
      </c>
      <c r="BI70">
        <v>1060.1500000000001</v>
      </c>
      <c r="BJ70">
        <v>2.2987099999999998</v>
      </c>
      <c r="BK70">
        <v>-268.14100000000002</v>
      </c>
      <c r="BL70">
        <v>543.65700000000004</v>
      </c>
      <c r="BM70">
        <v>804.58699999999999</v>
      </c>
      <c r="BN70">
        <v>16.033000000000001</v>
      </c>
      <c r="BO70">
        <v>799.94500000000005</v>
      </c>
      <c r="BP70">
        <v>5.7688199999999998</v>
      </c>
      <c r="BQ70">
        <v>2.1659099999999998</v>
      </c>
      <c r="BR70">
        <v>0.573106</v>
      </c>
      <c r="BS70">
        <v>18.712399999999999</v>
      </c>
      <c r="BT70">
        <v>-0.93745500000000004</v>
      </c>
      <c r="BU70">
        <v>1800</v>
      </c>
      <c r="BV70">
        <v>0.91000700000000001</v>
      </c>
      <c r="BW70">
        <v>3.3994900000000002E-2</v>
      </c>
      <c r="BX70">
        <v>2.2009500000000001E-2</v>
      </c>
      <c r="BY70">
        <v>3.3988900000000002E-2</v>
      </c>
      <c r="BZ70">
        <v>25</v>
      </c>
      <c r="CA70">
        <v>33528.300000000003</v>
      </c>
      <c r="CB70">
        <v>1690292073.5</v>
      </c>
      <c r="CC70" t="s">
        <v>332</v>
      </c>
      <c r="CD70">
        <v>1690292069.5</v>
      </c>
      <c r="CE70">
        <v>1690292073.5</v>
      </c>
      <c r="CF70">
        <v>4</v>
      </c>
      <c r="CG70">
        <v>-3.6999999999999998E-2</v>
      </c>
      <c r="CH70">
        <v>-1.6E-2</v>
      </c>
      <c r="CI70">
        <v>-0.45200000000000001</v>
      </c>
      <c r="CJ70">
        <v>0.108</v>
      </c>
      <c r="CK70">
        <v>730</v>
      </c>
      <c r="CL70">
        <v>18</v>
      </c>
      <c r="CM70">
        <v>0</v>
      </c>
      <c r="CN70">
        <v>0.01</v>
      </c>
      <c r="CO70">
        <v>-265.66217499999999</v>
      </c>
      <c r="CP70">
        <v>-14.416964352720219</v>
      </c>
      <c r="CQ70">
        <v>1.3876322799556799</v>
      </c>
      <c r="CR70">
        <v>-1</v>
      </c>
      <c r="CS70">
        <v>16.033367500000001</v>
      </c>
      <c r="CT70">
        <v>-0.1464664165103963</v>
      </c>
      <c r="CU70">
        <v>1.8020563080825131E-2</v>
      </c>
      <c r="CV70">
        <v>-1</v>
      </c>
      <c r="CW70">
        <v>0</v>
      </c>
      <c r="CX70">
        <v>0</v>
      </c>
      <c r="CY70" t="s">
        <v>333</v>
      </c>
      <c r="CZ70">
        <v>2.3648099999999999</v>
      </c>
      <c r="DA70">
        <v>2.7138200000000001</v>
      </c>
      <c r="DB70">
        <v>0.11089</v>
      </c>
      <c r="DC70">
        <v>0.14650199999999999</v>
      </c>
      <c r="DD70">
        <v>0.106826</v>
      </c>
      <c r="DE70">
        <v>3.8316900000000001E-2</v>
      </c>
      <c r="DF70">
        <v>32462.7</v>
      </c>
      <c r="DG70">
        <v>27496.9</v>
      </c>
      <c r="DH70">
        <v>31169.599999999999</v>
      </c>
      <c r="DI70">
        <v>28072.3</v>
      </c>
      <c r="DJ70">
        <v>37794.6</v>
      </c>
      <c r="DK70">
        <v>38387.599999999999</v>
      </c>
      <c r="DL70">
        <v>44355.8</v>
      </c>
      <c r="DM70">
        <v>42543</v>
      </c>
      <c r="DN70">
        <v>1.4818</v>
      </c>
      <c r="DO70">
        <v>2.0457700000000001</v>
      </c>
      <c r="DP70">
        <v>0.13351399999999999</v>
      </c>
      <c r="DQ70">
        <v>0.12695000000000001</v>
      </c>
      <c r="DR70">
        <v>24.8644</v>
      </c>
      <c r="DS70">
        <v>24.4193</v>
      </c>
      <c r="DT70">
        <v>51.2</v>
      </c>
      <c r="DU70">
        <v>28.2</v>
      </c>
      <c r="DV70">
        <v>19.783899999999999</v>
      </c>
      <c r="DW70">
        <v>61.593400000000003</v>
      </c>
      <c r="DX70">
        <v>34.703499999999998</v>
      </c>
      <c r="DY70">
        <v>1</v>
      </c>
      <c r="DZ70">
        <v>-9.6717499999999998E-2</v>
      </c>
      <c r="EA70">
        <v>1.6209800000000001</v>
      </c>
      <c r="EB70">
        <v>20.180099999999999</v>
      </c>
      <c r="EC70">
        <v>5.2400500000000001</v>
      </c>
      <c r="ED70">
        <v>12.039899999999999</v>
      </c>
      <c r="EE70">
        <v>5.0168999999999997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1.8688800000000001</v>
      </c>
      <c r="EL70">
        <v>1.8646199999999999</v>
      </c>
      <c r="EM70">
        <v>1.8692</v>
      </c>
      <c r="EN70">
        <v>1.8672200000000001</v>
      </c>
      <c r="EO70">
        <v>1.86338</v>
      </c>
      <c r="EP70">
        <v>1.86446</v>
      </c>
      <c r="EQ70">
        <v>1.87016</v>
      </c>
      <c r="ER70">
        <v>1.8693599999999999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-0.312</v>
      </c>
      <c r="FG70">
        <v>0.15140000000000001</v>
      </c>
      <c r="FH70">
        <v>5.0310448532705943E-2</v>
      </c>
      <c r="FI70">
        <v>-6.1462078757559423E-4</v>
      </c>
      <c r="FJ70">
        <v>-1.8861989874597051E-7</v>
      </c>
      <c r="FK70">
        <v>1.1980462299894961E-10</v>
      </c>
      <c r="FL70">
        <v>0.15140825623214971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14.3</v>
      </c>
      <c r="FU70">
        <v>14.3</v>
      </c>
      <c r="FV70">
        <v>1.7748999999999999</v>
      </c>
      <c r="FW70">
        <v>2.5817899999999998</v>
      </c>
      <c r="FX70">
        <v>1.5490699999999999</v>
      </c>
      <c r="FY70">
        <v>2.3315399999999999</v>
      </c>
      <c r="FZ70">
        <v>1.50146</v>
      </c>
      <c r="GA70">
        <v>2.2888199999999999</v>
      </c>
      <c r="GB70">
        <v>33.020600000000002</v>
      </c>
      <c r="GC70">
        <v>23.982399999999998</v>
      </c>
      <c r="GD70">
        <v>19</v>
      </c>
      <c r="GE70">
        <v>284.78899999999999</v>
      </c>
      <c r="GF70">
        <v>589.53800000000001</v>
      </c>
      <c r="GG70">
        <v>22.2836</v>
      </c>
      <c r="GH70">
        <v>26.147099999999998</v>
      </c>
      <c r="GI70">
        <v>29.9998</v>
      </c>
      <c r="GJ70">
        <v>26.2423</v>
      </c>
      <c r="GK70">
        <v>26.213899999999999</v>
      </c>
      <c r="GL70">
        <v>35.486400000000003</v>
      </c>
      <c r="GM70">
        <v>68.0488</v>
      </c>
      <c r="GN70">
        <v>65.1571</v>
      </c>
      <c r="GO70">
        <v>22.248999999999999</v>
      </c>
      <c r="GP70">
        <v>800</v>
      </c>
      <c r="GQ70">
        <v>5.7534299999999998</v>
      </c>
      <c r="GR70">
        <v>99.727400000000003</v>
      </c>
      <c r="GS70">
        <v>99.527500000000003</v>
      </c>
    </row>
    <row r="71" spans="1:201" x14ac:dyDescent="0.25">
      <c r="A71">
        <v>55</v>
      </c>
      <c r="B71">
        <v>1690292939.5999999</v>
      </c>
      <c r="C71">
        <v>669</v>
      </c>
      <c r="D71" t="s">
        <v>443</v>
      </c>
      <c r="E71" t="s">
        <v>444</v>
      </c>
      <c r="F71" t="s">
        <v>330</v>
      </c>
      <c r="H71">
        <v>1690292939.5999999</v>
      </c>
      <c r="I71">
        <f t="shared" si="0"/>
        <v>1.643355121232207E-3</v>
      </c>
      <c r="J71">
        <f t="shared" si="1"/>
        <v>1.6433551212322071</v>
      </c>
      <c r="K71">
        <f t="shared" si="2"/>
        <v>26.189820521695239</v>
      </c>
      <c r="L71">
        <f t="shared" si="3"/>
        <v>529.57399999999996</v>
      </c>
      <c r="M71">
        <f t="shared" si="4"/>
        <v>165.12688915220289</v>
      </c>
      <c r="N71">
        <f t="shared" si="5"/>
        <v>16.421111358892258</v>
      </c>
      <c r="O71">
        <f t="shared" si="6"/>
        <v>52.663704084913988</v>
      </c>
      <c r="P71">
        <f t="shared" si="7"/>
        <v>0.12046144896932771</v>
      </c>
      <c r="Q71">
        <f t="shared" si="8"/>
        <v>2.2572354311139784</v>
      </c>
      <c r="R71">
        <f t="shared" si="9"/>
        <v>0.1170006249654196</v>
      </c>
      <c r="S71">
        <f t="shared" si="10"/>
        <v>7.3428049934048251E-2</v>
      </c>
      <c r="T71">
        <f t="shared" si="11"/>
        <v>276.11655341399995</v>
      </c>
      <c r="U71">
        <f t="shared" si="12"/>
        <v>26.731494289389957</v>
      </c>
      <c r="V71">
        <f t="shared" si="13"/>
        <v>26.731494289389957</v>
      </c>
      <c r="W71">
        <f t="shared" si="14"/>
        <v>3.5231033255360282</v>
      </c>
      <c r="X71">
        <f t="shared" si="15"/>
        <v>67.315148298755659</v>
      </c>
      <c r="Y71">
        <f t="shared" si="16"/>
        <v>2.1662790550595998</v>
      </c>
      <c r="Z71">
        <f t="shared" si="17"/>
        <v>3.2181152531155375</v>
      </c>
      <c r="AA71">
        <f t="shared" si="18"/>
        <v>1.3568242704764284</v>
      </c>
      <c r="AB71">
        <f t="shared" si="19"/>
        <v>-72.471960846340323</v>
      </c>
      <c r="AC71">
        <f t="shared" si="20"/>
        <v>-186.16384378888483</v>
      </c>
      <c r="AD71">
        <f t="shared" si="21"/>
        <v>-17.615725502201453</v>
      </c>
      <c r="AE71">
        <f t="shared" si="22"/>
        <v>-0.13497672342663236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52835.15251103606</v>
      </c>
      <c r="AK71">
        <f t="shared" si="26"/>
        <v>1800</v>
      </c>
      <c r="AL71">
        <f t="shared" si="27"/>
        <v>1499.1121133999998</v>
      </c>
      <c r="AM71">
        <f t="shared" si="28"/>
        <v>0.83284006299999991</v>
      </c>
      <c r="AN71">
        <f t="shared" si="29"/>
        <v>0.15339808522999998</v>
      </c>
      <c r="AO71">
        <v>30</v>
      </c>
      <c r="AP71">
        <v>0.5</v>
      </c>
      <c r="AQ71" t="s">
        <v>331</v>
      </c>
      <c r="AR71">
        <v>2</v>
      </c>
      <c r="AS71">
        <v>1690292939.5999999</v>
      </c>
      <c r="AT71">
        <v>529.57399999999996</v>
      </c>
      <c r="AU71">
        <v>800.07399999999996</v>
      </c>
      <c r="AV71">
        <v>21.7836</v>
      </c>
      <c r="AW71">
        <v>5.7140300000000002</v>
      </c>
      <c r="AX71">
        <v>529.88499999999999</v>
      </c>
      <c r="AY71">
        <v>21.632200000000001</v>
      </c>
      <c r="AZ71">
        <v>300.11200000000002</v>
      </c>
      <c r="BA71">
        <v>99.345399999999998</v>
      </c>
      <c r="BB71">
        <v>0.100011</v>
      </c>
      <c r="BC71">
        <v>25.201699999999999</v>
      </c>
      <c r="BD71">
        <v>26.9849</v>
      </c>
      <c r="BE71">
        <v>26.447500000000002</v>
      </c>
      <c r="BF71">
        <v>0</v>
      </c>
      <c r="BG71">
        <v>0</v>
      </c>
      <c r="BH71">
        <v>9997.5</v>
      </c>
      <c r="BI71">
        <v>1060.08</v>
      </c>
      <c r="BJ71">
        <v>2.2987099999999998</v>
      </c>
      <c r="BK71">
        <v>-270.5</v>
      </c>
      <c r="BL71">
        <v>541.36699999999996</v>
      </c>
      <c r="BM71">
        <v>804.67200000000003</v>
      </c>
      <c r="BN71">
        <v>16.069600000000001</v>
      </c>
      <c r="BO71">
        <v>800.07399999999996</v>
      </c>
      <c r="BP71">
        <v>5.7140300000000002</v>
      </c>
      <c r="BQ71">
        <v>2.1640999999999999</v>
      </c>
      <c r="BR71">
        <v>0.56766300000000003</v>
      </c>
      <c r="BS71">
        <v>18.699000000000002</v>
      </c>
      <c r="BT71">
        <v>-1.06775</v>
      </c>
      <c r="BU71">
        <v>1800</v>
      </c>
      <c r="BV71">
        <v>0.90998400000000002</v>
      </c>
      <c r="BW71">
        <v>3.3993099999999998E-2</v>
      </c>
      <c r="BX71">
        <v>2.2008400000000001E-2</v>
      </c>
      <c r="BY71">
        <v>3.4014700000000002E-2</v>
      </c>
      <c r="BZ71">
        <v>25</v>
      </c>
      <c r="CA71">
        <v>33528.300000000003</v>
      </c>
      <c r="CB71">
        <v>1690292073.5</v>
      </c>
      <c r="CC71" t="s">
        <v>332</v>
      </c>
      <c r="CD71">
        <v>1690292069.5</v>
      </c>
      <c r="CE71">
        <v>1690292073.5</v>
      </c>
      <c r="CF71">
        <v>4</v>
      </c>
      <c r="CG71">
        <v>-3.6999999999999998E-2</v>
      </c>
      <c r="CH71">
        <v>-1.6E-2</v>
      </c>
      <c r="CI71">
        <v>-0.45200000000000001</v>
      </c>
      <c r="CJ71">
        <v>0.108</v>
      </c>
      <c r="CK71">
        <v>730</v>
      </c>
      <c r="CL71">
        <v>18</v>
      </c>
      <c r="CM71">
        <v>0</v>
      </c>
      <c r="CN71">
        <v>0.01</v>
      </c>
      <c r="CO71">
        <v>-268.00268292682932</v>
      </c>
      <c r="CP71">
        <v>-13.45829268292677</v>
      </c>
      <c r="CQ71">
        <v>1.3293861858662139</v>
      </c>
      <c r="CR71">
        <v>-1</v>
      </c>
      <c r="CS71">
        <v>16.033456097560979</v>
      </c>
      <c r="CT71">
        <v>0.13720975609758509</v>
      </c>
      <c r="CU71">
        <v>1.3927128269824269E-2</v>
      </c>
      <c r="CV71">
        <v>-1</v>
      </c>
      <c r="CW71">
        <v>0</v>
      </c>
      <c r="CX71">
        <v>0</v>
      </c>
      <c r="CY71" t="s">
        <v>333</v>
      </c>
      <c r="CZ71">
        <v>2.3645</v>
      </c>
      <c r="DA71">
        <v>2.7138</v>
      </c>
      <c r="DB71">
        <v>0.110554</v>
      </c>
      <c r="DC71">
        <v>0.14651700000000001</v>
      </c>
      <c r="DD71">
        <v>0.106762</v>
      </c>
      <c r="DE71">
        <v>3.8018000000000003E-2</v>
      </c>
      <c r="DF71">
        <v>32475.1</v>
      </c>
      <c r="DG71">
        <v>27496.799999999999</v>
      </c>
      <c r="DH71">
        <v>31169.8</v>
      </c>
      <c r="DI71">
        <v>28072.7</v>
      </c>
      <c r="DJ71">
        <v>37797.599999999999</v>
      </c>
      <c r="DK71">
        <v>38400.1</v>
      </c>
      <c r="DL71">
        <v>44356.1</v>
      </c>
      <c r="DM71">
        <v>42543.7</v>
      </c>
      <c r="DN71">
        <v>1.4816</v>
      </c>
      <c r="DO71">
        <v>2.04555</v>
      </c>
      <c r="DP71">
        <v>0.13026599999999999</v>
      </c>
      <c r="DQ71">
        <v>0.124503</v>
      </c>
      <c r="DR71">
        <v>24.8508</v>
      </c>
      <c r="DS71">
        <v>24.406099999999999</v>
      </c>
      <c r="DT71">
        <v>50.9</v>
      </c>
      <c r="DU71">
        <v>28.2</v>
      </c>
      <c r="DV71">
        <v>19.669</v>
      </c>
      <c r="DW71">
        <v>61.583399999999997</v>
      </c>
      <c r="DX71">
        <v>34.943899999999999</v>
      </c>
      <c r="DY71">
        <v>1</v>
      </c>
      <c r="DZ71">
        <v>-9.7256099999999998E-2</v>
      </c>
      <c r="EA71">
        <v>1.38612</v>
      </c>
      <c r="EB71">
        <v>20.183</v>
      </c>
      <c r="EC71">
        <v>5.2401999999999997</v>
      </c>
      <c r="ED71">
        <v>12.039899999999999</v>
      </c>
      <c r="EE71">
        <v>5.0170000000000003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1.8646199999999999</v>
      </c>
      <c r="EM71">
        <v>1.8692</v>
      </c>
      <c r="EN71">
        <v>1.8672200000000001</v>
      </c>
      <c r="EO71">
        <v>1.86338</v>
      </c>
      <c r="EP71">
        <v>1.86446</v>
      </c>
      <c r="EQ71">
        <v>1.8701300000000001</v>
      </c>
      <c r="ER71">
        <v>1.8693599999999999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-0.311</v>
      </c>
      <c r="FG71">
        <v>0.15140000000000001</v>
      </c>
      <c r="FH71">
        <v>5.0310448532705943E-2</v>
      </c>
      <c r="FI71">
        <v>-6.1462078757559423E-4</v>
      </c>
      <c r="FJ71">
        <v>-1.8861989874597051E-7</v>
      </c>
      <c r="FK71">
        <v>1.1980462299894961E-10</v>
      </c>
      <c r="FL71">
        <v>0.15140825623214971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14.5</v>
      </c>
      <c r="FU71">
        <v>14.4</v>
      </c>
      <c r="FV71">
        <v>1.7748999999999999</v>
      </c>
      <c r="FW71">
        <v>2.5817899999999998</v>
      </c>
      <c r="FX71">
        <v>1.5490699999999999</v>
      </c>
      <c r="FY71">
        <v>2.3315399999999999</v>
      </c>
      <c r="FZ71">
        <v>1.50146</v>
      </c>
      <c r="GA71">
        <v>2.34131</v>
      </c>
      <c r="GB71">
        <v>33.042900000000003</v>
      </c>
      <c r="GC71">
        <v>23.982399999999998</v>
      </c>
      <c r="GD71">
        <v>19</v>
      </c>
      <c r="GE71">
        <v>284.702</v>
      </c>
      <c r="GF71">
        <v>589.35</v>
      </c>
      <c r="GG71">
        <v>22.172799999999999</v>
      </c>
      <c r="GH71">
        <v>26.143799999999999</v>
      </c>
      <c r="GI71">
        <v>29.999700000000001</v>
      </c>
      <c r="GJ71">
        <v>26.241900000000001</v>
      </c>
      <c r="GK71">
        <v>26.213899999999999</v>
      </c>
      <c r="GL71">
        <v>35.481900000000003</v>
      </c>
      <c r="GM71">
        <v>68.0488</v>
      </c>
      <c r="GN71">
        <v>64.388999999999996</v>
      </c>
      <c r="GO71">
        <v>22.1996</v>
      </c>
      <c r="GP71">
        <v>800</v>
      </c>
      <c r="GQ71">
        <v>5.6466200000000004</v>
      </c>
      <c r="GR71">
        <v>99.728200000000001</v>
      </c>
      <c r="GS71">
        <v>99.528899999999993</v>
      </c>
    </row>
    <row r="72" spans="1:201" x14ac:dyDescent="0.25">
      <c r="A72">
        <v>56</v>
      </c>
      <c r="B72">
        <v>1690292949.5999999</v>
      </c>
      <c r="C72">
        <v>679</v>
      </c>
      <c r="D72" t="s">
        <v>445</v>
      </c>
      <c r="E72" t="s">
        <v>446</v>
      </c>
      <c r="F72" t="s">
        <v>330</v>
      </c>
      <c r="H72">
        <v>1690292949.5999999</v>
      </c>
      <c r="I72">
        <f t="shared" si="0"/>
        <v>1.6554614172616037E-3</v>
      </c>
      <c r="J72">
        <f t="shared" si="1"/>
        <v>1.6554614172616038</v>
      </c>
      <c r="K72">
        <f t="shared" si="2"/>
        <v>26.416049368677957</v>
      </c>
      <c r="L72">
        <f t="shared" si="3"/>
        <v>527.29999999999995</v>
      </c>
      <c r="M72">
        <f t="shared" si="4"/>
        <v>164.75026352064393</v>
      </c>
      <c r="N72">
        <f t="shared" si="5"/>
        <v>16.383528174461613</v>
      </c>
      <c r="O72">
        <f t="shared" si="6"/>
        <v>52.437150762499996</v>
      </c>
      <c r="P72">
        <f t="shared" si="7"/>
        <v>0.12216319971214683</v>
      </c>
      <c r="Q72">
        <f t="shared" si="8"/>
        <v>2.2601999804556239</v>
      </c>
      <c r="R72">
        <f t="shared" si="9"/>
        <v>0.11860997835320504</v>
      </c>
      <c r="S72">
        <f t="shared" si="10"/>
        <v>7.4441870750737146E-2</v>
      </c>
      <c r="T72">
        <f t="shared" si="11"/>
        <v>276.116309118</v>
      </c>
      <c r="U72">
        <f t="shared" si="12"/>
        <v>26.705478716749873</v>
      </c>
      <c r="V72">
        <f t="shared" si="13"/>
        <v>26.705478716749873</v>
      </c>
      <c r="W72">
        <f t="shared" si="14"/>
        <v>3.5177129677071086</v>
      </c>
      <c r="X72">
        <f t="shared" si="15"/>
        <v>67.494310081343571</v>
      </c>
      <c r="Y72">
        <f t="shared" si="16"/>
        <v>2.1694342166874998</v>
      </c>
      <c r="Z72">
        <f t="shared" si="17"/>
        <v>3.2142475626062645</v>
      </c>
      <c r="AA72">
        <f t="shared" si="18"/>
        <v>1.3482787510196088</v>
      </c>
      <c r="AB72">
        <f t="shared" si="19"/>
        <v>-73.005848501236727</v>
      </c>
      <c r="AC72">
        <f t="shared" si="20"/>
        <v>-185.69970424730241</v>
      </c>
      <c r="AD72">
        <f t="shared" si="21"/>
        <v>-17.544688948928925</v>
      </c>
      <c r="AE72">
        <f t="shared" si="22"/>
        <v>-0.13393257946805193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52955.317834927766</v>
      </c>
      <c r="AK72">
        <f t="shared" si="26"/>
        <v>1800</v>
      </c>
      <c r="AL72">
        <f t="shared" si="27"/>
        <v>1499.1117138</v>
      </c>
      <c r="AM72">
        <f t="shared" si="28"/>
        <v>0.83283984099999997</v>
      </c>
      <c r="AN72">
        <f t="shared" si="29"/>
        <v>0.15339794950999999</v>
      </c>
      <c r="AO72">
        <v>30</v>
      </c>
      <c r="AP72">
        <v>0.5</v>
      </c>
      <c r="AQ72" t="s">
        <v>331</v>
      </c>
      <c r="AR72">
        <v>2</v>
      </c>
      <c r="AS72">
        <v>1690292949.5999999</v>
      </c>
      <c r="AT72">
        <v>527.29999999999995</v>
      </c>
      <c r="AU72">
        <v>800.05700000000002</v>
      </c>
      <c r="AV72">
        <v>21.8155</v>
      </c>
      <c r="AW72">
        <v>5.6299099999999997</v>
      </c>
      <c r="AX72">
        <v>527.60900000000004</v>
      </c>
      <c r="AY72">
        <v>21.664100000000001</v>
      </c>
      <c r="AZ72">
        <v>300.14600000000002</v>
      </c>
      <c r="BA72">
        <v>99.344499999999996</v>
      </c>
      <c r="BB72">
        <v>0.10012500000000001</v>
      </c>
      <c r="BC72">
        <v>25.1815</v>
      </c>
      <c r="BD72">
        <v>26.954499999999999</v>
      </c>
      <c r="BE72">
        <v>26.411899999999999</v>
      </c>
      <c r="BF72">
        <v>0</v>
      </c>
      <c r="BG72">
        <v>0</v>
      </c>
      <c r="BH72">
        <v>10020.6</v>
      </c>
      <c r="BI72">
        <v>1059.97</v>
      </c>
      <c r="BJ72">
        <v>2.2987099999999998</v>
      </c>
      <c r="BK72">
        <v>-272.75700000000001</v>
      </c>
      <c r="BL72">
        <v>539.05999999999995</v>
      </c>
      <c r="BM72">
        <v>804.58600000000001</v>
      </c>
      <c r="BN72">
        <v>16.185600000000001</v>
      </c>
      <c r="BO72">
        <v>800.05700000000002</v>
      </c>
      <c r="BP72">
        <v>5.6299099999999997</v>
      </c>
      <c r="BQ72">
        <v>2.1672500000000001</v>
      </c>
      <c r="BR72">
        <v>0.55930000000000002</v>
      </c>
      <c r="BS72">
        <v>18.722300000000001</v>
      </c>
      <c r="BT72">
        <v>-1.2701</v>
      </c>
      <c r="BU72">
        <v>1800</v>
      </c>
      <c r="BV72">
        <v>0.90998599999999996</v>
      </c>
      <c r="BW72">
        <v>3.39922E-2</v>
      </c>
      <c r="BX72">
        <v>2.2007800000000001E-2</v>
      </c>
      <c r="BY72">
        <v>3.4013700000000001E-2</v>
      </c>
      <c r="BZ72">
        <v>25</v>
      </c>
      <c r="CA72">
        <v>33528.199999999997</v>
      </c>
      <c r="CB72">
        <v>1690292073.5</v>
      </c>
      <c r="CC72" t="s">
        <v>332</v>
      </c>
      <c r="CD72">
        <v>1690292069.5</v>
      </c>
      <c r="CE72">
        <v>1690292073.5</v>
      </c>
      <c r="CF72">
        <v>4</v>
      </c>
      <c r="CG72">
        <v>-3.6999999999999998E-2</v>
      </c>
      <c r="CH72">
        <v>-1.6E-2</v>
      </c>
      <c r="CI72">
        <v>-0.45200000000000001</v>
      </c>
      <c r="CJ72">
        <v>0.108</v>
      </c>
      <c r="CK72">
        <v>730</v>
      </c>
      <c r="CL72">
        <v>18</v>
      </c>
      <c r="CM72">
        <v>0</v>
      </c>
      <c r="CN72">
        <v>0.01</v>
      </c>
      <c r="CO72">
        <v>-270.20480487804878</v>
      </c>
      <c r="CP72">
        <v>-13.498013937281669</v>
      </c>
      <c r="CQ72">
        <v>1.332237641210879</v>
      </c>
      <c r="CR72">
        <v>-1</v>
      </c>
      <c r="CS72">
        <v>16.072819512195121</v>
      </c>
      <c r="CT72">
        <v>0.33924878048778268</v>
      </c>
      <c r="CU72">
        <v>3.4575384021726163E-2</v>
      </c>
      <c r="CV72">
        <v>-1</v>
      </c>
      <c r="CW72">
        <v>0</v>
      </c>
      <c r="CX72">
        <v>0</v>
      </c>
      <c r="CY72" t="s">
        <v>333</v>
      </c>
      <c r="CZ72">
        <v>2.3646099999999999</v>
      </c>
      <c r="DA72">
        <v>2.71393</v>
      </c>
      <c r="DB72">
        <v>0.11021</v>
      </c>
      <c r="DC72">
        <v>0.146511</v>
      </c>
      <c r="DD72">
        <v>0.10687199999999999</v>
      </c>
      <c r="DE72">
        <v>3.7556899999999997E-2</v>
      </c>
      <c r="DF72">
        <v>32488.1</v>
      </c>
      <c r="DG72">
        <v>27496.799999999999</v>
      </c>
      <c r="DH72">
        <v>31170.1</v>
      </c>
      <c r="DI72">
        <v>28072.5</v>
      </c>
      <c r="DJ72">
        <v>37793.199999999997</v>
      </c>
      <c r="DK72">
        <v>38418.300000000003</v>
      </c>
      <c r="DL72">
        <v>44356.6</v>
      </c>
      <c r="DM72">
        <v>42543.4</v>
      </c>
      <c r="DN72">
        <v>1.48322</v>
      </c>
      <c r="DO72">
        <v>2.0452499999999998</v>
      </c>
      <c r="DP72">
        <v>0.129331</v>
      </c>
      <c r="DQ72">
        <v>0.123266</v>
      </c>
      <c r="DR72">
        <v>24.835599999999999</v>
      </c>
      <c r="DS72">
        <v>24.390699999999999</v>
      </c>
      <c r="DT72">
        <v>50.4</v>
      </c>
      <c r="DU72">
        <v>28.2</v>
      </c>
      <c r="DV72">
        <v>19.477699999999999</v>
      </c>
      <c r="DW72">
        <v>61.903399999999998</v>
      </c>
      <c r="DX72">
        <v>35.100200000000001</v>
      </c>
      <c r="DY72">
        <v>1</v>
      </c>
      <c r="DZ72">
        <v>-9.9326700000000004E-2</v>
      </c>
      <c r="EA72">
        <v>-5.7636199999999999E-2</v>
      </c>
      <c r="EB72">
        <v>20.189599999999999</v>
      </c>
      <c r="EC72">
        <v>5.2400500000000001</v>
      </c>
      <c r="ED72">
        <v>12.039899999999999</v>
      </c>
      <c r="EE72">
        <v>5.016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</v>
      </c>
      <c r="EL72">
        <v>1.8646199999999999</v>
      </c>
      <c r="EM72">
        <v>1.8692</v>
      </c>
      <c r="EN72">
        <v>1.8672200000000001</v>
      </c>
      <c r="EO72">
        <v>1.86338</v>
      </c>
      <c r="EP72">
        <v>1.8644499999999999</v>
      </c>
      <c r="EQ72">
        <v>1.87015</v>
      </c>
      <c r="ER72">
        <v>1.86937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-0.309</v>
      </c>
      <c r="FG72">
        <v>0.15140000000000001</v>
      </c>
      <c r="FH72">
        <v>5.0310448532705943E-2</v>
      </c>
      <c r="FI72">
        <v>-6.1462078757559423E-4</v>
      </c>
      <c r="FJ72">
        <v>-1.8861989874597051E-7</v>
      </c>
      <c r="FK72">
        <v>1.1980462299894961E-10</v>
      </c>
      <c r="FL72">
        <v>0.15140825623214971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14.7</v>
      </c>
      <c r="FU72">
        <v>14.6</v>
      </c>
      <c r="FV72">
        <v>1.7748999999999999</v>
      </c>
      <c r="FW72">
        <v>2.5793499999999998</v>
      </c>
      <c r="FX72">
        <v>1.5490699999999999</v>
      </c>
      <c r="FY72">
        <v>2.3315399999999999</v>
      </c>
      <c r="FZ72">
        <v>1.50146</v>
      </c>
      <c r="GA72">
        <v>2.34253</v>
      </c>
      <c r="GB72">
        <v>33.020600000000002</v>
      </c>
      <c r="GC72">
        <v>23.991199999999999</v>
      </c>
      <c r="GD72">
        <v>19</v>
      </c>
      <c r="GE72">
        <v>285.39100000000002</v>
      </c>
      <c r="GF72">
        <v>589.07600000000002</v>
      </c>
      <c r="GG72">
        <v>22.566099999999999</v>
      </c>
      <c r="GH72">
        <v>26.140499999999999</v>
      </c>
      <c r="GI72">
        <v>29.999099999999999</v>
      </c>
      <c r="GJ72">
        <v>26.24</v>
      </c>
      <c r="GK72">
        <v>26.2117</v>
      </c>
      <c r="GL72">
        <v>35.4801</v>
      </c>
      <c r="GM72">
        <v>68.891900000000007</v>
      </c>
      <c r="GN72">
        <v>63.594299999999997</v>
      </c>
      <c r="GO72">
        <v>22.653099999999998</v>
      </c>
      <c r="GP72">
        <v>800</v>
      </c>
      <c r="GQ72">
        <v>5.4053599999999999</v>
      </c>
      <c r="GR72">
        <v>99.729200000000006</v>
      </c>
      <c r="GS72">
        <v>99.528199999999998</v>
      </c>
    </row>
    <row r="73" spans="1:201" x14ac:dyDescent="0.25">
      <c r="A73">
        <v>57</v>
      </c>
      <c r="B73">
        <v>1690292959.5999999</v>
      </c>
      <c r="C73">
        <v>689</v>
      </c>
      <c r="D73" t="s">
        <v>447</v>
      </c>
      <c r="E73" t="s">
        <v>448</v>
      </c>
      <c r="F73" t="s">
        <v>330</v>
      </c>
      <c r="H73">
        <v>1690292959.5999999</v>
      </c>
      <c r="I73">
        <f t="shared" si="0"/>
        <v>1.6941933139212116E-3</v>
      </c>
      <c r="J73">
        <f t="shared" si="1"/>
        <v>1.6941933139212115</v>
      </c>
      <c r="K73">
        <f t="shared" si="2"/>
        <v>26.623767683781498</v>
      </c>
      <c r="L73">
        <f t="shared" si="3"/>
        <v>525.178</v>
      </c>
      <c r="M73">
        <f t="shared" si="4"/>
        <v>169.83076014382945</v>
      </c>
      <c r="N73">
        <f t="shared" si="5"/>
        <v>16.888797185181261</v>
      </c>
      <c r="O73">
        <f t="shared" si="6"/>
        <v>52.226255836148006</v>
      </c>
      <c r="P73">
        <f t="shared" si="7"/>
        <v>0.1257639456221975</v>
      </c>
      <c r="Q73">
        <f t="shared" si="8"/>
        <v>2.2606157143073329</v>
      </c>
      <c r="R73">
        <f t="shared" si="9"/>
        <v>0.12200231789300695</v>
      </c>
      <c r="S73">
        <f t="shared" si="10"/>
        <v>7.6580044049510937E-2</v>
      </c>
      <c r="T73">
        <f t="shared" si="11"/>
        <v>276.11613064799997</v>
      </c>
      <c r="U73">
        <f t="shared" si="12"/>
        <v>26.720870112211362</v>
      </c>
      <c r="V73">
        <f t="shared" si="13"/>
        <v>26.720870112211362</v>
      </c>
      <c r="W73">
        <f t="shared" si="14"/>
        <v>3.5209011536149655</v>
      </c>
      <c r="X73">
        <f t="shared" si="15"/>
        <v>67.693552699927949</v>
      </c>
      <c r="Y73">
        <f t="shared" si="16"/>
        <v>2.1795331281220003</v>
      </c>
      <c r="Z73">
        <f t="shared" si="17"/>
        <v>3.2197056310272809</v>
      </c>
      <c r="AA73">
        <f t="shared" si="18"/>
        <v>1.3413680254929652</v>
      </c>
      <c r="AB73">
        <f t="shared" si="19"/>
        <v>-74.713925143925437</v>
      </c>
      <c r="AC73">
        <f t="shared" si="20"/>
        <v>-184.13625905770448</v>
      </c>
      <c r="AD73">
        <f t="shared" si="21"/>
        <v>-17.397606142200942</v>
      </c>
      <c r="AE73">
        <f t="shared" si="22"/>
        <v>-0.13165969583093329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52966.625819344219</v>
      </c>
      <c r="AK73">
        <f t="shared" si="26"/>
        <v>1800</v>
      </c>
      <c r="AL73">
        <f t="shared" si="27"/>
        <v>1499.1122808</v>
      </c>
      <c r="AM73">
        <f t="shared" si="28"/>
        <v>0.83284015599999994</v>
      </c>
      <c r="AN73">
        <f t="shared" si="29"/>
        <v>0.15339785035999998</v>
      </c>
      <c r="AO73">
        <v>30</v>
      </c>
      <c r="AP73">
        <v>0.5</v>
      </c>
      <c r="AQ73" t="s">
        <v>331</v>
      </c>
      <c r="AR73">
        <v>2</v>
      </c>
      <c r="AS73">
        <v>1690292959.5999999</v>
      </c>
      <c r="AT73">
        <v>525.178</v>
      </c>
      <c r="AU73">
        <v>800.11800000000005</v>
      </c>
      <c r="AV73">
        <v>21.917000000000002</v>
      </c>
      <c r="AW73">
        <v>5.3581399999999997</v>
      </c>
      <c r="AX73">
        <v>525.48599999999999</v>
      </c>
      <c r="AY73">
        <v>21.765599999999999</v>
      </c>
      <c r="AZ73">
        <v>300.21300000000002</v>
      </c>
      <c r="BA73">
        <v>99.344800000000006</v>
      </c>
      <c r="BB73">
        <v>0.100066</v>
      </c>
      <c r="BC73">
        <v>25.21</v>
      </c>
      <c r="BD73">
        <v>26.990200000000002</v>
      </c>
      <c r="BE73">
        <v>26.448399999999999</v>
      </c>
      <c r="BF73">
        <v>0</v>
      </c>
      <c r="BG73">
        <v>0</v>
      </c>
      <c r="BH73">
        <v>10023.799999999999</v>
      </c>
      <c r="BI73">
        <v>1059.8599999999999</v>
      </c>
      <c r="BJ73">
        <v>2.2987099999999998</v>
      </c>
      <c r="BK73">
        <v>-274.94</v>
      </c>
      <c r="BL73">
        <v>536.947</v>
      </c>
      <c r="BM73">
        <v>804.42899999999997</v>
      </c>
      <c r="BN73">
        <v>16.558900000000001</v>
      </c>
      <c r="BO73">
        <v>800.11800000000005</v>
      </c>
      <c r="BP73">
        <v>5.3581399999999997</v>
      </c>
      <c r="BQ73">
        <v>2.1773400000000001</v>
      </c>
      <c r="BR73">
        <v>0.53230299999999997</v>
      </c>
      <c r="BS73">
        <v>18.796600000000002</v>
      </c>
      <c r="BT73">
        <v>-1.94221</v>
      </c>
      <c r="BU73">
        <v>1800</v>
      </c>
      <c r="BV73">
        <v>0.90998999999999997</v>
      </c>
      <c r="BW73">
        <v>3.3990699999999999E-2</v>
      </c>
      <c r="BX73">
        <v>2.20068E-2</v>
      </c>
      <c r="BY73">
        <v>3.4012199999999999E-2</v>
      </c>
      <c r="BZ73">
        <v>25</v>
      </c>
      <c r="CA73">
        <v>33528.400000000001</v>
      </c>
      <c r="CB73">
        <v>1690292073.5</v>
      </c>
      <c r="CC73" t="s">
        <v>332</v>
      </c>
      <c r="CD73">
        <v>1690292069.5</v>
      </c>
      <c r="CE73">
        <v>1690292073.5</v>
      </c>
      <c r="CF73">
        <v>4</v>
      </c>
      <c r="CG73">
        <v>-3.6999999999999998E-2</v>
      </c>
      <c r="CH73">
        <v>-1.6E-2</v>
      </c>
      <c r="CI73">
        <v>-0.45200000000000001</v>
      </c>
      <c r="CJ73">
        <v>0.108</v>
      </c>
      <c r="CK73">
        <v>730</v>
      </c>
      <c r="CL73">
        <v>18</v>
      </c>
      <c r="CM73">
        <v>0</v>
      </c>
      <c r="CN73">
        <v>0.01</v>
      </c>
      <c r="CO73">
        <v>-272.66149999999999</v>
      </c>
      <c r="CP73">
        <v>-13.87895684802931</v>
      </c>
      <c r="CQ73">
        <v>1.3371123737367749</v>
      </c>
      <c r="CR73">
        <v>-1</v>
      </c>
      <c r="CS73">
        <v>16.242609999999999</v>
      </c>
      <c r="CT73">
        <v>1.575791369606002</v>
      </c>
      <c r="CU73">
        <v>0.15748712931538281</v>
      </c>
      <c r="CV73">
        <v>-1</v>
      </c>
      <c r="CW73">
        <v>0</v>
      </c>
      <c r="CX73">
        <v>0</v>
      </c>
      <c r="CY73" t="s">
        <v>333</v>
      </c>
      <c r="CZ73">
        <v>2.3647900000000002</v>
      </c>
      <c r="DA73">
        <v>2.7138800000000001</v>
      </c>
      <c r="DB73">
        <v>0.109892</v>
      </c>
      <c r="DC73">
        <v>0.14651500000000001</v>
      </c>
      <c r="DD73">
        <v>0.107228</v>
      </c>
      <c r="DE73">
        <v>3.6055700000000003E-2</v>
      </c>
      <c r="DF73">
        <v>32500.400000000001</v>
      </c>
      <c r="DG73">
        <v>27497.1</v>
      </c>
      <c r="DH73">
        <v>31170.799999999999</v>
      </c>
      <c r="DI73">
        <v>28072.9</v>
      </c>
      <c r="DJ73">
        <v>37778.800000000003</v>
      </c>
      <c r="DK73">
        <v>38479</v>
      </c>
      <c r="DL73">
        <v>44357.5</v>
      </c>
      <c r="DM73">
        <v>42544</v>
      </c>
      <c r="DN73">
        <v>1.4829300000000001</v>
      </c>
      <c r="DO73">
        <v>2.04495</v>
      </c>
      <c r="DP73">
        <v>0.132408</v>
      </c>
      <c r="DQ73">
        <v>0.12634699999999999</v>
      </c>
      <c r="DR73">
        <v>24.820900000000002</v>
      </c>
      <c r="DS73">
        <v>24.3767</v>
      </c>
      <c r="DT73">
        <v>50</v>
      </c>
      <c r="DU73">
        <v>28.2</v>
      </c>
      <c r="DV73">
        <v>19.323499999999999</v>
      </c>
      <c r="DW73">
        <v>61.653399999999998</v>
      </c>
      <c r="DX73">
        <v>35.404600000000002</v>
      </c>
      <c r="DY73">
        <v>1</v>
      </c>
      <c r="DZ73">
        <v>-9.8993899999999996E-2</v>
      </c>
      <c r="EA73">
        <v>0.64068599999999998</v>
      </c>
      <c r="EB73">
        <v>20.1892</v>
      </c>
      <c r="EC73">
        <v>5.2406499999999996</v>
      </c>
      <c r="ED73">
        <v>12.039899999999999</v>
      </c>
      <c r="EE73">
        <v>5.0167999999999999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1.8688899999999999</v>
      </c>
      <c r="EL73">
        <v>1.8646</v>
      </c>
      <c r="EM73">
        <v>1.8691899999999999</v>
      </c>
      <c r="EN73">
        <v>1.8672200000000001</v>
      </c>
      <c r="EO73">
        <v>1.8633599999999999</v>
      </c>
      <c r="EP73">
        <v>1.86446</v>
      </c>
      <c r="EQ73">
        <v>1.8701300000000001</v>
      </c>
      <c r="ER73">
        <v>1.8693500000000001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-0.308</v>
      </c>
      <c r="FG73">
        <v>0.15140000000000001</v>
      </c>
      <c r="FH73">
        <v>5.0310448532705943E-2</v>
      </c>
      <c r="FI73">
        <v>-6.1462078757559423E-4</v>
      </c>
      <c r="FJ73">
        <v>-1.8861989874597051E-7</v>
      </c>
      <c r="FK73">
        <v>1.1980462299894961E-10</v>
      </c>
      <c r="FL73">
        <v>0.15140825623214971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14.8</v>
      </c>
      <c r="FU73">
        <v>14.8</v>
      </c>
      <c r="FV73">
        <v>1.7736799999999999</v>
      </c>
      <c r="FW73">
        <v>2.5756800000000002</v>
      </c>
      <c r="FX73">
        <v>1.5490699999999999</v>
      </c>
      <c r="FY73">
        <v>2.3315399999999999</v>
      </c>
      <c r="FZ73">
        <v>1.50146</v>
      </c>
      <c r="GA73">
        <v>2.34863</v>
      </c>
      <c r="GB73">
        <v>33.020600000000002</v>
      </c>
      <c r="GC73">
        <v>23.991199999999999</v>
      </c>
      <c r="GD73">
        <v>19</v>
      </c>
      <c r="GE73">
        <v>285.26400000000001</v>
      </c>
      <c r="GF73">
        <v>588.81700000000001</v>
      </c>
      <c r="GG73">
        <v>22.7302</v>
      </c>
      <c r="GH73">
        <v>26.137799999999999</v>
      </c>
      <c r="GI73">
        <v>29.9999</v>
      </c>
      <c r="GJ73">
        <v>26.2407</v>
      </c>
      <c r="GK73">
        <v>26.210899999999999</v>
      </c>
      <c r="GL73">
        <v>35.470300000000002</v>
      </c>
      <c r="GM73">
        <v>69.790300000000002</v>
      </c>
      <c r="GN73">
        <v>62.799300000000002</v>
      </c>
      <c r="GO73">
        <v>22.695399999999999</v>
      </c>
      <c r="GP73">
        <v>800</v>
      </c>
      <c r="GQ73">
        <v>5.19156</v>
      </c>
      <c r="GR73">
        <v>99.731300000000005</v>
      </c>
      <c r="GS73">
        <v>99.529700000000005</v>
      </c>
    </row>
    <row r="74" spans="1:201" x14ac:dyDescent="0.25">
      <c r="A74">
        <v>58</v>
      </c>
      <c r="B74">
        <v>1690292969.5999999</v>
      </c>
      <c r="C74">
        <v>699</v>
      </c>
      <c r="D74" t="s">
        <v>449</v>
      </c>
      <c r="E74" t="s">
        <v>450</v>
      </c>
      <c r="F74" t="s">
        <v>330</v>
      </c>
      <c r="H74">
        <v>1690292969.5999999</v>
      </c>
      <c r="I74">
        <f t="shared" si="0"/>
        <v>1.7140302075401117E-3</v>
      </c>
      <c r="J74">
        <f t="shared" si="1"/>
        <v>1.7140302075401117</v>
      </c>
      <c r="K74">
        <f t="shared" si="2"/>
        <v>26.809933917002368</v>
      </c>
      <c r="L74">
        <f t="shared" si="3"/>
        <v>523.00400000000002</v>
      </c>
      <c r="M74">
        <f t="shared" si="4"/>
        <v>168.90315865824132</v>
      </c>
      <c r="N74">
        <f t="shared" si="5"/>
        <v>16.796920762902161</v>
      </c>
      <c r="O74">
        <f t="shared" si="6"/>
        <v>52.0112046243976</v>
      </c>
      <c r="P74">
        <f t="shared" si="7"/>
        <v>0.12713196268843283</v>
      </c>
      <c r="Q74">
        <f t="shared" si="8"/>
        <v>2.2559672959361494</v>
      </c>
      <c r="R74">
        <f t="shared" si="9"/>
        <v>0.12328174089102041</v>
      </c>
      <c r="S74">
        <f t="shared" si="10"/>
        <v>7.7387302155352167E-2</v>
      </c>
      <c r="T74">
        <f t="shared" si="11"/>
        <v>276.11471627883185</v>
      </c>
      <c r="U74">
        <f t="shared" si="12"/>
        <v>26.730812449207882</v>
      </c>
      <c r="V74">
        <f t="shared" si="13"/>
        <v>26.730812449207882</v>
      </c>
      <c r="W74">
        <f t="shared" si="14"/>
        <v>3.5229619580838452</v>
      </c>
      <c r="X74">
        <f t="shared" si="15"/>
        <v>67.651586958297244</v>
      </c>
      <c r="Y74">
        <f t="shared" si="16"/>
        <v>2.1799588804875198</v>
      </c>
      <c r="Z74">
        <f t="shared" si="17"/>
        <v>3.2223322149579743</v>
      </c>
      <c r="AA74">
        <f t="shared" si="18"/>
        <v>1.3430030775963253</v>
      </c>
      <c r="AB74">
        <f t="shared" si="19"/>
        <v>-75.588732152518929</v>
      </c>
      <c r="AC74">
        <f t="shared" si="20"/>
        <v>-183.30060573949478</v>
      </c>
      <c r="AD74">
        <f t="shared" si="21"/>
        <v>-17.356394916564479</v>
      </c>
      <c r="AE74">
        <f t="shared" si="22"/>
        <v>-0.13101652974631861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52781.462886944406</v>
      </c>
      <c r="AK74">
        <f t="shared" si="26"/>
        <v>1799.99</v>
      </c>
      <c r="AL74">
        <f t="shared" si="27"/>
        <v>1499.1044923954398</v>
      </c>
      <c r="AM74">
        <f t="shared" si="28"/>
        <v>0.8328404559999999</v>
      </c>
      <c r="AN74">
        <f t="shared" si="29"/>
        <v>0.15339791680999998</v>
      </c>
      <c r="AO74">
        <v>30</v>
      </c>
      <c r="AP74">
        <v>0.5</v>
      </c>
      <c r="AQ74" t="s">
        <v>331</v>
      </c>
      <c r="AR74">
        <v>2</v>
      </c>
      <c r="AS74">
        <v>1690292969.5999999</v>
      </c>
      <c r="AT74">
        <v>523.00400000000002</v>
      </c>
      <c r="AU74">
        <v>800.01700000000005</v>
      </c>
      <c r="AV74">
        <v>21.9208</v>
      </c>
      <c r="AW74">
        <v>5.1593</v>
      </c>
      <c r="AX74">
        <v>523.30999999999995</v>
      </c>
      <c r="AY74">
        <v>21.769400000000001</v>
      </c>
      <c r="AZ74">
        <v>300.05500000000001</v>
      </c>
      <c r="BA74">
        <v>99.347099999999998</v>
      </c>
      <c r="BB74">
        <v>9.9949399999999994E-2</v>
      </c>
      <c r="BC74">
        <v>25.223700000000001</v>
      </c>
      <c r="BD74">
        <v>26.9619</v>
      </c>
      <c r="BE74">
        <v>26.453099999999999</v>
      </c>
      <c r="BF74">
        <v>0</v>
      </c>
      <c r="BG74">
        <v>0</v>
      </c>
      <c r="BH74">
        <v>9987.5</v>
      </c>
      <c r="BI74">
        <v>1059.74</v>
      </c>
      <c r="BJ74">
        <v>2.2987099999999998</v>
      </c>
      <c r="BK74">
        <v>-277.01299999999998</v>
      </c>
      <c r="BL74">
        <v>534.72500000000002</v>
      </c>
      <c r="BM74">
        <v>804.16600000000005</v>
      </c>
      <c r="BN74">
        <v>16.761500000000002</v>
      </c>
      <c r="BO74">
        <v>800.01700000000005</v>
      </c>
      <c r="BP74">
        <v>5.1593</v>
      </c>
      <c r="BQ74">
        <v>2.1777600000000001</v>
      </c>
      <c r="BR74">
        <v>0.51256199999999996</v>
      </c>
      <c r="BS74">
        <v>18.799700000000001</v>
      </c>
      <c r="BT74">
        <v>-2.4530799999999999</v>
      </c>
      <c r="BU74">
        <v>1799.99</v>
      </c>
      <c r="BV74">
        <v>0.90998999999999997</v>
      </c>
      <c r="BW74">
        <v>3.3992500000000002E-2</v>
      </c>
      <c r="BX74">
        <v>2.2006299999999999E-2</v>
      </c>
      <c r="BY74">
        <v>3.40115E-2</v>
      </c>
      <c r="BZ74">
        <v>25</v>
      </c>
      <c r="CA74">
        <v>33528.199999999997</v>
      </c>
      <c r="CB74">
        <v>1690292073.5</v>
      </c>
      <c r="CC74" t="s">
        <v>332</v>
      </c>
      <c r="CD74">
        <v>1690292069.5</v>
      </c>
      <c r="CE74">
        <v>1690292073.5</v>
      </c>
      <c r="CF74">
        <v>4</v>
      </c>
      <c r="CG74">
        <v>-3.6999999999999998E-2</v>
      </c>
      <c r="CH74">
        <v>-1.6E-2</v>
      </c>
      <c r="CI74">
        <v>-0.45200000000000001</v>
      </c>
      <c r="CJ74">
        <v>0.108</v>
      </c>
      <c r="CK74">
        <v>730</v>
      </c>
      <c r="CL74">
        <v>18</v>
      </c>
      <c r="CM74">
        <v>0</v>
      </c>
      <c r="CN74">
        <v>0.01</v>
      </c>
      <c r="CO74">
        <v>-274.86987499999998</v>
      </c>
      <c r="CP74">
        <v>-12.48568480300079</v>
      </c>
      <c r="CQ74">
        <v>1.2020360266543599</v>
      </c>
      <c r="CR74">
        <v>-1</v>
      </c>
      <c r="CS74">
        <v>16.528672499999999</v>
      </c>
      <c r="CT74">
        <v>1.7967703564727591</v>
      </c>
      <c r="CU74">
        <v>0.17516696033713069</v>
      </c>
      <c r="CV74">
        <v>-1</v>
      </c>
      <c r="CW74">
        <v>0</v>
      </c>
      <c r="CX74">
        <v>0</v>
      </c>
      <c r="CY74" t="s">
        <v>333</v>
      </c>
      <c r="CZ74">
        <v>2.3642799999999999</v>
      </c>
      <c r="DA74">
        <v>2.71373</v>
      </c>
      <c r="DB74">
        <v>0.109565</v>
      </c>
      <c r="DC74">
        <v>0.14650199999999999</v>
      </c>
      <c r="DD74">
        <v>0.10724400000000001</v>
      </c>
      <c r="DE74">
        <v>3.4944299999999998E-2</v>
      </c>
      <c r="DF74">
        <v>32512.6</v>
      </c>
      <c r="DG74">
        <v>27497.7</v>
      </c>
      <c r="DH74">
        <v>31171.1</v>
      </c>
      <c r="DI74">
        <v>28073.1</v>
      </c>
      <c r="DJ74">
        <v>37778.6</v>
      </c>
      <c r="DK74">
        <v>38523.800000000003</v>
      </c>
      <c r="DL74">
        <v>44358.1</v>
      </c>
      <c r="DM74">
        <v>42544.3</v>
      </c>
      <c r="DN74">
        <v>1.48248</v>
      </c>
      <c r="DO74">
        <v>2.0448</v>
      </c>
      <c r="DP74">
        <v>0.13156599999999999</v>
      </c>
      <c r="DQ74">
        <v>0.127438</v>
      </c>
      <c r="DR74">
        <v>24.8063</v>
      </c>
      <c r="DS74">
        <v>24.363499999999998</v>
      </c>
      <c r="DT74">
        <v>49.6</v>
      </c>
      <c r="DU74">
        <v>28.2</v>
      </c>
      <c r="DV74">
        <v>19.167200000000001</v>
      </c>
      <c r="DW74">
        <v>61.523400000000002</v>
      </c>
      <c r="DX74">
        <v>35.645000000000003</v>
      </c>
      <c r="DY74">
        <v>1</v>
      </c>
      <c r="DZ74">
        <v>-9.8932900000000004E-2</v>
      </c>
      <c r="EA74">
        <v>0.891571</v>
      </c>
      <c r="EB74">
        <v>20.187100000000001</v>
      </c>
      <c r="EC74">
        <v>5.2409499999999998</v>
      </c>
      <c r="ED74">
        <v>12.039899999999999</v>
      </c>
      <c r="EE74">
        <v>5.0170000000000003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1.8646100000000001</v>
      </c>
      <c r="EM74">
        <v>1.8692</v>
      </c>
      <c r="EN74">
        <v>1.8672200000000001</v>
      </c>
      <c r="EO74">
        <v>1.86338</v>
      </c>
      <c r="EP74">
        <v>1.8644499999999999</v>
      </c>
      <c r="EQ74">
        <v>1.8701399999999999</v>
      </c>
      <c r="ER74">
        <v>1.8694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-0.30599999999999999</v>
      </c>
      <c r="FG74">
        <v>0.15140000000000001</v>
      </c>
      <c r="FH74">
        <v>5.0310448532705943E-2</v>
      </c>
      <c r="FI74">
        <v>-6.1462078757559423E-4</v>
      </c>
      <c r="FJ74">
        <v>-1.8861989874597051E-7</v>
      </c>
      <c r="FK74">
        <v>1.1980462299894961E-10</v>
      </c>
      <c r="FL74">
        <v>0.15140825623214971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15</v>
      </c>
      <c r="FU74">
        <v>14.9</v>
      </c>
      <c r="FV74">
        <v>1.7736799999999999</v>
      </c>
      <c r="FW74">
        <v>2.5756800000000002</v>
      </c>
      <c r="FX74">
        <v>1.5490699999999999</v>
      </c>
      <c r="FY74">
        <v>2.3315399999999999</v>
      </c>
      <c r="FZ74">
        <v>1.50146</v>
      </c>
      <c r="GA74">
        <v>2.3913600000000002</v>
      </c>
      <c r="GB74">
        <v>33.042900000000003</v>
      </c>
      <c r="GC74">
        <v>23.991199999999999</v>
      </c>
      <c r="GD74">
        <v>19</v>
      </c>
      <c r="GE74">
        <v>285.06400000000002</v>
      </c>
      <c r="GF74">
        <v>588.67700000000002</v>
      </c>
      <c r="GG74">
        <v>22.716799999999999</v>
      </c>
      <c r="GH74">
        <v>26.133900000000001</v>
      </c>
      <c r="GI74">
        <v>30.0002</v>
      </c>
      <c r="GJ74">
        <v>26.239100000000001</v>
      </c>
      <c r="GK74">
        <v>26.209499999999998</v>
      </c>
      <c r="GL74">
        <v>35.463799999999999</v>
      </c>
      <c r="GM74">
        <v>70.092799999999997</v>
      </c>
      <c r="GN74">
        <v>61.620100000000001</v>
      </c>
      <c r="GO74">
        <v>22.677900000000001</v>
      </c>
      <c r="GP74">
        <v>800</v>
      </c>
      <c r="GQ74">
        <v>5.0376300000000001</v>
      </c>
      <c r="GR74">
        <v>99.732500000000002</v>
      </c>
      <c r="GS74">
        <v>99.5304</v>
      </c>
    </row>
    <row r="75" spans="1:201" x14ac:dyDescent="0.25">
      <c r="A75">
        <v>59</v>
      </c>
      <c r="B75">
        <v>1690292979.5999999</v>
      </c>
      <c r="C75">
        <v>709</v>
      </c>
      <c r="D75" t="s">
        <v>451</v>
      </c>
      <c r="E75" t="s">
        <v>452</v>
      </c>
      <c r="F75" t="s">
        <v>330</v>
      </c>
      <c r="H75">
        <v>1690292979.5999999</v>
      </c>
      <c r="I75">
        <f t="shared" si="0"/>
        <v>1.7297059544570221E-3</v>
      </c>
      <c r="J75">
        <f t="shared" si="1"/>
        <v>1.7297059544570221</v>
      </c>
      <c r="K75">
        <f t="shared" si="2"/>
        <v>27.029598528056905</v>
      </c>
      <c r="L75">
        <f t="shared" si="3"/>
        <v>520.78800000000001</v>
      </c>
      <c r="M75">
        <f t="shared" si="4"/>
        <v>167.07124927686087</v>
      </c>
      <c r="N75">
        <f t="shared" si="5"/>
        <v>16.614584162711637</v>
      </c>
      <c r="O75">
        <f t="shared" si="6"/>
        <v>51.7903355268</v>
      </c>
      <c r="P75">
        <f t="shared" si="7"/>
        <v>0.12833148615196541</v>
      </c>
      <c r="Q75">
        <f t="shared" si="8"/>
        <v>2.2553888751338484</v>
      </c>
      <c r="R75">
        <f t="shared" si="9"/>
        <v>0.12440849957890085</v>
      </c>
      <c r="S75">
        <f t="shared" si="10"/>
        <v>7.8097787541111907E-2</v>
      </c>
      <c r="T75">
        <f t="shared" si="11"/>
        <v>276.11646948000003</v>
      </c>
      <c r="U75">
        <f t="shared" si="12"/>
        <v>26.722786199417083</v>
      </c>
      <c r="V75">
        <f t="shared" si="13"/>
        <v>26.722786199417083</v>
      </c>
      <c r="W75">
        <f t="shared" si="14"/>
        <v>3.5212982299654665</v>
      </c>
      <c r="X75">
        <f t="shared" si="15"/>
        <v>67.612278750951091</v>
      </c>
      <c r="Y75">
        <f t="shared" si="16"/>
        <v>2.1782773190100002</v>
      </c>
      <c r="Z75">
        <f t="shared" si="17"/>
        <v>3.2217185387785183</v>
      </c>
      <c r="AA75">
        <f t="shared" si="18"/>
        <v>1.3430209109554663</v>
      </c>
      <c r="AB75">
        <f t="shared" si="19"/>
        <v>-76.280032591554672</v>
      </c>
      <c r="AC75">
        <f t="shared" si="20"/>
        <v>-182.66677231418339</v>
      </c>
      <c r="AD75">
        <f t="shared" si="21"/>
        <v>-17.299839142742602</v>
      </c>
      <c r="AE75">
        <f t="shared" si="22"/>
        <v>-0.13017456848064057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52759.288427588406</v>
      </c>
      <c r="AK75">
        <f t="shared" si="26"/>
        <v>1800</v>
      </c>
      <c r="AL75">
        <f t="shared" si="27"/>
        <v>1499.1091830000003</v>
      </c>
      <c r="AM75">
        <f t="shared" si="28"/>
        <v>0.8328384350000001</v>
      </c>
      <c r="AN75">
        <f t="shared" si="29"/>
        <v>0.15339803860000001</v>
      </c>
      <c r="AO75">
        <v>30</v>
      </c>
      <c r="AP75">
        <v>0.5</v>
      </c>
      <c r="AQ75" t="s">
        <v>331</v>
      </c>
      <c r="AR75">
        <v>2</v>
      </c>
      <c r="AS75">
        <v>1690292979.5999999</v>
      </c>
      <c r="AT75">
        <v>520.78800000000001</v>
      </c>
      <c r="AU75">
        <v>800.02599999999995</v>
      </c>
      <c r="AV75">
        <v>21.9041</v>
      </c>
      <c r="AW75">
        <v>4.9899199999999997</v>
      </c>
      <c r="AX75">
        <v>521.09199999999998</v>
      </c>
      <c r="AY75">
        <v>21.752700000000001</v>
      </c>
      <c r="AZ75">
        <v>300.07100000000003</v>
      </c>
      <c r="BA75">
        <v>99.346100000000007</v>
      </c>
      <c r="BB75">
        <v>0.1</v>
      </c>
      <c r="BC75">
        <v>25.220500000000001</v>
      </c>
      <c r="BD75">
        <v>26.988700000000001</v>
      </c>
      <c r="BE75">
        <v>26.4635</v>
      </c>
      <c r="BF75">
        <v>0</v>
      </c>
      <c r="BG75">
        <v>0</v>
      </c>
      <c r="BH75">
        <v>9983.1200000000008</v>
      </c>
      <c r="BI75">
        <v>1059.71</v>
      </c>
      <c r="BJ75">
        <v>2.2987099999999998</v>
      </c>
      <c r="BK75">
        <v>-279.238</v>
      </c>
      <c r="BL75">
        <v>532.45100000000002</v>
      </c>
      <c r="BM75">
        <v>804.03899999999999</v>
      </c>
      <c r="BN75">
        <v>16.914200000000001</v>
      </c>
      <c r="BO75">
        <v>800.02599999999995</v>
      </c>
      <c r="BP75">
        <v>4.9899199999999997</v>
      </c>
      <c r="BQ75">
        <v>2.1760899999999999</v>
      </c>
      <c r="BR75">
        <v>0.49572899999999998</v>
      </c>
      <c r="BS75">
        <v>18.787299999999998</v>
      </c>
      <c r="BT75">
        <v>-2.9026700000000001</v>
      </c>
      <c r="BU75">
        <v>1800</v>
      </c>
      <c r="BV75">
        <v>0.90997600000000001</v>
      </c>
      <c r="BW75">
        <v>3.4008799999999999E-2</v>
      </c>
      <c r="BX75">
        <v>2.2005500000000001E-2</v>
      </c>
      <c r="BY75">
        <v>3.4010199999999997E-2</v>
      </c>
      <c r="BZ75">
        <v>25</v>
      </c>
      <c r="CA75">
        <v>33528.199999999997</v>
      </c>
      <c r="CB75">
        <v>1690292073.5</v>
      </c>
      <c r="CC75" t="s">
        <v>332</v>
      </c>
      <c r="CD75">
        <v>1690292069.5</v>
      </c>
      <c r="CE75">
        <v>1690292073.5</v>
      </c>
      <c r="CF75">
        <v>4</v>
      </c>
      <c r="CG75">
        <v>-3.6999999999999998E-2</v>
      </c>
      <c r="CH75">
        <v>-1.6E-2</v>
      </c>
      <c r="CI75">
        <v>-0.45200000000000001</v>
      </c>
      <c r="CJ75">
        <v>0.108</v>
      </c>
      <c r="CK75">
        <v>730</v>
      </c>
      <c r="CL75">
        <v>18</v>
      </c>
      <c r="CM75">
        <v>0</v>
      </c>
      <c r="CN75">
        <v>0.01</v>
      </c>
      <c r="CO75">
        <v>-277.02760000000001</v>
      </c>
      <c r="CP75">
        <v>-13.355076923076069</v>
      </c>
      <c r="CQ75">
        <v>1.285417768665112</v>
      </c>
      <c r="CR75">
        <v>-1</v>
      </c>
      <c r="CS75">
        <v>16.755497500000001</v>
      </c>
      <c r="CT75">
        <v>0.95436360225138817</v>
      </c>
      <c r="CU75">
        <v>9.2958274208108968E-2</v>
      </c>
      <c r="CV75">
        <v>-1</v>
      </c>
      <c r="CW75">
        <v>0</v>
      </c>
      <c r="CX75">
        <v>0</v>
      </c>
      <c r="CY75" t="s">
        <v>333</v>
      </c>
      <c r="CZ75">
        <v>2.3643200000000002</v>
      </c>
      <c r="DA75">
        <v>2.7137699999999998</v>
      </c>
      <c r="DB75">
        <v>0.10922800000000001</v>
      </c>
      <c r="DC75">
        <v>0.14649899999999999</v>
      </c>
      <c r="DD75">
        <v>0.107185</v>
      </c>
      <c r="DE75">
        <v>3.3987000000000003E-2</v>
      </c>
      <c r="DF75">
        <v>32524.3</v>
      </c>
      <c r="DG75">
        <v>27497.7</v>
      </c>
      <c r="DH75">
        <v>31170.400000000001</v>
      </c>
      <c r="DI75">
        <v>28073</v>
      </c>
      <c r="DJ75">
        <v>37780.5</v>
      </c>
      <c r="DK75">
        <v>38561.800000000003</v>
      </c>
      <c r="DL75">
        <v>44357.4</v>
      </c>
      <c r="DM75">
        <v>42544</v>
      </c>
      <c r="DN75">
        <v>1.4828300000000001</v>
      </c>
      <c r="DO75">
        <v>2.0446800000000001</v>
      </c>
      <c r="DP75">
        <v>0.13400200000000001</v>
      </c>
      <c r="DQ75">
        <v>0.128798</v>
      </c>
      <c r="DR75">
        <v>24.793299999999999</v>
      </c>
      <c r="DS75">
        <v>24.351600000000001</v>
      </c>
      <c r="DT75">
        <v>49.2</v>
      </c>
      <c r="DU75">
        <v>28.2</v>
      </c>
      <c r="DV75">
        <v>19.0106</v>
      </c>
      <c r="DW75">
        <v>61.543399999999998</v>
      </c>
      <c r="DX75">
        <v>35.6571</v>
      </c>
      <c r="DY75">
        <v>1</v>
      </c>
      <c r="DZ75">
        <v>-9.9042199999999997E-2</v>
      </c>
      <c r="EA75">
        <v>0.839916</v>
      </c>
      <c r="EB75">
        <v>20.1874</v>
      </c>
      <c r="EC75">
        <v>5.2403500000000003</v>
      </c>
      <c r="ED75">
        <v>12.039899999999999</v>
      </c>
      <c r="EE75">
        <v>5.0167000000000002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</v>
      </c>
      <c r="EL75">
        <v>1.8646199999999999</v>
      </c>
      <c r="EM75">
        <v>1.8692</v>
      </c>
      <c r="EN75">
        <v>1.8672200000000001</v>
      </c>
      <c r="EO75">
        <v>1.86338</v>
      </c>
      <c r="EP75">
        <v>1.8644499999999999</v>
      </c>
      <c r="EQ75">
        <v>1.8701399999999999</v>
      </c>
      <c r="ER75">
        <v>1.86937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-0.30399999999999999</v>
      </c>
      <c r="FG75">
        <v>0.15140000000000001</v>
      </c>
      <c r="FH75">
        <v>5.0310448532705943E-2</v>
      </c>
      <c r="FI75">
        <v>-6.1462078757559423E-4</v>
      </c>
      <c r="FJ75">
        <v>-1.8861989874597051E-7</v>
      </c>
      <c r="FK75">
        <v>1.1980462299894961E-10</v>
      </c>
      <c r="FL75">
        <v>0.15140825623214971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15.2</v>
      </c>
      <c r="FU75">
        <v>15.1</v>
      </c>
      <c r="FV75">
        <v>1.7736799999999999</v>
      </c>
      <c r="FW75">
        <v>2.5793499999999998</v>
      </c>
      <c r="FX75">
        <v>1.5490699999999999</v>
      </c>
      <c r="FY75">
        <v>2.3315399999999999</v>
      </c>
      <c r="FZ75">
        <v>1.50146</v>
      </c>
      <c r="GA75">
        <v>2.3840300000000001</v>
      </c>
      <c r="GB75">
        <v>33.042900000000003</v>
      </c>
      <c r="GC75">
        <v>23.991199999999999</v>
      </c>
      <c r="GD75">
        <v>19</v>
      </c>
      <c r="GE75">
        <v>285.20400000000001</v>
      </c>
      <c r="GF75">
        <v>588.55100000000004</v>
      </c>
      <c r="GG75">
        <v>22.685400000000001</v>
      </c>
      <c r="GH75">
        <v>26.130600000000001</v>
      </c>
      <c r="GI75">
        <v>30.0002</v>
      </c>
      <c r="GJ75">
        <v>26.236899999999999</v>
      </c>
      <c r="GK75">
        <v>26.207599999999999</v>
      </c>
      <c r="GL75">
        <v>35.457900000000002</v>
      </c>
      <c r="GM75">
        <v>70.384399999999999</v>
      </c>
      <c r="GN75">
        <v>60.829500000000003</v>
      </c>
      <c r="GO75">
        <v>22.695399999999999</v>
      </c>
      <c r="GP75">
        <v>800</v>
      </c>
      <c r="GQ75">
        <v>4.89541</v>
      </c>
      <c r="GR75">
        <v>99.730699999999999</v>
      </c>
      <c r="GS75">
        <v>99.529700000000005</v>
      </c>
    </row>
    <row r="76" spans="1:201" x14ac:dyDescent="0.25">
      <c r="A76">
        <v>60</v>
      </c>
      <c r="B76">
        <v>1690292989.5999999</v>
      </c>
      <c r="C76">
        <v>719</v>
      </c>
      <c r="D76" t="s">
        <v>453</v>
      </c>
      <c r="E76" t="s">
        <v>454</v>
      </c>
      <c r="F76" t="s">
        <v>330</v>
      </c>
      <c r="H76">
        <v>1690292989.5999999</v>
      </c>
      <c r="I76">
        <f t="shared" si="0"/>
        <v>1.7417950262498454E-3</v>
      </c>
      <c r="J76">
        <f t="shared" si="1"/>
        <v>1.7417950262498454</v>
      </c>
      <c r="K76">
        <f t="shared" si="2"/>
        <v>27.277689017255685</v>
      </c>
      <c r="L76">
        <f t="shared" si="3"/>
        <v>518.45299999999997</v>
      </c>
      <c r="M76">
        <f t="shared" si="4"/>
        <v>164.6855607792242</v>
      </c>
      <c r="N76">
        <f t="shared" si="5"/>
        <v>16.377698082395714</v>
      </c>
      <c r="O76">
        <f t="shared" si="6"/>
        <v>51.559266421027303</v>
      </c>
      <c r="P76">
        <f t="shared" si="7"/>
        <v>0.12948395360304352</v>
      </c>
      <c r="Q76">
        <f t="shared" si="8"/>
        <v>2.2634638924930295</v>
      </c>
      <c r="R76">
        <f t="shared" si="9"/>
        <v>0.1255051431636697</v>
      </c>
      <c r="S76">
        <f t="shared" si="10"/>
        <v>7.8788010429539757E-2</v>
      </c>
      <c r="T76">
        <f t="shared" si="11"/>
        <v>276.11617422599994</v>
      </c>
      <c r="U76">
        <f t="shared" si="12"/>
        <v>26.709094901519943</v>
      </c>
      <c r="V76">
        <f t="shared" si="13"/>
        <v>26.709094901519943</v>
      </c>
      <c r="W76">
        <f t="shared" si="14"/>
        <v>3.5184618004876183</v>
      </c>
      <c r="X76">
        <f t="shared" si="15"/>
        <v>67.617343479938256</v>
      </c>
      <c r="Y76">
        <f t="shared" si="16"/>
        <v>2.1778181924958999</v>
      </c>
      <c r="Z76">
        <f t="shared" si="17"/>
        <v>3.2207982159814486</v>
      </c>
      <c r="AA76">
        <f t="shared" si="18"/>
        <v>1.3406436079917183</v>
      </c>
      <c r="AB76">
        <f t="shared" si="19"/>
        <v>-76.813160657618184</v>
      </c>
      <c r="AC76">
        <f t="shared" si="20"/>
        <v>-182.23579199003285</v>
      </c>
      <c r="AD76">
        <f t="shared" si="21"/>
        <v>-17.195853138715098</v>
      </c>
      <c r="AE76">
        <f t="shared" si="22"/>
        <v>-0.12863156036621604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53077.865037344156</v>
      </c>
      <c r="AK76">
        <f t="shared" si="26"/>
        <v>1800</v>
      </c>
      <c r="AL76">
        <f t="shared" si="27"/>
        <v>1499.1089165999999</v>
      </c>
      <c r="AM76">
        <f t="shared" si="28"/>
        <v>0.83283828699999995</v>
      </c>
      <c r="AN76">
        <f t="shared" si="29"/>
        <v>0.15339787456999998</v>
      </c>
      <c r="AO76">
        <v>30</v>
      </c>
      <c r="AP76">
        <v>0.5</v>
      </c>
      <c r="AQ76" t="s">
        <v>331</v>
      </c>
      <c r="AR76">
        <v>2</v>
      </c>
      <c r="AS76">
        <v>1690292989.5999999</v>
      </c>
      <c r="AT76">
        <v>518.45299999999997</v>
      </c>
      <c r="AU76">
        <v>800.11099999999999</v>
      </c>
      <c r="AV76">
        <v>21.899000000000001</v>
      </c>
      <c r="AW76">
        <v>4.8715099999999998</v>
      </c>
      <c r="AX76">
        <v>518.75599999999997</v>
      </c>
      <c r="AY76">
        <v>21.747599999999998</v>
      </c>
      <c r="AZ76">
        <v>300.15899999999999</v>
      </c>
      <c r="BA76">
        <v>99.348299999999995</v>
      </c>
      <c r="BB76">
        <v>9.9994100000000002E-2</v>
      </c>
      <c r="BC76">
        <v>25.215699999999998</v>
      </c>
      <c r="BD76">
        <v>26.973500000000001</v>
      </c>
      <c r="BE76">
        <v>26.4559</v>
      </c>
      <c r="BF76">
        <v>0</v>
      </c>
      <c r="BG76">
        <v>0</v>
      </c>
      <c r="BH76">
        <v>10045.6</v>
      </c>
      <c r="BI76">
        <v>1059.5899999999999</v>
      </c>
      <c r="BJ76">
        <v>2.2987099999999998</v>
      </c>
      <c r="BK76">
        <v>-281.65800000000002</v>
      </c>
      <c r="BL76">
        <v>530.06100000000004</v>
      </c>
      <c r="BM76">
        <v>804.02800000000002</v>
      </c>
      <c r="BN76">
        <v>17.0275</v>
      </c>
      <c r="BO76">
        <v>800.11099999999999</v>
      </c>
      <c r="BP76">
        <v>4.8715099999999998</v>
      </c>
      <c r="BQ76">
        <v>2.17563</v>
      </c>
      <c r="BR76">
        <v>0.48397600000000002</v>
      </c>
      <c r="BS76">
        <v>18.783999999999999</v>
      </c>
      <c r="BT76">
        <v>-3.2246700000000001</v>
      </c>
      <c r="BU76">
        <v>1800</v>
      </c>
      <c r="BV76">
        <v>0.90997899999999998</v>
      </c>
      <c r="BW76">
        <v>3.4007500000000003E-2</v>
      </c>
      <c r="BX76">
        <v>2.2004599999999999E-2</v>
      </c>
      <c r="BY76">
        <v>3.4008900000000002E-2</v>
      </c>
      <c r="BZ76">
        <v>25</v>
      </c>
      <c r="CA76">
        <v>33528.199999999997</v>
      </c>
      <c r="CB76">
        <v>1690292073.5</v>
      </c>
      <c r="CC76" t="s">
        <v>332</v>
      </c>
      <c r="CD76">
        <v>1690292069.5</v>
      </c>
      <c r="CE76">
        <v>1690292073.5</v>
      </c>
      <c r="CF76">
        <v>4</v>
      </c>
      <c r="CG76">
        <v>-3.6999999999999998E-2</v>
      </c>
      <c r="CH76">
        <v>-1.6E-2</v>
      </c>
      <c r="CI76">
        <v>-0.45200000000000001</v>
      </c>
      <c r="CJ76">
        <v>0.108</v>
      </c>
      <c r="CK76">
        <v>730</v>
      </c>
      <c r="CL76">
        <v>18</v>
      </c>
      <c r="CM76">
        <v>0</v>
      </c>
      <c r="CN76">
        <v>0.01</v>
      </c>
      <c r="CO76">
        <v>-279.27797500000003</v>
      </c>
      <c r="CP76">
        <v>-13.557939962475491</v>
      </c>
      <c r="CQ76">
        <v>1.305434668750223</v>
      </c>
      <c r="CR76">
        <v>-1</v>
      </c>
      <c r="CS76">
        <v>16.895677500000001</v>
      </c>
      <c r="CT76">
        <v>0.78290544090049174</v>
      </c>
      <c r="CU76">
        <v>7.5713643048991044E-2</v>
      </c>
      <c r="CV76">
        <v>-1</v>
      </c>
      <c r="CW76">
        <v>0</v>
      </c>
      <c r="CX76">
        <v>0</v>
      </c>
      <c r="CY76" t="s">
        <v>333</v>
      </c>
      <c r="CZ76">
        <v>2.3645999999999998</v>
      </c>
      <c r="DA76">
        <v>2.7138300000000002</v>
      </c>
      <c r="DB76">
        <v>0.108876</v>
      </c>
      <c r="DC76">
        <v>0.14651</v>
      </c>
      <c r="DD76">
        <v>0.10717</v>
      </c>
      <c r="DE76">
        <v>3.3313299999999997E-2</v>
      </c>
      <c r="DF76">
        <v>32536.9</v>
      </c>
      <c r="DG76">
        <v>27497.200000000001</v>
      </c>
      <c r="DH76">
        <v>31170.2</v>
      </c>
      <c r="DI76">
        <v>28072.9</v>
      </c>
      <c r="DJ76">
        <v>37780.5</v>
      </c>
      <c r="DK76">
        <v>38588.6</v>
      </c>
      <c r="DL76">
        <v>44356.800000000003</v>
      </c>
      <c r="DM76">
        <v>42543.9</v>
      </c>
      <c r="DN76">
        <v>1.4825200000000001</v>
      </c>
      <c r="DO76">
        <v>2.04427</v>
      </c>
      <c r="DP76">
        <v>0.13378300000000001</v>
      </c>
      <c r="DQ76">
        <v>0.12884300000000001</v>
      </c>
      <c r="DR76">
        <v>24.781700000000001</v>
      </c>
      <c r="DS76">
        <v>24.343299999999999</v>
      </c>
      <c r="DT76">
        <v>48.8</v>
      </c>
      <c r="DU76">
        <v>28.2</v>
      </c>
      <c r="DV76">
        <v>18.8553</v>
      </c>
      <c r="DW76">
        <v>61.383400000000002</v>
      </c>
      <c r="DX76">
        <v>35.364600000000003</v>
      </c>
      <c r="DY76">
        <v>1</v>
      </c>
      <c r="DZ76">
        <v>-9.9197199999999999E-2</v>
      </c>
      <c r="EA76">
        <v>0.76371699999999998</v>
      </c>
      <c r="EB76">
        <v>20.188099999999999</v>
      </c>
      <c r="EC76">
        <v>5.2408000000000001</v>
      </c>
      <c r="ED76">
        <v>12.039899999999999</v>
      </c>
      <c r="EE76">
        <v>5.0168499999999998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1.8688800000000001</v>
      </c>
      <c r="EL76">
        <v>1.8646</v>
      </c>
      <c r="EM76">
        <v>1.8691800000000001</v>
      </c>
      <c r="EN76">
        <v>1.8672200000000001</v>
      </c>
      <c r="EO76">
        <v>1.8633599999999999</v>
      </c>
      <c r="EP76">
        <v>1.8644400000000001</v>
      </c>
      <c r="EQ76">
        <v>1.8701300000000001</v>
      </c>
      <c r="ER76">
        <v>1.86937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-0.30299999999999999</v>
      </c>
      <c r="FG76">
        <v>0.15140000000000001</v>
      </c>
      <c r="FH76">
        <v>5.0310448532705943E-2</v>
      </c>
      <c r="FI76">
        <v>-6.1462078757559423E-4</v>
      </c>
      <c r="FJ76">
        <v>-1.8861989874597051E-7</v>
      </c>
      <c r="FK76">
        <v>1.1980462299894961E-10</v>
      </c>
      <c r="FL76">
        <v>0.15140825623214971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15.3</v>
      </c>
      <c r="FU76">
        <v>15.3</v>
      </c>
      <c r="FV76">
        <v>1.7736799999999999</v>
      </c>
      <c r="FW76">
        <v>2.5793499999999998</v>
      </c>
      <c r="FX76">
        <v>1.5490699999999999</v>
      </c>
      <c r="FY76">
        <v>2.3315399999999999</v>
      </c>
      <c r="FZ76">
        <v>1.50146</v>
      </c>
      <c r="GA76">
        <v>2.3840300000000001</v>
      </c>
      <c r="GB76">
        <v>33.042900000000003</v>
      </c>
      <c r="GC76">
        <v>23.982399999999998</v>
      </c>
      <c r="GD76">
        <v>19</v>
      </c>
      <c r="GE76">
        <v>285.07</v>
      </c>
      <c r="GF76">
        <v>588.21500000000003</v>
      </c>
      <c r="GG76">
        <v>22.6996</v>
      </c>
      <c r="GH76">
        <v>26.126799999999999</v>
      </c>
      <c r="GI76">
        <v>30</v>
      </c>
      <c r="GJ76">
        <v>26.235700000000001</v>
      </c>
      <c r="GK76">
        <v>26.2073</v>
      </c>
      <c r="GL76">
        <v>35.451500000000003</v>
      </c>
      <c r="GM76">
        <v>70.942899999999995</v>
      </c>
      <c r="GN76">
        <v>60.045900000000003</v>
      </c>
      <c r="GO76">
        <v>22.713999999999999</v>
      </c>
      <c r="GP76">
        <v>800</v>
      </c>
      <c r="GQ76">
        <v>4.7379600000000002</v>
      </c>
      <c r="GR76">
        <v>99.729500000000002</v>
      </c>
      <c r="GS76">
        <v>99.529499999999999</v>
      </c>
    </row>
    <row r="77" spans="1:201" x14ac:dyDescent="0.25">
      <c r="A77">
        <v>61</v>
      </c>
      <c r="B77">
        <v>1690292999.5999999</v>
      </c>
      <c r="C77">
        <v>729</v>
      </c>
      <c r="D77" t="s">
        <v>455</v>
      </c>
      <c r="E77" t="s">
        <v>456</v>
      </c>
      <c r="F77" t="s">
        <v>330</v>
      </c>
      <c r="H77">
        <v>1690292999.5999999</v>
      </c>
      <c r="I77">
        <f t="shared" si="0"/>
        <v>1.7593125480219103E-3</v>
      </c>
      <c r="J77">
        <f t="shared" si="1"/>
        <v>1.7593125480219103</v>
      </c>
      <c r="K77">
        <f t="shared" si="2"/>
        <v>27.507042384902764</v>
      </c>
      <c r="L77">
        <f t="shared" si="3"/>
        <v>516.11300000000006</v>
      </c>
      <c r="M77">
        <f t="shared" si="4"/>
        <v>163.38562445738879</v>
      </c>
      <c r="N77">
        <f t="shared" si="5"/>
        <v>16.249548650449498</v>
      </c>
      <c r="O77">
        <f t="shared" si="6"/>
        <v>51.330117508696006</v>
      </c>
      <c r="P77">
        <f t="shared" si="7"/>
        <v>0.13099882061196455</v>
      </c>
      <c r="Q77">
        <f t="shared" si="8"/>
        <v>2.2563137427116486</v>
      </c>
      <c r="R77">
        <f t="shared" si="9"/>
        <v>0.1269154750384488</v>
      </c>
      <c r="S77">
        <f t="shared" si="10"/>
        <v>7.9678441657254712E-2</v>
      </c>
      <c r="T77">
        <f t="shared" si="11"/>
        <v>276.11601773399997</v>
      </c>
      <c r="U77">
        <f t="shared" si="12"/>
        <v>26.705517141316001</v>
      </c>
      <c r="V77">
        <f t="shared" si="13"/>
        <v>26.705517141316001</v>
      </c>
      <c r="W77">
        <f t="shared" si="14"/>
        <v>3.5177209238629636</v>
      </c>
      <c r="X77">
        <f t="shared" si="15"/>
        <v>67.648398784556449</v>
      </c>
      <c r="Y77">
        <f t="shared" si="16"/>
        <v>2.1785460897216002</v>
      </c>
      <c r="Z77">
        <f t="shared" si="17"/>
        <v>3.2203956469978468</v>
      </c>
      <c r="AA77">
        <f t="shared" si="18"/>
        <v>1.3391748341413634</v>
      </c>
      <c r="AB77">
        <f t="shared" si="19"/>
        <v>-77.585683367766237</v>
      </c>
      <c r="AC77">
        <f t="shared" si="20"/>
        <v>-181.48036152556546</v>
      </c>
      <c r="AD77">
        <f t="shared" si="21"/>
        <v>-17.178347728458672</v>
      </c>
      <c r="AE77">
        <f t="shared" si="22"/>
        <v>-0.1283748877904145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52797.033989967807</v>
      </c>
      <c r="AK77">
        <f t="shared" si="26"/>
        <v>1800</v>
      </c>
      <c r="AL77">
        <f t="shared" si="27"/>
        <v>1499.1092243999999</v>
      </c>
      <c r="AM77">
        <f t="shared" si="28"/>
        <v>0.83283845799999989</v>
      </c>
      <c r="AN77">
        <f t="shared" si="29"/>
        <v>0.15339778762999998</v>
      </c>
      <c r="AO77">
        <v>30</v>
      </c>
      <c r="AP77">
        <v>0.5</v>
      </c>
      <c r="AQ77" t="s">
        <v>331</v>
      </c>
      <c r="AR77">
        <v>2</v>
      </c>
      <c r="AS77">
        <v>1690292999.5999999</v>
      </c>
      <c r="AT77">
        <v>516.11300000000006</v>
      </c>
      <c r="AU77">
        <v>800.04200000000003</v>
      </c>
      <c r="AV77">
        <v>21.904800000000002</v>
      </c>
      <c r="AW77">
        <v>4.7104600000000003</v>
      </c>
      <c r="AX77">
        <v>516.41399999999999</v>
      </c>
      <c r="AY77">
        <v>21.753299999999999</v>
      </c>
      <c r="AZ77">
        <v>300.23399999999998</v>
      </c>
      <c r="BA77">
        <v>99.355099999999993</v>
      </c>
      <c r="BB77">
        <v>0.100092</v>
      </c>
      <c r="BC77">
        <v>25.2136</v>
      </c>
      <c r="BD77">
        <v>26.991499999999998</v>
      </c>
      <c r="BE77">
        <v>26.441700000000001</v>
      </c>
      <c r="BF77">
        <v>0</v>
      </c>
      <c r="BG77">
        <v>0</v>
      </c>
      <c r="BH77">
        <v>9989.3799999999992</v>
      </c>
      <c r="BI77">
        <v>1059.57</v>
      </c>
      <c r="BJ77">
        <v>2.2987099999999998</v>
      </c>
      <c r="BK77">
        <v>-283.928</v>
      </c>
      <c r="BL77">
        <v>527.67200000000003</v>
      </c>
      <c r="BM77">
        <v>803.82799999999997</v>
      </c>
      <c r="BN77">
        <v>17.194299999999998</v>
      </c>
      <c r="BO77">
        <v>800.04200000000003</v>
      </c>
      <c r="BP77">
        <v>4.7104600000000003</v>
      </c>
      <c r="BQ77">
        <v>2.1763499999999998</v>
      </c>
      <c r="BR77">
        <v>0.46800900000000001</v>
      </c>
      <c r="BS77">
        <v>18.789300000000001</v>
      </c>
      <c r="BT77">
        <v>-3.6734399999999998</v>
      </c>
      <c r="BU77">
        <v>1800</v>
      </c>
      <c r="BV77">
        <v>0.90998199999999996</v>
      </c>
      <c r="BW77">
        <v>3.4006300000000003E-2</v>
      </c>
      <c r="BX77">
        <v>2.20039E-2</v>
      </c>
      <c r="BY77">
        <v>3.4007700000000002E-2</v>
      </c>
      <c r="BZ77">
        <v>25</v>
      </c>
      <c r="CA77">
        <v>33528.199999999997</v>
      </c>
      <c r="CB77">
        <v>1690292073.5</v>
      </c>
      <c r="CC77" t="s">
        <v>332</v>
      </c>
      <c r="CD77">
        <v>1690292069.5</v>
      </c>
      <c r="CE77">
        <v>1690292073.5</v>
      </c>
      <c r="CF77">
        <v>4</v>
      </c>
      <c r="CG77">
        <v>-3.6999999999999998E-2</v>
      </c>
      <c r="CH77">
        <v>-1.6E-2</v>
      </c>
      <c r="CI77">
        <v>-0.45200000000000001</v>
      </c>
      <c r="CJ77">
        <v>0.108</v>
      </c>
      <c r="CK77">
        <v>730</v>
      </c>
      <c r="CL77">
        <v>18</v>
      </c>
      <c r="CM77">
        <v>0</v>
      </c>
      <c r="CN77">
        <v>0.01</v>
      </c>
      <c r="CO77">
        <v>-281.39419512195121</v>
      </c>
      <c r="CP77">
        <v>-14.044891986062799</v>
      </c>
      <c r="CQ77">
        <v>1.385577280757667</v>
      </c>
      <c r="CR77">
        <v>-1</v>
      </c>
      <c r="CS77">
        <v>17.025165853658539</v>
      </c>
      <c r="CT77">
        <v>0.87699512195122975</v>
      </c>
      <c r="CU77">
        <v>8.7293831284741039E-2</v>
      </c>
      <c r="CV77">
        <v>-1</v>
      </c>
      <c r="CW77">
        <v>0</v>
      </c>
      <c r="CX77">
        <v>0</v>
      </c>
      <c r="CY77" t="s">
        <v>333</v>
      </c>
      <c r="CZ77">
        <v>2.3648400000000001</v>
      </c>
      <c r="DA77">
        <v>2.71387</v>
      </c>
      <c r="DB77">
        <v>0.108527</v>
      </c>
      <c r="DC77">
        <v>0.146509</v>
      </c>
      <c r="DD77">
        <v>0.107198</v>
      </c>
      <c r="DE77">
        <v>3.2391099999999999E-2</v>
      </c>
      <c r="DF77">
        <v>32549.7</v>
      </c>
      <c r="DG77">
        <v>27497.599999999999</v>
      </c>
      <c r="DH77">
        <v>31170.2</v>
      </c>
      <c r="DI77">
        <v>28073.200000000001</v>
      </c>
      <c r="DJ77">
        <v>37779.300000000003</v>
      </c>
      <c r="DK77">
        <v>38626.1</v>
      </c>
      <c r="DL77">
        <v>44356.800000000003</v>
      </c>
      <c r="DM77">
        <v>42544.4</v>
      </c>
      <c r="DN77">
        <v>1.4829000000000001</v>
      </c>
      <c r="DO77">
        <v>2.0439799999999999</v>
      </c>
      <c r="DP77">
        <v>0.13545199999999999</v>
      </c>
      <c r="DQ77">
        <v>0.128444</v>
      </c>
      <c r="DR77">
        <v>24.772300000000001</v>
      </c>
      <c r="DS77">
        <v>24.335599999999999</v>
      </c>
      <c r="DT77">
        <v>48.4</v>
      </c>
      <c r="DU77">
        <v>28.2</v>
      </c>
      <c r="DV77">
        <v>18.7028</v>
      </c>
      <c r="DW77">
        <v>61.553400000000003</v>
      </c>
      <c r="DX77">
        <v>35.0441</v>
      </c>
      <c r="DY77">
        <v>1</v>
      </c>
      <c r="DZ77">
        <v>-9.9601099999999998E-2</v>
      </c>
      <c r="EA77">
        <v>0.734483</v>
      </c>
      <c r="EB77">
        <v>20.188300000000002</v>
      </c>
      <c r="EC77">
        <v>5.2411000000000003</v>
      </c>
      <c r="ED77">
        <v>12.039899999999999</v>
      </c>
      <c r="EE77">
        <v>5.0167000000000002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1.8688899999999999</v>
      </c>
      <c r="EL77">
        <v>1.8646199999999999</v>
      </c>
      <c r="EM77">
        <v>1.8692</v>
      </c>
      <c r="EN77">
        <v>1.8672200000000001</v>
      </c>
      <c r="EO77">
        <v>1.86338</v>
      </c>
      <c r="EP77">
        <v>1.86443</v>
      </c>
      <c r="EQ77">
        <v>1.8701399999999999</v>
      </c>
      <c r="ER77">
        <v>1.8693900000000001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-0.30099999999999999</v>
      </c>
      <c r="FG77">
        <v>0.1515</v>
      </c>
      <c r="FH77">
        <v>5.0310448532705943E-2</v>
      </c>
      <c r="FI77">
        <v>-6.1462078757559423E-4</v>
      </c>
      <c r="FJ77">
        <v>-1.8861989874597051E-7</v>
      </c>
      <c r="FK77">
        <v>1.1980462299894961E-10</v>
      </c>
      <c r="FL77">
        <v>0.15140825623214971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15.5</v>
      </c>
      <c r="FU77">
        <v>15.4</v>
      </c>
      <c r="FV77">
        <v>1.7724599999999999</v>
      </c>
      <c r="FW77">
        <v>2.5842299999999998</v>
      </c>
      <c r="FX77">
        <v>1.5490699999999999</v>
      </c>
      <c r="FY77">
        <v>2.3315399999999999</v>
      </c>
      <c r="FZ77">
        <v>1.50146</v>
      </c>
      <c r="GA77">
        <v>2.36572</v>
      </c>
      <c r="GB77">
        <v>33.042900000000003</v>
      </c>
      <c r="GC77">
        <v>23.982399999999998</v>
      </c>
      <c r="GD77">
        <v>19</v>
      </c>
      <c r="GE77">
        <v>285.22000000000003</v>
      </c>
      <c r="GF77">
        <v>587.94500000000005</v>
      </c>
      <c r="GG77">
        <v>22.729099999999999</v>
      </c>
      <c r="GH77">
        <v>26.122299999999999</v>
      </c>
      <c r="GI77">
        <v>29.999700000000001</v>
      </c>
      <c r="GJ77">
        <v>26.2334</v>
      </c>
      <c r="GK77">
        <v>26.205400000000001</v>
      </c>
      <c r="GL77">
        <v>35.443399999999997</v>
      </c>
      <c r="GM77">
        <v>71.512</v>
      </c>
      <c r="GN77">
        <v>59.261499999999998</v>
      </c>
      <c r="GO77">
        <v>22.732700000000001</v>
      </c>
      <c r="GP77">
        <v>800</v>
      </c>
      <c r="GQ77">
        <v>4.5786600000000002</v>
      </c>
      <c r="GR77">
        <v>99.729600000000005</v>
      </c>
      <c r="GS77">
        <v>99.530699999999996</v>
      </c>
    </row>
    <row r="78" spans="1:201" x14ac:dyDescent="0.25">
      <c r="A78">
        <v>62</v>
      </c>
      <c r="B78">
        <v>1690293009.5999999</v>
      </c>
      <c r="C78">
        <v>739</v>
      </c>
      <c r="D78" t="s">
        <v>457</v>
      </c>
      <c r="E78" t="s">
        <v>458</v>
      </c>
      <c r="F78" t="s">
        <v>330</v>
      </c>
      <c r="H78">
        <v>1690293009.5999999</v>
      </c>
      <c r="I78">
        <f t="shared" si="0"/>
        <v>1.7766207438727872E-3</v>
      </c>
      <c r="J78">
        <f t="shared" si="1"/>
        <v>1.7766207438727872</v>
      </c>
      <c r="K78">
        <f t="shared" si="2"/>
        <v>27.733493422110893</v>
      </c>
      <c r="L78">
        <f t="shared" si="3"/>
        <v>513.75599999999997</v>
      </c>
      <c r="M78">
        <f t="shared" si="4"/>
        <v>162.25948296214631</v>
      </c>
      <c r="N78">
        <f t="shared" si="5"/>
        <v>16.137070891585392</v>
      </c>
      <c r="O78">
        <f t="shared" si="6"/>
        <v>51.094190870258394</v>
      </c>
      <c r="P78">
        <f t="shared" si="7"/>
        <v>0.13257641459636613</v>
      </c>
      <c r="Q78">
        <f t="shared" si="8"/>
        <v>2.2538544538087435</v>
      </c>
      <c r="R78">
        <f t="shared" si="9"/>
        <v>0.12839140945699648</v>
      </c>
      <c r="S78">
        <f t="shared" si="10"/>
        <v>8.0609632283111313E-2</v>
      </c>
      <c r="T78">
        <f t="shared" si="11"/>
        <v>276.11609268599994</v>
      </c>
      <c r="U78">
        <f t="shared" si="12"/>
        <v>26.698567427472412</v>
      </c>
      <c r="V78">
        <f t="shared" si="13"/>
        <v>26.698567427472412</v>
      </c>
      <c r="W78">
        <f t="shared" si="14"/>
        <v>3.5162821779308184</v>
      </c>
      <c r="X78">
        <f t="shared" si="15"/>
        <v>67.689393718821364</v>
      </c>
      <c r="Y78">
        <f t="shared" si="16"/>
        <v>2.1795159798812795</v>
      </c>
      <c r="Z78">
        <f t="shared" si="17"/>
        <v>3.2198781229078355</v>
      </c>
      <c r="AA78">
        <f t="shared" si="18"/>
        <v>1.3367661980495389</v>
      </c>
      <c r="AB78">
        <f t="shared" si="19"/>
        <v>-78.348974804789918</v>
      </c>
      <c r="AC78">
        <f t="shared" si="20"/>
        <v>-180.76617353309118</v>
      </c>
      <c r="AD78">
        <f t="shared" si="21"/>
        <v>-17.128585408735045</v>
      </c>
      <c r="AE78">
        <f t="shared" si="22"/>
        <v>-0.12764106061618463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52700.874577883886</v>
      </c>
      <c r="AK78">
        <f t="shared" si="26"/>
        <v>1800</v>
      </c>
      <c r="AL78">
        <f t="shared" si="27"/>
        <v>1499.1108875999998</v>
      </c>
      <c r="AM78">
        <f t="shared" si="28"/>
        <v>0.83283938199999996</v>
      </c>
      <c r="AN78">
        <f t="shared" si="29"/>
        <v>0.15339782926999998</v>
      </c>
      <c r="AO78">
        <v>30</v>
      </c>
      <c r="AP78">
        <v>0.5</v>
      </c>
      <c r="AQ78" t="s">
        <v>331</v>
      </c>
      <c r="AR78">
        <v>2</v>
      </c>
      <c r="AS78">
        <v>1690293009.5999999</v>
      </c>
      <c r="AT78">
        <v>513.75599999999997</v>
      </c>
      <c r="AU78">
        <v>800.01900000000001</v>
      </c>
      <c r="AV78">
        <v>21.915199999999999</v>
      </c>
      <c r="AW78">
        <v>4.55044</v>
      </c>
      <c r="AX78">
        <v>514.05600000000004</v>
      </c>
      <c r="AY78">
        <v>21.7638</v>
      </c>
      <c r="AZ78">
        <v>300.209</v>
      </c>
      <c r="BA78">
        <v>99.3523</v>
      </c>
      <c r="BB78">
        <v>9.9951399999999996E-2</v>
      </c>
      <c r="BC78">
        <v>25.210899999999999</v>
      </c>
      <c r="BD78">
        <v>26.954799999999999</v>
      </c>
      <c r="BE78">
        <v>26.4499</v>
      </c>
      <c r="BF78">
        <v>0</v>
      </c>
      <c r="BG78">
        <v>0</v>
      </c>
      <c r="BH78">
        <v>9970.6200000000008</v>
      </c>
      <c r="BI78">
        <v>1059.48</v>
      </c>
      <c r="BJ78">
        <v>2.2987099999999998</v>
      </c>
      <c r="BK78">
        <v>-286.26299999999998</v>
      </c>
      <c r="BL78">
        <v>525.26800000000003</v>
      </c>
      <c r="BM78">
        <v>803.67600000000004</v>
      </c>
      <c r="BN78">
        <v>17.364699999999999</v>
      </c>
      <c r="BO78">
        <v>800.01900000000001</v>
      </c>
      <c r="BP78">
        <v>4.55044</v>
      </c>
      <c r="BQ78">
        <v>2.1773199999999999</v>
      </c>
      <c r="BR78">
        <v>0.452096</v>
      </c>
      <c r="BS78">
        <v>18.796399999999998</v>
      </c>
      <c r="BT78">
        <v>-4.1344000000000003</v>
      </c>
      <c r="BU78">
        <v>1800</v>
      </c>
      <c r="BV78">
        <v>0.90998599999999996</v>
      </c>
      <c r="BW78">
        <v>3.4005100000000003E-2</v>
      </c>
      <c r="BX78">
        <v>2.2003100000000001E-2</v>
      </c>
      <c r="BY78">
        <v>3.4006500000000002E-2</v>
      </c>
      <c r="BZ78">
        <v>25</v>
      </c>
      <c r="CA78">
        <v>33528.300000000003</v>
      </c>
      <c r="CB78">
        <v>1690292073.5</v>
      </c>
      <c r="CC78" t="s">
        <v>332</v>
      </c>
      <c r="CD78">
        <v>1690292069.5</v>
      </c>
      <c r="CE78">
        <v>1690292073.5</v>
      </c>
      <c r="CF78">
        <v>4</v>
      </c>
      <c r="CG78">
        <v>-3.6999999999999998E-2</v>
      </c>
      <c r="CH78">
        <v>-1.6E-2</v>
      </c>
      <c r="CI78">
        <v>-0.45200000000000001</v>
      </c>
      <c r="CJ78">
        <v>0.108</v>
      </c>
      <c r="CK78">
        <v>730</v>
      </c>
      <c r="CL78">
        <v>18</v>
      </c>
      <c r="CM78">
        <v>0</v>
      </c>
      <c r="CN78">
        <v>0.01</v>
      </c>
      <c r="CO78">
        <v>-283.73395121951228</v>
      </c>
      <c r="CP78">
        <v>-14.04763066202136</v>
      </c>
      <c r="CQ78">
        <v>1.3859818031258819</v>
      </c>
      <c r="CR78">
        <v>-1</v>
      </c>
      <c r="CS78">
        <v>17.179729268292689</v>
      </c>
      <c r="CT78">
        <v>1.0086313588850191</v>
      </c>
      <c r="CU78">
        <v>9.9649471609976253E-2</v>
      </c>
      <c r="CV78">
        <v>-1</v>
      </c>
      <c r="CW78">
        <v>0</v>
      </c>
      <c r="CX78">
        <v>0</v>
      </c>
      <c r="CY78" t="s">
        <v>333</v>
      </c>
      <c r="CZ78">
        <v>2.3647499999999999</v>
      </c>
      <c r="DA78">
        <v>2.7137199999999999</v>
      </c>
      <c r="DB78">
        <v>0.108164</v>
      </c>
      <c r="DC78">
        <v>0.14649899999999999</v>
      </c>
      <c r="DD78">
        <v>0.10723199999999999</v>
      </c>
      <c r="DE78">
        <v>3.1463100000000001E-2</v>
      </c>
      <c r="DF78">
        <v>32563.3</v>
      </c>
      <c r="DG78">
        <v>27498.2</v>
      </c>
      <c r="DH78">
        <v>31170.6</v>
      </c>
      <c r="DI78">
        <v>28073.5</v>
      </c>
      <c r="DJ78">
        <v>37778.300000000003</v>
      </c>
      <c r="DK78">
        <v>38663.699999999997</v>
      </c>
      <c r="DL78">
        <v>44357.4</v>
      </c>
      <c r="DM78">
        <v>42545</v>
      </c>
      <c r="DN78">
        <v>1.48353</v>
      </c>
      <c r="DO78">
        <v>2.0442999999999998</v>
      </c>
      <c r="DP78">
        <v>0.133745</v>
      </c>
      <c r="DQ78">
        <v>0.129383</v>
      </c>
      <c r="DR78">
        <v>24.763400000000001</v>
      </c>
      <c r="DS78">
        <v>24.328399999999998</v>
      </c>
      <c r="DT78">
        <v>48</v>
      </c>
      <c r="DU78">
        <v>28.2</v>
      </c>
      <c r="DV78">
        <v>18.549499999999998</v>
      </c>
      <c r="DW78">
        <v>61.603400000000001</v>
      </c>
      <c r="DX78">
        <v>34.8598</v>
      </c>
      <c r="DY78">
        <v>1</v>
      </c>
      <c r="DZ78">
        <v>-0.100036</v>
      </c>
      <c r="EA78">
        <v>0.68669100000000005</v>
      </c>
      <c r="EB78">
        <v>20.188400000000001</v>
      </c>
      <c r="EC78">
        <v>5.2409499999999998</v>
      </c>
      <c r="ED78">
        <v>12.039899999999999</v>
      </c>
      <c r="EE78">
        <v>5.0163500000000001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</v>
      </c>
      <c r="EL78">
        <v>1.8646199999999999</v>
      </c>
      <c r="EM78">
        <v>1.8692</v>
      </c>
      <c r="EN78">
        <v>1.8672200000000001</v>
      </c>
      <c r="EO78">
        <v>1.86338</v>
      </c>
      <c r="EP78">
        <v>1.8644499999999999</v>
      </c>
      <c r="EQ78">
        <v>1.8701399999999999</v>
      </c>
      <c r="ER78">
        <v>1.8693900000000001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-0.3</v>
      </c>
      <c r="FG78">
        <v>0.15140000000000001</v>
      </c>
      <c r="FH78">
        <v>5.0310448532705943E-2</v>
      </c>
      <c r="FI78">
        <v>-6.1462078757559423E-4</v>
      </c>
      <c r="FJ78">
        <v>-1.8861989874597051E-7</v>
      </c>
      <c r="FK78">
        <v>1.1980462299894961E-10</v>
      </c>
      <c r="FL78">
        <v>0.15140825623214971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15.7</v>
      </c>
      <c r="FU78">
        <v>15.6</v>
      </c>
      <c r="FV78">
        <v>1.7724599999999999</v>
      </c>
      <c r="FW78">
        <v>2.5830099999999998</v>
      </c>
      <c r="FX78">
        <v>1.5490699999999999</v>
      </c>
      <c r="FY78">
        <v>2.3303199999999999</v>
      </c>
      <c r="FZ78">
        <v>1.50146</v>
      </c>
      <c r="GA78">
        <v>2.3339799999999999</v>
      </c>
      <c r="GB78">
        <v>33.042900000000003</v>
      </c>
      <c r="GC78">
        <v>23.982399999999998</v>
      </c>
      <c r="GD78">
        <v>19</v>
      </c>
      <c r="GE78">
        <v>285.48</v>
      </c>
      <c r="GF78">
        <v>588.21100000000001</v>
      </c>
      <c r="GG78">
        <v>22.744900000000001</v>
      </c>
      <c r="GH78">
        <v>26.117899999999999</v>
      </c>
      <c r="GI78">
        <v>29.9998</v>
      </c>
      <c r="GJ78">
        <v>26.231200000000001</v>
      </c>
      <c r="GK78">
        <v>26.205200000000001</v>
      </c>
      <c r="GL78">
        <v>35.436799999999998</v>
      </c>
      <c r="GM78">
        <v>72.110500000000002</v>
      </c>
      <c r="GN78">
        <v>58.467399999999998</v>
      </c>
      <c r="GO78">
        <v>22.7699</v>
      </c>
      <c r="GP78">
        <v>800</v>
      </c>
      <c r="GQ78">
        <v>4.41317</v>
      </c>
      <c r="GR78">
        <v>99.730999999999995</v>
      </c>
      <c r="GS78">
        <v>99.531999999999996</v>
      </c>
    </row>
    <row r="79" spans="1:201" x14ac:dyDescent="0.25">
      <c r="A79">
        <v>63</v>
      </c>
      <c r="B79">
        <v>1690293019.5999999</v>
      </c>
      <c r="C79">
        <v>749</v>
      </c>
      <c r="D79" t="s">
        <v>459</v>
      </c>
      <c r="E79" t="s">
        <v>460</v>
      </c>
      <c r="F79" t="s">
        <v>330</v>
      </c>
      <c r="H79">
        <v>1690293019.5999999</v>
      </c>
      <c r="I79">
        <f t="shared" si="0"/>
        <v>1.7959680293328608E-3</v>
      </c>
      <c r="J79">
        <f t="shared" si="1"/>
        <v>1.7959680293328608</v>
      </c>
      <c r="K79">
        <f t="shared" si="2"/>
        <v>27.976916265255674</v>
      </c>
      <c r="L79">
        <f t="shared" si="3"/>
        <v>511.38299999999998</v>
      </c>
      <c r="M79">
        <f t="shared" si="4"/>
        <v>161.57514835880156</v>
      </c>
      <c r="N79">
        <f t="shared" si="5"/>
        <v>16.067849046606252</v>
      </c>
      <c r="O79">
        <f t="shared" si="6"/>
        <v>50.854509078054299</v>
      </c>
      <c r="P79">
        <f t="shared" si="7"/>
        <v>0.13441828920335194</v>
      </c>
      <c r="Q79">
        <f t="shared" si="8"/>
        <v>2.2606196094842907</v>
      </c>
      <c r="R79">
        <f t="shared" si="9"/>
        <v>0.13013064875372135</v>
      </c>
      <c r="S79">
        <f t="shared" si="10"/>
        <v>8.1705490002372649E-2</v>
      </c>
      <c r="T79">
        <f t="shared" si="11"/>
        <v>276.11589547800003</v>
      </c>
      <c r="U79">
        <f t="shared" si="12"/>
        <v>26.687395899654387</v>
      </c>
      <c r="V79">
        <f t="shared" si="13"/>
        <v>26.687395899654387</v>
      </c>
      <c r="W79">
        <f t="shared" si="14"/>
        <v>3.5139704989257829</v>
      </c>
      <c r="X79">
        <f t="shared" si="15"/>
        <v>67.732098728079009</v>
      </c>
      <c r="Y79">
        <f t="shared" si="16"/>
        <v>2.18080015903737</v>
      </c>
      <c r="Z79">
        <f t="shared" si="17"/>
        <v>3.2197439618585126</v>
      </c>
      <c r="AA79">
        <f t="shared" si="18"/>
        <v>1.3331703398884129</v>
      </c>
      <c r="AB79">
        <f t="shared" si="19"/>
        <v>-79.202190093579162</v>
      </c>
      <c r="AC79">
        <f t="shared" si="20"/>
        <v>-180.0325476960916</v>
      </c>
      <c r="AD79">
        <f t="shared" si="21"/>
        <v>-17.007004636725107</v>
      </c>
      <c r="AE79">
        <f t="shared" si="22"/>
        <v>-0.12584694839586064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52966.750244078561</v>
      </c>
      <c r="AK79">
        <f t="shared" si="26"/>
        <v>1800</v>
      </c>
      <c r="AL79">
        <f t="shared" si="27"/>
        <v>1499.1110388</v>
      </c>
      <c r="AM79">
        <f t="shared" si="28"/>
        <v>0.83283946600000003</v>
      </c>
      <c r="AN79">
        <f t="shared" si="29"/>
        <v>0.15339771971000002</v>
      </c>
      <c r="AO79">
        <v>30</v>
      </c>
      <c r="AP79">
        <v>0.5</v>
      </c>
      <c r="AQ79" t="s">
        <v>331</v>
      </c>
      <c r="AR79">
        <v>2</v>
      </c>
      <c r="AS79">
        <v>1690293019.5999999</v>
      </c>
      <c r="AT79">
        <v>511.38299999999998</v>
      </c>
      <c r="AU79">
        <v>800.11699999999996</v>
      </c>
      <c r="AV79">
        <v>21.9297</v>
      </c>
      <c r="AW79">
        <v>4.3772099999999998</v>
      </c>
      <c r="AX79">
        <v>511.68</v>
      </c>
      <c r="AY79">
        <v>21.778300000000002</v>
      </c>
      <c r="AZ79">
        <v>300.22800000000001</v>
      </c>
      <c r="BA79">
        <v>99.345100000000002</v>
      </c>
      <c r="BB79">
        <v>9.9952100000000002E-2</v>
      </c>
      <c r="BC79">
        <v>25.2102</v>
      </c>
      <c r="BD79">
        <v>26.916399999999999</v>
      </c>
      <c r="BE79">
        <v>26.429500000000001</v>
      </c>
      <c r="BF79">
        <v>0</v>
      </c>
      <c r="BG79">
        <v>0</v>
      </c>
      <c r="BH79">
        <v>10023.799999999999</v>
      </c>
      <c r="BI79">
        <v>1059.47</v>
      </c>
      <c r="BJ79">
        <v>2.3127300000000002</v>
      </c>
      <c r="BK79">
        <v>-288.73399999999998</v>
      </c>
      <c r="BL79">
        <v>522.84900000000005</v>
      </c>
      <c r="BM79">
        <v>803.63400000000001</v>
      </c>
      <c r="BN79">
        <v>17.552499999999998</v>
      </c>
      <c r="BO79">
        <v>800.11699999999996</v>
      </c>
      <c r="BP79">
        <v>4.3772099999999998</v>
      </c>
      <c r="BQ79">
        <v>2.1786099999999999</v>
      </c>
      <c r="BR79">
        <v>0.43485400000000002</v>
      </c>
      <c r="BS79">
        <v>18.805900000000001</v>
      </c>
      <c r="BT79">
        <v>-4.6504300000000001</v>
      </c>
      <c r="BU79">
        <v>1800</v>
      </c>
      <c r="BV79">
        <v>0.90998900000000005</v>
      </c>
      <c r="BW79">
        <v>3.4003899999999997E-2</v>
      </c>
      <c r="BX79">
        <v>2.2002299999999999E-2</v>
      </c>
      <c r="BY79">
        <v>3.4005300000000002E-2</v>
      </c>
      <c r="BZ79">
        <v>25</v>
      </c>
      <c r="CA79">
        <v>33528.199999999997</v>
      </c>
      <c r="CB79">
        <v>1690292073.5</v>
      </c>
      <c r="CC79" t="s">
        <v>332</v>
      </c>
      <c r="CD79">
        <v>1690292069.5</v>
      </c>
      <c r="CE79">
        <v>1690292073.5</v>
      </c>
      <c r="CF79">
        <v>4</v>
      </c>
      <c r="CG79">
        <v>-3.6999999999999998E-2</v>
      </c>
      <c r="CH79">
        <v>-1.6E-2</v>
      </c>
      <c r="CI79">
        <v>-0.45200000000000001</v>
      </c>
      <c r="CJ79">
        <v>0.108</v>
      </c>
      <c r="CK79">
        <v>730</v>
      </c>
      <c r="CL79">
        <v>18</v>
      </c>
      <c r="CM79">
        <v>0</v>
      </c>
      <c r="CN79">
        <v>0.01</v>
      </c>
      <c r="CO79">
        <v>-286.01274999999998</v>
      </c>
      <c r="CP79">
        <v>-14.123212007503721</v>
      </c>
      <c r="CQ79">
        <v>1.359423788779645</v>
      </c>
      <c r="CR79">
        <v>-1</v>
      </c>
      <c r="CS79">
        <v>17.345095000000001</v>
      </c>
      <c r="CT79">
        <v>1.061504690431514</v>
      </c>
      <c r="CU79">
        <v>0.1022113104064321</v>
      </c>
      <c r="CV79">
        <v>-1</v>
      </c>
      <c r="CW79">
        <v>0</v>
      </c>
      <c r="CX79">
        <v>0</v>
      </c>
      <c r="CY79" t="s">
        <v>333</v>
      </c>
      <c r="CZ79">
        <v>2.3647999999999998</v>
      </c>
      <c r="DA79">
        <v>2.7137600000000002</v>
      </c>
      <c r="DB79">
        <v>0.107794</v>
      </c>
      <c r="DC79">
        <v>0.14649799999999999</v>
      </c>
      <c r="DD79">
        <v>0.107275</v>
      </c>
      <c r="DE79">
        <v>3.0447599999999998E-2</v>
      </c>
      <c r="DF79">
        <v>32577.200000000001</v>
      </c>
      <c r="DG79">
        <v>27498.5</v>
      </c>
      <c r="DH79">
        <v>31170.9</v>
      </c>
      <c r="DI79">
        <v>28073.8</v>
      </c>
      <c r="DJ79">
        <v>37776.800000000003</v>
      </c>
      <c r="DK79">
        <v>38704.5</v>
      </c>
      <c r="DL79">
        <v>44357.9</v>
      </c>
      <c r="DM79">
        <v>42545.1</v>
      </c>
      <c r="DN79">
        <v>1.4832799999999999</v>
      </c>
      <c r="DO79">
        <v>2.0437799999999999</v>
      </c>
      <c r="DP79">
        <v>0.13200200000000001</v>
      </c>
      <c r="DQ79">
        <v>0.12856300000000001</v>
      </c>
      <c r="DR79">
        <v>24.753499999999999</v>
      </c>
      <c r="DS79">
        <v>24.321400000000001</v>
      </c>
      <c r="DT79">
        <v>47.6</v>
      </c>
      <c r="DU79">
        <v>28.2</v>
      </c>
      <c r="DV79">
        <v>18.394200000000001</v>
      </c>
      <c r="DW79">
        <v>61.233400000000003</v>
      </c>
      <c r="DX79">
        <v>34.531199999999998</v>
      </c>
      <c r="DY79">
        <v>1</v>
      </c>
      <c r="DZ79">
        <v>-0.100701</v>
      </c>
      <c r="EA79">
        <v>0.56890799999999997</v>
      </c>
      <c r="EB79">
        <v>20.188800000000001</v>
      </c>
      <c r="EC79">
        <v>5.2406499999999996</v>
      </c>
      <c r="ED79">
        <v>12.039899999999999</v>
      </c>
      <c r="EE79">
        <v>5.0169499999999996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</v>
      </c>
      <c r="EL79">
        <v>1.8646100000000001</v>
      </c>
      <c r="EM79">
        <v>1.8691899999999999</v>
      </c>
      <c r="EN79">
        <v>1.8672200000000001</v>
      </c>
      <c r="EO79">
        <v>1.8633900000000001</v>
      </c>
      <c r="EP79">
        <v>1.8644400000000001</v>
      </c>
      <c r="EQ79">
        <v>1.8701399999999999</v>
      </c>
      <c r="ER79">
        <v>1.86938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-0.29699999999999999</v>
      </c>
      <c r="FG79">
        <v>0.15140000000000001</v>
      </c>
      <c r="FH79">
        <v>5.0310448532705943E-2</v>
      </c>
      <c r="FI79">
        <v>-6.1462078757559423E-4</v>
      </c>
      <c r="FJ79">
        <v>-1.8861989874597051E-7</v>
      </c>
      <c r="FK79">
        <v>1.1980462299894961E-10</v>
      </c>
      <c r="FL79">
        <v>0.15140825623214971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15.8</v>
      </c>
      <c r="FU79">
        <v>15.8</v>
      </c>
      <c r="FV79">
        <v>1.7724599999999999</v>
      </c>
      <c r="FW79">
        <v>2.5854499999999998</v>
      </c>
      <c r="FX79">
        <v>1.5490699999999999</v>
      </c>
      <c r="FY79">
        <v>2.3315399999999999</v>
      </c>
      <c r="FZ79">
        <v>1.50146</v>
      </c>
      <c r="GA79">
        <v>2.31934</v>
      </c>
      <c r="GB79">
        <v>33.042900000000003</v>
      </c>
      <c r="GC79">
        <v>23.982399999999998</v>
      </c>
      <c r="GD79">
        <v>19</v>
      </c>
      <c r="GE79">
        <v>285.36200000000002</v>
      </c>
      <c r="GF79">
        <v>587.75</v>
      </c>
      <c r="GG79">
        <v>22.8003</v>
      </c>
      <c r="GH79">
        <v>26.113499999999998</v>
      </c>
      <c r="GI79">
        <v>29.9998</v>
      </c>
      <c r="GJ79">
        <v>26.228999999999999</v>
      </c>
      <c r="GK79">
        <v>26.202999999999999</v>
      </c>
      <c r="GL79">
        <v>35.432400000000001</v>
      </c>
      <c r="GM79">
        <v>72.7286</v>
      </c>
      <c r="GN79">
        <v>57.278700000000001</v>
      </c>
      <c r="GO79">
        <v>22.835799999999999</v>
      </c>
      <c r="GP79">
        <v>800</v>
      </c>
      <c r="GQ79">
        <v>4.2461900000000004</v>
      </c>
      <c r="GR79">
        <v>99.731999999999999</v>
      </c>
      <c r="GS79">
        <v>99.532499999999999</v>
      </c>
    </row>
    <row r="80" spans="1:201" x14ac:dyDescent="0.25">
      <c r="A80">
        <v>64</v>
      </c>
      <c r="B80">
        <v>1690293029.5999999</v>
      </c>
      <c r="C80">
        <v>759</v>
      </c>
      <c r="D80" t="s">
        <v>461</v>
      </c>
      <c r="E80" t="s">
        <v>462</v>
      </c>
      <c r="F80" t="s">
        <v>330</v>
      </c>
      <c r="H80">
        <v>1690293029.5999999</v>
      </c>
      <c r="I80">
        <f t="shared" si="0"/>
        <v>1.8147274987935251E-3</v>
      </c>
      <c r="J80">
        <f t="shared" si="1"/>
        <v>1.8147274987935251</v>
      </c>
      <c r="K80">
        <f t="shared" si="2"/>
        <v>28.214672295559158</v>
      </c>
      <c r="L80">
        <f t="shared" si="3"/>
        <v>509.04199999999997</v>
      </c>
      <c r="M80">
        <f t="shared" si="4"/>
        <v>160.2945372267215</v>
      </c>
      <c r="N80">
        <f t="shared" si="5"/>
        <v>15.941690780447882</v>
      </c>
      <c r="O80">
        <f t="shared" si="6"/>
        <v>50.625494160059006</v>
      </c>
      <c r="P80">
        <f t="shared" si="7"/>
        <v>0.13601152786492121</v>
      </c>
      <c r="Q80">
        <f t="shared" si="8"/>
        <v>2.2578949255291514</v>
      </c>
      <c r="R80">
        <f t="shared" si="9"/>
        <v>0.13161831805021024</v>
      </c>
      <c r="S80">
        <f t="shared" si="10"/>
        <v>8.264434033839177E-2</v>
      </c>
      <c r="T80">
        <f t="shared" si="11"/>
        <v>276.115562748</v>
      </c>
      <c r="U80">
        <f t="shared" si="12"/>
        <v>26.689201879779791</v>
      </c>
      <c r="V80">
        <f t="shared" si="13"/>
        <v>26.689201879779791</v>
      </c>
      <c r="W80">
        <f t="shared" si="14"/>
        <v>3.5143441131433879</v>
      </c>
      <c r="X80">
        <f t="shared" si="15"/>
        <v>67.755518223379013</v>
      </c>
      <c r="Y80">
        <f t="shared" si="16"/>
        <v>2.1823854295879999</v>
      </c>
      <c r="Z80">
        <f t="shared" si="17"/>
        <v>3.2209707590059709</v>
      </c>
      <c r="AA80">
        <f t="shared" si="18"/>
        <v>1.331958683555388</v>
      </c>
      <c r="AB80">
        <f t="shared" si="19"/>
        <v>-80.02948269679446</v>
      </c>
      <c r="AC80">
        <f t="shared" si="20"/>
        <v>-179.25633856326414</v>
      </c>
      <c r="AD80">
        <f t="shared" si="21"/>
        <v>-16.954810971551055</v>
      </c>
      <c r="AE80">
        <f t="shared" si="22"/>
        <v>-0.12506948360964998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52858.591799859831</v>
      </c>
      <c r="AK80">
        <f t="shared" si="26"/>
        <v>1800</v>
      </c>
      <c r="AL80">
        <f t="shared" si="27"/>
        <v>1499.1099408</v>
      </c>
      <c r="AM80">
        <f t="shared" si="28"/>
        <v>0.83283885599999996</v>
      </c>
      <c r="AN80">
        <f t="shared" si="29"/>
        <v>0.15339753485999999</v>
      </c>
      <c r="AO80">
        <v>30</v>
      </c>
      <c r="AP80">
        <v>0.5</v>
      </c>
      <c r="AQ80" t="s">
        <v>331</v>
      </c>
      <c r="AR80">
        <v>2</v>
      </c>
      <c r="AS80">
        <v>1690293029.5999999</v>
      </c>
      <c r="AT80">
        <v>509.04199999999997</v>
      </c>
      <c r="AU80">
        <v>800.11500000000001</v>
      </c>
      <c r="AV80">
        <v>21.943999999999999</v>
      </c>
      <c r="AW80">
        <v>4.2139199999999999</v>
      </c>
      <c r="AX80">
        <v>509.33800000000002</v>
      </c>
      <c r="AY80">
        <v>21.7926</v>
      </c>
      <c r="AZ80">
        <v>300.32100000000003</v>
      </c>
      <c r="BA80">
        <v>99.352500000000006</v>
      </c>
      <c r="BB80">
        <v>9.9989499999999995E-2</v>
      </c>
      <c r="BC80">
        <v>25.2166</v>
      </c>
      <c r="BD80">
        <v>26.945</v>
      </c>
      <c r="BE80">
        <v>26.4467</v>
      </c>
      <c r="BF80">
        <v>0</v>
      </c>
      <c r="BG80">
        <v>0</v>
      </c>
      <c r="BH80">
        <v>10001.9</v>
      </c>
      <c r="BI80">
        <v>1059.48</v>
      </c>
      <c r="BJ80">
        <v>2.2987099999999998</v>
      </c>
      <c r="BK80">
        <v>-291.07299999999998</v>
      </c>
      <c r="BL80">
        <v>520.46299999999997</v>
      </c>
      <c r="BM80">
        <v>803.50099999999998</v>
      </c>
      <c r="BN80">
        <v>17.73</v>
      </c>
      <c r="BO80">
        <v>800.11500000000001</v>
      </c>
      <c r="BP80">
        <v>4.2139199999999999</v>
      </c>
      <c r="BQ80">
        <v>2.1801900000000001</v>
      </c>
      <c r="BR80">
        <v>0.41866399999999998</v>
      </c>
      <c r="BS80">
        <v>18.817499999999999</v>
      </c>
      <c r="BT80">
        <v>-5.1517999999999997</v>
      </c>
      <c r="BU80">
        <v>1800</v>
      </c>
      <c r="BV80">
        <v>0.90998999999999997</v>
      </c>
      <c r="BW80">
        <v>3.4003199999999997E-2</v>
      </c>
      <c r="BX80">
        <v>2.2001799999999998E-2</v>
      </c>
      <c r="BY80">
        <v>3.4004600000000003E-2</v>
      </c>
      <c r="BZ80">
        <v>25</v>
      </c>
      <c r="CA80">
        <v>33528.199999999997</v>
      </c>
      <c r="CB80">
        <v>1690292073.5</v>
      </c>
      <c r="CC80" t="s">
        <v>332</v>
      </c>
      <c r="CD80">
        <v>1690292069.5</v>
      </c>
      <c r="CE80">
        <v>1690292073.5</v>
      </c>
      <c r="CF80">
        <v>4</v>
      </c>
      <c r="CG80">
        <v>-3.6999999999999998E-2</v>
      </c>
      <c r="CH80">
        <v>-1.6E-2</v>
      </c>
      <c r="CI80">
        <v>-0.45200000000000001</v>
      </c>
      <c r="CJ80">
        <v>0.108</v>
      </c>
      <c r="CK80">
        <v>730</v>
      </c>
      <c r="CL80">
        <v>18</v>
      </c>
      <c r="CM80">
        <v>0</v>
      </c>
      <c r="CN80">
        <v>0.01</v>
      </c>
      <c r="CO80">
        <v>-288.43939024390238</v>
      </c>
      <c r="CP80">
        <v>-14.30328919860659</v>
      </c>
      <c r="CQ80">
        <v>1.4108110429569301</v>
      </c>
      <c r="CR80">
        <v>-1</v>
      </c>
      <c r="CS80">
        <v>17.530514634146339</v>
      </c>
      <c r="CT80">
        <v>1.1028439024390631</v>
      </c>
      <c r="CU80">
        <v>0.1088342699815968</v>
      </c>
      <c r="CV80">
        <v>-1</v>
      </c>
      <c r="CW80">
        <v>0</v>
      </c>
      <c r="CX80">
        <v>0</v>
      </c>
      <c r="CY80" t="s">
        <v>333</v>
      </c>
      <c r="CZ80">
        <v>2.36511</v>
      </c>
      <c r="DA80">
        <v>2.7137799999999999</v>
      </c>
      <c r="DB80">
        <v>0.107443</v>
      </c>
      <c r="DC80">
        <v>0.146506</v>
      </c>
      <c r="DD80">
        <v>0.107333</v>
      </c>
      <c r="DE80">
        <v>2.94852E-2</v>
      </c>
      <c r="DF80">
        <v>32589.7</v>
      </c>
      <c r="DG80">
        <v>27498.7</v>
      </c>
      <c r="DH80">
        <v>31170.6</v>
      </c>
      <c r="DI80">
        <v>28074.2</v>
      </c>
      <c r="DJ80">
        <v>37774</v>
      </c>
      <c r="DK80">
        <v>38743.599999999999</v>
      </c>
      <c r="DL80">
        <v>44357.599999999999</v>
      </c>
      <c r="DM80">
        <v>42545.7</v>
      </c>
      <c r="DN80">
        <v>1.4835700000000001</v>
      </c>
      <c r="DO80">
        <v>2.04345</v>
      </c>
      <c r="DP80">
        <v>0.134323</v>
      </c>
      <c r="DQ80">
        <v>0.13011300000000001</v>
      </c>
      <c r="DR80">
        <v>24.7441</v>
      </c>
      <c r="DS80">
        <v>24.313199999999998</v>
      </c>
      <c r="DT80">
        <v>47.3</v>
      </c>
      <c r="DU80">
        <v>28.2</v>
      </c>
      <c r="DV80">
        <v>18.2728</v>
      </c>
      <c r="DW80">
        <v>61.463299999999997</v>
      </c>
      <c r="DX80">
        <v>34.5152</v>
      </c>
      <c r="DY80">
        <v>1</v>
      </c>
      <c r="DZ80">
        <v>-0.101161</v>
      </c>
      <c r="EA80">
        <v>0.365286</v>
      </c>
      <c r="EB80">
        <v>20.189499999999999</v>
      </c>
      <c r="EC80">
        <v>5.2408000000000001</v>
      </c>
      <c r="ED80">
        <v>12.039899999999999</v>
      </c>
      <c r="EE80">
        <v>5.0169499999999996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</v>
      </c>
      <c r="EL80">
        <v>1.8646199999999999</v>
      </c>
      <c r="EM80">
        <v>1.8692</v>
      </c>
      <c r="EN80">
        <v>1.8672200000000001</v>
      </c>
      <c r="EO80">
        <v>1.8633999999999999</v>
      </c>
      <c r="EP80">
        <v>1.8644499999999999</v>
      </c>
      <c r="EQ80">
        <v>1.87016</v>
      </c>
      <c r="ER80">
        <v>1.8693900000000001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-0.29599999999999999</v>
      </c>
      <c r="FG80">
        <v>0.15140000000000001</v>
      </c>
      <c r="FH80">
        <v>5.0310448532705943E-2</v>
      </c>
      <c r="FI80">
        <v>-6.1462078757559423E-4</v>
      </c>
      <c r="FJ80">
        <v>-1.8861989874597051E-7</v>
      </c>
      <c r="FK80">
        <v>1.1980462299894961E-10</v>
      </c>
      <c r="FL80">
        <v>0.15140825623214971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16</v>
      </c>
      <c r="FU80">
        <v>15.9</v>
      </c>
      <c r="FV80">
        <v>1.7724599999999999</v>
      </c>
      <c r="FW80">
        <v>2.5830099999999998</v>
      </c>
      <c r="FX80">
        <v>1.5490699999999999</v>
      </c>
      <c r="FY80">
        <v>2.3315399999999999</v>
      </c>
      <c r="FZ80">
        <v>1.50146</v>
      </c>
      <c r="GA80">
        <v>2.2936999999999999</v>
      </c>
      <c r="GB80">
        <v>33.042900000000003</v>
      </c>
      <c r="GC80">
        <v>23.982399999999998</v>
      </c>
      <c r="GD80">
        <v>19</v>
      </c>
      <c r="GE80">
        <v>285.48</v>
      </c>
      <c r="GF80">
        <v>587.45500000000004</v>
      </c>
      <c r="GG80">
        <v>22.902699999999999</v>
      </c>
      <c r="GH80">
        <v>26.109100000000002</v>
      </c>
      <c r="GI80">
        <v>29.9998</v>
      </c>
      <c r="GJ80">
        <v>26.226800000000001</v>
      </c>
      <c r="GK80">
        <v>26.200800000000001</v>
      </c>
      <c r="GL80">
        <v>35.426400000000001</v>
      </c>
      <c r="GM80">
        <v>73.620800000000003</v>
      </c>
      <c r="GN80">
        <v>56.480699999999999</v>
      </c>
      <c r="GO80">
        <v>22.966000000000001</v>
      </c>
      <c r="GP80">
        <v>800</v>
      </c>
      <c r="GQ80">
        <v>4.0689000000000002</v>
      </c>
      <c r="GR80">
        <v>99.731099999999998</v>
      </c>
      <c r="GS80">
        <v>99.534000000000006</v>
      </c>
    </row>
    <row r="81" spans="1:201" x14ac:dyDescent="0.25">
      <c r="A81">
        <v>65</v>
      </c>
      <c r="B81">
        <v>1690293039.5999999</v>
      </c>
      <c r="C81">
        <v>769</v>
      </c>
      <c r="D81" t="s">
        <v>463</v>
      </c>
      <c r="E81" t="s">
        <v>464</v>
      </c>
      <c r="F81" t="s">
        <v>330</v>
      </c>
      <c r="H81">
        <v>1690293039.5999999</v>
      </c>
      <c r="I81">
        <f t="shared" ref="I81:I144" si="30">(J81)/1000</f>
        <v>1.8374774795150502E-3</v>
      </c>
      <c r="J81">
        <f t="shared" ref="J81:J144" si="31">1000*AZ81*AH81*(AV81-AW81)/(100*AO81*(1000-AH81*AV81))</f>
        <v>1.8374774795150501</v>
      </c>
      <c r="K81">
        <f t="shared" ref="K81:K144" si="32">AZ81*AH81*(AU81-AT81*(1000-AH81*AW81)/(1000-AH81*AV81))/(100*AO81)</f>
        <v>28.437392834643362</v>
      </c>
      <c r="L81">
        <f t="shared" ref="L81:L144" si="33">AT81 - IF(AH81&gt;1, K81*AO81*100/(AJ81*BH81), 0)</f>
        <v>506.63400000000001</v>
      </c>
      <c r="M81">
        <f t="shared" ref="M81:M144" si="34">((S81-I81/2)*L81-K81)/(S81+I81/2)</f>
        <v>159.94737630542895</v>
      </c>
      <c r="N81">
        <f t="shared" ref="N81:N144" si="35">M81*(BA81+BB81)/1000</f>
        <v>15.906543926827093</v>
      </c>
      <c r="O81">
        <f t="shared" ref="O81:O144" si="36">(AT81 - IF(AH81&gt;1, K81*AO81*100/(AJ81*BH81), 0))*(BA81+BB81)/1000</f>
        <v>50.384046065472006</v>
      </c>
      <c r="P81">
        <f t="shared" ref="P81:P144" si="37">2/((1/R81-1/Q81)+SIGN(R81)*SQRT((1/R81-1/Q81)*(1/R81-1/Q81) + 4*AP81/((AP81+1)*(AP81+1))*(2*1/R81*1/Q81-1/Q81*1/Q81)))</f>
        <v>0.13795834374905999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2.2566319949690792</v>
      </c>
      <c r="R81">
        <f t="shared" ref="R81:R144" si="39">I81*(1000-(1000*0.61365*EXP(17.502*V81/(240.97+V81))/(BA81+BB81)+AV81)/2)/(1000*0.61365*EXP(17.502*V81/(240.97+V81))/(BA81+BB81)-AV81)</f>
        <v>0.13343827724485444</v>
      </c>
      <c r="S81">
        <f t="shared" ref="S81:S144" si="40">1/((AP81+1)/(P81/1.6)+1/(Q81/1.37)) + AP81/((AP81+1)/(P81/1.6) + AP81/(Q81/1.37))</f>
        <v>8.3792696293494034E-2</v>
      </c>
      <c r="T81">
        <f t="shared" ref="T81:T144" si="41">(AK81*AN81)</f>
        <v>276.11397993892268</v>
      </c>
      <c r="U81">
        <f t="shared" ref="U81:U144" si="42">(BC81+(T81+2*0.95*0.0000000567*(((BC81+$B$7)+273)^4-(BC81+273)^4)-44100*I81)/(1.84*29.3*Q81+8*0.95*0.0000000567*(BC81+273)^3))</f>
        <v>26.69608759320619</v>
      </c>
      <c r="V81">
        <f t="shared" ref="V81:V144" si="43">($C$7*BD81+$D$7*BE81+$E$7*U81)</f>
        <v>26.69608759320619</v>
      </c>
      <c r="W81">
        <f t="shared" ref="W81:W144" si="44">0.61365*EXP(17.502*V81/(240.97+V81))</f>
        <v>3.5157689212514596</v>
      </c>
      <c r="X81">
        <f t="shared" ref="X81:X144" si="45">(Y81/Z81*100)</f>
        <v>67.799764021422462</v>
      </c>
      <c r="Y81">
        <f t="shared" ref="Y81:Y144" si="46">AV81*(BA81+BB81)/1000</f>
        <v>2.1855920028767999</v>
      </c>
      <c r="Z81">
        <f t="shared" ref="Z81:Z144" si="47">0.61365*EXP(17.502*BC81/(240.97+BC81))</f>
        <v>3.2235982446579401</v>
      </c>
      <c r="AA81">
        <f t="shared" ref="AA81:AA144" si="48">(W81-AV81*(BA81+BB81)/1000)</f>
        <v>1.3301769183746597</v>
      </c>
      <c r="AB81">
        <f t="shared" ref="AB81:AB144" si="49">(-I81*44100)</f>
        <v>-81.032756846613708</v>
      </c>
      <c r="AC81">
        <f t="shared" ref="AC81:AC144" si="50">2*29.3*Q81*0.92*(BC81-V81)</f>
        <v>-178.3270503556239</v>
      </c>
      <c r="AD81">
        <f t="shared" ref="AD81:AD144" si="51">2*0.95*0.0000000567*(((BC81+$B$7)+273)^4-(V81+273)^4)</f>
        <v>-16.878096891226008</v>
      </c>
      <c r="AE81">
        <f t="shared" ref="AE81:AE144" si="52">T81+AD81+AB81+AC81</f>
        <v>-0.12392415454092998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52806.441392184242</v>
      </c>
      <c r="AK81">
        <f t="shared" ref="AK81:AK144" si="56">$B$11*BI81+$C$11*BJ81+$D$11*BU81</f>
        <v>1799.99</v>
      </c>
      <c r="AL81">
        <f t="shared" ref="AL81:AL144" si="57">AK81*AM81</f>
        <v>1499.10205700897</v>
      </c>
      <c r="AM81">
        <f t="shared" ref="AM81:AM144" si="58">($B$11*$D$9+$C$11*$D$9+$D$11*(BV81*$E$9+BW81*$F$9+BX81*$G$9+BY81*$H$9))/($B$11+$C$11+$D$11)</f>
        <v>0.83283910299999997</v>
      </c>
      <c r="AN81">
        <f t="shared" ref="AN81:AN144" si="59">($B$11*$K$9+$C$11*$K$9+$D$11*(BV81*$L$9+BW81*$M$9+BX81*$N$9+BY81*$O$9))/($B$11+$C$11+$D$11)</f>
        <v>0.15339750772999999</v>
      </c>
      <c r="AO81">
        <v>30</v>
      </c>
      <c r="AP81">
        <v>0.5</v>
      </c>
      <c r="AQ81" t="s">
        <v>331</v>
      </c>
      <c r="AR81">
        <v>2</v>
      </c>
      <c r="AS81">
        <v>1690293039.5999999</v>
      </c>
      <c r="AT81">
        <v>506.63400000000001</v>
      </c>
      <c r="AU81">
        <v>800.05899999999997</v>
      </c>
      <c r="AV81">
        <v>21.9771</v>
      </c>
      <c r="AW81">
        <v>4.0219500000000004</v>
      </c>
      <c r="AX81">
        <v>506.928</v>
      </c>
      <c r="AY81">
        <v>21.825700000000001</v>
      </c>
      <c r="AZ81">
        <v>300.26400000000001</v>
      </c>
      <c r="BA81">
        <v>99.348600000000005</v>
      </c>
      <c r="BB81">
        <v>0.100008</v>
      </c>
      <c r="BC81">
        <v>25.2303</v>
      </c>
      <c r="BD81">
        <v>26.947800000000001</v>
      </c>
      <c r="BE81">
        <v>26.450500000000002</v>
      </c>
      <c r="BF81">
        <v>0</v>
      </c>
      <c r="BG81">
        <v>0</v>
      </c>
      <c r="BH81">
        <v>9992.5</v>
      </c>
      <c r="BI81">
        <v>1059.51</v>
      </c>
      <c r="BJ81">
        <v>2.2987099999999998</v>
      </c>
      <c r="BK81">
        <v>-293.42500000000001</v>
      </c>
      <c r="BL81">
        <v>518.01900000000001</v>
      </c>
      <c r="BM81">
        <v>803.28899999999999</v>
      </c>
      <c r="BN81">
        <v>17.955200000000001</v>
      </c>
      <c r="BO81">
        <v>800.05899999999997</v>
      </c>
      <c r="BP81">
        <v>4.0219500000000004</v>
      </c>
      <c r="BQ81">
        <v>2.1833999999999998</v>
      </c>
      <c r="BR81">
        <v>0.39957500000000001</v>
      </c>
      <c r="BS81">
        <v>18.841000000000001</v>
      </c>
      <c r="BT81">
        <v>-5.7655099999999999</v>
      </c>
      <c r="BU81">
        <v>1799.99</v>
      </c>
      <c r="BV81">
        <v>0.90999200000000002</v>
      </c>
      <c r="BW81">
        <v>3.4002400000000002E-2</v>
      </c>
      <c r="BX81">
        <v>2.2001400000000001E-2</v>
      </c>
      <c r="BY81">
        <v>3.4003899999999997E-2</v>
      </c>
      <c r="BZ81">
        <v>25</v>
      </c>
      <c r="CA81">
        <v>33528.199999999997</v>
      </c>
      <c r="CB81">
        <v>1690292073.5</v>
      </c>
      <c r="CC81" t="s">
        <v>332</v>
      </c>
      <c r="CD81">
        <v>1690292069.5</v>
      </c>
      <c r="CE81">
        <v>1690292073.5</v>
      </c>
      <c r="CF81">
        <v>4</v>
      </c>
      <c r="CG81">
        <v>-3.6999999999999998E-2</v>
      </c>
      <c r="CH81">
        <v>-1.6E-2</v>
      </c>
      <c r="CI81">
        <v>-0.45200000000000001</v>
      </c>
      <c r="CJ81">
        <v>0.108</v>
      </c>
      <c r="CK81">
        <v>730</v>
      </c>
      <c r="CL81">
        <v>18</v>
      </c>
      <c r="CM81">
        <v>0</v>
      </c>
      <c r="CN81">
        <v>0.01</v>
      </c>
      <c r="CO81">
        <v>-290.82656097560971</v>
      </c>
      <c r="CP81">
        <v>-14.27297560975699</v>
      </c>
      <c r="CQ81">
        <v>1.407759975535958</v>
      </c>
      <c r="CR81">
        <v>-1</v>
      </c>
      <c r="CS81">
        <v>17.719017073170729</v>
      </c>
      <c r="CT81">
        <v>1.1451700348431559</v>
      </c>
      <c r="CU81">
        <v>0.1131720035672856</v>
      </c>
      <c r="CV81">
        <v>-1</v>
      </c>
      <c r="CW81">
        <v>0</v>
      </c>
      <c r="CX81">
        <v>0</v>
      </c>
      <c r="CY81" t="s">
        <v>333</v>
      </c>
      <c r="CZ81">
        <v>2.3649</v>
      </c>
      <c r="DA81">
        <v>2.7137899999999999</v>
      </c>
      <c r="DB81">
        <v>0.10707</v>
      </c>
      <c r="DC81">
        <v>0.14649000000000001</v>
      </c>
      <c r="DD81">
        <v>0.107445</v>
      </c>
      <c r="DE81">
        <v>2.83378E-2</v>
      </c>
      <c r="DF81">
        <v>32603.8</v>
      </c>
      <c r="DG81">
        <v>27499.200000000001</v>
      </c>
      <c r="DH81">
        <v>31171</v>
      </c>
      <c r="DI81">
        <v>28074.2</v>
      </c>
      <c r="DJ81">
        <v>37769.699999999997</v>
      </c>
      <c r="DK81">
        <v>38789.5</v>
      </c>
      <c r="DL81">
        <v>44358.2</v>
      </c>
      <c r="DM81">
        <v>42545.7</v>
      </c>
      <c r="DN81">
        <v>1.4835700000000001</v>
      </c>
      <c r="DO81">
        <v>2.0434999999999999</v>
      </c>
      <c r="DP81">
        <v>0.13491500000000001</v>
      </c>
      <c r="DQ81">
        <v>0.13072400000000001</v>
      </c>
      <c r="DR81">
        <v>24.737200000000001</v>
      </c>
      <c r="DS81">
        <v>24.306899999999999</v>
      </c>
      <c r="DT81">
        <v>46.9</v>
      </c>
      <c r="DU81">
        <v>28.2</v>
      </c>
      <c r="DV81">
        <v>18.1204</v>
      </c>
      <c r="DW81">
        <v>61.513399999999997</v>
      </c>
      <c r="DX81">
        <v>34.475200000000001</v>
      </c>
      <c r="DY81">
        <v>1</v>
      </c>
      <c r="DZ81">
        <v>-0.101232</v>
      </c>
      <c r="EA81">
        <v>0.39676699999999998</v>
      </c>
      <c r="EB81">
        <v>20.189800000000002</v>
      </c>
      <c r="EC81">
        <v>5.2409499999999998</v>
      </c>
      <c r="ED81">
        <v>12.039899999999999</v>
      </c>
      <c r="EE81">
        <v>5.0169499999999996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</v>
      </c>
      <c r="EL81">
        <v>1.8646</v>
      </c>
      <c r="EM81">
        <v>1.8691899999999999</v>
      </c>
      <c r="EN81">
        <v>1.8672200000000001</v>
      </c>
      <c r="EO81">
        <v>1.86338</v>
      </c>
      <c r="EP81">
        <v>1.8644400000000001</v>
      </c>
      <c r="EQ81">
        <v>1.8701300000000001</v>
      </c>
      <c r="ER81">
        <v>1.8693900000000001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-0.29399999999999998</v>
      </c>
      <c r="FG81">
        <v>0.15140000000000001</v>
      </c>
      <c r="FH81">
        <v>5.0310448532705943E-2</v>
      </c>
      <c r="FI81">
        <v>-6.1462078757559423E-4</v>
      </c>
      <c r="FJ81">
        <v>-1.8861989874597051E-7</v>
      </c>
      <c r="FK81">
        <v>1.1980462299894961E-10</v>
      </c>
      <c r="FL81">
        <v>0.15140825623214971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16.2</v>
      </c>
      <c r="FU81">
        <v>16.100000000000001</v>
      </c>
      <c r="FV81">
        <v>1.7712399999999999</v>
      </c>
      <c r="FW81">
        <v>2.5878899999999998</v>
      </c>
      <c r="FX81">
        <v>1.5490699999999999</v>
      </c>
      <c r="FY81">
        <v>2.3315399999999999</v>
      </c>
      <c r="FZ81">
        <v>1.50146</v>
      </c>
      <c r="GA81">
        <v>2.2583000000000002</v>
      </c>
      <c r="GB81">
        <v>33.042900000000003</v>
      </c>
      <c r="GC81">
        <v>23.982399999999998</v>
      </c>
      <c r="GD81">
        <v>19</v>
      </c>
      <c r="GE81">
        <v>285.471</v>
      </c>
      <c r="GF81">
        <v>587.471</v>
      </c>
      <c r="GG81">
        <v>23.015799999999999</v>
      </c>
      <c r="GH81">
        <v>26.104199999999999</v>
      </c>
      <c r="GI81">
        <v>29.9999</v>
      </c>
      <c r="GJ81">
        <v>26.224599999999999</v>
      </c>
      <c r="GK81">
        <v>26.198599999999999</v>
      </c>
      <c r="GL81">
        <v>35.420699999999997</v>
      </c>
      <c r="GM81">
        <v>74.187700000000007</v>
      </c>
      <c r="GN81">
        <v>55.683399999999999</v>
      </c>
      <c r="GO81">
        <v>23.026599999999998</v>
      </c>
      <c r="GP81">
        <v>800</v>
      </c>
      <c r="GQ81">
        <v>3.87974</v>
      </c>
      <c r="GR81">
        <v>99.732500000000002</v>
      </c>
      <c r="GS81">
        <v>99.533900000000003</v>
      </c>
    </row>
    <row r="82" spans="1:201" x14ac:dyDescent="0.25">
      <c r="A82">
        <v>66</v>
      </c>
      <c r="B82">
        <v>1690293049.5999999</v>
      </c>
      <c r="C82">
        <v>779</v>
      </c>
      <c r="D82" t="s">
        <v>465</v>
      </c>
      <c r="E82" t="s">
        <v>466</v>
      </c>
      <c r="F82" t="s">
        <v>330</v>
      </c>
      <c r="H82">
        <v>1690293049.5999999</v>
      </c>
      <c r="I82">
        <f t="shared" si="30"/>
        <v>1.8580830358575265E-3</v>
      </c>
      <c r="J82">
        <f t="shared" si="31"/>
        <v>1.8580830358575264</v>
      </c>
      <c r="K82">
        <f t="shared" si="32"/>
        <v>28.681321914312299</v>
      </c>
      <c r="L82">
        <f t="shared" si="33"/>
        <v>504.17200000000003</v>
      </c>
      <c r="M82">
        <f t="shared" si="34"/>
        <v>159.153882900599</v>
      </c>
      <c r="N82">
        <f t="shared" si="35"/>
        <v>15.827730373866876</v>
      </c>
      <c r="O82">
        <f t="shared" si="36"/>
        <v>50.139514868368799</v>
      </c>
      <c r="P82">
        <f t="shared" si="37"/>
        <v>0.13986639987094024</v>
      </c>
      <c r="Q82">
        <f t="shared" si="38"/>
        <v>2.2543014640057568</v>
      </c>
      <c r="R82">
        <f t="shared" si="39"/>
        <v>0.13521807325897608</v>
      </c>
      <c r="S82">
        <f t="shared" si="40"/>
        <v>8.4916060193450549E-2</v>
      </c>
      <c r="T82">
        <f t="shared" si="41"/>
        <v>276.11538316199994</v>
      </c>
      <c r="U82">
        <f t="shared" si="42"/>
        <v>26.693145860821801</v>
      </c>
      <c r="V82">
        <f t="shared" si="43"/>
        <v>26.693145860821801</v>
      </c>
      <c r="W82">
        <f t="shared" si="44"/>
        <v>3.5151601493348679</v>
      </c>
      <c r="X82">
        <f t="shared" si="45"/>
        <v>67.857341616312013</v>
      </c>
      <c r="Y82">
        <f t="shared" si="46"/>
        <v>2.1877735646520602</v>
      </c>
      <c r="Z82">
        <f t="shared" si="47"/>
        <v>3.2240779148444392</v>
      </c>
      <c r="AA82">
        <f t="shared" si="48"/>
        <v>1.3273865846828077</v>
      </c>
      <c r="AB82">
        <f t="shared" si="49"/>
        <v>-81.941461881316926</v>
      </c>
      <c r="AC82">
        <f t="shared" si="50"/>
        <v>-177.48152858483138</v>
      </c>
      <c r="AD82">
        <f t="shared" si="51"/>
        <v>-16.815398986045412</v>
      </c>
      <c r="AE82">
        <f t="shared" si="52"/>
        <v>-0.1230062901937572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52714.486078580077</v>
      </c>
      <c r="AK82">
        <f t="shared" si="56"/>
        <v>1800</v>
      </c>
      <c r="AL82">
        <f t="shared" si="57"/>
        <v>1499.1114941999997</v>
      </c>
      <c r="AM82">
        <f t="shared" si="58"/>
        <v>0.83283971899999987</v>
      </c>
      <c r="AN82">
        <f t="shared" si="59"/>
        <v>0.15339743508999998</v>
      </c>
      <c r="AO82">
        <v>30</v>
      </c>
      <c r="AP82">
        <v>0.5</v>
      </c>
      <c r="AQ82" t="s">
        <v>331</v>
      </c>
      <c r="AR82">
        <v>2</v>
      </c>
      <c r="AS82">
        <v>1690293049.5999999</v>
      </c>
      <c r="AT82">
        <v>504.17200000000003</v>
      </c>
      <c r="AU82">
        <v>800.14400000000001</v>
      </c>
      <c r="AV82">
        <v>21.998899999999999</v>
      </c>
      <c r="AW82">
        <v>3.8396599999999999</v>
      </c>
      <c r="AX82">
        <v>504.464</v>
      </c>
      <c r="AY82">
        <v>21.8475</v>
      </c>
      <c r="AZ82">
        <v>300.21199999999999</v>
      </c>
      <c r="BA82">
        <v>99.349299999999999</v>
      </c>
      <c r="BB82">
        <v>9.9925399999999998E-2</v>
      </c>
      <c r="BC82">
        <v>25.232800000000001</v>
      </c>
      <c r="BD82">
        <v>26.994399999999999</v>
      </c>
      <c r="BE82">
        <v>26.452300000000001</v>
      </c>
      <c r="BF82">
        <v>0</v>
      </c>
      <c r="BG82">
        <v>0</v>
      </c>
      <c r="BH82">
        <v>9974.3799999999992</v>
      </c>
      <c r="BI82">
        <v>1059.45</v>
      </c>
      <c r="BJ82">
        <v>2.2987099999999998</v>
      </c>
      <c r="BK82">
        <v>-295.97199999999998</v>
      </c>
      <c r="BL82">
        <v>515.51300000000003</v>
      </c>
      <c r="BM82">
        <v>803.22799999999995</v>
      </c>
      <c r="BN82">
        <v>18.159199999999998</v>
      </c>
      <c r="BO82">
        <v>800.14400000000001</v>
      </c>
      <c r="BP82">
        <v>3.8396599999999999</v>
      </c>
      <c r="BQ82">
        <v>2.1855699999999998</v>
      </c>
      <c r="BR82">
        <v>0.381467</v>
      </c>
      <c r="BS82">
        <v>18.856999999999999</v>
      </c>
      <c r="BT82">
        <v>-6.3722899999999996</v>
      </c>
      <c r="BU82">
        <v>1800</v>
      </c>
      <c r="BV82">
        <v>0.90999699999999994</v>
      </c>
      <c r="BW82">
        <v>3.4000700000000002E-2</v>
      </c>
      <c r="BX82">
        <v>2.2000200000000001E-2</v>
      </c>
      <c r="BY82">
        <v>3.40021E-2</v>
      </c>
      <c r="BZ82">
        <v>25</v>
      </c>
      <c r="CA82">
        <v>33528.300000000003</v>
      </c>
      <c r="CB82">
        <v>1690292073.5</v>
      </c>
      <c r="CC82" t="s">
        <v>332</v>
      </c>
      <c r="CD82">
        <v>1690292069.5</v>
      </c>
      <c r="CE82">
        <v>1690292073.5</v>
      </c>
      <c r="CF82">
        <v>4</v>
      </c>
      <c r="CG82">
        <v>-3.6999999999999998E-2</v>
      </c>
      <c r="CH82">
        <v>-1.6E-2</v>
      </c>
      <c r="CI82">
        <v>-0.45200000000000001</v>
      </c>
      <c r="CJ82">
        <v>0.108</v>
      </c>
      <c r="CK82">
        <v>730</v>
      </c>
      <c r="CL82">
        <v>18</v>
      </c>
      <c r="CM82">
        <v>0</v>
      </c>
      <c r="CN82">
        <v>0.01</v>
      </c>
      <c r="CO82">
        <v>-293.22497560975609</v>
      </c>
      <c r="CP82">
        <v>-14.657435540070329</v>
      </c>
      <c r="CQ82">
        <v>1.4460682689380591</v>
      </c>
      <c r="CR82">
        <v>-1</v>
      </c>
      <c r="CS82">
        <v>17.922980487804882</v>
      </c>
      <c r="CT82">
        <v>1.2982076655052359</v>
      </c>
      <c r="CU82">
        <v>0.1281079998254375</v>
      </c>
      <c r="CV82">
        <v>-1</v>
      </c>
      <c r="CW82">
        <v>0</v>
      </c>
      <c r="CX82">
        <v>0</v>
      </c>
      <c r="CY82" t="s">
        <v>333</v>
      </c>
      <c r="CZ82">
        <v>2.3647300000000002</v>
      </c>
      <c r="DA82">
        <v>2.7136900000000002</v>
      </c>
      <c r="DB82">
        <v>0.106692</v>
      </c>
      <c r="DC82">
        <v>0.14649799999999999</v>
      </c>
      <c r="DD82">
        <v>0.10752299999999999</v>
      </c>
      <c r="DE82">
        <v>2.72366E-2</v>
      </c>
      <c r="DF82">
        <v>32617.7</v>
      </c>
      <c r="DG82">
        <v>27498.7</v>
      </c>
      <c r="DH82">
        <v>31171.1</v>
      </c>
      <c r="DI82">
        <v>28074</v>
      </c>
      <c r="DJ82">
        <v>37766.400000000001</v>
      </c>
      <c r="DK82">
        <v>38833.300000000003</v>
      </c>
      <c r="DL82">
        <v>44358.3</v>
      </c>
      <c r="DM82">
        <v>42545.4</v>
      </c>
      <c r="DN82">
        <v>1.48322</v>
      </c>
      <c r="DO82">
        <v>2.04325</v>
      </c>
      <c r="DP82">
        <v>0.138178</v>
      </c>
      <c r="DQ82">
        <v>0.13111500000000001</v>
      </c>
      <c r="DR82">
        <v>24.730399999999999</v>
      </c>
      <c r="DS82">
        <v>24.302299999999999</v>
      </c>
      <c r="DT82">
        <v>46.5</v>
      </c>
      <c r="DU82">
        <v>28.2</v>
      </c>
      <c r="DV82">
        <v>17.969200000000001</v>
      </c>
      <c r="DW82">
        <v>61.443399999999997</v>
      </c>
      <c r="DX82">
        <v>34.703499999999998</v>
      </c>
      <c r="DY82">
        <v>1</v>
      </c>
      <c r="DZ82">
        <v>-0.100968</v>
      </c>
      <c r="EA82">
        <v>0.44471100000000002</v>
      </c>
      <c r="EB82">
        <v>20.189599999999999</v>
      </c>
      <c r="EC82">
        <v>5.2403500000000003</v>
      </c>
      <c r="ED82">
        <v>12.039899999999999</v>
      </c>
      <c r="EE82">
        <v>5.0168999999999997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1.8646100000000001</v>
      </c>
      <c r="EM82">
        <v>1.8692</v>
      </c>
      <c r="EN82">
        <v>1.8672200000000001</v>
      </c>
      <c r="EO82">
        <v>1.8633999999999999</v>
      </c>
      <c r="EP82">
        <v>1.8644499999999999</v>
      </c>
      <c r="EQ82">
        <v>1.8701700000000001</v>
      </c>
      <c r="ER82">
        <v>1.86941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-0.29199999999999998</v>
      </c>
      <c r="FG82">
        <v>0.15140000000000001</v>
      </c>
      <c r="FH82">
        <v>5.0310448532705943E-2</v>
      </c>
      <c r="FI82">
        <v>-6.1462078757559423E-4</v>
      </c>
      <c r="FJ82">
        <v>-1.8861989874597051E-7</v>
      </c>
      <c r="FK82">
        <v>1.1980462299894961E-10</v>
      </c>
      <c r="FL82">
        <v>0.15140825623214971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16.3</v>
      </c>
      <c r="FU82">
        <v>16.3</v>
      </c>
      <c r="FV82">
        <v>1.7712399999999999</v>
      </c>
      <c r="FW82">
        <v>2.5842299999999998</v>
      </c>
      <c r="FX82">
        <v>1.5490699999999999</v>
      </c>
      <c r="FY82">
        <v>2.3315399999999999</v>
      </c>
      <c r="FZ82">
        <v>1.50146</v>
      </c>
      <c r="GA82">
        <v>2.2900399999999999</v>
      </c>
      <c r="GB82">
        <v>33.042900000000003</v>
      </c>
      <c r="GC82">
        <v>23.982399999999998</v>
      </c>
      <c r="GD82">
        <v>19</v>
      </c>
      <c r="GE82">
        <v>285.31</v>
      </c>
      <c r="GF82">
        <v>587.24300000000005</v>
      </c>
      <c r="GG82">
        <v>23.071400000000001</v>
      </c>
      <c r="GH82">
        <v>26.0992</v>
      </c>
      <c r="GI82">
        <v>30.000399999999999</v>
      </c>
      <c r="GJ82">
        <v>26.222100000000001</v>
      </c>
      <c r="GK82">
        <v>26.1967</v>
      </c>
      <c r="GL82">
        <v>35.412599999999998</v>
      </c>
      <c r="GM82">
        <v>75.037000000000006</v>
      </c>
      <c r="GN82">
        <v>54.877699999999997</v>
      </c>
      <c r="GO82">
        <v>23.067799999999998</v>
      </c>
      <c r="GP82">
        <v>800</v>
      </c>
      <c r="GQ82">
        <v>3.6961300000000001</v>
      </c>
      <c r="GR82">
        <v>99.732699999999994</v>
      </c>
      <c r="GS82">
        <v>99.533299999999997</v>
      </c>
    </row>
    <row r="83" spans="1:201" x14ac:dyDescent="0.25">
      <c r="A83">
        <v>67</v>
      </c>
      <c r="B83">
        <v>1690293059.5999999</v>
      </c>
      <c r="C83">
        <v>789</v>
      </c>
      <c r="D83" t="s">
        <v>467</v>
      </c>
      <c r="E83" t="s">
        <v>468</v>
      </c>
      <c r="F83" t="s">
        <v>330</v>
      </c>
      <c r="H83">
        <v>1690293059.5999999</v>
      </c>
      <c r="I83">
        <f t="shared" si="30"/>
        <v>1.8770244499732088E-3</v>
      </c>
      <c r="J83">
        <f t="shared" si="31"/>
        <v>1.8770244499732087</v>
      </c>
      <c r="K83">
        <f t="shared" si="32"/>
        <v>28.904661283516894</v>
      </c>
      <c r="L83">
        <f t="shared" si="33"/>
        <v>501.779</v>
      </c>
      <c r="M83">
        <f t="shared" si="34"/>
        <v>157.81585436752411</v>
      </c>
      <c r="N83">
        <f t="shared" si="35"/>
        <v>15.696089376256978</v>
      </c>
      <c r="O83">
        <f t="shared" si="36"/>
        <v>49.906063384399701</v>
      </c>
      <c r="P83">
        <f t="shared" si="37"/>
        <v>0.14141747397975007</v>
      </c>
      <c r="Q83">
        <f t="shared" si="38"/>
        <v>2.2573228795672602</v>
      </c>
      <c r="R83">
        <f t="shared" si="39"/>
        <v>0.13667349124151054</v>
      </c>
      <c r="S83">
        <f t="shared" si="40"/>
        <v>8.5833902535084675E-2</v>
      </c>
      <c r="T83">
        <f t="shared" si="41"/>
        <v>276.115411026</v>
      </c>
      <c r="U83">
        <f t="shared" si="42"/>
        <v>26.693374250910097</v>
      </c>
      <c r="V83">
        <f t="shared" si="43"/>
        <v>26.693374250910097</v>
      </c>
      <c r="W83">
        <f t="shared" si="44"/>
        <v>3.5152074098464769</v>
      </c>
      <c r="X83">
        <f t="shared" si="45"/>
        <v>67.844788891738958</v>
      </c>
      <c r="Y83">
        <f t="shared" si="46"/>
        <v>2.1884495901409093</v>
      </c>
      <c r="Z83">
        <f t="shared" si="47"/>
        <v>3.2256708671215031</v>
      </c>
      <c r="AA83">
        <f t="shared" si="48"/>
        <v>1.3267578197055676</v>
      </c>
      <c r="AB83">
        <f t="shared" si="49"/>
        <v>-82.776778243818512</v>
      </c>
      <c r="AC83">
        <f t="shared" si="50"/>
        <v>-176.73711610856066</v>
      </c>
      <c r="AD83">
        <f t="shared" si="51"/>
        <v>-16.723171530256646</v>
      </c>
      <c r="AE83">
        <f t="shared" si="52"/>
        <v>-0.12165485663581421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52831.889415389844</v>
      </c>
      <c r="AK83">
        <f t="shared" si="56"/>
        <v>1800</v>
      </c>
      <c r="AL83">
        <f t="shared" si="57"/>
        <v>1499.1126065999999</v>
      </c>
      <c r="AM83">
        <f t="shared" si="58"/>
        <v>0.83284033699999993</v>
      </c>
      <c r="AN83">
        <f t="shared" si="59"/>
        <v>0.15339745057000001</v>
      </c>
      <c r="AO83">
        <v>30</v>
      </c>
      <c r="AP83">
        <v>0.5</v>
      </c>
      <c r="AQ83" t="s">
        <v>331</v>
      </c>
      <c r="AR83">
        <v>2</v>
      </c>
      <c r="AS83">
        <v>1690293059.5999999</v>
      </c>
      <c r="AT83">
        <v>501.779</v>
      </c>
      <c r="AU83">
        <v>800.09</v>
      </c>
      <c r="AV83">
        <v>22.003699999999998</v>
      </c>
      <c r="AW83">
        <v>3.6559499999999998</v>
      </c>
      <c r="AX83">
        <v>502.07</v>
      </c>
      <c r="AY83">
        <v>21.8523</v>
      </c>
      <c r="AZ83">
        <v>300.15499999999997</v>
      </c>
      <c r="BA83">
        <v>99.3583</v>
      </c>
      <c r="BB83">
        <v>9.9954299999999996E-2</v>
      </c>
      <c r="BC83">
        <v>25.241099999999999</v>
      </c>
      <c r="BD83">
        <v>26.950099999999999</v>
      </c>
      <c r="BE83">
        <v>26.470199999999998</v>
      </c>
      <c r="BF83">
        <v>0</v>
      </c>
      <c r="BG83">
        <v>0</v>
      </c>
      <c r="BH83">
        <v>9996.8799999999992</v>
      </c>
      <c r="BI83">
        <v>1059.51</v>
      </c>
      <c r="BJ83">
        <v>2.2987099999999998</v>
      </c>
      <c r="BK83">
        <v>-298.31099999999998</v>
      </c>
      <c r="BL83">
        <v>513.06899999999996</v>
      </c>
      <c r="BM83">
        <v>803.02599999999995</v>
      </c>
      <c r="BN83">
        <v>18.347799999999999</v>
      </c>
      <c r="BO83">
        <v>800.09</v>
      </c>
      <c r="BP83">
        <v>3.6559499999999998</v>
      </c>
      <c r="BQ83">
        <v>2.1862599999999999</v>
      </c>
      <c r="BR83">
        <v>0.36324899999999999</v>
      </c>
      <c r="BS83">
        <v>18.861999999999998</v>
      </c>
      <c r="BT83">
        <v>-7.0091599999999996</v>
      </c>
      <c r="BU83">
        <v>1800</v>
      </c>
      <c r="BV83">
        <v>0.91</v>
      </c>
      <c r="BW83">
        <v>3.3999799999999997E-2</v>
      </c>
      <c r="BX83">
        <v>2.1999600000000001E-2</v>
      </c>
      <c r="BY83">
        <v>3.4001099999999999E-2</v>
      </c>
      <c r="BZ83">
        <v>25</v>
      </c>
      <c r="CA83">
        <v>33528.5</v>
      </c>
      <c r="CB83">
        <v>1690292073.5</v>
      </c>
      <c r="CC83" t="s">
        <v>332</v>
      </c>
      <c r="CD83">
        <v>1690292069.5</v>
      </c>
      <c r="CE83">
        <v>1690292073.5</v>
      </c>
      <c r="CF83">
        <v>4</v>
      </c>
      <c r="CG83">
        <v>-3.6999999999999998E-2</v>
      </c>
      <c r="CH83">
        <v>-1.6E-2</v>
      </c>
      <c r="CI83">
        <v>-0.45200000000000001</v>
      </c>
      <c r="CJ83">
        <v>0.108</v>
      </c>
      <c r="CK83">
        <v>730</v>
      </c>
      <c r="CL83">
        <v>18</v>
      </c>
      <c r="CM83">
        <v>0</v>
      </c>
      <c r="CN83">
        <v>0.01</v>
      </c>
      <c r="CO83">
        <v>-295.57504999999998</v>
      </c>
      <c r="CP83">
        <v>-14.555099437147669</v>
      </c>
      <c r="CQ83">
        <v>1.401361087478882</v>
      </c>
      <c r="CR83">
        <v>-1</v>
      </c>
      <c r="CS83">
        <v>18.125207499999998</v>
      </c>
      <c r="CT83">
        <v>1.1748934333958969</v>
      </c>
      <c r="CU83">
        <v>0.1131824884589043</v>
      </c>
      <c r="CV83">
        <v>-1</v>
      </c>
      <c r="CW83">
        <v>0</v>
      </c>
      <c r="CX83">
        <v>0</v>
      </c>
      <c r="CY83" t="s">
        <v>333</v>
      </c>
      <c r="CZ83">
        <v>2.36456</v>
      </c>
      <c r="DA83">
        <v>2.71374</v>
      </c>
      <c r="DB83">
        <v>0.106332</v>
      </c>
      <c r="DC83">
        <v>0.14650199999999999</v>
      </c>
      <c r="DD83">
        <v>0.10755000000000001</v>
      </c>
      <c r="DE83">
        <v>2.6116E-2</v>
      </c>
      <c r="DF83">
        <v>32631.200000000001</v>
      </c>
      <c r="DG83">
        <v>27499</v>
      </c>
      <c r="DH83">
        <v>31171.4</v>
      </c>
      <c r="DI83">
        <v>28074.400000000001</v>
      </c>
      <c r="DJ83">
        <v>37765.699999999997</v>
      </c>
      <c r="DK83">
        <v>38878.5</v>
      </c>
      <c r="DL83">
        <v>44358.9</v>
      </c>
      <c r="DM83">
        <v>42545.8</v>
      </c>
      <c r="DN83">
        <v>1.4836800000000001</v>
      </c>
      <c r="DO83">
        <v>2.0431499999999998</v>
      </c>
      <c r="DP83">
        <v>0.13591300000000001</v>
      </c>
      <c r="DQ83">
        <v>0.13242699999999999</v>
      </c>
      <c r="DR83">
        <v>24.723099999999999</v>
      </c>
      <c r="DS83">
        <v>24.2987</v>
      </c>
      <c r="DT83">
        <v>46.1</v>
      </c>
      <c r="DU83">
        <v>28.2</v>
      </c>
      <c r="DV83">
        <v>17.8125</v>
      </c>
      <c r="DW83">
        <v>61.913400000000003</v>
      </c>
      <c r="DX83">
        <v>34.915900000000001</v>
      </c>
      <c r="DY83">
        <v>1</v>
      </c>
      <c r="DZ83">
        <v>-0.101745</v>
      </c>
      <c r="EA83">
        <v>0.47860599999999998</v>
      </c>
      <c r="EB83">
        <v>20.189399999999999</v>
      </c>
      <c r="EC83">
        <v>5.2408000000000001</v>
      </c>
      <c r="ED83">
        <v>12.039899999999999</v>
      </c>
      <c r="EE83">
        <v>5.0169499999999996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</v>
      </c>
      <c r="EM83">
        <v>1.8692</v>
      </c>
      <c r="EN83">
        <v>1.8672200000000001</v>
      </c>
      <c r="EO83">
        <v>1.86337</v>
      </c>
      <c r="EP83">
        <v>1.8644499999999999</v>
      </c>
      <c r="EQ83">
        <v>1.87015</v>
      </c>
      <c r="ER83">
        <v>1.8693599999999999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-0.29099999999999998</v>
      </c>
      <c r="FG83">
        <v>0.15140000000000001</v>
      </c>
      <c r="FH83">
        <v>5.0310448532705943E-2</v>
      </c>
      <c r="FI83">
        <v>-6.1462078757559423E-4</v>
      </c>
      <c r="FJ83">
        <v>-1.8861989874597051E-7</v>
      </c>
      <c r="FK83">
        <v>1.1980462299894961E-10</v>
      </c>
      <c r="FL83">
        <v>0.15140825623214971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16.5</v>
      </c>
      <c r="FU83">
        <v>16.399999999999999</v>
      </c>
      <c r="FV83">
        <v>1.7700199999999999</v>
      </c>
      <c r="FW83">
        <v>2.5817899999999998</v>
      </c>
      <c r="FX83">
        <v>1.5490699999999999</v>
      </c>
      <c r="FY83">
        <v>2.3303199999999999</v>
      </c>
      <c r="FZ83">
        <v>1.50146</v>
      </c>
      <c r="GA83">
        <v>2.3107899999999999</v>
      </c>
      <c r="GB83">
        <v>33.042900000000003</v>
      </c>
      <c r="GC83">
        <v>23.982399999999998</v>
      </c>
      <c r="GD83">
        <v>19</v>
      </c>
      <c r="GE83">
        <v>285.48700000000002</v>
      </c>
      <c r="GF83">
        <v>587.13499999999999</v>
      </c>
      <c r="GG83">
        <v>23.081700000000001</v>
      </c>
      <c r="GH83">
        <v>26.094799999999999</v>
      </c>
      <c r="GI83">
        <v>30</v>
      </c>
      <c r="GJ83">
        <v>26.218699999999998</v>
      </c>
      <c r="GK83">
        <v>26.194500000000001</v>
      </c>
      <c r="GL83">
        <v>35.4056</v>
      </c>
      <c r="GM83">
        <v>75.630099999999999</v>
      </c>
      <c r="GN83">
        <v>53.6783</v>
      </c>
      <c r="GO83">
        <v>23.099900000000002</v>
      </c>
      <c r="GP83">
        <v>800</v>
      </c>
      <c r="GQ83">
        <v>3.5181499999999999</v>
      </c>
      <c r="GR83">
        <v>99.733900000000006</v>
      </c>
      <c r="GS83">
        <v>99.534199999999998</v>
      </c>
    </row>
    <row r="84" spans="1:201" x14ac:dyDescent="0.25">
      <c r="A84">
        <v>68</v>
      </c>
      <c r="B84">
        <v>1690293069.5999999</v>
      </c>
      <c r="C84">
        <v>799</v>
      </c>
      <c r="D84" t="s">
        <v>469</v>
      </c>
      <c r="E84" t="s">
        <v>470</v>
      </c>
      <c r="F84" t="s">
        <v>330</v>
      </c>
      <c r="H84">
        <v>1690293069.5999999</v>
      </c>
      <c r="I84">
        <f t="shared" si="30"/>
        <v>1.895847743323058E-3</v>
      </c>
      <c r="J84">
        <f t="shared" si="31"/>
        <v>1.8958477433230581</v>
      </c>
      <c r="K84">
        <f t="shared" si="32"/>
        <v>29.144469787486905</v>
      </c>
      <c r="L84">
        <f t="shared" si="33"/>
        <v>499.34199999999998</v>
      </c>
      <c r="M84">
        <f t="shared" si="34"/>
        <v>155.78943077431094</v>
      </c>
      <c r="N84">
        <f t="shared" si="35"/>
        <v>15.493443765822725</v>
      </c>
      <c r="O84">
        <f t="shared" si="36"/>
        <v>49.660154469151401</v>
      </c>
      <c r="P84">
        <f t="shared" si="37"/>
        <v>0.14278658151868767</v>
      </c>
      <c r="Q84">
        <f t="shared" si="38"/>
        <v>2.2569082743472313</v>
      </c>
      <c r="R84">
        <f t="shared" si="39"/>
        <v>0.13795113199376782</v>
      </c>
      <c r="S84">
        <f t="shared" si="40"/>
        <v>8.664026171272754E-2</v>
      </c>
      <c r="T84">
        <f t="shared" si="41"/>
        <v>276.11522231399999</v>
      </c>
      <c r="U84">
        <f t="shared" si="42"/>
        <v>26.69996452217778</v>
      </c>
      <c r="V84">
        <f t="shared" si="43"/>
        <v>26.69996452217778</v>
      </c>
      <c r="W84">
        <f t="shared" si="44"/>
        <v>3.516571366462141</v>
      </c>
      <c r="X84">
        <f t="shared" si="45"/>
        <v>67.811918054819088</v>
      </c>
      <c r="Y84">
        <f t="shared" si="46"/>
        <v>2.1890300155723703</v>
      </c>
      <c r="Z84">
        <f t="shared" si="47"/>
        <v>3.2280903982140141</v>
      </c>
      <c r="AA84">
        <f t="shared" si="48"/>
        <v>1.3275413508897707</v>
      </c>
      <c r="AB84">
        <f t="shared" si="49"/>
        <v>-83.606885480546865</v>
      </c>
      <c r="AC84">
        <f t="shared" si="50"/>
        <v>-175.9734242175897</v>
      </c>
      <c r="AD84">
        <f t="shared" si="51"/>
        <v>-16.655571262191948</v>
      </c>
      <c r="AE84">
        <f t="shared" si="52"/>
        <v>-0.12065864632847934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52813.210258773353</v>
      </c>
      <c r="AK84">
        <f t="shared" si="56"/>
        <v>1800</v>
      </c>
      <c r="AL84">
        <f t="shared" si="57"/>
        <v>1499.1134634</v>
      </c>
      <c r="AM84">
        <f t="shared" si="58"/>
        <v>0.83284081300000001</v>
      </c>
      <c r="AN84">
        <f t="shared" si="59"/>
        <v>0.15339734573</v>
      </c>
      <c r="AO84">
        <v>30</v>
      </c>
      <c r="AP84">
        <v>0.5</v>
      </c>
      <c r="AQ84" t="s">
        <v>331</v>
      </c>
      <c r="AR84">
        <v>2</v>
      </c>
      <c r="AS84">
        <v>1690293069.5999999</v>
      </c>
      <c r="AT84">
        <v>499.34199999999998</v>
      </c>
      <c r="AU84">
        <v>800.06</v>
      </c>
      <c r="AV84">
        <v>22.011099999999999</v>
      </c>
      <c r="AW84">
        <v>3.48184</v>
      </c>
      <c r="AX84">
        <v>499.63099999999997</v>
      </c>
      <c r="AY84">
        <v>21.8597</v>
      </c>
      <c r="AZ84">
        <v>300.19299999999998</v>
      </c>
      <c r="BA84">
        <v>99.351200000000006</v>
      </c>
      <c r="BB84">
        <v>9.9986699999999998E-2</v>
      </c>
      <c r="BC84">
        <v>25.253699999999998</v>
      </c>
      <c r="BD84">
        <v>26.983599999999999</v>
      </c>
      <c r="BE84">
        <v>26.457999999999998</v>
      </c>
      <c r="BF84">
        <v>0</v>
      </c>
      <c r="BG84">
        <v>0</v>
      </c>
      <c r="BH84">
        <v>9994.3799999999992</v>
      </c>
      <c r="BI84">
        <v>1059.47</v>
      </c>
      <c r="BJ84">
        <v>2.2987099999999998</v>
      </c>
      <c r="BK84">
        <v>-300.71800000000002</v>
      </c>
      <c r="BL84">
        <v>510.58</v>
      </c>
      <c r="BM84">
        <v>802.85500000000002</v>
      </c>
      <c r="BN84">
        <v>18.529299999999999</v>
      </c>
      <c r="BO84">
        <v>800.06</v>
      </c>
      <c r="BP84">
        <v>3.48184</v>
      </c>
      <c r="BQ84">
        <v>2.1868300000000001</v>
      </c>
      <c r="BR84">
        <v>0.34592499999999998</v>
      </c>
      <c r="BS84">
        <v>18.866199999999999</v>
      </c>
      <c r="BT84">
        <v>-7.6416700000000004</v>
      </c>
      <c r="BU84">
        <v>1800</v>
      </c>
      <c r="BV84">
        <v>0.91000499999999995</v>
      </c>
      <c r="BW84">
        <v>3.3997899999999998E-2</v>
      </c>
      <c r="BX84">
        <v>2.1998400000000001E-2</v>
      </c>
      <c r="BY84">
        <v>3.3999300000000003E-2</v>
      </c>
      <c r="BZ84">
        <v>25</v>
      </c>
      <c r="CA84">
        <v>33528.400000000001</v>
      </c>
      <c r="CB84">
        <v>1690292073.5</v>
      </c>
      <c r="CC84" t="s">
        <v>332</v>
      </c>
      <c r="CD84">
        <v>1690292069.5</v>
      </c>
      <c r="CE84">
        <v>1690292073.5</v>
      </c>
      <c r="CF84">
        <v>4</v>
      </c>
      <c r="CG84">
        <v>-3.6999999999999998E-2</v>
      </c>
      <c r="CH84">
        <v>-1.6E-2</v>
      </c>
      <c r="CI84">
        <v>-0.45200000000000001</v>
      </c>
      <c r="CJ84">
        <v>0.108</v>
      </c>
      <c r="CK84">
        <v>730</v>
      </c>
      <c r="CL84">
        <v>18</v>
      </c>
      <c r="CM84">
        <v>0</v>
      </c>
      <c r="CN84">
        <v>0.01</v>
      </c>
      <c r="CO84">
        <v>-298.03892682926829</v>
      </c>
      <c r="CP84">
        <v>-14.34827874564485</v>
      </c>
      <c r="CQ84">
        <v>1.415649973794578</v>
      </c>
      <c r="CR84">
        <v>-1</v>
      </c>
      <c r="CS84">
        <v>18.326748780487801</v>
      </c>
      <c r="CT84">
        <v>1.1530557491289171</v>
      </c>
      <c r="CU84">
        <v>0.11390112340599159</v>
      </c>
      <c r="CV84">
        <v>-1</v>
      </c>
      <c r="CW84">
        <v>0</v>
      </c>
      <c r="CX84">
        <v>0</v>
      </c>
      <c r="CY84" t="s">
        <v>333</v>
      </c>
      <c r="CZ84">
        <v>2.3647</v>
      </c>
      <c r="DA84">
        <v>2.7137699999999998</v>
      </c>
      <c r="DB84">
        <v>0.105948</v>
      </c>
      <c r="DC84">
        <v>0.146485</v>
      </c>
      <c r="DD84">
        <v>0.107569</v>
      </c>
      <c r="DE84">
        <v>2.5037500000000001E-2</v>
      </c>
      <c r="DF84">
        <v>32645.7</v>
      </c>
      <c r="DG84">
        <v>27499.9</v>
      </c>
      <c r="DH84">
        <v>31171.8</v>
      </c>
      <c r="DI84">
        <v>28074.799999999999</v>
      </c>
      <c r="DJ84">
        <v>37765.300000000003</v>
      </c>
      <c r="DK84">
        <v>38922.300000000003</v>
      </c>
      <c r="DL84">
        <v>44359.4</v>
      </c>
      <c r="DM84">
        <v>42546.5</v>
      </c>
      <c r="DN84">
        <v>1.4842</v>
      </c>
      <c r="DO84">
        <v>2.0430999999999999</v>
      </c>
      <c r="DP84">
        <v>0.13831299999999999</v>
      </c>
      <c r="DQ84">
        <v>0.131909</v>
      </c>
      <c r="DR84">
        <v>24.717400000000001</v>
      </c>
      <c r="DS84">
        <v>24.295000000000002</v>
      </c>
      <c r="DT84">
        <v>45.7</v>
      </c>
      <c r="DU84">
        <v>28.2</v>
      </c>
      <c r="DV84">
        <v>17.657599999999999</v>
      </c>
      <c r="DW84">
        <v>61.303400000000003</v>
      </c>
      <c r="DX84">
        <v>35.027999999999999</v>
      </c>
      <c r="DY84">
        <v>1</v>
      </c>
      <c r="DZ84">
        <v>-0.10145800000000001</v>
      </c>
      <c r="EA84">
        <v>0.37643199999999999</v>
      </c>
      <c r="EB84">
        <v>20.189900000000002</v>
      </c>
      <c r="EC84">
        <v>5.2413999999999996</v>
      </c>
      <c r="ED84">
        <v>12.039899999999999</v>
      </c>
      <c r="EE84">
        <v>5.0170500000000002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1.8646199999999999</v>
      </c>
      <c r="EM84">
        <v>1.8691899999999999</v>
      </c>
      <c r="EN84">
        <v>1.8672200000000001</v>
      </c>
      <c r="EO84">
        <v>1.86338</v>
      </c>
      <c r="EP84">
        <v>1.8644499999999999</v>
      </c>
      <c r="EQ84">
        <v>1.8701399999999999</v>
      </c>
      <c r="ER84">
        <v>1.86938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-0.28899999999999998</v>
      </c>
      <c r="FG84">
        <v>0.15140000000000001</v>
      </c>
      <c r="FH84">
        <v>5.0310448532705943E-2</v>
      </c>
      <c r="FI84">
        <v>-6.1462078757559423E-4</v>
      </c>
      <c r="FJ84">
        <v>-1.8861989874597051E-7</v>
      </c>
      <c r="FK84">
        <v>1.1980462299894961E-10</v>
      </c>
      <c r="FL84">
        <v>0.15140825623214971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16.7</v>
      </c>
      <c r="FU84">
        <v>16.600000000000001</v>
      </c>
      <c r="FV84">
        <v>1.7700199999999999</v>
      </c>
      <c r="FW84">
        <v>2.5805699999999998</v>
      </c>
      <c r="FX84">
        <v>1.5490699999999999</v>
      </c>
      <c r="FY84">
        <v>2.3315399999999999</v>
      </c>
      <c r="FZ84">
        <v>1.50146</v>
      </c>
      <c r="GA84">
        <v>2.3168899999999999</v>
      </c>
      <c r="GB84">
        <v>33.042900000000003</v>
      </c>
      <c r="GC84">
        <v>23.991199999999999</v>
      </c>
      <c r="GD84">
        <v>19</v>
      </c>
      <c r="GE84">
        <v>285.69900000000001</v>
      </c>
      <c r="GF84">
        <v>587.06799999999998</v>
      </c>
      <c r="GG84">
        <v>23.1328</v>
      </c>
      <c r="GH84">
        <v>26.0899</v>
      </c>
      <c r="GI84">
        <v>30.0002</v>
      </c>
      <c r="GJ84">
        <v>26.215900000000001</v>
      </c>
      <c r="GK84">
        <v>26.192299999999999</v>
      </c>
      <c r="GL84">
        <v>35.398299999999999</v>
      </c>
      <c r="GM84">
        <v>76.220600000000005</v>
      </c>
      <c r="GN84">
        <v>52.875900000000001</v>
      </c>
      <c r="GO84">
        <v>23.155200000000001</v>
      </c>
      <c r="GP84">
        <v>800</v>
      </c>
      <c r="GQ84">
        <v>3.3373699999999999</v>
      </c>
      <c r="GR84">
        <v>99.735200000000006</v>
      </c>
      <c r="GS84">
        <v>99.535799999999995</v>
      </c>
    </row>
    <row r="85" spans="1:201" x14ac:dyDescent="0.25">
      <c r="A85">
        <v>69</v>
      </c>
      <c r="B85">
        <v>1690293079.5999999</v>
      </c>
      <c r="C85">
        <v>809</v>
      </c>
      <c r="D85" t="s">
        <v>471</v>
      </c>
      <c r="E85" t="s">
        <v>472</v>
      </c>
      <c r="F85" t="s">
        <v>330</v>
      </c>
      <c r="H85">
        <v>1690293079.5999999</v>
      </c>
      <c r="I85">
        <f t="shared" si="30"/>
        <v>1.9160556464083353E-3</v>
      </c>
      <c r="J85">
        <f t="shared" si="31"/>
        <v>1.9160556464083354</v>
      </c>
      <c r="K85">
        <f t="shared" si="32"/>
        <v>29.385187130640652</v>
      </c>
      <c r="L85">
        <f t="shared" si="33"/>
        <v>496.81599999999997</v>
      </c>
      <c r="M85">
        <f t="shared" si="34"/>
        <v>154.85207987089086</v>
      </c>
      <c r="N85">
        <f t="shared" si="35"/>
        <v>15.399505506099947</v>
      </c>
      <c r="O85">
        <f t="shared" si="36"/>
        <v>49.406638476521593</v>
      </c>
      <c r="P85">
        <f t="shared" si="37"/>
        <v>0.14467810521089786</v>
      </c>
      <c r="Q85">
        <f t="shared" si="38"/>
        <v>2.2587849369072206</v>
      </c>
      <c r="R85">
        <f t="shared" si="39"/>
        <v>0.13972006063805026</v>
      </c>
      <c r="S85">
        <f t="shared" si="40"/>
        <v>8.7756343626312572E-2</v>
      </c>
      <c r="T85">
        <f t="shared" si="41"/>
        <v>276.11481240000006</v>
      </c>
      <c r="U85">
        <f t="shared" si="42"/>
        <v>26.695468848715802</v>
      </c>
      <c r="V85">
        <f t="shared" si="43"/>
        <v>26.695468848715802</v>
      </c>
      <c r="W85">
        <f t="shared" si="44"/>
        <v>3.5156408685581124</v>
      </c>
      <c r="X85">
        <f t="shared" si="45"/>
        <v>67.859817422325506</v>
      </c>
      <c r="Y85">
        <f t="shared" si="46"/>
        <v>2.1910064468831996</v>
      </c>
      <c r="Z85">
        <f t="shared" si="47"/>
        <v>3.2287243469098557</v>
      </c>
      <c r="AA85">
        <f t="shared" si="48"/>
        <v>1.3246344216749129</v>
      </c>
      <c r="AB85">
        <f t="shared" si="49"/>
        <v>-84.498054006607589</v>
      </c>
      <c r="AC85">
        <f t="shared" si="50"/>
        <v>-175.17042657967744</v>
      </c>
      <c r="AD85">
        <f t="shared" si="51"/>
        <v>-16.565693773018495</v>
      </c>
      <c r="AE85">
        <f t="shared" si="52"/>
        <v>-0.11936195930346116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52886.296339467503</v>
      </c>
      <c r="AK85">
        <f t="shared" si="56"/>
        <v>1800</v>
      </c>
      <c r="AL85">
        <f t="shared" si="57"/>
        <v>1499.1126750000001</v>
      </c>
      <c r="AM85">
        <f t="shared" si="58"/>
        <v>0.83284037500000008</v>
      </c>
      <c r="AN85">
        <f t="shared" si="59"/>
        <v>0.15339711800000003</v>
      </c>
      <c r="AO85">
        <v>30</v>
      </c>
      <c r="AP85">
        <v>0.5</v>
      </c>
      <c r="AQ85" t="s">
        <v>331</v>
      </c>
      <c r="AR85">
        <v>2</v>
      </c>
      <c r="AS85">
        <v>1690293079.5999999</v>
      </c>
      <c r="AT85">
        <v>496.81599999999997</v>
      </c>
      <c r="AU85">
        <v>799.98199999999997</v>
      </c>
      <c r="AV85">
        <v>22.032</v>
      </c>
      <c r="AW85">
        <v>3.30626</v>
      </c>
      <c r="AX85">
        <v>497.10300000000001</v>
      </c>
      <c r="AY85">
        <v>21.880600000000001</v>
      </c>
      <c r="AZ85">
        <v>300.20299999999997</v>
      </c>
      <c r="BA85">
        <v>99.346599999999995</v>
      </c>
      <c r="BB85">
        <v>9.9952600000000003E-2</v>
      </c>
      <c r="BC85">
        <v>25.257000000000001</v>
      </c>
      <c r="BD85">
        <v>26.971399999999999</v>
      </c>
      <c r="BE85">
        <v>26.459399999999999</v>
      </c>
      <c r="BF85">
        <v>0</v>
      </c>
      <c r="BG85">
        <v>0</v>
      </c>
      <c r="BH85">
        <v>10009.4</v>
      </c>
      <c r="BI85">
        <v>1059.46</v>
      </c>
      <c r="BJ85">
        <v>2.2987099999999998</v>
      </c>
      <c r="BK85">
        <v>-303.166</v>
      </c>
      <c r="BL85">
        <v>508.00900000000001</v>
      </c>
      <c r="BM85">
        <v>802.63599999999997</v>
      </c>
      <c r="BN85">
        <v>18.7258</v>
      </c>
      <c r="BO85">
        <v>799.98199999999997</v>
      </c>
      <c r="BP85">
        <v>3.30626</v>
      </c>
      <c r="BQ85">
        <v>2.1888100000000001</v>
      </c>
      <c r="BR85">
        <v>0.32846599999999998</v>
      </c>
      <c r="BS85">
        <v>18.880600000000001</v>
      </c>
      <c r="BT85">
        <v>-8.3082899999999995</v>
      </c>
      <c r="BU85">
        <v>1800</v>
      </c>
      <c r="BV85">
        <v>0.91000800000000004</v>
      </c>
      <c r="BW85">
        <v>3.3996400000000003E-2</v>
      </c>
      <c r="BX85">
        <v>2.19975E-2</v>
      </c>
      <c r="BY85">
        <v>3.3997800000000002E-2</v>
      </c>
      <c r="BZ85">
        <v>25</v>
      </c>
      <c r="CA85">
        <v>33528.5</v>
      </c>
      <c r="CB85">
        <v>1690292073.5</v>
      </c>
      <c r="CC85" t="s">
        <v>332</v>
      </c>
      <c r="CD85">
        <v>1690292069.5</v>
      </c>
      <c r="CE85">
        <v>1690292073.5</v>
      </c>
      <c r="CF85">
        <v>4</v>
      </c>
      <c r="CG85">
        <v>-3.6999999999999998E-2</v>
      </c>
      <c r="CH85">
        <v>-1.6E-2</v>
      </c>
      <c r="CI85">
        <v>-0.45200000000000001</v>
      </c>
      <c r="CJ85">
        <v>0.108</v>
      </c>
      <c r="CK85">
        <v>730</v>
      </c>
      <c r="CL85">
        <v>18</v>
      </c>
      <c r="CM85">
        <v>0</v>
      </c>
      <c r="CN85">
        <v>0.01</v>
      </c>
      <c r="CO85">
        <v>-300.45182499999999</v>
      </c>
      <c r="CP85">
        <v>-15.262930581612521</v>
      </c>
      <c r="CQ85">
        <v>1.4693082026501441</v>
      </c>
      <c r="CR85">
        <v>-1</v>
      </c>
      <c r="CS85">
        <v>18.5148875</v>
      </c>
      <c r="CT85">
        <v>1.132519699812389</v>
      </c>
      <c r="CU85">
        <v>0.1090981832742875</v>
      </c>
      <c r="CV85">
        <v>-1</v>
      </c>
      <c r="CW85">
        <v>0</v>
      </c>
      <c r="CX85">
        <v>0</v>
      </c>
      <c r="CY85" t="s">
        <v>333</v>
      </c>
      <c r="CZ85">
        <v>2.3647200000000002</v>
      </c>
      <c r="DA85">
        <v>2.7137500000000001</v>
      </c>
      <c r="DB85">
        <v>0.10555200000000001</v>
      </c>
      <c r="DC85">
        <v>0.14646600000000001</v>
      </c>
      <c r="DD85">
        <v>0.107637</v>
      </c>
      <c r="DE85">
        <v>2.3938000000000001E-2</v>
      </c>
      <c r="DF85">
        <v>32660.6</v>
      </c>
      <c r="DG85">
        <v>27501.200000000001</v>
      </c>
      <c r="DH85">
        <v>31172.3</v>
      </c>
      <c r="DI85">
        <v>28075.5</v>
      </c>
      <c r="DJ85">
        <v>37763.1</v>
      </c>
      <c r="DK85">
        <v>38967.199999999997</v>
      </c>
      <c r="DL85">
        <v>44360.3</v>
      </c>
      <c r="DM85">
        <v>42547.4</v>
      </c>
      <c r="DN85">
        <v>1.48447</v>
      </c>
      <c r="DO85">
        <v>2.0427</v>
      </c>
      <c r="DP85">
        <v>0.137821</v>
      </c>
      <c r="DQ85">
        <v>0.13211700000000001</v>
      </c>
      <c r="DR85">
        <v>24.7133</v>
      </c>
      <c r="DS85">
        <v>24.292999999999999</v>
      </c>
      <c r="DT85">
        <v>45.2</v>
      </c>
      <c r="DU85">
        <v>28.3</v>
      </c>
      <c r="DV85">
        <v>17.57</v>
      </c>
      <c r="DW85">
        <v>61.443399999999997</v>
      </c>
      <c r="DX85">
        <v>35.156199999999998</v>
      </c>
      <c r="DY85">
        <v>1</v>
      </c>
      <c r="DZ85">
        <v>-0.102774</v>
      </c>
      <c r="EA85">
        <v>0.43841799999999997</v>
      </c>
      <c r="EB85">
        <v>20.189499999999999</v>
      </c>
      <c r="EC85">
        <v>5.2413999999999996</v>
      </c>
      <c r="ED85">
        <v>12.039899999999999</v>
      </c>
      <c r="EE85">
        <v>5.0171000000000001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</v>
      </c>
      <c r="EL85">
        <v>1.8646</v>
      </c>
      <c r="EM85">
        <v>1.8691899999999999</v>
      </c>
      <c r="EN85">
        <v>1.8672200000000001</v>
      </c>
      <c r="EO85">
        <v>1.86337</v>
      </c>
      <c r="EP85">
        <v>1.8644499999999999</v>
      </c>
      <c r="EQ85">
        <v>1.87016</v>
      </c>
      <c r="ER85">
        <v>1.8693900000000001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-0.28699999999999998</v>
      </c>
      <c r="FG85">
        <v>0.15140000000000001</v>
      </c>
      <c r="FH85">
        <v>5.0310448532705943E-2</v>
      </c>
      <c r="FI85">
        <v>-6.1462078757559423E-4</v>
      </c>
      <c r="FJ85">
        <v>-1.8861989874597051E-7</v>
      </c>
      <c r="FK85">
        <v>1.1980462299894961E-10</v>
      </c>
      <c r="FL85">
        <v>0.15140825623214971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16.8</v>
      </c>
      <c r="FU85">
        <v>16.8</v>
      </c>
      <c r="FV85">
        <v>1.7700199999999999</v>
      </c>
      <c r="FW85">
        <v>2.5769000000000002</v>
      </c>
      <c r="FX85">
        <v>1.5490699999999999</v>
      </c>
      <c r="FY85">
        <v>2.3315399999999999</v>
      </c>
      <c r="FZ85">
        <v>1.50146</v>
      </c>
      <c r="GA85">
        <v>2.33765</v>
      </c>
      <c r="GB85">
        <v>33.042900000000003</v>
      </c>
      <c r="GC85">
        <v>23.991199999999999</v>
      </c>
      <c r="GD85">
        <v>19</v>
      </c>
      <c r="GE85">
        <v>285.80599999999998</v>
      </c>
      <c r="GF85">
        <v>586.70799999999997</v>
      </c>
      <c r="GG85">
        <v>23.1706</v>
      </c>
      <c r="GH85">
        <v>26.084900000000001</v>
      </c>
      <c r="GI85">
        <v>29.999500000000001</v>
      </c>
      <c r="GJ85">
        <v>26.2133</v>
      </c>
      <c r="GK85">
        <v>26.189800000000002</v>
      </c>
      <c r="GL85">
        <v>35.391800000000003</v>
      </c>
      <c r="GM85">
        <v>77.086399999999998</v>
      </c>
      <c r="GN85">
        <v>52.093499999999999</v>
      </c>
      <c r="GO85">
        <v>23.167300000000001</v>
      </c>
      <c r="GP85">
        <v>800</v>
      </c>
      <c r="GQ85">
        <v>3.1457299999999999</v>
      </c>
      <c r="GR85">
        <v>99.736999999999995</v>
      </c>
      <c r="GS85">
        <v>99.538200000000003</v>
      </c>
    </row>
    <row r="86" spans="1:201" x14ac:dyDescent="0.25">
      <c r="A86">
        <v>70</v>
      </c>
      <c r="B86">
        <v>1690293089.5999999</v>
      </c>
      <c r="C86">
        <v>819</v>
      </c>
      <c r="D86" t="s">
        <v>473</v>
      </c>
      <c r="E86" t="s">
        <v>474</v>
      </c>
      <c r="F86" t="s">
        <v>330</v>
      </c>
      <c r="H86">
        <v>1690293089.5999999</v>
      </c>
      <c r="I86">
        <f t="shared" si="30"/>
        <v>1.9381576688549801E-3</v>
      </c>
      <c r="J86">
        <f t="shared" si="31"/>
        <v>1.9381576688549802</v>
      </c>
      <c r="K86">
        <f t="shared" si="32"/>
        <v>29.635222891505215</v>
      </c>
      <c r="L86">
        <f t="shared" si="33"/>
        <v>494.34300000000002</v>
      </c>
      <c r="M86">
        <f t="shared" si="34"/>
        <v>153.9754366324878</v>
      </c>
      <c r="N86">
        <f t="shared" si="35"/>
        <v>15.312591411497285</v>
      </c>
      <c r="O86">
        <f t="shared" si="36"/>
        <v>49.161558113982004</v>
      </c>
      <c r="P86">
        <f t="shared" si="37"/>
        <v>0.14665376616578243</v>
      </c>
      <c r="Q86">
        <f t="shared" si="38"/>
        <v>2.2546902925148369</v>
      </c>
      <c r="R86">
        <f t="shared" si="39"/>
        <v>0.14155305027436568</v>
      </c>
      <c r="S86">
        <f t="shared" si="40"/>
        <v>8.8914155823179422E-2</v>
      </c>
      <c r="T86">
        <f t="shared" si="41"/>
        <v>276.11477056800004</v>
      </c>
      <c r="U86">
        <f t="shared" si="42"/>
        <v>26.693123841916556</v>
      </c>
      <c r="V86">
        <f t="shared" si="43"/>
        <v>26.693123841916556</v>
      </c>
      <c r="W86">
        <f t="shared" si="44"/>
        <v>3.515155593016166</v>
      </c>
      <c r="X86">
        <f t="shared" si="45"/>
        <v>67.897920530499491</v>
      </c>
      <c r="Y86">
        <f t="shared" si="46"/>
        <v>2.1925758761876004</v>
      </c>
      <c r="Z86">
        <f t="shared" si="47"/>
        <v>3.2292238982528243</v>
      </c>
      <c r="AA86">
        <f t="shared" si="48"/>
        <v>1.3225797168285656</v>
      </c>
      <c r="AB86">
        <f t="shared" si="49"/>
        <v>-85.472753196504627</v>
      </c>
      <c r="AC86">
        <f t="shared" si="50"/>
        <v>-174.25179428316281</v>
      </c>
      <c r="AD86">
        <f t="shared" si="51"/>
        <v>-16.50876655413844</v>
      </c>
      <c r="AE86">
        <f t="shared" si="52"/>
        <v>-0.11854346580585684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52724.988911782799</v>
      </c>
      <c r="AK86">
        <f t="shared" si="56"/>
        <v>1800</v>
      </c>
      <c r="AL86">
        <f t="shared" si="57"/>
        <v>1499.1135047999999</v>
      </c>
      <c r="AM86">
        <f t="shared" si="58"/>
        <v>0.83284083599999992</v>
      </c>
      <c r="AN86">
        <f t="shared" si="59"/>
        <v>0.15339709476000002</v>
      </c>
      <c r="AO86">
        <v>30</v>
      </c>
      <c r="AP86">
        <v>0.5</v>
      </c>
      <c r="AQ86" t="s">
        <v>331</v>
      </c>
      <c r="AR86">
        <v>2</v>
      </c>
      <c r="AS86">
        <v>1690293089.5999999</v>
      </c>
      <c r="AT86">
        <v>494.34300000000002</v>
      </c>
      <c r="AU86">
        <v>800.09699999999998</v>
      </c>
      <c r="AV86">
        <v>22.0474</v>
      </c>
      <c r="AW86">
        <v>3.10425</v>
      </c>
      <c r="AX86">
        <v>494.62799999999999</v>
      </c>
      <c r="AY86">
        <v>21.896000000000001</v>
      </c>
      <c r="AZ86">
        <v>300.17599999999999</v>
      </c>
      <c r="BA86">
        <v>99.348200000000006</v>
      </c>
      <c r="BB86">
        <v>0.100074</v>
      </c>
      <c r="BC86">
        <v>25.259599999999999</v>
      </c>
      <c r="BD86">
        <v>26.937899999999999</v>
      </c>
      <c r="BE86">
        <v>26.454999999999998</v>
      </c>
      <c r="BF86">
        <v>0</v>
      </c>
      <c r="BG86">
        <v>0</v>
      </c>
      <c r="BH86">
        <v>9977.5</v>
      </c>
      <c r="BI86">
        <v>1059.49</v>
      </c>
      <c r="BJ86">
        <v>2.2987099999999998</v>
      </c>
      <c r="BK86">
        <v>-305.75400000000002</v>
      </c>
      <c r="BL86">
        <v>505.48700000000002</v>
      </c>
      <c r="BM86">
        <v>802.58799999999997</v>
      </c>
      <c r="BN86">
        <v>18.943100000000001</v>
      </c>
      <c r="BO86">
        <v>800.09699999999998</v>
      </c>
      <c r="BP86">
        <v>3.10425</v>
      </c>
      <c r="BQ86">
        <v>2.1903700000000002</v>
      </c>
      <c r="BR86">
        <v>0.30840099999999998</v>
      </c>
      <c r="BS86">
        <v>18.891999999999999</v>
      </c>
      <c r="BT86">
        <v>-9.1144999999999996</v>
      </c>
      <c r="BU86">
        <v>1800</v>
      </c>
      <c r="BV86">
        <v>0.91001100000000001</v>
      </c>
      <c r="BW86">
        <v>3.3995400000000002E-2</v>
      </c>
      <c r="BX86">
        <v>2.19968E-2</v>
      </c>
      <c r="BY86">
        <v>3.3996800000000001E-2</v>
      </c>
      <c r="BZ86">
        <v>25</v>
      </c>
      <c r="CA86">
        <v>33528.5</v>
      </c>
      <c r="CB86">
        <v>1690292073.5</v>
      </c>
      <c r="CC86" t="s">
        <v>332</v>
      </c>
      <c r="CD86">
        <v>1690292069.5</v>
      </c>
      <c r="CE86">
        <v>1690292073.5</v>
      </c>
      <c r="CF86">
        <v>4</v>
      </c>
      <c r="CG86">
        <v>-3.6999999999999998E-2</v>
      </c>
      <c r="CH86">
        <v>-1.6E-2</v>
      </c>
      <c r="CI86">
        <v>-0.45200000000000001</v>
      </c>
      <c r="CJ86">
        <v>0.108</v>
      </c>
      <c r="CK86">
        <v>730</v>
      </c>
      <c r="CL86">
        <v>18</v>
      </c>
      <c r="CM86">
        <v>0</v>
      </c>
      <c r="CN86">
        <v>0.01</v>
      </c>
      <c r="CO86">
        <v>-303.03587804878049</v>
      </c>
      <c r="CP86">
        <v>-15.143853658536591</v>
      </c>
      <c r="CQ86">
        <v>1.4941778585338441</v>
      </c>
      <c r="CR86">
        <v>-1</v>
      </c>
      <c r="CS86">
        <v>18.713543902439021</v>
      </c>
      <c r="CT86">
        <v>1.2113247386759849</v>
      </c>
      <c r="CU86">
        <v>0.1195088200618509</v>
      </c>
      <c r="CV86">
        <v>-1</v>
      </c>
      <c r="CW86">
        <v>0</v>
      </c>
      <c r="CX86">
        <v>0</v>
      </c>
      <c r="CY86" t="s">
        <v>333</v>
      </c>
      <c r="CZ86">
        <v>2.3646500000000001</v>
      </c>
      <c r="DA86">
        <v>2.7138399999999998</v>
      </c>
      <c r="DB86">
        <v>0.10517</v>
      </c>
      <c r="DC86">
        <v>0.146479</v>
      </c>
      <c r="DD86">
        <v>0.107693</v>
      </c>
      <c r="DE86">
        <v>2.2657900000000002E-2</v>
      </c>
      <c r="DF86">
        <v>32674.3</v>
      </c>
      <c r="DG86">
        <v>27501.1</v>
      </c>
      <c r="DH86">
        <v>31172.1</v>
      </c>
      <c r="DI86">
        <v>28075.8</v>
      </c>
      <c r="DJ86">
        <v>37760.300000000003</v>
      </c>
      <c r="DK86">
        <v>39018.699999999997</v>
      </c>
      <c r="DL86">
        <v>44359.9</v>
      </c>
      <c r="DM86">
        <v>42547.6</v>
      </c>
      <c r="DN86">
        <v>1.4842500000000001</v>
      </c>
      <c r="DO86">
        <v>2.0422699999999998</v>
      </c>
      <c r="DP86">
        <v>0.13605100000000001</v>
      </c>
      <c r="DQ86">
        <v>0.13197200000000001</v>
      </c>
      <c r="DR86">
        <v>24.708600000000001</v>
      </c>
      <c r="DS86">
        <v>24.291</v>
      </c>
      <c r="DT86">
        <v>44.8</v>
      </c>
      <c r="DU86">
        <v>28.3</v>
      </c>
      <c r="DV86">
        <v>17.415700000000001</v>
      </c>
      <c r="DW86">
        <v>61.4634</v>
      </c>
      <c r="DX86">
        <v>35.444699999999997</v>
      </c>
      <c r="DY86">
        <v>1</v>
      </c>
      <c r="DZ86">
        <v>-0.102952</v>
      </c>
      <c r="EA86">
        <v>0.34840399999999999</v>
      </c>
      <c r="EB86">
        <v>20.189900000000002</v>
      </c>
      <c r="EC86">
        <v>5.24125</v>
      </c>
      <c r="ED86">
        <v>12.039899999999999</v>
      </c>
      <c r="EE86">
        <v>5.0170500000000002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</v>
      </c>
      <c r="EL86">
        <v>1.8646</v>
      </c>
      <c r="EM86">
        <v>1.8692</v>
      </c>
      <c r="EN86">
        <v>1.8672200000000001</v>
      </c>
      <c r="EO86">
        <v>1.86337</v>
      </c>
      <c r="EP86">
        <v>1.86443</v>
      </c>
      <c r="EQ86">
        <v>1.8701399999999999</v>
      </c>
      <c r="ER86">
        <v>1.86941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-0.28499999999999998</v>
      </c>
      <c r="FG86">
        <v>0.15140000000000001</v>
      </c>
      <c r="FH86">
        <v>5.0310448532705943E-2</v>
      </c>
      <c r="FI86">
        <v>-6.1462078757559423E-4</v>
      </c>
      <c r="FJ86">
        <v>-1.8861989874597051E-7</v>
      </c>
      <c r="FK86">
        <v>1.1980462299894961E-10</v>
      </c>
      <c r="FL86">
        <v>0.15140825623214971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17</v>
      </c>
      <c r="FU86">
        <v>16.899999999999999</v>
      </c>
      <c r="FV86">
        <v>1.7700199999999999</v>
      </c>
      <c r="FW86">
        <v>2.5793499999999998</v>
      </c>
      <c r="FX86">
        <v>1.5490699999999999</v>
      </c>
      <c r="FY86">
        <v>2.3315399999999999</v>
      </c>
      <c r="FZ86">
        <v>1.50146</v>
      </c>
      <c r="GA86">
        <v>2.36938</v>
      </c>
      <c r="GB86">
        <v>33.042900000000003</v>
      </c>
      <c r="GC86">
        <v>23.991199999999999</v>
      </c>
      <c r="GD86">
        <v>19</v>
      </c>
      <c r="GE86">
        <v>285.69499999999999</v>
      </c>
      <c r="GF86">
        <v>586.33100000000002</v>
      </c>
      <c r="GG86">
        <v>23.194700000000001</v>
      </c>
      <c r="GH86">
        <v>26.08</v>
      </c>
      <c r="GI86">
        <v>29.999700000000001</v>
      </c>
      <c r="GJ86">
        <v>26.209900000000001</v>
      </c>
      <c r="GK86">
        <v>26.1876</v>
      </c>
      <c r="GL86">
        <v>35.3857</v>
      </c>
      <c r="GM86">
        <v>77.915400000000005</v>
      </c>
      <c r="GN86">
        <v>51.3247</v>
      </c>
      <c r="GO86">
        <v>23.225999999999999</v>
      </c>
      <c r="GP86">
        <v>800</v>
      </c>
      <c r="GQ86">
        <v>2.9553400000000001</v>
      </c>
      <c r="GR86">
        <v>99.736199999999997</v>
      </c>
      <c r="GS86">
        <v>99.538799999999995</v>
      </c>
    </row>
    <row r="87" spans="1:201" x14ac:dyDescent="0.25">
      <c r="A87">
        <v>71</v>
      </c>
      <c r="B87">
        <v>1690293099.5999999</v>
      </c>
      <c r="C87">
        <v>829</v>
      </c>
      <c r="D87" t="s">
        <v>475</v>
      </c>
      <c r="E87" t="s">
        <v>476</v>
      </c>
      <c r="F87" t="s">
        <v>330</v>
      </c>
      <c r="H87">
        <v>1690293099.5999999</v>
      </c>
      <c r="I87">
        <f t="shared" si="30"/>
        <v>1.9576959236214933E-3</v>
      </c>
      <c r="J87">
        <f t="shared" si="31"/>
        <v>1.9576959236214935</v>
      </c>
      <c r="K87">
        <f t="shared" si="32"/>
        <v>29.872897950825749</v>
      </c>
      <c r="L87">
        <f t="shared" si="33"/>
        <v>491.88900000000001</v>
      </c>
      <c r="M87">
        <f t="shared" si="34"/>
        <v>152.68825927860334</v>
      </c>
      <c r="N87">
        <f t="shared" si="35"/>
        <v>15.1843680815424</v>
      </c>
      <c r="O87">
        <f t="shared" si="36"/>
        <v>48.916816961240102</v>
      </c>
      <c r="P87">
        <f t="shared" si="37"/>
        <v>0.14837233977744171</v>
      </c>
      <c r="Q87">
        <f t="shared" si="38"/>
        <v>2.2579769389789512</v>
      </c>
      <c r="R87">
        <f t="shared" si="39"/>
        <v>0.14316097485950424</v>
      </c>
      <c r="S87">
        <f t="shared" si="40"/>
        <v>8.9928580410602837E-2</v>
      </c>
      <c r="T87">
        <f t="shared" si="41"/>
        <v>276.11480804399997</v>
      </c>
      <c r="U87">
        <f t="shared" si="42"/>
        <v>26.691637769812374</v>
      </c>
      <c r="V87">
        <f t="shared" si="43"/>
        <v>26.691637769812374</v>
      </c>
      <c r="W87">
        <f t="shared" si="44"/>
        <v>3.5148480956340218</v>
      </c>
      <c r="X87">
        <f t="shared" si="45"/>
        <v>67.913105804633403</v>
      </c>
      <c r="Y87">
        <f t="shared" si="46"/>
        <v>2.1939668111175301</v>
      </c>
      <c r="Z87">
        <f t="shared" si="47"/>
        <v>3.2305499581022632</v>
      </c>
      <c r="AA87">
        <f t="shared" si="48"/>
        <v>1.3208812845164917</v>
      </c>
      <c r="AB87">
        <f t="shared" si="49"/>
        <v>-86.334390231707857</v>
      </c>
      <c r="AC87">
        <f t="shared" si="50"/>
        <v>-173.48494614834738</v>
      </c>
      <c r="AD87">
        <f t="shared" si="51"/>
        <v>-16.41263545285527</v>
      </c>
      <c r="AE87">
        <f t="shared" si="52"/>
        <v>-0.11716378891054546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52852.850542200387</v>
      </c>
      <c r="AK87">
        <f t="shared" si="56"/>
        <v>1800</v>
      </c>
      <c r="AL87">
        <f t="shared" si="57"/>
        <v>1499.1143364</v>
      </c>
      <c r="AM87">
        <f t="shared" si="58"/>
        <v>0.83284129799999995</v>
      </c>
      <c r="AN87">
        <f t="shared" si="59"/>
        <v>0.15339711557999999</v>
      </c>
      <c r="AO87">
        <v>30</v>
      </c>
      <c r="AP87">
        <v>0.5</v>
      </c>
      <c r="AQ87" t="s">
        <v>331</v>
      </c>
      <c r="AR87">
        <v>2</v>
      </c>
      <c r="AS87">
        <v>1690293099.5999999</v>
      </c>
      <c r="AT87">
        <v>491.88900000000001</v>
      </c>
      <c r="AU87">
        <v>800.14800000000002</v>
      </c>
      <c r="AV87">
        <v>22.061699999999998</v>
      </c>
      <c r="AW87">
        <v>2.9228299999999998</v>
      </c>
      <c r="AX87">
        <v>492.173</v>
      </c>
      <c r="AY87">
        <v>21.910299999999999</v>
      </c>
      <c r="AZ87">
        <v>300.09699999999998</v>
      </c>
      <c r="BA87">
        <v>99.346900000000005</v>
      </c>
      <c r="BB87">
        <v>9.9960900000000005E-2</v>
      </c>
      <c r="BC87">
        <v>25.266500000000001</v>
      </c>
      <c r="BD87">
        <v>26.9819</v>
      </c>
      <c r="BE87">
        <v>26.460899999999999</v>
      </c>
      <c r="BF87">
        <v>0</v>
      </c>
      <c r="BG87">
        <v>0</v>
      </c>
      <c r="BH87">
        <v>10003.1</v>
      </c>
      <c r="BI87">
        <v>1059.69</v>
      </c>
      <c r="BJ87">
        <v>2.2987099999999998</v>
      </c>
      <c r="BK87">
        <v>-308.25900000000001</v>
      </c>
      <c r="BL87">
        <v>502.98599999999999</v>
      </c>
      <c r="BM87">
        <v>802.49400000000003</v>
      </c>
      <c r="BN87">
        <v>19.1389</v>
      </c>
      <c r="BO87">
        <v>800.14800000000002</v>
      </c>
      <c r="BP87">
        <v>2.9228299999999998</v>
      </c>
      <c r="BQ87">
        <v>2.1917599999999999</v>
      </c>
      <c r="BR87">
        <v>0.29037400000000002</v>
      </c>
      <c r="BS87">
        <v>18.902200000000001</v>
      </c>
      <c r="BT87">
        <v>-9.8796800000000005</v>
      </c>
      <c r="BU87">
        <v>1800</v>
      </c>
      <c r="BV87">
        <v>0.91001299999999996</v>
      </c>
      <c r="BW87">
        <v>3.3994799999999999E-2</v>
      </c>
      <c r="BX87">
        <v>2.1996399999999999E-2</v>
      </c>
      <c r="BY87">
        <v>3.3996199999999997E-2</v>
      </c>
      <c r="BZ87">
        <v>25</v>
      </c>
      <c r="CA87">
        <v>33528.5</v>
      </c>
      <c r="CB87">
        <v>1690292073.5</v>
      </c>
      <c r="CC87" t="s">
        <v>332</v>
      </c>
      <c r="CD87">
        <v>1690292069.5</v>
      </c>
      <c r="CE87">
        <v>1690292073.5</v>
      </c>
      <c r="CF87">
        <v>4</v>
      </c>
      <c r="CG87">
        <v>-3.6999999999999998E-2</v>
      </c>
      <c r="CH87">
        <v>-1.6E-2</v>
      </c>
      <c r="CI87">
        <v>-0.45200000000000001</v>
      </c>
      <c r="CJ87">
        <v>0.108</v>
      </c>
      <c r="CK87">
        <v>730</v>
      </c>
      <c r="CL87">
        <v>18</v>
      </c>
      <c r="CM87">
        <v>0</v>
      </c>
      <c r="CN87">
        <v>0.01</v>
      </c>
      <c r="CO87">
        <v>-305.5311463414634</v>
      </c>
      <c r="CP87">
        <v>-15.17803484320606</v>
      </c>
      <c r="CQ87">
        <v>1.4973136687035951</v>
      </c>
      <c r="CR87">
        <v>-1</v>
      </c>
      <c r="CS87">
        <v>18.916560975609759</v>
      </c>
      <c r="CT87">
        <v>1.240624390243976</v>
      </c>
      <c r="CU87">
        <v>0.1223794197548591</v>
      </c>
      <c r="CV87">
        <v>-1</v>
      </c>
      <c r="CW87">
        <v>0</v>
      </c>
      <c r="CX87">
        <v>0</v>
      </c>
      <c r="CY87" t="s">
        <v>333</v>
      </c>
      <c r="CZ87">
        <v>2.3643999999999998</v>
      </c>
      <c r="DA87">
        <v>2.7137500000000001</v>
      </c>
      <c r="DB87">
        <v>0.10478700000000001</v>
      </c>
      <c r="DC87">
        <v>0.146481</v>
      </c>
      <c r="DD87">
        <v>0.107742</v>
      </c>
      <c r="DE87">
        <v>2.1492299999999999E-2</v>
      </c>
      <c r="DF87">
        <v>32688.1</v>
      </c>
      <c r="DG87">
        <v>27501.7</v>
      </c>
      <c r="DH87">
        <v>31171.9</v>
      </c>
      <c r="DI87">
        <v>28076.5</v>
      </c>
      <c r="DJ87">
        <v>37757.9</v>
      </c>
      <c r="DK87">
        <v>39066.300000000003</v>
      </c>
      <c r="DL87">
        <v>44359.6</v>
      </c>
      <c r="DM87">
        <v>42548.7</v>
      </c>
      <c r="DN87">
        <v>1.48458</v>
      </c>
      <c r="DO87">
        <v>2.04203</v>
      </c>
      <c r="DP87">
        <v>0.13899400000000001</v>
      </c>
      <c r="DQ87">
        <v>0.13233300000000001</v>
      </c>
      <c r="DR87">
        <v>24.7044</v>
      </c>
      <c r="DS87">
        <v>24.291</v>
      </c>
      <c r="DT87">
        <v>44.3</v>
      </c>
      <c r="DU87">
        <v>28.3</v>
      </c>
      <c r="DV87">
        <v>17.221</v>
      </c>
      <c r="DW87">
        <v>61.723399999999998</v>
      </c>
      <c r="DX87">
        <v>35.761200000000002</v>
      </c>
      <c r="DY87">
        <v>1</v>
      </c>
      <c r="DZ87">
        <v>-0.103532</v>
      </c>
      <c r="EA87">
        <v>0.27304200000000001</v>
      </c>
      <c r="EB87">
        <v>20.1904</v>
      </c>
      <c r="EC87">
        <v>5.2413999999999996</v>
      </c>
      <c r="ED87">
        <v>12.039899999999999</v>
      </c>
      <c r="EE87">
        <v>5.01715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</v>
      </c>
      <c r="EL87">
        <v>1.8646</v>
      </c>
      <c r="EM87">
        <v>1.8691899999999999</v>
      </c>
      <c r="EN87">
        <v>1.8672200000000001</v>
      </c>
      <c r="EO87">
        <v>1.8633999999999999</v>
      </c>
      <c r="EP87">
        <v>1.86443</v>
      </c>
      <c r="EQ87">
        <v>1.87015</v>
      </c>
      <c r="ER87">
        <v>1.86937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-0.28399999999999997</v>
      </c>
      <c r="FG87">
        <v>0.15140000000000001</v>
      </c>
      <c r="FH87">
        <v>5.0310448532705943E-2</v>
      </c>
      <c r="FI87">
        <v>-6.1462078757559423E-4</v>
      </c>
      <c r="FJ87">
        <v>-1.8861989874597051E-7</v>
      </c>
      <c r="FK87">
        <v>1.1980462299894961E-10</v>
      </c>
      <c r="FL87">
        <v>0.15140825623214971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17.2</v>
      </c>
      <c r="FU87">
        <v>17.100000000000001</v>
      </c>
      <c r="FV87">
        <v>1.7687999999999999</v>
      </c>
      <c r="FW87">
        <v>2.5744600000000002</v>
      </c>
      <c r="FX87">
        <v>1.5490699999999999</v>
      </c>
      <c r="FY87">
        <v>2.3315399999999999</v>
      </c>
      <c r="FZ87">
        <v>1.50146</v>
      </c>
      <c r="GA87">
        <v>2.3974600000000001</v>
      </c>
      <c r="GB87">
        <v>33.042900000000003</v>
      </c>
      <c r="GC87">
        <v>23.991199999999999</v>
      </c>
      <c r="GD87">
        <v>19</v>
      </c>
      <c r="GE87">
        <v>285.82100000000003</v>
      </c>
      <c r="GF87">
        <v>586.09900000000005</v>
      </c>
      <c r="GG87">
        <v>23.2681</v>
      </c>
      <c r="GH87">
        <v>26.0745</v>
      </c>
      <c r="GI87">
        <v>29.9998</v>
      </c>
      <c r="GJ87">
        <v>26.207000000000001</v>
      </c>
      <c r="GK87">
        <v>26.185500000000001</v>
      </c>
      <c r="GL87">
        <v>35.370800000000003</v>
      </c>
      <c r="GM87">
        <v>78.796800000000005</v>
      </c>
      <c r="GN87">
        <v>50.109900000000003</v>
      </c>
      <c r="GO87">
        <v>23.284600000000001</v>
      </c>
      <c r="GP87">
        <v>800</v>
      </c>
      <c r="GQ87">
        <v>2.7631199999999998</v>
      </c>
      <c r="GR87">
        <v>99.735500000000002</v>
      </c>
      <c r="GS87">
        <v>99.541300000000007</v>
      </c>
    </row>
    <row r="88" spans="1:201" x14ac:dyDescent="0.25">
      <c r="A88">
        <v>72</v>
      </c>
      <c r="B88">
        <v>1690293109.5999999</v>
      </c>
      <c r="C88">
        <v>839</v>
      </c>
      <c r="D88" t="s">
        <v>477</v>
      </c>
      <c r="E88" t="s">
        <v>478</v>
      </c>
      <c r="F88" t="s">
        <v>330</v>
      </c>
      <c r="H88">
        <v>1690293109.5999999</v>
      </c>
      <c r="I88">
        <f t="shared" si="30"/>
        <v>1.9795635866103438E-3</v>
      </c>
      <c r="J88">
        <f t="shared" si="31"/>
        <v>1.9795635866103438</v>
      </c>
      <c r="K88">
        <f t="shared" si="32"/>
        <v>30.131571415975181</v>
      </c>
      <c r="L88">
        <f t="shared" si="33"/>
        <v>489.31200000000001</v>
      </c>
      <c r="M88">
        <f t="shared" si="34"/>
        <v>151.36549475925924</v>
      </c>
      <c r="N88">
        <f t="shared" si="35"/>
        <v>15.052712669343615</v>
      </c>
      <c r="O88">
        <f t="shared" si="36"/>
        <v>48.660184762560007</v>
      </c>
      <c r="P88">
        <f t="shared" si="37"/>
        <v>0.15025048064468996</v>
      </c>
      <c r="Q88">
        <f t="shared" si="38"/>
        <v>2.2620731644463392</v>
      </c>
      <c r="R88">
        <f t="shared" si="39"/>
        <v>0.14491820526823326</v>
      </c>
      <c r="S88">
        <f t="shared" si="40"/>
        <v>9.1037196297537967E-2</v>
      </c>
      <c r="T88">
        <f t="shared" si="41"/>
        <v>276.11315617349919</v>
      </c>
      <c r="U88">
        <f t="shared" si="42"/>
        <v>26.695120131710915</v>
      </c>
      <c r="V88">
        <f t="shared" si="43"/>
        <v>26.695120131710915</v>
      </c>
      <c r="W88">
        <f t="shared" si="44"/>
        <v>3.5155687013836898</v>
      </c>
      <c r="X88">
        <f t="shared" si="45"/>
        <v>67.927980688385048</v>
      </c>
      <c r="Y88">
        <f t="shared" si="46"/>
        <v>2.1961583903070006</v>
      </c>
      <c r="Z88">
        <f t="shared" si="47"/>
        <v>3.2330688591815009</v>
      </c>
      <c r="AA88">
        <f t="shared" si="48"/>
        <v>1.3194103110766893</v>
      </c>
      <c r="AB88">
        <f t="shared" si="49"/>
        <v>-87.298754169516158</v>
      </c>
      <c r="AC88">
        <f t="shared" si="50"/>
        <v>-172.62676870942431</v>
      </c>
      <c r="AD88">
        <f t="shared" si="51"/>
        <v>-16.303228698586672</v>
      </c>
      <c r="AE88">
        <f t="shared" si="52"/>
        <v>-0.11559540402794255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53011.666853897004</v>
      </c>
      <c r="AK88">
        <f t="shared" si="56"/>
        <v>1799.99</v>
      </c>
      <c r="AL88">
        <f t="shared" si="57"/>
        <v>1499.1061609861699</v>
      </c>
      <c r="AM88">
        <f t="shared" si="58"/>
        <v>0.83284138299999999</v>
      </c>
      <c r="AN88">
        <f t="shared" si="59"/>
        <v>0.15339705007999999</v>
      </c>
      <c r="AO88">
        <v>30</v>
      </c>
      <c r="AP88">
        <v>0.5</v>
      </c>
      <c r="AQ88" t="s">
        <v>331</v>
      </c>
      <c r="AR88">
        <v>2</v>
      </c>
      <c r="AS88">
        <v>1690293109.5999999</v>
      </c>
      <c r="AT88">
        <v>489.31200000000001</v>
      </c>
      <c r="AU88">
        <v>800.20100000000002</v>
      </c>
      <c r="AV88">
        <v>22.0839</v>
      </c>
      <c r="AW88">
        <v>2.7324600000000001</v>
      </c>
      <c r="AX88">
        <v>489.59399999999999</v>
      </c>
      <c r="AY88">
        <v>21.932500000000001</v>
      </c>
      <c r="AZ88">
        <v>300.10899999999998</v>
      </c>
      <c r="BA88">
        <v>99.346100000000007</v>
      </c>
      <c r="BB88">
        <v>0.10002999999999999</v>
      </c>
      <c r="BC88">
        <v>25.279599999999999</v>
      </c>
      <c r="BD88">
        <v>26.978999999999999</v>
      </c>
      <c r="BE88">
        <v>26.470600000000001</v>
      </c>
      <c r="BF88">
        <v>0</v>
      </c>
      <c r="BG88">
        <v>0</v>
      </c>
      <c r="BH88">
        <v>10035</v>
      </c>
      <c r="BI88">
        <v>1059.8800000000001</v>
      </c>
      <c r="BJ88">
        <v>2.2987099999999998</v>
      </c>
      <c r="BK88">
        <v>-310.88900000000001</v>
      </c>
      <c r="BL88">
        <v>500.36200000000002</v>
      </c>
      <c r="BM88">
        <v>802.39300000000003</v>
      </c>
      <c r="BN88">
        <v>19.351400000000002</v>
      </c>
      <c r="BO88">
        <v>800.20100000000002</v>
      </c>
      <c r="BP88">
        <v>2.7324600000000001</v>
      </c>
      <c r="BQ88">
        <v>2.1939500000000001</v>
      </c>
      <c r="BR88">
        <v>0.27145999999999998</v>
      </c>
      <c r="BS88">
        <v>18.918199999999999</v>
      </c>
      <c r="BT88">
        <v>-10.7294</v>
      </c>
      <c r="BU88">
        <v>1799.99</v>
      </c>
      <c r="BV88">
        <v>0.91001500000000002</v>
      </c>
      <c r="BW88">
        <v>3.3994000000000003E-2</v>
      </c>
      <c r="BX88">
        <v>2.1995899999999999E-2</v>
      </c>
      <c r="BY88">
        <v>3.3995400000000002E-2</v>
      </c>
      <c r="BZ88">
        <v>25</v>
      </c>
      <c r="CA88">
        <v>33528.400000000001</v>
      </c>
      <c r="CB88">
        <v>1690292073.5</v>
      </c>
      <c r="CC88" t="s">
        <v>332</v>
      </c>
      <c r="CD88">
        <v>1690292069.5</v>
      </c>
      <c r="CE88">
        <v>1690292073.5</v>
      </c>
      <c r="CF88">
        <v>4</v>
      </c>
      <c r="CG88">
        <v>-3.6999999999999998E-2</v>
      </c>
      <c r="CH88">
        <v>-1.6E-2</v>
      </c>
      <c r="CI88">
        <v>-0.45200000000000001</v>
      </c>
      <c r="CJ88">
        <v>0.108</v>
      </c>
      <c r="CK88">
        <v>730</v>
      </c>
      <c r="CL88">
        <v>18</v>
      </c>
      <c r="CM88">
        <v>0</v>
      </c>
      <c r="CN88">
        <v>0.01</v>
      </c>
      <c r="CO88">
        <v>-307.94330000000002</v>
      </c>
      <c r="CP88">
        <v>-14.86703189493411</v>
      </c>
      <c r="CQ88">
        <v>1.4328260745812791</v>
      </c>
      <c r="CR88">
        <v>-1</v>
      </c>
      <c r="CS88">
        <v>19.115314999999999</v>
      </c>
      <c r="CT88">
        <v>1.2078776735459411</v>
      </c>
      <c r="CU88">
        <v>0.116242340715421</v>
      </c>
      <c r="CV88">
        <v>-1</v>
      </c>
      <c r="CW88">
        <v>0</v>
      </c>
      <c r="CX88">
        <v>0</v>
      </c>
      <c r="CY88" t="s">
        <v>333</v>
      </c>
      <c r="CZ88">
        <v>2.3644699999999998</v>
      </c>
      <c r="DA88">
        <v>2.7138499999999999</v>
      </c>
      <c r="DB88">
        <v>0.104383</v>
      </c>
      <c r="DC88">
        <v>0.146482</v>
      </c>
      <c r="DD88">
        <v>0.107818</v>
      </c>
      <c r="DE88">
        <v>2.02525E-2</v>
      </c>
      <c r="DF88">
        <v>32703.5</v>
      </c>
      <c r="DG88">
        <v>27502.1</v>
      </c>
      <c r="DH88">
        <v>31172.5</v>
      </c>
      <c r="DI88">
        <v>28076.9</v>
      </c>
      <c r="DJ88">
        <v>37755.599999999999</v>
      </c>
      <c r="DK88">
        <v>39116.300000000003</v>
      </c>
      <c r="DL88">
        <v>44360.7</v>
      </c>
      <c r="DM88">
        <v>42549.1</v>
      </c>
      <c r="DN88">
        <v>1.48465</v>
      </c>
      <c r="DO88">
        <v>2.0417700000000001</v>
      </c>
      <c r="DP88">
        <v>0.139073</v>
      </c>
      <c r="DQ88">
        <v>0.13292599999999999</v>
      </c>
      <c r="DR88">
        <v>24.700299999999999</v>
      </c>
      <c r="DS88">
        <v>24.291</v>
      </c>
      <c r="DT88">
        <v>43.8</v>
      </c>
      <c r="DU88">
        <v>28.3</v>
      </c>
      <c r="DV88">
        <v>17.026900000000001</v>
      </c>
      <c r="DW88">
        <v>61.293399999999998</v>
      </c>
      <c r="DX88">
        <v>35.865400000000001</v>
      </c>
      <c r="DY88">
        <v>1</v>
      </c>
      <c r="DZ88">
        <v>-0.103308</v>
      </c>
      <c r="EA88">
        <v>0.30707800000000002</v>
      </c>
      <c r="EB88">
        <v>20.190200000000001</v>
      </c>
      <c r="EC88">
        <v>5.24125</v>
      </c>
      <c r="ED88">
        <v>12.039899999999999</v>
      </c>
      <c r="EE88">
        <v>5.0168499999999998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</v>
      </c>
      <c r="EL88">
        <v>1.8646100000000001</v>
      </c>
      <c r="EM88">
        <v>1.8691800000000001</v>
      </c>
      <c r="EN88">
        <v>1.8672200000000001</v>
      </c>
      <c r="EO88">
        <v>1.86338</v>
      </c>
      <c r="EP88">
        <v>1.86442</v>
      </c>
      <c r="EQ88">
        <v>1.8701399999999999</v>
      </c>
      <c r="ER88">
        <v>1.86938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-0.28199999999999997</v>
      </c>
      <c r="FG88">
        <v>0.15140000000000001</v>
      </c>
      <c r="FH88">
        <v>5.0310448532705943E-2</v>
      </c>
      <c r="FI88">
        <v>-6.1462078757559423E-4</v>
      </c>
      <c r="FJ88">
        <v>-1.8861989874597051E-7</v>
      </c>
      <c r="FK88">
        <v>1.1980462299894961E-10</v>
      </c>
      <c r="FL88">
        <v>0.15140825623214971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17.3</v>
      </c>
      <c r="FU88">
        <v>17.3</v>
      </c>
      <c r="FV88">
        <v>1.7687999999999999</v>
      </c>
      <c r="FW88">
        <v>2.5781200000000002</v>
      </c>
      <c r="FX88">
        <v>1.5490699999999999</v>
      </c>
      <c r="FY88">
        <v>2.3303199999999999</v>
      </c>
      <c r="FZ88">
        <v>1.50146</v>
      </c>
      <c r="GA88">
        <v>2.3754900000000001</v>
      </c>
      <c r="GB88">
        <v>33.042900000000003</v>
      </c>
      <c r="GC88">
        <v>23.991199999999999</v>
      </c>
      <c r="GD88">
        <v>19</v>
      </c>
      <c r="GE88">
        <v>285.83999999999997</v>
      </c>
      <c r="GF88">
        <v>585.86400000000003</v>
      </c>
      <c r="GG88">
        <v>23.307500000000001</v>
      </c>
      <c r="GH88">
        <v>26.0701</v>
      </c>
      <c r="GI88">
        <v>30.0001</v>
      </c>
      <c r="GJ88">
        <v>26.203900000000001</v>
      </c>
      <c r="GK88">
        <v>26.183</v>
      </c>
      <c r="GL88">
        <v>35.365600000000001</v>
      </c>
      <c r="GM88">
        <v>79.628200000000007</v>
      </c>
      <c r="GN88">
        <v>49.288600000000002</v>
      </c>
      <c r="GO88">
        <v>23.322800000000001</v>
      </c>
      <c r="GP88">
        <v>800</v>
      </c>
      <c r="GQ88">
        <v>2.6431200000000001</v>
      </c>
      <c r="GR88">
        <v>99.737799999999993</v>
      </c>
      <c r="GS88">
        <v>99.542400000000001</v>
      </c>
    </row>
    <row r="89" spans="1:201" x14ac:dyDescent="0.25">
      <c r="A89">
        <v>73</v>
      </c>
      <c r="B89">
        <v>1690293119.5999999</v>
      </c>
      <c r="C89">
        <v>849</v>
      </c>
      <c r="D89" t="s">
        <v>479</v>
      </c>
      <c r="E89" t="s">
        <v>480</v>
      </c>
      <c r="F89" t="s">
        <v>330</v>
      </c>
      <c r="H89">
        <v>1690293119.5999999</v>
      </c>
      <c r="I89">
        <f t="shared" si="30"/>
        <v>1.9928791416525472E-3</v>
      </c>
      <c r="J89">
        <f t="shared" si="31"/>
        <v>1.9928791416525471</v>
      </c>
      <c r="K89">
        <f t="shared" si="32"/>
        <v>30.356922945929377</v>
      </c>
      <c r="L89">
        <f t="shared" si="33"/>
        <v>486.9</v>
      </c>
      <c r="M89">
        <f t="shared" si="34"/>
        <v>148.85730405196153</v>
      </c>
      <c r="N89">
        <f t="shared" si="35"/>
        <v>14.803438559598122</v>
      </c>
      <c r="O89">
        <f t="shared" si="36"/>
        <v>48.420830140469995</v>
      </c>
      <c r="P89">
        <f t="shared" si="37"/>
        <v>0.15134624181495554</v>
      </c>
      <c r="Q89">
        <f t="shared" si="38"/>
        <v>2.258303063480092</v>
      </c>
      <c r="R89">
        <f t="shared" si="39"/>
        <v>0.14592873156814049</v>
      </c>
      <c r="S89">
        <f t="shared" si="40"/>
        <v>9.1676042856705345E-2</v>
      </c>
      <c r="T89">
        <f t="shared" si="41"/>
        <v>276.11439488999997</v>
      </c>
      <c r="U89">
        <f t="shared" si="42"/>
        <v>26.702468924013139</v>
      </c>
      <c r="V89">
        <f t="shared" si="43"/>
        <v>26.702468924013139</v>
      </c>
      <c r="W89">
        <f t="shared" si="44"/>
        <v>3.5170898115593987</v>
      </c>
      <c r="X89">
        <f t="shared" si="45"/>
        <v>67.946475868367244</v>
      </c>
      <c r="Y89">
        <f t="shared" si="46"/>
        <v>2.1980113247354898</v>
      </c>
      <c r="Z89">
        <f t="shared" si="47"/>
        <v>3.2349158608221251</v>
      </c>
      <c r="AA89">
        <f t="shared" si="48"/>
        <v>1.3190784868239089</v>
      </c>
      <c r="AB89">
        <f t="shared" si="49"/>
        <v>-87.885970146877327</v>
      </c>
      <c r="AC89">
        <f t="shared" si="50"/>
        <v>-172.06497531390997</v>
      </c>
      <c r="AD89">
        <f t="shared" si="51"/>
        <v>-16.278684271747135</v>
      </c>
      <c r="AE89">
        <f t="shared" si="52"/>
        <v>-0.11523484253444849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52861.654846537851</v>
      </c>
      <c r="AK89">
        <f t="shared" si="56"/>
        <v>1800</v>
      </c>
      <c r="AL89">
        <f t="shared" si="57"/>
        <v>1499.1142229999998</v>
      </c>
      <c r="AM89">
        <f t="shared" si="58"/>
        <v>0.83284123499999996</v>
      </c>
      <c r="AN89">
        <f t="shared" si="59"/>
        <v>0.15339688604999999</v>
      </c>
      <c r="AO89">
        <v>30</v>
      </c>
      <c r="AP89">
        <v>0.5</v>
      </c>
      <c r="AQ89" t="s">
        <v>331</v>
      </c>
      <c r="AR89">
        <v>2</v>
      </c>
      <c r="AS89">
        <v>1690293119.5999999</v>
      </c>
      <c r="AT89">
        <v>486.9</v>
      </c>
      <c r="AU89">
        <v>800.01599999999996</v>
      </c>
      <c r="AV89">
        <v>22.1023</v>
      </c>
      <c r="AW89">
        <v>2.6237200000000001</v>
      </c>
      <c r="AX89">
        <v>487.18</v>
      </c>
      <c r="AY89">
        <v>21.950900000000001</v>
      </c>
      <c r="AZ89">
        <v>300.14999999999998</v>
      </c>
      <c r="BA89">
        <v>99.347200000000001</v>
      </c>
      <c r="BB89">
        <v>9.9976300000000004E-2</v>
      </c>
      <c r="BC89">
        <v>25.289200000000001</v>
      </c>
      <c r="BD89">
        <v>26.9663</v>
      </c>
      <c r="BE89">
        <v>26.486599999999999</v>
      </c>
      <c r="BF89">
        <v>0</v>
      </c>
      <c r="BG89">
        <v>0</v>
      </c>
      <c r="BH89">
        <v>10005.6</v>
      </c>
      <c r="BI89">
        <v>1060.05</v>
      </c>
      <c r="BJ89">
        <v>2.2987099999999998</v>
      </c>
      <c r="BK89">
        <v>-313.11599999999999</v>
      </c>
      <c r="BL89">
        <v>497.90499999999997</v>
      </c>
      <c r="BM89">
        <v>802.12099999999998</v>
      </c>
      <c r="BN89">
        <v>19.4785</v>
      </c>
      <c r="BO89">
        <v>800.01599999999996</v>
      </c>
      <c r="BP89">
        <v>2.6237200000000001</v>
      </c>
      <c r="BQ89">
        <v>2.1958000000000002</v>
      </c>
      <c r="BR89">
        <v>0.26065899999999997</v>
      </c>
      <c r="BS89">
        <v>18.931699999999999</v>
      </c>
      <c r="BT89">
        <v>-11.2386</v>
      </c>
      <c r="BU89">
        <v>1800</v>
      </c>
      <c r="BV89">
        <v>0.91001799999999999</v>
      </c>
      <c r="BW89">
        <v>3.3992700000000001E-2</v>
      </c>
      <c r="BX89">
        <v>2.1995000000000001E-2</v>
      </c>
      <c r="BY89">
        <v>3.3994099999999999E-2</v>
      </c>
      <c r="BZ89">
        <v>25</v>
      </c>
      <c r="CA89">
        <v>33528.5</v>
      </c>
      <c r="CB89">
        <v>1690292073.5</v>
      </c>
      <c r="CC89" t="s">
        <v>332</v>
      </c>
      <c r="CD89">
        <v>1690292069.5</v>
      </c>
      <c r="CE89">
        <v>1690292073.5</v>
      </c>
      <c r="CF89">
        <v>4</v>
      </c>
      <c r="CG89">
        <v>-3.6999999999999998E-2</v>
      </c>
      <c r="CH89">
        <v>-1.6E-2</v>
      </c>
      <c r="CI89">
        <v>-0.45200000000000001</v>
      </c>
      <c r="CJ89">
        <v>0.108</v>
      </c>
      <c r="CK89">
        <v>730</v>
      </c>
      <c r="CL89">
        <v>18</v>
      </c>
      <c r="CM89">
        <v>0</v>
      </c>
      <c r="CN89">
        <v>0.01</v>
      </c>
      <c r="CO89">
        <v>-310.48887804878052</v>
      </c>
      <c r="CP89">
        <v>-14.976397212543709</v>
      </c>
      <c r="CQ89">
        <v>1.48007127704307</v>
      </c>
      <c r="CR89">
        <v>-1</v>
      </c>
      <c r="CS89">
        <v>19.315717073170731</v>
      </c>
      <c r="CT89">
        <v>1.1053170731707429</v>
      </c>
      <c r="CU89">
        <v>0.1101054592085754</v>
      </c>
      <c r="CV89">
        <v>-1</v>
      </c>
      <c r="CW89">
        <v>0</v>
      </c>
      <c r="CX89">
        <v>0</v>
      </c>
      <c r="CY89" t="s">
        <v>333</v>
      </c>
      <c r="CZ89">
        <v>2.3645900000000002</v>
      </c>
      <c r="DA89">
        <v>2.7137699999999998</v>
      </c>
      <c r="DB89">
        <v>0.104008</v>
      </c>
      <c r="DC89">
        <v>0.14646000000000001</v>
      </c>
      <c r="DD89">
        <v>0.10788499999999999</v>
      </c>
      <c r="DE89">
        <v>1.9537200000000001E-2</v>
      </c>
      <c r="DF89">
        <v>32718.1</v>
      </c>
      <c r="DG89">
        <v>27502.9</v>
      </c>
      <c r="DH89">
        <v>31173.3</v>
      </c>
      <c r="DI89">
        <v>28077</v>
      </c>
      <c r="DJ89">
        <v>37753.5</v>
      </c>
      <c r="DK89">
        <v>39145.1</v>
      </c>
      <c r="DL89">
        <v>44361.7</v>
      </c>
      <c r="DM89">
        <v>42549.2</v>
      </c>
      <c r="DN89">
        <v>1.4849699999999999</v>
      </c>
      <c r="DO89">
        <v>2.0415999999999999</v>
      </c>
      <c r="DP89">
        <v>0.13849900000000001</v>
      </c>
      <c r="DQ89">
        <v>0.13390199999999999</v>
      </c>
      <c r="DR89">
        <v>24.696999999999999</v>
      </c>
      <c r="DS89">
        <v>24.291</v>
      </c>
      <c r="DT89">
        <v>43.4</v>
      </c>
      <c r="DU89">
        <v>28.3</v>
      </c>
      <c r="DV89">
        <v>16.8687</v>
      </c>
      <c r="DW89">
        <v>61.223399999999998</v>
      </c>
      <c r="DX89">
        <v>35.785299999999999</v>
      </c>
      <c r="DY89">
        <v>1</v>
      </c>
      <c r="DZ89">
        <v>-0.103631</v>
      </c>
      <c r="EA89">
        <v>0.28672399999999998</v>
      </c>
      <c r="EB89">
        <v>20.190300000000001</v>
      </c>
      <c r="EC89">
        <v>5.2413999999999996</v>
      </c>
      <c r="ED89">
        <v>12.039899999999999</v>
      </c>
      <c r="EE89">
        <v>5.0168499999999998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</v>
      </c>
      <c r="EL89">
        <v>1.8646199999999999</v>
      </c>
      <c r="EM89">
        <v>1.8691899999999999</v>
      </c>
      <c r="EN89">
        <v>1.8672200000000001</v>
      </c>
      <c r="EO89">
        <v>1.86338</v>
      </c>
      <c r="EP89">
        <v>1.8644499999999999</v>
      </c>
      <c r="EQ89">
        <v>1.87015</v>
      </c>
      <c r="ER89">
        <v>1.8693900000000001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-0.28000000000000003</v>
      </c>
      <c r="FG89">
        <v>0.15140000000000001</v>
      </c>
      <c r="FH89">
        <v>5.0310448532705943E-2</v>
      </c>
      <c r="FI89">
        <v>-6.1462078757559423E-4</v>
      </c>
      <c r="FJ89">
        <v>-1.8861989874597051E-7</v>
      </c>
      <c r="FK89">
        <v>1.1980462299894961E-10</v>
      </c>
      <c r="FL89">
        <v>0.15140825623214971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17.5</v>
      </c>
      <c r="FU89">
        <v>17.399999999999999</v>
      </c>
      <c r="FV89">
        <v>1.7687999999999999</v>
      </c>
      <c r="FW89">
        <v>2.5781200000000002</v>
      </c>
      <c r="FX89">
        <v>1.5490699999999999</v>
      </c>
      <c r="FY89">
        <v>2.3303199999999999</v>
      </c>
      <c r="FZ89">
        <v>1.50146</v>
      </c>
      <c r="GA89">
        <v>2.4047900000000002</v>
      </c>
      <c r="GB89">
        <v>33.042900000000003</v>
      </c>
      <c r="GC89">
        <v>23.991199999999999</v>
      </c>
      <c r="GD89">
        <v>19</v>
      </c>
      <c r="GE89">
        <v>285.96300000000002</v>
      </c>
      <c r="GF89">
        <v>585.69399999999996</v>
      </c>
      <c r="GG89">
        <v>23.3445</v>
      </c>
      <c r="GH89">
        <v>26.065100000000001</v>
      </c>
      <c r="GI89">
        <v>30</v>
      </c>
      <c r="GJ89">
        <v>26.200399999999998</v>
      </c>
      <c r="GK89">
        <v>26.180800000000001</v>
      </c>
      <c r="GL89">
        <v>35.366399999999999</v>
      </c>
      <c r="GM89">
        <v>80.216700000000003</v>
      </c>
      <c r="GN89">
        <v>48.501300000000001</v>
      </c>
      <c r="GO89">
        <v>23.360800000000001</v>
      </c>
      <c r="GP89">
        <v>800</v>
      </c>
      <c r="GQ89">
        <v>2.46177</v>
      </c>
      <c r="GR89">
        <v>99.740099999999998</v>
      </c>
      <c r="GS89">
        <v>99.5428</v>
      </c>
    </row>
    <row r="90" spans="1:201" x14ac:dyDescent="0.25">
      <c r="A90">
        <v>74</v>
      </c>
      <c r="B90">
        <v>1690293129.5999999</v>
      </c>
      <c r="C90">
        <v>859</v>
      </c>
      <c r="D90" t="s">
        <v>481</v>
      </c>
      <c r="E90" t="s">
        <v>482</v>
      </c>
      <c r="F90" t="s">
        <v>330</v>
      </c>
      <c r="H90">
        <v>1690293129.5999999</v>
      </c>
      <c r="I90">
        <f t="shared" si="30"/>
        <v>2.0135876105994988E-3</v>
      </c>
      <c r="J90">
        <f t="shared" si="31"/>
        <v>2.0135876105994988</v>
      </c>
      <c r="K90">
        <f t="shared" si="32"/>
        <v>30.611322750242117</v>
      </c>
      <c r="L90">
        <f t="shared" si="33"/>
        <v>484.32600000000002</v>
      </c>
      <c r="M90">
        <f t="shared" si="34"/>
        <v>147.82339773380718</v>
      </c>
      <c r="N90">
        <f t="shared" si="35"/>
        <v>14.700612208005435</v>
      </c>
      <c r="O90">
        <f t="shared" si="36"/>
        <v>48.164829231402003</v>
      </c>
      <c r="P90">
        <f t="shared" si="37"/>
        <v>0.15337313743936076</v>
      </c>
      <c r="Q90">
        <f t="shared" si="38"/>
        <v>2.2542729234888355</v>
      </c>
      <c r="R90">
        <f t="shared" si="39"/>
        <v>0.14780286318751806</v>
      </c>
      <c r="S90">
        <f t="shared" si="40"/>
        <v>9.2860401784309848E-2</v>
      </c>
      <c r="T90">
        <f t="shared" si="41"/>
        <v>276.11439377400001</v>
      </c>
      <c r="U90">
        <f t="shared" si="42"/>
        <v>26.701405865113006</v>
      </c>
      <c r="V90">
        <f t="shared" si="43"/>
        <v>26.701405865113006</v>
      </c>
      <c r="W90">
        <f t="shared" si="44"/>
        <v>3.5168697358193879</v>
      </c>
      <c r="X90">
        <f t="shared" si="45"/>
        <v>68.024810002953402</v>
      </c>
      <c r="Y90">
        <f t="shared" si="46"/>
        <v>2.2010035936148</v>
      </c>
      <c r="Z90">
        <f t="shared" si="47"/>
        <v>3.235589476132664</v>
      </c>
      <c r="AA90">
        <f t="shared" si="48"/>
        <v>1.3158661422045879</v>
      </c>
      <c r="AB90">
        <f t="shared" si="49"/>
        <v>-88.799213627437894</v>
      </c>
      <c r="AC90">
        <f t="shared" si="50"/>
        <v>-171.2033509407232</v>
      </c>
      <c r="AD90">
        <f t="shared" si="51"/>
        <v>-16.226322641935635</v>
      </c>
      <c r="AE90">
        <f t="shared" si="52"/>
        <v>-0.11449343609669427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52702.733430390355</v>
      </c>
      <c r="AK90">
        <f t="shared" si="56"/>
        <v>1800</v>
      </c>
      <c r="AL90">
        <f t="shared" si="57"/>
        <v>1499.1152093999999</v>
      </c>
      <c r="AM90">
        <f t="shared" si="58"/>
        <v>0.83284178299999989</v>
      </c>
      <c r="AN90">
        <f t="shared" si="59"/>
        <v>0.15339688542999999</v>
      </c>
      <c r="AO90">
        <v>30</v>
      </c>
      <c r="AP90">
        <v>0.5</v>
      </c>
      <c r="AQ90" t="s">
        <v>331</v>
      </c>
      <c r="AR90">
        <v>2</v>
      </c>
      <c r="AS90">
        <v>1690293129.5999999</v>
      </c>
      <c r="AT90">
        <v>484.32600000000002</v>
      </c>
      <c r="AU90">
        <v>800.06</v>
      </c>
      <c r="AV90">
        <v>22.132400000000001</v>
      </c>
      <c r="AW90">
        <v>2.45038</v>
      </c>
      <c r="AX90">
        <v>484.60399999999998</v>
      </c>
      <c r="AY90">
        <v>21.980899999999998</v>
      </c>
      <c r="AZ90">
        <v>300.125</v>
      </c>
      <c r="BA90">
        <v>99.347099999999998</v>
      </c>
      <c r="BB90">
        <v>0.100027</v>
      </c>
      <c r="BC90">
        <v>25.2927</v>
      </c>
      <c r="BD90">
        <v>26.959099999999999</v>
      </c>
      <c r="BE90">
        <v>26.495000000000001</v>
      </c>
      <c r="BF90">
        <v>0</v>
      </c>
      <c r="BG90">
        <v>0</v>
      </c>
      <c r="BH90">
        <v>9974.3799999999992</v>
      </c>
      <c r="BI90">
        <v>1060.1500000000001</v>
      </c>
      <c r="BJ90">
        <v>2.2987099999999998</v>
      </c>
      <c r="BK90">
        <v>-315.733</v>
      </c>
      <c r="BL90">
        <v>495.28800000000001</v>
      </c>
      <c r="BM90">
        <v>802.02499999999998</v>
      </c>
      <c r="BN90">
        <v>19.681999999999999</v>
      </c>
      <c r="BO90">
        <v>800.06</v>
      </c>
      <c r="BP90">
        <v>2.45038</v>
      </c>
      <c r="BQ90">
        <v>2.1987899999999998</v>
      </c>
      <c r="BR90">
        <v>0.24343799999999999</v>
      </c>
      <c r="BS90">
        <v>18.953499999999998</v>
      </c>
      <c r="BT90">
        <v>-12.0908</v>
      </c>
      <c r="BU90">
        <v>1800</v>
      </c>
      <c r="BV90">
        <v>0.91002099999999997</v>
      </c>
      <c r="BW90">
        <v>3.39917E-2</v>
      </c>
      <c r="BX90">
        <v>2.1994400000000001E-2</v>
      </c>
      <c r="BY90">
        <v>3.3993099999999998E-2</v>
      </c>
      <c r="BZ90">
        <v>25</v>
      </c>
      <c r="CA90">
        <v>33528.6</v>
      </c>
      <c r="CB90">
        <v>1690292073.5</v>
      </c>
      <c r="CC90" t="s">
        <v>332</v>
      </c>
      <c r="CD90">
        <v>1690292069.5</v>
      </c>
      <c r="CE90">
        <v>1690292073.5</v>
      </c>
      <c r="CF90">
        <v>4</v>
      </c>
      <c r="CG90">
        <v>-3.6999999999999998E-2</v>
      </c>
      <c r="CH90">
        <v>-1.6E-2</v>
      </c>
      <c r="CI90">
        <v>-0.45200000000000001</v>
      </c>
      <c r="CJ90">
        <v>0.108</v>
      </c>
      <c r="CK90">
        <v>730</v>
      </c>
      <c r="CL90">
        <v>18</v>
      </c>
      <c r="CM90">
        <v>0</v>
      </c>
      <c r="CN90">
        <v>0.01</v>
      </c>
      <c r="CO90">
        <v>-312.97826829268291</v>
      </c>
      <c r="CP90">
        <v>-14.665797909407701</v>
      </c>
      <c r="CQ90">
        <v>1.447738842915848</v>
      </c>
      <c r="CR90">
        <v>-1</v>
      </c>
      <c r="CS90">
        <v>19.485865853658542</v>
      </c>
      <c r="CT90">
        <v>0.917544250871138</v>
      </c>
      <c r="CU90">
        <v>9.1534739799296438E-2</v>
      </c>
      <c r="CV90">
        <v>-1</v>
      </c>
      <c r="CW90">
        <v>0</v>
      </c>
      <c r="CX90">
        <v>0</v>
      </c>
      <c r="CY90" t="s">
        <v>333</v>
      </c>
      <c r="CZ90">
        <v>2.3645299999999998</v>
      </c>
      <c r="DA90">
        <v>2.7137899999999999</v>
      </c>
      <c r="DB90">
        <v>0.103605</v>
      </c>
      <c r="DC90">
        <v>0.14646300000000001</v>
      </c>
      <c r="DD90">
        <v>0.107991</v>
      </c>
      <c r="DE90">
        <v>1.8383799999999999E-2</v>
      </c>
      <c r="DF90">
        <v>32733.3</v>
      </c>
      <c r="DG90">
        <v>27503.5</v>
      </c>
      <c r="DH90">
        <v>31173.8</v>
      </c>
      <c r="DI90">
        <v>28077.7</v>
      </c>
      <c r="DJ90">
        <v>37749.699999999997</v>
      </c>
      <c r="DK90">
        <v>39192.199999999997</v>
      </c>
      <c r="DL90">
        <v>44362.6</v>
      </c>
      <c r="DM90">
        <v>42550.3</v>
      </c>
      <c r="DN90">
        <v>1.4850699999999999</v>
      </c>
      <c r="DO90">
        <v>2.0413299999999999</v>
      </c>
      <c r="DP90">
        <v>0.13805899999999999</v>
      </c>
      <c r="DQ90">
        <v>0.134293</v>
      </c>
      <c r="DR90">
        <v>24.696999999999999</v>
      </c>
      <c r="DS90">
        <v>24.292999999999999</v>
      </c>
      <c r="DT90">
        <v>42.9</v>
      </c>
      <c r="DU90">
        <v>28.3</v>
      </c>
      <c r="DV90">
        <v>16.674900000000001</v>
      </c>
      <c r="DW90">
        <v>61.663400000000003</v>
      </c>
      <c r="DX90">
        <v>35.805300000000003</v>
      </c>
      <c r="DY90">
        <v>1</v>
      </c>
      <c r="DZ90">
        <v>-0.10429099999999999</v>
      </c>
      <c r="EA90">
        <v>0.262013</v>
      </c>
      <c r="EB90">
        <v>20.1904</v>
      </c>
      <c r="EC90">
        <v>5.2413999999999996</v>
      </c>
      <c r="ED90">
        <v>12.039899999999999</v>
      </c>
      <c r="EE90">
        <v>5.01715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</v>
      </c>
      <c r="EM90">
        <v>1.86917</v>
      </c>
      <c r="EN90">
        <v>1.8672200000000001</v>
      </c>
      <c r="EO90">
        <v>1.86338</v>
      </c>
      <c r="EP90">
        <v>1.86443</v>
      </c>
      <c r="EQ90">
        <v>1.8701399999999999</v>
      </c>
      <c r="ER90">
        <v>1.86937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-0.27800000000000002</v>
      </c>
      <c r="FG90">
        <v>0.1515</v>
      </c>
      <c r="FH90">
        <v>5.0310448532705943E-2</v>
      </c>
      <c r="FI90">
        <v>-6.1462078757559423E-4</v>
      </c>
      <c r="FJ90">
        <v>-1.8861989874597051E-7</v>
      </c>
      <c r="FK90">
        <v>1.1980462299894961E-10</v>
      </c>
      <c r="FL90">
        <v>0.15140825623214971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17.7</v>
      </c>
      <c r="FU90">
        <v>17.600000000000001</v>
      </c>
      <c r="FV90">
        <v>1.7687999999999999</v>
      </c>
      <c r="FW90">
        <v>2.5793499999999998</v>
      </c>
      <c r="FX90">
        <v>1.5490699999999999</v>
      </c>
      <c r="FY90">
        <v>2.3303199999999999</v>
      </c>
      <c r="FZ90">
        <v>1.50146</v>
      </c>
      <c r="GA90">
        <v>2.3596200000000001</v>
      </c>
      <c r="GB90">
        <v>33.065199999999997</v>
      </c>
      <c r="GC90">
        <v>23.991199999999999</v>
      </c>
      <c r="GD90">
        <v>19</v>
      </c>
      <c r="GE90">
        <v>285.99400000000003</v>
      </c>
      <c r="GF90">
        <v>585.423</v>
      </c>
      <c r="GG90">
        <v>23.384499999999999</v>
      </c>
      <c r="GH90">
        <v>26.060199999999998</v>
      </c>
      <c r="GI90">
        <v>29.9999</v>
      </c>
      <c r="GJ90">
        <v>26.197800000000001</v>
      </c>
      <c r="GK90">
        <v>26.177</v>
      </c>
      <c r="GL90">
        <v>35.357999999999997</v>
      </c>
      <c r="GM90">
        <v>81.343699999999998</v>
      </c>
      <c r="GN90">
        <v>47.689500000000002</v>
      </c>
      <c r="GO90">
        <v>23.398399999999999</v>
      </c>
      <c r="GP90">
        <v>800</v>
      </c>
      <c r="GQ90">
        <v>2.2643300000000002</v>
      </c>
      <c r="GR90">
        <v>99.741900000000001</v>
      </c>
      <c r="GS90">
        <v>99.545299999999997</v>
      </c>
    </row>
    <row r="91" spans="1:201" x14ac:dyDescent="0.25">
      <c r="A91">
        <v>75</v>
      </c>
      <c r="B91">
        <v>1690293139.5999999</v>
      </c>
      <c r="C91">
        <v>869</v>
      </c>
      <c r="D91" t="s">
        <v>483</v>
      </c>
      <c r="E91" t="s">
        <v>484</v>
      </c>
      <c r="F91" t="s">
        <v>330</v>
      </c>
      <c r="H91">
        <v>1690293139.5999999</v>
      </c>
      <c r="I91">
        <f t="shared" si="30"/>
        <v>2.0355746987540694E-3</v>
      </c>
      <c r="J91">
        <f t="shared" si="31"/>
        <v>2.0355746987540693</v>
      </c>
      <c r="K91">
        <f t="shared" si="32"/>
        <v>30.848442706326647</v>
      </c>
      <c r="L91">
        <f t="shared" si="33"/>
        <v>481.976</v>
      </c>
      <c r="M91">
        <f t="shared" si="34"/>
        <v>147.3350764642172</v>
      </c>
      <c r="N91">
        <f t="shared" si="35"/>
        <v>14.65172327149212</v>
      </c>
      <c r="O91">
        <f t="shared" si="36"/>
        <v>47.930059460183998</v>
      </c>
      <c r="P91">
        <f t="shared" si="37"/>
        <v>0.1554661732641541</v>
      </c>
      <c r="Q91">
        <f t="shared" si="38"/>
        <v>2.2619804419390679</v>
      </c>
      <c r="R91">
        <f t="shared" si="39"/>
        <v>0.14976460248007159</v>
      </c>
      <c r="S91">
        <f t="shared" si="40"/>
        <v>9.4097718910364198E-2</v>
      </c>
      <c r="T91">
        <f t="shared" si="41"/>
        <v>276.11447518800003</v>
      </c>
      <c r="U91">
        <f t="shared" si="42"/>
        <v>26.698637886969394</v>
      </c>
      <c r="V91">
        <f t="shared" si="43"/>
        <v>26.698637886969394</v>
      </c>
      <c r="W91">
        <f t="shared" si="44"/>
        <v>3.5162967620415184</v>
      </c>
      <c r="X91">
        <f t="shared" si="45"/>
        <v>68.066849808159049</v>
      </c>
      <c r="Y91">
        <f t="shared" si="46"/>
        <v>2.2035301270946999</v>
      </c>
      <c r="Z91">
        <f t="shared" si="47"/>
        <v>3.2373029357244718</v>
      </c>
      <c r="AA91">
        <f t="shared" si="48"/>
        <v>1.3127666349468186</v>
      </c>
      <c r="AB91">
        <f t="shared" si="49"/>
        <v>-89.768844215054457</v>
      </c>
      <c r="AC91">
        <f t="shared" si="50"/>
        <v>-170.36582198734948</v>
      </c>
      <c r="AD91">
        <f t="shared" si="51"/>
        <v>-16.09241740702997</v>
      </c>
      <c r="AE91">
        <f t="shared" si="52"/>
        <v>-0.11260842143389027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53004.079761511079</v>
      </c>
      <c r="AK91">
        <f t="shared" si="56"/>
        <v>1800</v>
      </c>
      <c r="AL91">
        <f t="shared" si="57"/>
        <v>1499.1139367999999</v>
      </c>
      <c r="AM91">
        <f t="shared" si="58"/>
        <v>0.83284107600000001</v>
      </c>
      <c r="AN91">
        <f t="shared" si="59"/>
        <v>0.15339693066000001</v>
      </c>
      <c r="AO91">
        <v>30</v>
      </c>
      <c r="AP91">
        <v>0.5</v>
      </c>
      <c r="AQ91" t="s">
        <v>331</v>
      </c>
      <c r="AR91">
        <v>2</v>
      </c>
      <c r="AS91">
        <v>1690293139.5999999</v>
      </c>
      <c r="AT91">
        <v>481.976</v>
      </c>
      <c r="AU91">
        <v>800.12400000000002</v>
      </c>
      <c r="AV91">
        <v>22.158300000000001</v>
      </c>
      <c r="AW91">
        <v>2.2628200000000001</v>
      </c>
      <c r="AX91">
        <v>482.25200000000001</v>
      </c>
      <c r="AY91">
        <v>22.006900000000002</v>
      </c>
      <c r="AZ91">
        <v>300.13900000000001</v>
      </c>
      <c r="BA91">
        <v>99.344899999999996</v>
      </c>
      <c r="BB91">
        <v>0.100009</v>
      </c>
      <c r="BC91">
        <v>25.301600000000001</v>
      </c>
      <c r="BD91">
        <v>26.976299999999998</v>
      </c>
      <c r="BE91">
        <v>26.504200000000001</v>
      </c>
      <c r="BF91">
        <v>0</v>
      </c>
      <c r="BG91">
        <v>0</v>
      </c>
      <c r="BH91">
        <v>10034.4</v>
      </c>
      <c r="BI91">
        <v>1060.28</v>
      </c>
      <c r="BJ91">
        <v>2.3127300000000002</v>
      </c>
      <c r="BK91">
        <v>-318.149</v>
      </c>
      <c r="BL91">
        <v>492.89699999999999</v>
      </c>
      <c r="BM91">
        <v>801.93899999999996</v>
      </c>
      <c r="BN91">
        <v>19.895399999999999</v>
      </c>
      <c r="BO91">
        <v>800.12400000000002</v>
      </c>
      <c r="BP91">
        <v>2.2628200000000001</v>
      </c>
      <c r="BQ91">
        <v>2.2013099999999999</v>
      </c>
      <c r="BR91">
        <v>0.2248</v>
      </c>
      <c r="BS91">
        <v>18.971900000000002</v>
      </c>
      <c r="BT91">
        <v>-13.075900000000001</v>
      </c>
      <c r="BU91">
        <v>1800</v>
      </c>
      <c r="BV91">
        <v>0.91001600000000005</v>
      </c>
      <c r="BW91">
        <v>3.3998399999999998E-2</v>
      </c>
      <c r="BX91">
        <v>2.1993800000000001E-2</v>
      </c>
      <c r="BY91">
        <v>3.39922E-2</v>
      </c>
      <c r="BZ91">
        <v>25</v>
      </c>
      <c r="CA91">
        <v>33528.5</v>
      </c>
      <c r="CB91">
        <v>1690292073.5</v>
      </c>
      <c r="CC91" t="s">
        <v>332</v>
      </c>
      <c r="CD91">
        <v>1690292069.5</v>
      </c>
      <c r="CE91">
        <v>1690292073.5</v>
      </c>
      <c r="CF91">
        <v>4</v>
      </c>
      <c r="CG91">
        <v>-3.6999999999999998E-2</v>
      </c>
      <c r="CH91">
        <v>-1.6E-2</v>
      </c>
      <c r="CI91">
        <v>-0.45200000000000001</v>
      </c>
      <c r="CJ91">
        <v>0.108</v>
      </c>
      <c r="CK91">
        <v>730</v>
      </c>
      <c r="CL91">
        <v>18</v>
      </c>
      <c r="CM91">
        <v>0</v>
      </c>
      <c r="CN91">
        <v>0.01</v>
      </c>
      <c r="CO91">
        <v>-315.42127499999998</v>
      </c>
      <c r="CP91">
        <v>-15.37525328330161</v>
      </c>
      <c r="CQ91">
        <v>1.4809413895813051</v>
      </c>
      <c r="CR91">
        <v>-1</v>
      </c>
      <c r="CS91">
        <v>19.658327499999999</v>
      </c>
      <c r="CT91">
        <v>1.2525422138836311</v>
      </c>
      <c r="CU91">
        <v>0.1205464184194206</v>
      </c>
      <c r="CV91">
        <v>-1</v>
      </c>
      <c r="CW91">
        <v>0</v>
      </c>
      <c r="CX91">
        <v>0</v>
      </c>
      <c r="CY91" t="s">
        <v>333</v>
      </c>
      <c r="CZ91">
        <v>2.3645900000000002</v>
      </c>
      <c r="DA91">
        <v>2.7138300000000002</v>
      </c>
      <c r="DB91">
        <v>0.10323300000000001</v>
      </c>
      <c r="DC91">
        <v>0.14646500000000001</v>
      </c>
      <c r="DD91">
        <v>0.10807899999999999</v>
      </c>
      <c r="DE91">
        <v>1.71177E-2</v>
      </c>
      <c r="DF91">
        <v>32747.5</v>
      </c>
      <c r="DG91">
        <v>27503.9</v>
      </c>
      <c r="DH91">
        <v>31174.3</v>
      </c>
      <c r="DI91">
        <v>28078.2</v>
      </c>
      <c r="DJ91">
        <v>37746.400000000001</v>
      </c>
      <c r="DK91">
        <v>39243.599999999999</v>
      </c>
      <c r="DL91">
        <v>44363.199999999997</v>
      </c>
      <c r="DM91">
        <v>42550.9</v>
      </c>
      <c r="DN91">
        <v>1.4852000000000001</v>
      </c>
      <c r="DO91">
        <v>2.04128</v>
      </c>
      <c r="DP91">
        <v>0.13922499999999999</v>
      </c>
      <c r="DQ91">
        <v>0.13485900000000001</v>
      </c>
      <c r="DR91">
        <v>24.6951</v>
      </c>
      <c r="DS91">
        <v>24.292999999999999</v>
      </c>
      <c r="DT91">
        <v>42.5</v>
      </c>
      <c r="DU91">
        <v>28.3</v>
      </c>
      <c r="DV91">
        <v>16.5185</v>
      </c>
      <c r="DW91">
        <v>61.113399999999999</v>
      </c>
      <c r="DX91">
        <v>35.597000000000001</v>
      </c>
      <c r="DY91">
        <v>1</v>
      </c>
      <c r="DZ91">
        <v>-0.105</v>
      </c>
      <c r="EA91">
        <v>0.182979</v>
      </c>
      <c r="EB91">
        <v>20.1904</v>
      </c>
      <c r="EC91">
        <v>5.2411000000000003</v>
      </c>
      <c r="ED91">
        <v>12.039899999999999</v>
      </c>
      <c r="EE91">
        <v>5.0170500000000002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</v>
      </c>
      <c r="EL91">
        <v>1.8646199999999999</v>
      </c>
      <c r="EM91">
        <v>1.8691899999999999</v>
      </c>
      <c r="EN91">
        <v>1.8672200000000001</v>
      </c>
      <c r="EO91">
        <v>1.86338</v>
      </c>
      <c r="EP91">
        <v>1.8644499999999999</v>
      </c>
      <c r="EQ91">
        <v>1.8701399999999999</v>
      </c>
      <c r="ER91">
        <v>1.8694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-0.27600000000000002</v>
      </c>
      <c r="FG91">
        <v>0.15140000000000001</v>
      </c>
      <c r="FH91">
        <v>5.0310448532705943E-2</v>
      </c>
      <c r="FI91">
        <v>-6.1462078757559423E-4</v>
      </c>
      <c r="FJ91">
        <v>-1.8861989874597051E-7</v>
      </c>
      <c r="FK91">
        <v>1.1980462299894961E-10</v>
      </c>
      <c r="FL91">
        <v>0.15140825623214971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17.8</v>
      </c>
      <c r="FU91">
        <v>17.8</v>
      </c>
      <c r="FV91">
        <v>1.7675799999999999</v>
      </c>
      <c r="FW91">
        <v>2.5830099999999998</v>
      </c>
      <c r="FX91">
        <v>1.5490699999999999</v>
      </c>
      <c r="FY91">
        <v>2.3303199999999999</v>
      </c>
      <c r="FZ91">
        <v>1.50146</v>
      </c>
      <c r="GA91">
        <v>2.3645</v>
      </c>
      <c r="GB91">
        <v>33.065199999999997</v>
      </c>
      <c r="GC91">
        <v>23.991199999999999</v>
      </c>
      <c r="GD91">
        <v>19</v>
      </c>
      <c r="GE91">
        <v>286.03100000000001</v>
      </c>
      <c r="GF91">
        <v>585.35299999999995</v>
      </c>
      <c r="GG91">
        <v>23.4345</v>
      </c>
      <c r="GH91">
        <v>26.055199999999999</v>
      </c>
      <c r="GI91">
        <v>29.9998</v>
      </c>
      <c r="GJ91">
        <v>26.1938</v>
      </c>
      <c r="GK91">
        <v>26.174499999999998</v>
      </c>
      <c r="GL91">
        <v>35.342300000000002</v>
      </c>
      <c r="GM91">
        <v>82.595500000000001</v>
      </c>
      <c r="GN91">
        <v>46.469799999999999</v>
      </c>
      <c r="GO91">
        <v>23.4604</v>
      </c>
      <c r="GP91">
        <v>800</v>
      </c>
      <c r="GQ91">
        <v>2.0680700000000001</v>
      </c>
      <c r="GR91">
        <v>99.743499999999997</v>
      </c>
      <c r="GS91">
        <v>99.546899999999994</v>
      </c>
    </row>
    <row r="92" spans="1:201" x14ac:dyDescent="0.25">
      <c r="A92">
        <v>76</v>
      </c>
      <c r="B92">
        <v>1690293149.5999999</v>
      </c>
      <c r="C92">
        <v>879</v>
      </c>
      <c r="D92" t="s">
        <v>485</v>
      </c>
      <c r="E92" t="s">
        <v>486</v>
      </c>
      <c r="F92" t="s">
        <v>330</v>
      </c>
      <c r="H92">
        <v>1690293149.5999999</v>
      </c>
      <c r="I92">
        <f t="shared" si="30"/>
        <v>2.0585580858102684E-3</v>
      </c>
      <c r="J92">
        <f t="shared" si="31"/>
        <v>2.0585580858102683</v>
      </c>
      <c r="K92">
        <f t="shared" si="32"/>
        <v>31.080982336846382</v>
      </c>
      <c r="L92">
        <f t="shared" si="33"/>
        <v>479.50299999999999</v>
      </c>
      <c r="M92">
        <f t="shared" si="34"/>
        <v>146.26169856816909</v>
      </c>
      <c r="N92">
        <f t="shared" si="35"/>
        <v>14.545512658421735</v>
      </c>
      <c r="O92">
        <f t="shared" si="36"/>
        <v>47.685874186675704</v>
      </c>
      <c r="P92">
        <f t="shared" si="37"/>
        <v>0.15736880917901963</v>
      </c>
      <c r="Q92">
        <f t="shared" si="38"/>
        <v>2.253726317241699</v>
      </c>
      <c r="R92">
        <f t="shared" si="39"/>
        <v>0.15150912014596901</v>
      </c>
      <c r="S92">
        <f t="shared" si="40"/>
        <v>9.5201491203401295E-2</v>
      </c>
      <c r="T92">
        <f t="shared" si="41"/>
        <v>276.11455849200001</v>
      </c>
      <c r="U92">
        <f t="shared" si="42"/>
        <v>26.709873535325745</v>
      </c>
      <c r="V92">
        <f t="shared" si="43"/>
        <v>26.709873535325745</v>
      </c>
      <c r="W92">
        <f t="shared" si="44"/>
        <v>3.5186230567284258</v>
      </c>
      <c r="X92">
        <f t="shared" si="45"/>
        <v>68.095047067487897</v>
      </c>
      <c r="Y92">
        <f t="shared" si="46"/>
        <v>2.2063056814682604</v>
      </c>
      <c r="Z92">
        <f t="shared" si="47"/>
        <v>3.2400384117241696</v>
      </c>
      <c r="AA92">
        <f t="shared" si="48"/>
        <v>1.3123173752601653</v>
      </c>
      <c r="AB92">
        <f t="shared" si="49"/>
        <v>-90.782411584232833</v>
      </c>
      <c r="AC92">
        <f t="shared" si="50"/>
        <v>-169.38396789672902</v>
      </c>
      <c r="AD92">
        <f t="shared" si="51"/>
        <v>-16.060319972370586</v>
      </c>
      <c r="AE92">
        <f t="shared" si="52"/>
        <v>-0.11214096133238627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52677.236580370576</v>
      </c>
      <c r="AK92">
        <f t="shared" si="56"/>
        <v>1800</v>
      </c>
      <c r="AL92">
        <f t="shared" si="57"/>
        <v>1499.1110172000001</v>
      </c>
      <c r="AM92">
        <f t="shared" si="58"/>
        <v>0.83283945400000003</v>
      </c>
      <c r="AN92">
        <f t="shared" si="59"/>
        <v>0.15339697694000001</v>
      </c>
      <c r="AO92">
        <v>30</v>
      </c>
      <c r="AP92">
        <v>0.5</v>
      </c>
      <c r="AQ92" t="s">
        <v>331</v>
      </c>
      <c r="AR92">
        <v>2</v>
      </c>
      <c r="AS92">
        <v>1690293149.5999999</v>
      </c>
      <c r="AT92">
        <v>479.50299999999999</v>
      </c>
      <c r="AU92">
        <v>800.11099999999999</v>
      </c>
      <c r="AV92">
        <v>22.185400000000001</v>
      </c>
      <c r="AW92">
        <v>2.06108</v>
      </c>
      <c r="AX92">
        <v>479.77800000000002</v>
      </c>
      <c r="AY92">
        <v>22.033999999999999</v>
      </c>
      <c r="AZ92">
        <v>300.06799999999998</v>
      </c>
      <c r="BA92">
        <v>99.348600000000005</v>
      </c>
      <c r="BB92">
        <v>9.99419E-2</v>
      </c>
      <c r="BC92">
        <v>25.315799999999999</v>
      </c>
      <c r="BD92">
        <v>26.971599999999999</v>
      </c>
      <c r="BE92">
        <v>26.4984</v>
      </c>
      <c r="BF92">
        <v>0</v>
      </c>
      <c r="BG92">
        <v>0</v>
      </c>
      <c r="BH92">
        <v>9970</v>
      </c>
      <c r="BI92">
        <v>1060.3499999999999</v>
      </c>
      <c r="BJ92">
        <v>2.2987099999999998</v>
      </c>
      <c r="BK92">
        <v>-320.608</v>
      </c>
      <c r="BL92">
        <v>490.38299999999998</v>
      </c>
      <c r="BM92">
        <v>801.76300000000003</v>
      </c>
      <c r="BN92">
        <v>20.124400000000001</v>
      </c>
      <c r="BO92">
        <v>800.11099999999999</v>
      </c>
      <c r="BP92">
        <v>2.06108</v>
      </c>
      <c r="BQ92">
        <v>2.2040899999999999</v>
      </c>
      <c r="BR92">
        <v>0.204765</v>
      </c>
      <c r="BS92">
        <v>18.992100000000001</v>
      </c>
      <c r="BT92">
        <v>-14.2197</v>
      </c>
      <c r="BU92">
        <v>1800</v>
      </c>
      <c r="BV92">
        <v>0.91000599999999998</v>
      </c>
      <c r="BW92">
        <v>3.4009900000000003E-2</v>
      </c>
      <c r="BX92">
        <v>2.1993200000000001E-2</v>
      </c>
      <c r="BY92">
        <v>3.3991199999999999E-2</v>
      </c>
      <c r="BZ92">
        <v>25</v>
      </c>
      <c r="CA92">
        <v>33528.400000000001</v>
      </c>
      <c r="CB92">
        <v>1690292073.5</v>
      </c>
      <c r="CC92" t="s">
        <v>332</v>
      </c>
      <c r="CD92">
        <v>1690292069.5</v>
      </c>
      <c r="CE92">
        <v>1690292073.5</v>
      </c>
      <c r="CF92">
        <v>4</v>
      </c>
      <c r="CG92">
        <v>-3.6999999999999998E-2</v>
      </c>
      <c r="CH92">
        <v>-1.6E-2</v>
      </c>
      <c r="CI92">
        <v>-0.45200000000000001</v>
      </c>
      <c r="CJ92">
        <v>0.108</v>
      </c>
      <c r="CK92">
        <v>730</v>
      </c>
      <c r="CL92">
        <v>18</v>
      </c>
      <c r="CM92">
        <v>0</v>
      </c>
      <c r="CN92">
        <v>0.01</v>
      </c>
      <c r="CO92">
        <v>-317.95921951219509</v>
      </c>
      <c r="CP92">
        <v>-14.300613240418381</v>
      </c>
      <c r="CQ92">
        <v>1.4131195297896579</v>
      </c>
      <c r="CR92">
        <v>-1</v>
      </c>
      <c r="CS92">
        <v>19.87683902439025</v>
      </c>
      <c r="CT92">
        <v>1.3209909407665561</v>
      </c>
      <c r="CU92">
        <v>0.13030284589305299</v>
      </c>
      <c r="CV92">
        <v>-1</v>
      </c>
      <c r="CW92">
        <v>0</v>
      </c>
      <c r="CX92">
        <v>0</v>
      </c>
      <c r="CY92" t="s">
        <v>333</v>
      </c>
      <c r="CZ92">
        <v>2.3643900000000002</v>
      </c>
      <c r="DA92">
        <v>2.7136999999999998</v>
      </c>
      <c r="DB92">
        <v>0.10284799999999999</v>
      </c>
      <c r="DC92">
        <v>0.14646600000000001</v>
      </c>
      <c r="DD92">
        <v>0.108178</v>
      </c>
      <c r="DE92">
        <v>1.57354E-2</v>
      </c>
      <c r="DF92">
        <v>32761.7</v>
      </c>
      <c r="DG92">
        <v>27503.9</v>
      </c>
      <c r="DH92">
        <v>31174.400000000001</v>
      </c>
      <c r="DI92">
        <v>28078.2</v>
      </c>
      <c r="DJ92">
        <v>37742.400000000001</v>
      </c>
      <c r="DK92">
        <v>39298.800000000003</v>
      </c>
      <c r="DL92">
        <v>44363.6</v>
      </c>
      <c r="DM92">
        <v>42550.8</v>
      </c>
      <c r="DN92">
        <v>1.4850699999999999</v>
      </c>
      <c r="DO92">
        <v>2.04128</v>
      </c>
      <c r="DP92">
        <v>0.13894599999999999</v>
      </c>
      <c r="DQ92">
        <v>0.134356</v>
      </c>
      <c r="DR92">
        <v>24.694900000000001</v>
      </c>
      <c r="DS92">
        <v>24.295400000000001</v>
      </c>
      <c r="DT92">
        <v>42.1</v>
      </c>
      <c r="DU92">
        <v>28.3</v>
      </c>
      <c r="DV92">
        <v>16.363</v>
      </c>
      <c r="DW92">
        <v>61.583399999999997</v>
      </c>
      <c r="DX92">
        <v>35.392600000000002</v>
      </c>
      <c r="DY92">
        <v>1</v>
      </c>
      <c r="DZ92">
        <v>-0.105902</v>
      </c>
      <c r="EA92">
        <v>0.167544</v>
      </c>
      <c r="EB92">
        <v>20.1905</v>
      </c>
      <c r="EC92">
        <v>5.2416999999999998</v>
      </c>
      <c r="ED92">
        <v>12.039899999999999</v>
      </c>
      <c r="EE92">
        <v>5.01715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1.8646199999999999</v>
      </c>
      <c r="EM92">
        <v>1.8692</v>
      </c>
      <c r="EN92">
        <v>1.8672200000000001</v>
      </c>
      <c r="EO92">
        <v>1.8633999999999999</v>
      </c>
      <c r="EP92">
        <v>1.86446</v>
      </c>
      <c r="EQ92">
        <v>1.87015</v>
      </c>
      <c r="ER92">
        <v>1.8693900000000001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-0.27500000000000002</v>
      </c>
      <c r="FG92">
        <v>0.15140000000000001</v>
      </c>
      <c r="FH92">
        <v>5.0310448532705943E-2</v>
      </c>
      <c r="FI92">
        <v>-6.1462078757559423E-4</v>
      </c>
      <c r="FJ92">
        <v>-1.8861989874597051E-7</v>
      </c>
      <c r="FK92">
        <v>1.1980462299894961E-10</v>
      </c>
      <c r="FL92">
        <v>0.15140825623214971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18</v>
      </c>
      <c r="FU92">
        <v>17.899999999999999</v>
      </c>
      <c r="FV92">
        <v>1.7675799999999999</v>
      </c>
      <c r="FW92">
        <v>2.5805699999999998</v>
      </c>
      <c r="FX92">
        <v>1.5490699999999999</v>
      </c>
      <c r="FY92">
        <v>2.3315399999999999</v>
      </c>
      <c r="FZ92">
        <v>1.50146</v>
      </c>
      <c r="GA92">
        <v>2.3571800000000001</v>
      </c>
      <c r="GB92">
        <v>33.065199999999997</v>
      </c>
      <c r="GC92">
        <v>23.982399999999998</v>
      </c>
      <c r="GD92">
        <v>19</v>
      </c>
      <c r="GE92">
        <v>285.96199999999999</v>
      </c>
      <c r="GF92">
        <v>585.32000000000005</v>
      </c>
      <c r="GG92">
        <v>23.491</v>
      </c>
      <c r="GH92">
        <v>26.0503</v>
      </c>
      <c r="GI92">
        <v>29.999600000000001</v>
      </c>
      <c r="GJ92">
        <v>26.1907</v>
      </c>
      <c r="GK92">
        <v>26.171500000000002</v>
      </c>
      <c r="GL92">
        <v>35.339300000000001</v>
      </c>
      <c r="GM92">
        <v>84.123500000000007</v>
      </c>
      <c r="GN92">
        <v>45.647399999999998</v>
      </c>
      <c r="GO92">
        <v>23.5063</v>
      </c>
      <c r="GP92">
        <v>800</v>
      </c>
      <c r="GQ92">
        <v>1.8654999999999999</v>
      </c>
      <c r="GR92">
        <v>99.744100000000003</v>
      </c>
      <c r="GS92">
        <v>99.546700000000001</v>
      </c>
    </row>
    <row r="93" spans="1:201" x14ac:dyDescent="0.25">
      <c r="A93">
        <v>77</v>
      </c>
      <c r="B93">
        <v>1690293159.5999999</v>
      </c>
      <c r="C93">
        <v>889</v>
      </c>
      <c r="D93" t="s">
        <v>487</v>
      </c>
      <c r="E93" t="s">
        <v>488</v>
      </c>
      <c r="F93" t="s">
        <v>330</v>
      </c>
      <c r="H93">
        <v>1690293159.5999999</v>
      </c>
      <c r="I93">
        <f t="shared" si="30"/>
        <v>2.0820854987616969E-3</v>
      </c>
      <c r="J93">
        <f t="shared" si="31"/>
        <v>2.082085498761697</v>
      </c>
      <c r="K93">
        <f t="shared" si="32"/>
        <v>31.344922951723813</v>
      </c>
      <c r="L93">
        <f t="shared" si="33"/>
        <v>476.97699999999998</v>
      </c>
      <c r="M93">
        <f t="shared" si="34"/>
        <v>145.36509666339384</v>
      </c>
      <c r="N93">
        <f t="shared" si="35"/>
        <v>14.4557436121029</v>
      </c>
      <c r="O93">
        <f t="shared" si="36"/>
        <v>47.432687619890892</v>
      </c>
      <c r="P93">
        <f t="shared" si="37"/>
        <v>0.15954339231166892</v>
      </c>
      <c r="Q93">
        <f t="shared" si="38"/>
        <v>2.2553668172991648</v>
      </c>
      <c r="R93">
        <f t="shared" si="39"/>
        <v>0.15352817389174273</v>
      </c>
      <c r="S93">
        <f t="shared" si="40"/>
        <v>9.647665646855591E-2</v>
      </c>
      <c r="T93">
        <f t="shared" si="41"/>
        <v>276.11271053197504</v>
      </c>
      <c r="U93">
        <f t="shared" si="42"/>
        <v>26.709223765785815</v>
      </c>
      <c r="V93">
        <f t="shared" si="43"/>
        <v>26.709223765785815</v>
      </c>
      <c r="W93">
        <f t="shared" si="44"/>
        <v>3.5184884880267462</v>
      </c>
      <c r="X93">
        <f t="shared" si="45"/>
        <v>68.136103356704723</v>
      </c>
      <c r="Y93">
        <f t="shared" si="46"/>
        <v>2.2086997174136802</v>
      </c>
      <c r="Z93">
        <f t="shared" si="47"/>
        <v>3.241599693265024</v>
      </c>
      <c r="AA93">
        <f t="shared" si="48"/>
        <v>1.309788770613066</v>
      </c>
      <c r="AB93">
        <f t="shared" si="49"/>
        <v>-91.819970495390834</v>
      </c>
      <c r="AC93">
        <f t="shared" si="50"/>
        <v>-168.44336727251346</v>
      </c>
      <c r="AD93">
        <f t="shared" si="51"/>
        <v>-15.960114299542136</v>
      </c>
      <c r="AE93">
        <f t="shared" si="52"/>
        <v>-0.11074153547136234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52740.099394169934</v>
      </c>
      <c r="AK93">
        <f t="shared" si="56"/>
        <v>1799.99</v>
      </c>
      <c r="AL93">
        <f t="shared" si="57"/>
        <v>1499.1020066092499</v>
      </c>
      <c r="AM93">
        <f t="shared" si="58"/>
        <v>0.83283907499999998</v>
      </c>
      <c r="AN93">
        <f t="shared" si="59"/>
        <v>0.15339680250000001</v>
      </c>
      <c r="AO93">
        <v>30</v>
      </c>
      <c r="AP93">
        <v>0.5</v>
      </c>
      <c r="AQ93" t="s">
        <v>331</v>
      </c>
      <c r="AR93">
        <v>2</v>
      </c>
      <c r="AS93">
        <v>1690293159.5999999</v>
      </c>
      <c r="AT93">
        <v>476.97699999999998</v>
      </c>
      <c r="AU93">
        <v>800.17200000000003</v>
      </c>
      <c r="AV93">
        <v>22.2104</v>
      </c>
      <c r="AW93">
        <v>1.86365</v>
      </c>
      <c r="AX93">
        <v>477.25</v>
      </c>
      <c r="AY93">
        <v>22.059000000000001</v>
      </c>
      <c r="AZ93">
        <v>300.17200000000003</v>
      </c>
      <c r="BA93">
        <v>99.344399999999993</v>
      </c>
      <c r="BB93">
        <v>9.9991700000000003E-2</v>
      </c>
      <c r="BC93">
        <v>25.323899999999998</v>
      </c>
      <c r="BD93">
        <v>26.968499999999999</v>
      </c>
      <c r="BE93">
        <v>26.4998</v>
      </c>
      <c r="BF93">
        <v>0</v>
      </c>
      <c r="BG93">
        <v>0</v>
      </c>
      <c r="BH93">
        <v>9983.1200000000008</v>
      </c>
      <c r="BI93">
        <v>1060.44</v>
      </c>
      <c r="BJ93">
        <v>2.2987099999999998</v>
      </c>
      <c r="BK93">
        <v>-323.19499999999999</v>
      </c>
      <c r="BL93">
        <v>487.81099999999998</v>
      </c>
      <c r="BM93">
        <v>801.66600000000005</v>
      </c>
      <c r="BN93">
        <v>20.346699999999998</v>
      </c>
      <c r="BO93">
        <v>800.17200000000003</v>
      </c>
      <c r="BP93">
        <v>1.86365</v>
      </c>
      <c r="BQ93">
        <v>2.20648</v>
      </c>
      <c r="BR93">
        <v>0.185143</v>
      </c>
      <c r="BS93">
        <v>19.009399999999999</v>
      </c>
      <c r="BT93">
        <v>-15.4411</v>
      </c>
      <c r="BU93">
        <v>1799.99</v>
      </c>
      <c r="BV93">
        <v>0.91000800000000004</v>
      </c>
      <c r="BW93">
        <v>3.4008900000000002E-2</v>
      </c>
      <c r="BX93">
        <v>2.1992500000000002E-2</v>
      </c>
      <c r="BY93">
        <v>3.3990199999999998E-2</v>
      </c>
      <c r="BZ93">
        <v>25</v>
      </c>
      <c r="CA93">
        <v>33528.300000000003</v>
      </c>
      <c r="CB93">
        <v>1690292073.5</v>
      </c>
      <c r="CC93" t="s">
        <v>332</v>
      </c>
      <c r="CD93">
        <v>1690292069.5</v>
      </c>
      <c r="CE93">
        <v>1690292073.5</v>
      </c>
      <c r="CF93">
        <v>4</v>
      </c>
      <c r="CG93">
        <v>-3.6999999999999998E-2</v>
      </c>
      <c r="CH93">
        <v>-1.6E-2</v>
      </c>
      <c r="CI93">
        <v>-0.45200000000000001</v>
      </c>
      <c r="CJ93">
        <v>0.108</v>
      </c>
      <c r="CK93">
        <v>730</v>
      </c>
      <c r="CL93">
        <v>18</v>
      </c>
      <c r="CM93">
        <v>0</v>
      </c>
      <c r="CN93">
        <v>0.01</v>
      </c>
      <c r="CO93">
        <v>-320.36897560975609</v>
      </c>
      <c r="CP93">
        <v>-14.745595818815451</v>
      </c>
      <c r="CQ93">
        <v>1.4568257924848209</v>
      </c>
      <c r="CR93">
        <v>-1</v>
      </c>
      <c r="CS93">
        <v>20.0978243902439</v>
      </c>
      <c r="CT93">
        <v>1.3441651567944211</v>
      </c>
      <c r="CU93">
        <v>0.13256642105179531</v>
      </c>
      <c r="CV93">
        <v>-1</v>
      </c>
      <c r="CW93">
        <v>0</v>
      </c>
      <c r="CX93">
        <v>0</v>
      </c>
      <c r="CY93" t="s">
        <v>333</v>
      </c>
      <c r="CZ93">
        <v>2.3647399999999998</v>
      </c>
      <c r="DA93">
        <v>2.7137699999999998</v>
      </c>
      <c r="DB93">
        <v>0.10244499999999999</v>
      </c>
      <c r="DC93">
        <v>0.14646400000000001</v>
      </c>
      <c r="DD93">
        <v>0.108261</v>
      </c>
      <c r="DE93">
        <v>1.4359E-2</v>
      </c>
      <c r="DF93">
        <v>32776.199999999997</v>
      </c>
      <c r="DG93">
        <v>27504.2</v>
      </c>
      <c r="DH93">
        <v>31174.2</v>
      </c>
      <c r="DI93">
        <v>28078.5</v>
      </c>
      <c r="DJ93">
        <v>37738.400000000001</v>
      </c>
      <c r="DK93">
        <v>39354.5</v>
      </c>
      <c r="DL93">
        <v>44363.199999999997</v>
      </c>
      <c r="DM93">
        <v>42551.5</v>
      </c>
      <c r="DN93">
        <v>1.4854000000000001</v>
      </c>
      <c r="DO93">
        <v>2.0410200000000001</v>
      </c>
      <c r="DP93">
        <v>0.13888600000000001</v>
      </c>
      <c r="DQ93">
        <v>0.13425200000000001</v>
      </c>
      <c r="DR93">
        <v>24.692799999999998</v>
      </c>
      <c r="DS93">
        <v>24.298400000000001</v>
      </c>
      <c r="DT93">
        <v>41.6</v>
      </c>
      <c r="DU93">
        <v>28.3</v>
      </c>
      <c r="DV93">
        <v>16.1693</v>
      </c>
      <c r="DW93">
        <v>62.053400000000003</v>
      </c>
      <c r="DX93">
        <v>34.931899999999999</v>
      </c>
      <c r="DY93">
        <v>1</v>
      </c>
      <c r="DZ93">
        <v>-0.105932</v>
      </c>
      <c r="EA93">
        <v>0.159077</v>
      </c>
      <c r="EB93">
        <v>20.1905</v>
      </c>
      <c r="EC93">
        <v>5.2408000000000001</v>
      </c>
      <c r="ED93">
        <v>12.039899999999999</v>
      </c>
      <c r="EE93">
        <v>5.0169499999999996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</v>
      </c>
      <c r="EM93">
        <v>1.8691899999999999</v>
      </c>
      <c r="EN93">
        <v>1.8672200000000001</v>
      </c>
      <c r="EO93">
        <v>1.86337</v>
      </c>
      <c r="EP93">
        <v>1.86446</v>
      </c>
      <c r="EQ93">
        <v>1.8701300000000001</v>
      </c>
      <c r="ER93">
        <v>1.86937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-0.27300000000000002</v>
      </c>
      <c r="FG93">
        <v>0.15140000000000001</v>
      </c>
      <c r="FH93">
        <v>5.0310448532705943E-2</v>
      </c>
      <c r="FI93">
        <v>-6.1462078757559423E-4</v>
      </c>
      <c r="FJ93">
        <v>-1.8861989874597051E-7</v>
      </c>
      <c r="FK93">
        <v>1.1980462299894961E-10</v>
      </c>
      <c r="FL93">
        <v>0.15140825623214971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18.2</v>
      </c>
      <c r="FU93">
        <v>18.100000000000001</v>
      </c>
      <c r="FV93">
        <v>1.7675799999999999</v>
      </c>
      <c r="FW93">
        <v>2.5817899999999998</v>
      </c>
      <c r="FX93">
        <v>1.5490699999999999</v>
      </c>
      <c r="FY93">
        <v>2.3303199999999999</v>
      </c>
      <c r="FZ93">
        <v>1.50146</v>
      </c>
      <c r="GA93">
        <v>2.3278799999999999</v>
      </c>
      <c r="GB93">
        <v>33.065199999999997</v>
      </c>
      <c r="GC93">
        <v>23.982399999999998</v>
      </c>
      <c r="GD93">
        <v>19</v>
      </c>
      <c r="GE93">
        <v>286.08600000000001</v>
      </c>
      <c r="GF93">
        <v>585.07600000000002</v>
      </c>
      <c r="GG93">
        <v>23.5367</v>
      </c>
      <c r="GH93">
        <v>26.0458</v>
      </c>
      <c r="GI93">
        <v>30.0001</v>
      </c>
      <c r="GJ93">
        <v>26.187200000000001</v>
      </c>
      <c r="GK93">
        <v>26.168199999999999</v>
      </c>
      <c r="GL93">
        <v>35.328499999999998</v>
      </c>
      <c r="GM93">
        <v>85.366900000000001</v>
      </c>
      <c r="GN93">
        <v>44.826700000000002</v>
      </c>
      <c r="GO93">
        <v>23.548999999999999</v>
      </c>
      <c r="GP93">
        <v>800</v>
      </c>
      <c r="GQ93">
        <v>1.6600200000000001</v>
      </c>
      <c r="GR93">
        <v>99.743200000000002</v>
      </c>
      <c r="GS93">
        <v>99.548100000000005</v>
      </c>
    </row>
    <row r="94" spans="1:201" x14ac:dyDescent="0.25">
      <c r="A94">
        <v>78</v>
      </c>
      <c r="B94">
        <v>1690293169.5999999</v>
      </c>
      <c r="C94">
        <v>899</v>
      </c>
      <c r="D94" t="s">
        <v>489</v>
      </c>
      <c r="E94" t="s">
        <v>490</v>
      </c>
      <c r="F94" t="s">
        <v>330</v>
      </c>
      <c r="H94">
        <v>1690293169.5999999</v>
      </c>
      <c r="I94">
        <f t="shared" si="30"/>
        <v>2.1058481819236155E-3</v>
      </c>
      <c r="J94">
        <f t="shared" si="31"/>
        <v>2.1058481819236157</v>
      </c>
      <c r="K94">
        <f t="shared" si="32"/>
        <v>31.577650501697246</v>
      </c>
      <c r="L94">
        <f t="shared" si="33"/>
        <v>474.56599999999997</v>
      </c>
      <c r="M94">
        <f t="shared" si="34"/>
        <v>144.90519755798687</v>
      </c>
      <c r="N94">
        <f t="shared" si="35"/>
        <v>14.410421379175745</v>
      </c>
      <c r="O94">
        <f t="shared" si="36"/>
        <v>47.194276999576005</v>
      </c>
      <c r="P94">
        <f t="shared" si="37"/>
        <v>0.1617385776458532</v>
      </c>
      <c r="Q94">
        <f t="shared" si="38"/>
        <v>2.2598359594010402</v>
      </c>
      <c r="R94">
        <f t="shared" si="39"/>
        <v>0.15557185672802937</v>
      </c>
      <c r="S94">
        <f t="shared" si="40"/>
        <v>9.7766875559711724E-2</v>
      </c>
      <c r="T94">
        <f t="shared" si="41"/>
        <v>276.11426212200001</v>
      </c>
      <c r="U94">
        <f t="shared" si="42"/>
        <v>26.704760867496908</v>
      </c>
      <c r="V94">
        <f t="shared" si="43"/>
        <v>26.704760867496908</v>
      </c>
      <c r="W94">
        <f t="shared" si="44"/>
        <v>3.5175643333794491</v>
      </c>
      <c r="X94">
        <f t="shared" si="45"/>
        <v>68.158308895209032</v>
      </c>
      <c r="Y94">
        <f t="shared" si="46"/>
        <v>2.2101949306528001</v>
      </c>
      <c r="Z94">
        <f t="shared" si="47"/>
        <v>3.2427373367653471</v>
      </c>
      <c r="AA94">
        <f t="shared" si="48"/>
        <v>1.3073694027266489</v>
      </c>
      <c r="AB94">
        <f t="shared" si="49"/>
        <v>-92.867904822831449</v>
      </c>
      <c r="AC94">
        <f t="shared" si="50"/>
        <v>-167.51461223251312</v>
      </c>
      <c r="AD94">
        <f t="shared" si="51"/>
        <v>-15.840837781422131</v>
      </c>
      <c r="AE94">
        <f t="shared" si="52"/>
        <v>-0.10909271476668891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52914.734191382369</v>
      </c>
      <c r="AK94">
        <f t="shared" si="56"/>
        <v>1800</v>
      </c>
      <c r="AL94">
        <f t="shared" si="57"/>
        <v>1499.1117372000001</v>
      </c>
      <c r="AM94">
        <f t="shared" si="58"/>
        <v>0.83283985400000005</v>
      </c>
      <c r="AN94">
        <f t="shared" si="59"/>
        <v>0.15339681229000002</v>
      </c>
      <c r="AO94">
        <v>30</v>
      </c>
      <c r="AP94">
        <v>0.5</v>
      </c>
      <c r="AQ94" t="s">
        <v>331</v>
      </c>
      <c r="AR94">
        <v>2</v>
      </c>
      <c r="AS94">
        <v>1690293169.5999999</v>
      </c>
      <c r="AT94">
        <v>474.56599999999997</v>
      </c>
      <c r="AU94">
        <v>800.09199999999998</v>
      </c>
      <c r="AV94">
        <v>22.224799999999998</v>
      </c>
      <c r="AW94">
        <v>1.64977</v>
      </c>
      <c r="AX94">
        <v>474.83699999999999</v>
      </c>
      <c r="AY94">
        <v>22.073399999999999</v>
      </c>
      <c r="AZ94">
        <v>300.22500000000002</v>
      </c>
      <c r="BA94">
        <v>99.347200000000001</v>
      </c>
      <c r="BB94">
        <v>0.100036</v>
      </c>
      <c r="BC94">
        <v>25.329799999999999</v>
      </c>
      <c r="BD94">
        <v>27.011399999999998</v>
      </c>
      <c r="BE94">
        <v>26.504300000000001</v>
      </c>
      <c r="BF94">
        <v>0</v>
      </c>
      <c r="BG94">
        <v>0</v>
      </c>
      <c r="BH94">
        <v>10017.5</v>
      </c>
      <c r="BI94">
        <v>1060.47</v>
      </c>
      <c r="BJ94">
        <v>2.2987099999999998</v>
      </c>
      <c r="BK94">
        <v>-325.52600000000001</v>
      </c>
      <c r="BL94">
        <v>485.35300000000001</v>
      </c>
      <c r="BM94">
        <v>801.41399999999999</v>
      </c>
      <c r="BN94">
        <v>20.575099999999999</v>
      </c>
      <c r="BO94">
        <v>800.09199999999998</v>
      </c>
      <c r="BP94">
        <v>1.64977</v>
      </c>
      <c r="BQ94">
        <v>2.20797</v>
      </c>
      <c r="BR94">
        <v>0.16389999999999999</v>
      </c>
      <c r="BS94">
        <v>19.020299999999999</v>
      </c>
      <c r="BT94">
        <v>-16.901399999999999</v>
      </c>
      <c r="BU94">
        <v>1800</v>
      </c>
      <c r="BV94">
        <v>0.91001200000000004</v>
      </c>
      <c r="BW94">
        <v>3.4007599999999999E-2</v>
      </c>
      <c r="BX94">
        <v>2.1991699999999999E-2</v>
      </c>
      <c r="BY94">
        <v>3.3988900000000002E-2</v>
      </c>
      <c r="BZ94">
        <v>25</v>
      </c>
      <c r="CA94">
        <v>33528.400000000001</v>
      </c>
      <c r="CB94">
        <v>1690292073.5</v>
      </c>
      <c r="CC94" t="s">
        <v>332</v>
      </c>
      <c r="CD94">
        <v>1690292069.5</v>
      </c>
      <c r="CE94">
        <v>1690292073.5</v>
      </c>
      <c r="CF94">
        <v>4</v>
      </c>
      <c r="CG94">
        <v>-3.6999999999999998E-2</v>
      </c>
      <c r="CH94">
        <v>-1.6E-2</v>
      </c>
      <c r="CI94">
        <v>-0.45200000000000001</v>
      </c>
      <c r="CJ94">
        <v>0.108</v>
      </c>
      <c r="CK94">
        <v>730</v>
      </c>
      <c r="CL94">
        <v>18</v>
      </c>
      <c r="CM94">
        <v>0</v>
      </c>
      <c r="CN94">
        <v>0.01</v>
      </c>
      <c r="CO94">
        <v>-322.82</v>
      </c>
      <c r="CP94">
        <v>-14.894571428571529</v>
      </c>
      <c r="CQ94">
        <v>1.471068120324188</v>
      </c>
      <c r="CR94">
        <v>-1</v>
      </c>
      <c r="CS94">
        <v>20.324836585365851</v>
      </c>
      <c r="CT94">
        <v>1.3644439024390389</v>
      </c>
      <c r="CU94">
        <v>0.13457845976322769</v>
      </c>
      <c r="CV94">
        <v>-1</v>
      </c>
      <c r="CW94">
        <v>0</v>
      </c>
      <c r="CX94">
        <v>0</v>
      </c>
      <c r="CY94" t="s">
        <v>333</v>
      </c>
      <c r="CZ94">
        <v>2.3648899999999999</v>
      </c>
      <c r="DA94">
        <v>2.7138399999999998</v>
      </c>
      <c r="DB94">
        <v>0.102066</v>
      </c>
      <c r="DC94">
        <v>0.146455</v>
      </c>
      <c r="DD94">
        <v>0.10831499999999999</v>
      </c>
      <c r="DE94">
        <v>1.28422E-2</v>
      </c>
      <c r="DF94">
        <v>32789.699999999997</v>
      </c>
      <c r="DG94">
        <v>27504.2</v>
      </c>
      <c r="DH94">
        <v>31173.8</v>
      </c>
      <c r="DI94">
        <v>28078.2</v>
      </c>
      <c r="DJ94">
        <v>37735.699999999997</v>
      </c>
      <c r="DK94">
        <v>39414.699999999997</v>
      </c>
      <c r="DL94">
        <v>44362.7</v>
      </c>
      <c r="DM94">
        <v>42550.9</v>
      </c>
      <c r="DN94">
        <v>1.48525</v>
      </c>
      <c r="DO94">
        <v>2.0405500000000001</v>
      </c>
      <c r="DP94">
        <v>0.14150499999999999</v>
      </c>
      <c r="DQ94">
        <v>0.13436699999999999</v>
      </c>
      <c r="DR94">
        <v>24.692799999999998</v>
      </c>
      <c r="DS94">
        <v>24.301100000000002</v>
      </c>
      <c r="DT94">
        <v>41.2</v>
      </c>
      <c r="DU94">
        <v>28.3</v>
      </c>
      <c r="DV94">
        <v>16.013000000000002</v>
      </c>
      <c r="DW94">
        <v>61.593400000000003</v>
      </c>
      <c r="DX94">
        <v>34.835700000000003</v>
      </c>
      <c r="DY94">
        <v>1</v>
      </c>
      <c r="DZ94">
        <v>-0.10630100000000001</v>
      </c>
      <c r="EA94">
        <v>1.03409</v>
      </c>
      <c r="EB94">
        <v>20.181799999999999</v>
      </c>
      <c r="EC94">
        <v>5.2406499999999996</v>
      </c>
      <c r="ED94">
        <v>12.039899999999999</v>
      </c>
      <c r="EE94">
        <v>5.0170500000000002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1.8692</v>
      </c>
      <c r="EN94">
        <v>1.8672200000000001</v>
      </c>
      <c r="EO94">
        <v>1.86338</v>
      </c>
      <c r="EP94">
        <v>1.8644400000000001</v>
      </c>
      <c r="EQ94">
        <v>1.87012</v>
      </c>
      <c r="ER94">
        <v>1.86938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-0.27100000000000002</v>
      </c>
      <c r="FG94">
        <v>0.15140000000000001</v>
      </c>
      <c r="FH94">
        <v>5.0310448532705943E-2</v>
      </c>
      <c r="FI94">
        <v>-6.1462078757559423E-4</v>
      </c>
      <c r="FJ94">
        <v>-1.8861989874597051E-7</v>
      </c>
      <c r="FK94">
        <v>1.1980462299894961E-10</v>
      </c>
      <c r="FL94">
        <v>0.15140825623214971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18.3</v>
      </c>
      <c r="FU94">
        <v>18.3</v>
      </c>
      <c r="FV94">
        <v>1.7663599999999999</v>
      </c>
      <c r="FW94">
        <v>2.5842299999999998</v>
      </c>
      <c r="FX94">
        <v>1.5490699999999999</v>
      </c>
      <c r="FY94">
        <v>2.3315399999999999</v>
      </c>
      <c r="FZ94">
        <v>1.50146</v>
      </c>
      <c r="GA94">
        <v>2.3132299999999999</v>
      </c>
      <c r="GB94">
        <v>33.065199999999997</v>
      </c>
      <c r="GC94">
        <v>23.973700000000001</v>
      </c>
      <c r="GD94">
        <v>19</v>
      </c>
      <c r="GE94">
        <v>286.00900000000001</v>
      </c>
      <c r="GF94">
        <v>584.654</v>
      </c>
      <c r="GG94">
        <v>23.559100000000001</v>
      </c>
      <c r="GH94">
        <v>26.041499999999999</v>
      </c>
      <c r="GI94">
        <v>30.0002</v>
      </c>
      <c r="GJ94">
        <v>26.184100000000001</v>
      </c>
      <c r="GK94">
        <v>26.165800000000001</v>
      </c>
      <c r="GL94">
        <v>35.3279</v>
      </c>
      <c r="GM94">
        <v>86.911699999999996</v>
      </c>
      <c r="GN94">
        <v>44.050400000000003</v>
      </c>
      <c r="GO94">
        <v>23.127199999999998</v>
      </c>
      <c r="GP94">
        <v>800</v>
      </c>
      <c r="GQ94">
        <v>1.45712</v>
      </c>
      <c r="GR94">
        <v>99.742199999999997</v>
      </c>
      <c r="GS94">
        <v>99.546800000000005</v>
      </c>
    </row>
    <row r="95" spans="1:201" x14ac:dyDescent="0.25">
      <c r="A95">
        <v>79</v>
      </c>
      <c r="B95">
        <v>1690293179.5999999</v>
      </c>
      <c r="C95">
        <v>909</v>
      </c>
      <c r="D95" t="s">
        <v>491</v>
      </c>
      <c r="E95" t="s">
        <v>492</v>
      </c>
      <c r="F95" t="s">
        <v>330</v>
      </c>
      <c r="H95">
        <v>1690293179.5999999</v>
      </c>
      <c r="I95">
        <f t="shared" si="30"/>
        <v>2.1200487703716374E-3</v>
      </c>
      <c r="J95">
        <f t="shared" si="31"/>
        <v>2.1200487703716373</v>
      </c>
      <c r="K95">
        <f t="shared" si="32"/>
        <v>31.811522740971498</v>
      </c>
      <c r="L95">
        <f t="shared" si="33"/>
        <v>472.15199999999999</v>
      </c>
      <c r="M95">
        <f t="shared" si="34"/>
        <v>142.58161694255244</v>
      </c>
      <c r="N95">
        <f t="shared" si="35"/>
        <v>14.179499558769656</v>
      </c>
      <c r="O95">
        <f t="shared" si="36"/>
        <v>46.954714213751998</v>
      </c>
      <c r="P95">
        <f t="shared" si="37"/>
        <v>0.16299857822559871</v>
      </c>
      <c r="Q95">
        <f t="shared" si="38"/>
        <v>2.2584848749151298</v>
      </c>
      <c r="R95">
        <f t="shared" si="39"/>
        <v>0.15673381075937964</v>
      </c>
      <c r="S95">
        <f t="shared" si="40"/>
        <v>9.8501434091744264E-2</v>
      </c>
      <c r="T95">
        <f t="shared" si="41"/>
        <v>276.11243290151737</v>
      </c>
      <c r="U95">
        <f t="shared" si="42"/>
        <v>26.68311846884863</v>
      </c>
      <c r="V95">
        <f t="shared" si="43"/>
        <v>26.68311846884863</v>
      </c>
      <c r="W95">
        <f t="shared" si="44"/>
        <v>3.5130857388335679</v>
      </c>
      <c r="X95">
        <f t="shared" si="45"/>
        <v>68.118772550771013</v>
      </c>
      <c r="Y95">
        <f t="shared" si="46"/>
        <v>2.2065887370783002</v>
      </c>
      <c r="Z95">
        <f t="shared" si="47"/>
        <v>3.239325452368746</v>
      </c>
      <c r="AA95">
        <f t="shared" si="48"/>
        <v>1.3064970017552677</v>
      </c>
      <c r="AB95">
        <f t="shared" si="49"/>
        <v>-93.494150773389208</v>
      </c>
      <c r="AC95">
        <f t="shared" si="50"/>
        <v>-166.93443630288121</v>
      </c>
      <c r="AD95">
        <f t="shared" si="51"/>
        <v>-15.792300032498938</v>
      </c>
      <c r="AE95">
        <f t="shared" si="52"/>
        <v>-0.10845420725198096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52864.768127821975</v>
      </c>
      <c r="AK95">
        <f t="shared" si="56"/>
        <v>1799.99</v>
      </c>
      <c r="AL95">
        <f t="shared" si="57"/>
        <v>1499.10314240294</v>
      </c>
      <c r="AM95">
        <f t="shared" si="58"/>
        <v>0.83283970600000001</v>
      </c>
      <c r="AN95">
        <f t="shared" si="59"/>
        <v>0.15339664825999999</v>
      </c>
      <c r="AO95">
        <v>30</v>
      </c>
      <c r="AP95">
        <v>0.5</v>
      </c>
      <c r="AQ95" t="s">
        <v>331</v>
      </c>
      <c r="AR95">
        <v>2</v>
      </c>
      <c r="AS95">
        <v>1690293179.5999999</v>
      </c>
      <c r="AT95">
        <v>472.15199999999999</v>
      </c>
      <c r="AU95">
        <v>800.04100000000005</v>
      </c>
      <c r="AV95">
        <v>22.188300000000002</v>
      </c>
      <c r="AW95">
        <v>1.4731300000000001</v>
      </c>
      <c r="AX95">
        <v>472.42200000000003</v>
      </c>
      <c r="AY95">
        <v>22.036899999999999</v>
      </c>
      <c r="AZ95">
        <v>300.21600000000001</v>
      </c>
      <c r="BA95">
        <v>99.348299999999995</v>
      </c>
      <c r="BB95">
        <v>0.10000100000000001</v>
      </c>
      <c r="BC95">
        <v>25.312100000000001</v>
      </c>
      <c r="BD95">
        <v>26.981300000000001</v>
      </c>
      <c r="BE95">
        <v>26.4877</v>
      </c>
      <c r="BF95">
        <v>0</v>
      </c>
      <c r="BG95">
        <v>0</v>
      </c>
      <c r="BH95">
        <v>10006.9</v>
      </c>
      <c r="BI95">
        <v>1060.48</v>
      </c>
      <c r="BJ95">
        <v>2.2987099999999998</v>
      </c>
      <c r="BK95">
        <v>-327.88900000000001</v>
      </c>
      <c r="BL95">
        <v>482.86599999999999</v>
      </c>
      <c r="BM95">
        <v>801.22199999999998</v>
      </c>
      <c r="BN95">
        <v>20.715199999999999</v>
      </c>
      <c r="BO95">
        <v>800.04100000000005</v>
      </c>
      <c r="BP95">
        <v>1.4731300000000001</v>
      </c>
      <c r="BQ95">
        <v>2.2043699999999999</v>
      </c>
      <c r="BR95">
        <v>0.14635300000000001</v>
      </c>
      <c r="BS95">
        <v>18.9941</v>
      </c>
      <c r="BT95">
        <v>-18.241299999999999</v>
      </c>
      <c r="BU95">
        <v>1799.99</v>
      </c>
      <c r="BV95">
        <v>0.91001500000000002</v>
      </c>
      <c r="BW95">
        <v>3.4006300000000003E-2</v>
      </c>
      <c r="BX95">
        <v>2.1990800000000001E-2</v>
      </c>
      <c r="BY95">
        <v>3.39876E-2</v>
      </c>
      <c r="BZ95">
        <v>25</v>
      </c>
      <c r="CA95">
        <v>33528.300000000003</v>
      </c>
      <c r="CB95">
        <v>1690292073.5</v>
      </c>
      <c r="CC95" t="s">
        <v>332</v>
      </c>
      <c r="CD95">
        <v>1690292069.5</v>
      </c>
      <c r="CE95">
        <v>1690292073.5</v>
      </c>
      <c r="CF95">
        <v>4</v>
      </c>
      <c r="CG95">
        <v>-3.6999999999999998E-2</v>
      </c>
      <c r="CH95">
        <v>-1.6E-2</v>
      </c>
      <c r="CI95">
        <v>-0.45200000000000001</v>
      </c>
      <c r="CJ95">
        <v>0.108</v>
      </c>
      <c r="CK95">
        <v>730</v>
      </c>
      <c r="CL95">
        <v>18</v>
      </c>
      <c r="CM95">
        <v>0</v>
      </c>
      <c r="CN95">
        <v>0.01</v>
      </c>
      <c r="CO95">
        <v>-325.28426829268301</v>
      </c>
      <c r="CP95">
        <v>-14.665693379791231</v>
      </c>
      <c r="CQ95">
        <v>1.447799541851321</v>
      </c>
      <c r="CR95">
        <v>-1</v>
      </c>
      <c r="CS95">
        <v>20.541417073170731</v>
      </c>
      <c r="CT95">
        <v>1.199968641115029</v>
      </c>
      <c r="CU95">
        <v>0.11904529144751561</v>
      </c>
      <c r="CV95">
        <v>-1</v>
      </c>
      <c r="CW95">
        <v>0</v>
      </c>
      <c r="CX95">
        <v>0</v>
      </c>
      <c r="CY95" t="s">
        <v>333</v>
      </c>
      <c r="CZ95">
        <v>2.3649</v>
      </c>
      <c r="DA95">
        <v>2.7138</v>
      </c>
      <c r="DB95">
        <v>0.101684</v>
      </c>
      <c r="DC95">
        <v>0.14644799999999999</v>
      </c>
      <c r="DD95">
        <v>0.108191</v>
      </c>
      <c r="DE95">
        <v>1.1567600000000001E-2</v>
      </c>
      <c r="DF95">
        <v>32803.599999999999</v>
      </c>
      <c r="DG95">
        <v>27504.1</v>
      </c>
      <c r="DH95">
        <v>31173.8</v>
      </c>
      <c r="DI95">
        <v>28077.9</v>
      </c>
      <c r="DJ95">
        <v>37741.300000000003</v>
      </c>
      <c r="DK95">
        <v>39465.5</v>
      </c>
      <c r="DL95">
        <v>44363.1</v>
      </c>
      <c r="DM95">
        <v>42550.6</v>
      </c>
      <c r="DN95">
        <v>1.48472</v>
      </c>
      <c r="DO95">
        <v>2.0401500000000001</v>
      </c>
      <c r="DP95">
        <v>0.139538</v>
      </c>
      <c r="DQ95">
        <v>0.133105</v>
      </c>
      <c r="DR95">
        <v>24.694900000000001</v>
      </c>
      <c r="DS95">
        <v>24.305199999999999</v>
      </c>
      <c r="DT95">
        <v>40.700000000000003</v>
      </c>
      <c r="DU95">
        <v>28.3</v>
      </c>
      <c r="DV95">
        <v>15.8202</v>
      </c>
      <c r="DW95">
        <v>61.223399999999998</v>
      </c>
      <c r="DX95">
        <v>34.875799999999998</v>
      </c>
      <c r="DY95">
        <v>1</v>
      </c>
      <c r="DZ95">
        <v>-0.104891</v>
      </c>
      <c r="EA95">
        <v>0.98979799999999996</v>
      </c>
      <c r="EB95">
        <v>20.186</v>
      </c>
      <c r="EC95">
        <v>5.2409499999999998</v>
      </c>
      <c r="ED95">
        <v>12.039899999999999</v>
      </c>
      <c r="EE95">
        <v>5.0174500000000002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</v>
      </c>
      <c r="EL95">
        <v>1.86459</v>
      </c>
      <c r="EM95">
        <v>1.8691899999999999</v>
      </c>
      <c r="EN95">
        <v>1.8672200000000001</v>
      </c>
      <c r="EO95">
        <v>1.8633599999999999</v>
      </c>
      <c r="EP95">
        <v>1.8644499999999999</v>
      </c>
      <c r="EQ95">
        <v>1.87012</v>
      </c>
      <c r="ER95">
        <v>1.8693599999999999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-0.27</v>
      </c>
      <c r="FG95">
        <v>0.15140000000000001</v>
      </c>
      <c r="FH95">
        <v>5.0310448532705943E-2</v>
      </c>
      <c r="FI95">
        <v>-6.1462078757559423E-4</v>
      </c>
      <c r="FJ95">
        <v>-1.8861989874597051E-7</v>
      </c>
      <c r="FK95">
        <v>1.1980462299894961E-10</v>
      </c>
      <c r="FL95">
        <v>0.15140825623214971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18.5</v>
      </c>
      <c r="FU95">
        <v>18.399999999999999</v>
      </c>
      <c r="FV95">
        <v>1.7663599999999999</v>
      </c>
      <c r="FW95">
        <v>2.5842299999999998</v>
      </c>
      <c r="FX95">
        <v>1.5490699999999999</v>
      </c>
      <c r="FY95">
        <v>2.3315399999999999</v>
      </c>
      <c r="FZ95">
        <v>1.50146</v>
      </c>
      <c r="GA95">
        <v>2.2961399999999998</v>
      </c>
      <c r="GB95">
        <v>33.065199999999997</v>
      </c>
      <c r="GC95">
        <v>23.982399999999998</v>
      </c>
      <c r="GD95">
        <v>19</v>
      </c>
      <c r="GE95">
        <v>285.76600000000002</v>
      </c>
      <c r="GF95">
        <v>584.28399999999999</v>
      </c>
      <c r="GG95">
        <v>23.0778</v>
      </c>
      <c r="GH95">
        <v>26.0366</v>
      </c>
      <c r="GI95">
        <v>29.9999</v>
      </c>
      <c r="GJ95">
        <v>26.180299999999999</v>
      </c>
      <c r="GK95">
        <v>26.162199999999999</v>
      </c>
      <c r="GL95">
        <v>35.319699999999997</v>
      </c>
      <c r="GM95">
        <v>88.161799999999999</v>
      </c>
      <c r="GN95">
        <v>42.833799999999997</v>
      </c>
      <c r="GO95">
        <v>23.111000000000001</v>
      </c>
      <c r="GP95">
        <v>800</v>
      </c>
      <c r="GQ95">
        <v>1.29956</v>
      </c>
      <c r="GR95">
        <v>99.742599999999996</v>
      </c>
      <c r="GS95">
        <v>99.546000000000006</v>
      </c>
    </row>
    <row r="96" spans="1:201" x14ac:dyDescent="0.25">
      <c r="A96">
        <v>80</v>
      </c>
      <c r="B96">
        <v>1690293189.5999999</v>
      </c>
      <c r="C96">
        <v>919</v>
      </c>
      <c r="D96" t="s">
        <v>493</v>
      </c>
      <c r="E96" t="s">
        <v>494</v>
      </c>
      <c r="F96" t="s">
        <v>330</v>
      </c>
      <c r="H96">
        <v>1690293189.5999999</v>
      </c>
      <c r="I96">
        <f t="shared" si="30"/>
        <v>2.1324424968975722E-3</v>
      </c>
      <c r="J96">
        <f t="shared" si="31"/>
        <v>2.1324424968975721</v>
      </c>
      <c r="K96">
        <f t="shared" si="32"/>
        <v>32.044063806875727</v>
      </c>
      <c r="L96">
        <f t="shared" si="33"/>
        <v>469.75799999999998</v>
      </c>
      <c r="M96">
        <f t="shared" si="34"/>
        <v>140.79976724689973</v>
      </c>
      <c r="N96">
        <f t="shared" si="35"/>
        <v>14.002338465832128</v>
      </c>
      <c r="O96">
        <f t="shared" si="36"/>
        <v>46.716771210978003</v>
      </c>
      <c r="P96">
        <f t="shared" si="37"/>
        <v>0.16453188289893017</v>
      </c>
      <c r="Q96">
        <f t="shared" si="38"/>
        <v>2.2534018306419727</v>
      </c>
      <c r="R96">
        <f t="shared" si="39"/>
        <v>0.15813738727548907</v>
      </c>
      <c r="S96">
        <f t="shared" si="40"/>
        <v>9.9389679954473453E-2</v>
      </c>
      <c r="T96">
        <f t="shared" si="41"/>
        <v>276.11519412599995</v>
      </c>
      <c r="U96">
        <f t="shared" si="42"/>
        <v>26.652089228920183</v>
      </c>
      <c r="V96">
        <f t="shared" si="43"/>
        <v>26.652089228920183</v>
      </c>
      <c r="W96">
        <f t="shared" si="44"/>
        <v>3.506673353358269</v>
      </c>
      <c r="X96">
        <f t="shared" si="45"/>
        <v>68.16386723169181</v>
      </c>
      <c r="Y96">
        <f t="shared" si="46"/>
        <v>2.2041387914875998</v>
      </c>
      <c r="Z96">
        <f t="shared" si="47"/>
        <v>3.2335882352385328</v>
      </c>
      <c r="AA96">
        <f t="shared" si="48"/>
        <v>1.3025345618706692</v>
      </c>
      <c r="AB96">
        <f t="shared" si="49"/>
        <v>-94.040714113182929</v>
      </c>
      <c r="AC96">
        <f t="shared" si="50"/>
        <v>-166.40939169735771</v>
      </c>
      <c r="AD96">
        <f t="shared" si="51"/>
        <v>-15.773326239953864</v>
      </c>
      <c r="AE96">
        <f t="shared" si="52"/>
        <v>-0.10823792449454572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52670.419233532448</v>
      </c>
      <c r="AK96">
        <f t="shared" si="56"/>
        <v>1800</v>
      </c>
      <c r="AL96">
        <f t="shared" si="57"/>
        <v>1499.1137226000001</v>
      </c>
      <c r="AM96">
        <f t="shared" si="58"/>
        <v>0.83284095700000005</v>
      </c>
      <c r="AN96">
        <f t="shared" si="59"/>
        <v>0.15339733006999998</v>
      </c>
      <c r="AO96">
        <v>30</v>
      </c>
      <c r="AP96">
        <v>0.5</v>
      </c>
      <c r="AQ96" t="s">
        <v>331</v>
      </c>
      <c r="AR96">
        <v>2</v>
      </c>
      <c r="AS96">
        <v>1690293189.5999999</v>
      </c>
      <c r="AT96">
        <v>469.75799999999998</v>
      </c>
      <c r="AU96">
        <v>800.00900000000001</v>
      </c>
      <c r="AV96">
        <v>22.163599999999999</v>
      </c>
      <c r="AW96">
        <v>1.3248599999999999</v>
      </c>
      <c r="AX96">
        <v>470.02499999999998</v>
      </c>
      <c r="AY96">
        <v>22.0122</v>
      </c>
      <c r="AZ96">
        <v>300.18799999999999</v>
      </c>
      <c r="BA96">
        <v>99.348500000000001</v>
      </c>
      <c r="BB96">
        <v>0.100091</v>
      </c>
      <c r="BC96">
        <v>25.282299999999999</v>
      </c>
      <c r="BD96">
        <v>26.937200000000001</v>
      </c>
      <c r="BE96">
        <v>26.452999999999999</v>
      </c>
      <c r="BF96">
        <v>0</v>
      </c>
      <c r="BG96">
        <v>0</v>
      </c>
      <c r="BH96">
        <v>9967.5</v>
      </c>
      <c r="BI96">
        <v>1060.44</v>
      </c>
      <c r="BJ96">
        <v>2.2987099999999998</v>
      </c>
      <c r="BK96">
        <v>-330.25200000000001</v>
      </c>
      <c r="BL96">
        <v>480.40499999999997</v>
      </c>
      <c r="BM96">
        <v>801.07100000000003</v>
      </c>
      <c r="BN96">
        <v>20.838799999999999</v>
      </c>
      <c r="BO96">
        <v>800.00900000000001</v>
      </c>
      <c r="BP96">
        <v>1.3248599999999999</v>
      </c>
      <c r="BQ96">
        <v>2.2019299999999999</v>
      </c>
      <c r="BR96">
        <v>0.13162299999999999</v>
      </c>
      <c r="BS96">
        <v>18.976299999999998</v>
      </c>
      <c r="BT96">
        <v>-19.482099999999999</v>
      </c>
      <c r="BU96">
        <v>1800</v>
      </c>
      <c r="BV96">
        <v>0.91001100000000001</v>
      </c>
      <c r="BW96">
        <v>3.4004800000000002E-2</v>
      </c>
      <c r="BX96">
        <v>2.19986E-2</v>
      </c>
      <c r="BY96">
        <v>3.3986099999999998E-2</v>
      </c>
      <c r="BZ96">
        <v>25</v>
      </c>
      <c r="CA96">
        <v>33528.400000000001</v>
      </c>
      <c r="CB96">
        <v>1690292073.5</v>
      </c>
      <c r="CC96" t="s">
        <v>332</v>
      </c>
      <c r="CD96">
        <v>1690292069.5</v>
      </c>
      <c r="CE96">
        <v>1690292073.5</v>
      </c>
      <c r="CF96">
        <v>4</v>
      </c>
      <c r="CG96">
        <v>-3.6999999999999998E-2</v>
      </c>
      <c r="CH96">
        <v>-1.6E-2</v>
      </c>
      <c r="CI96">
        <v>-0.45200000000000001</v>
      </c>
      <c r="CJ96">
        <v>0.108</v>
      </c>
      <c r="CK96">
        <v>730</v>
      </c>
      <c r="CL96">
        <v>18</v>
      </c>
      <c r="CM96">
        <v>0</v>
      </c>
      <c r="CN96">
        <v>0.01</v>
      </c>
      <c r="CO96">
        <v>-327.63350000000003</v>
      </c>
      <c r="CP96">
        <v>-14.18899812382652</v>
      </c>
      <c r="CQ96">
        <v>1.36589262023045</v>
      </c>
      <c r="CR96">
        <v>-1</v>
      </c>
      <c r="CS96">
        <v>20.699079999999999</v>
      </c>
      <c r="CT96">
        <v>0.73595121951219933</v>
      </c>
      <c r="CU96">
        <v>7.1461049530496007E-2</v>
      </c>
      <c r="CV96">
        <v>-1</v>
      </c>
      <c r="CW96">
        <v>0</v>
      </c>
      <c r="CX96">
        <v>0</v>
      </c>
      <c r="CY96" t="s">
        <v>333</v>
      </c>
      <c r="CZ96">
        <v>2.3648199999999999</v>
      </c>
      <c r="DA96">
        <v>2.7138499999999999</v>
      </c>
      <c r="DB96">
        <v>0.101303</v>
      </c>
      <c r="DC96">
        <v>0.14644199999999999</v>
      </c>
      <c r="DD96">
        <v>0.10810599999999999</v>
      </c>
      <c r="DE96">
        <v>1.0481499999999999E-2</v>
      </c>
      <c r="DF96">
        <v>32817.5</v>
      </c>
      <c r="DG96">
        <v>27505.1</v>
      </c>
      <c r="DH96">
        <v>31173.8</v>
      </c>
      <c r="DI96">
        <v>28078.7</v>
      </c>
      <c r="DJ96">
        <v>37744.699999999997</v>
      </c>
      <c r="DK96">
        <v>39510</v>
      </c>
      <c r="DL96">
        <v>44362.9</v>
      </c>
      <c r="DM96">
        <v>42551.7</v>
      </c>
      <c r="DN96">
        <v>1.4854499999999999</v>
      </c>
      <c r="DO96">
        <v>2.0402499999999999</v>
      </c>
      <c r="DP96">
        <v>0.13684499999999999</v>
      </c>
      <c r="DQ96">
        <v>0.130858</v>
      </c>
      <c r="DR96">
        <v>24.694900000000001</v>
      </c>
      <c r="DS96">
        <v>24.307300000000001</v>
      </c>
      <c r="DT96">
        <v>40.200000000000003</v>
      </c>
      <c r="DU96">
        <v>28.3</v>
      </c>
      <c r="DV96">
        <v>15.6266</v>
      </c>
      <c r="DW96">
        <v>61.573399999999999</v>
      </c>
      <c r="DX96">
        <v>35.288499999999999</v>
      </c>
      <c r="DY96">
        <v>1</v>
      </c>
      <c r="DZ96">
        <v>-0.106242</v>
      </c>
      <c r="EA96">
        <v>0.44108399999999998</v>
      </c>
      <c r="EB96">
        <v>20.189499999999999</v>
      </c>
      <c r="EC96">
        <v>5.24125</v>
      </c>
      <c r="ED96">
        <v>12.039899999999999</v>
      </c>
      <c r="EE96">
        <v>5.0173500000000004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</v>
      </c>
      <c r="EL96">
        <v>1.8646100000000001</v>
      </c>
      <c r="EM96">
        <v>1.8692</v>
      </c>
      <c r="EN96">
        <v>1.8672200000000001</v>
      </c>
      <c r="EO96">
        <v>1.8633900000000001</v>
      </c>
      <c r="EP96">
        <v>1.86446</v>
      </c>
      <c r="EQ96">
        <v>1.8701300000000001</v>
      </c>
      <c r="ER96">
        <v>1.8694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-0.26700000000000002</v>
      </c>
      <c r="FG96">
        <v>0.15140000000000001</v>
      </c>
      <c r="FH96">
        <v>5.0310448532705943E-2</v>
      </c>
      <c r="FI96">
        <v>-6.1462078757559423E-4</v>
      </c>
      <c r="FJ96">
        <v>-1.8861989874597051E-7</v>
      </c>
      <c r="FK96">
        <v>1.1980462299894961E-10</v>
      </c>
      <c r="FL96">
        <v>0.15140825623214971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18.7</v>
      </c>
      <c r="FU96">
        <v>18.600000000000001</v>
      </c>
      <c r="FV96">
        <v>1.7663599999999999</v>
      </c>
      <c r="FW96">
        <v>2.5756800000000002</v>
      </c>
      <c r="FX96">
        <v>1.5490699999999999</v>
      </c>
      <c r="FY96">
        <v>2.3303199999999999</v>
      </c>
      <c r="FZ96">
        <v>1.50146</v>
      </c>
      <c r="GA96">
        <v>2.33765</v>
      </c>
      <c r="GB96">
        <v>33.065199999999997</v>
      </c>
      <c r="GC96">
        <v>23.991199999999999</v>
      </c>
      <c r="GD96">
        <v>19</v>
      </c>
      <c r="GE96">
        <v>286.05799999999999</v>
      </c>
      <c r="GF96">
        <v>584.33199999999999</v>
      </c>
      <c r="GG96">
        <v>23.085599999999999</v>
      </c>
      <c r="GH96">
        <v>26.0322</v>
      </c>
      <c r="GI96">
        <v>29.999600000000001</v>
      </c>
      <c r="GJ96">
        <v>26.176200000000001</v>
      </c>
      <c r="GK96">
        <v>26.159199999999998</v>
      </c>
      <c r="GL96">
        <v>35.316000000000003</v>
      </c>
      <c r="GM96">
        <v>89.437399999999997</v>
      </c>
      <c r="GN96">
        <v>42.0197</v>
      </c>
      <c r="GO96">
        <v>23.1557</v>
      </c>
      <c r="GP96">
        <v>800</v>
      </c>
      <c r="GQ96">
        <v>1.1249199999999999</v>
      </c>
      <c r="GR96">
        <v>99.742400000000004</v>
      </c>
      <c r="GS96">
        <v>99.548599999999993</v>
      </c>
    </row>
    <row r="97" spans="1:201" x14ac:dyDescent="0.25">
      <c r="A97">
        <v>81</v>
      </c>
      <c r="B97">
        <v>1690293199.5999999</v>
      </c>
      <c r="C97">
        <v>929</v>
      </c>
      <c r="D97" t="s">
        <v>495</v>
      </c>
      <c r="E97" t="s">
        <v>496</v>
      </c>
      <c r="F97" t="s">
        <v>330</v>
      </c>
      <c r="H97">
        <v>1690293199.5999999</v>
      </c>
      <c r="I97">
        <f t="shared" si="30"/>
        <v>2.1504316141174669E-3</v>
      </c>
      <c r="J97">
        <f t="shared" si="31"/>
        <v>2.1504316141174669</v>
      </c>
      <c r="K97">
        <f t="shared" si="32"/>
        <v>32.268276021681068</v>
      </c>
      <c r="L97">
        <f t="shared" si="33"/>
        <v>467.392</v>
      </c>
      <c r="M97">
        <f t="shared" si="34"/>
        <v>140.34988879733314</v>
      </c>
      <c r="N97">
        <f t="shared" si="35"/>
        <v>13.956846763372234</v>
      </c>
      <c r="O97">
        <f t="shared" si="36"/>
        <v>46.478971792032006</v>
      </c>
      <c r="P97">
        <f t="shared" si="37"/>
        <v>0.16670336331531505</v>
      </c>
      <c r="Q97">
        <f t="shared" si="38"/>
        <v>2.2587420999808661</v>
      </c>
      <c r="R97">
        <f t="shared" si="39"/>
        <v>0.1601574413316447</v>
      </c>
      <c r="S97">
        <f t="shared" si="40"/>
        <v>0.10066510880223069</v>
      </c>
      <c r="T97">
        <f t="shared" si="41"/>
        <v>276.11622264600004</v>
      </c>
      <c r="U97">
        <f t="shared" si="42"/>
        <v>26.639585229911013</v>
      </c>
      <c r="V97">
        <f t="shared" si="43"/>
        <v>26.639585229911013</v>
      </c>
      <c r="W97">
        <f t="shared" si="44"/>
        <v>3.5040922143408166</v>
      </c>
      <c r="X97">
        <f t="shared" si="45"/>
        <v>68.273533960296163</v>
      </c>
      <c r="Y97">
        <f t="shared" si="46"/>
        <v>2.2072121777959501</v>
      </c>
      <c r="Z97">
        <f t="shared" si="47"/>
        <v>3.2328957500274318</v>
      </c>
      <c r="AA97">
        <f t="shared" si="48"/>
        <v>1.2968800365448665</v>
      </c>
      <c r="AB97">
        <f t="shared" si="49"/>
        <v>-94.834034182580297</v>
      </c>
      <c r="AC97">
        <f t="shared" si="50"/>
        <v>-165.71949093921612</v>
      </c>
      <c r="AD97">
        <f t="shared" si="51"/>
        <v>-15.669528171521014</v>
      </c>
      <c r="AE97">
        <f t="shared" si="52"/>
        <v>-0.10683064731736636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52880.692223165315</v>
      </c>
      <c r="AK97">
        <f t="shared" si="56"/>
        <v>1800</v>
      </c>
      <c r="AL97">
        <f t="shared" si="57"/>
        <v>1499.1136326000001</v>
      </c>
      <c r="AM97">
        <f t="shared" si="58"/>
        <v>0.83284090700000002</v>
      </c>
      <c r="AN97">
        <f t="shared" si="59"/>
        <v>0.15339790147000001</v>
      </c>
      <c r="AO97">
        <v>30</v>
      </c>
      <c r="AP97">
        <v>0.5</v>
      </c>
      <c r="AQ97" t="s">
        <v>331</v>
      </c>
      <c r="AR97">
        <v>2</v>
      </c>
      <c r="AS97">
        <v>1690293199.5999999</v>
      </c>
      <c r="AT97">
        <v>467.392</v>
      </c>
      <c r="AU97">
        <v>800.08799999999997</v>
      </c>
      <c r="AV97">
        <v>22.195699999999999</v>
      </c>
      <c r="AW97">
        <v>1.1710700000000001</v>
      </c>
      <c r="AX97">
        <v>467.65800000000002</v>
      </c>
      <c r="AY97">
        <v>22.0443</v>
      </c>
      <c r="AZ97">
        <v>300.03399999999999</v>
      </c>
      <c r="BA97">
        <v>99.343299999999999</v>
      </c>
      <c r="BB97">
        <v>9.9933499999999995E-2</v>
      </c>
      <c r="BC97">
        <v>25.278700000000001</v>
      </c>
      <c r="BD97">
        <v>26.901199999999999</v>
      </c>
      <c r="BE97">
        <v>26.428999999999998</v>
      </c>
      <c r="BF97">
        <v>0</v>
      </c>
      <c r="BG97">
        <v>0</v>
      </c>
      <c r="BH97">
        <v>10009.4</v>
      </c>
      <c r="BI97">
        <v>1060.49</v>
      </c>
      <c r="BJ97">
        <v>2.2987099999999998</v>
      </c>
      <c r="BK97">
        <v>-332.69600000000003</v>
      </c>
      <c r="BL97">
        <v>478.00200000000001</v>
      </c>
      <c r="BM97">
        <v>801.02599999999995</v>
      </c>
      <c r="BN97">
        <v>21.0246</v>
      </c>
      <c r="BO97">
        <v>800.08799999999997</v>
      </c>
      <c r="BP97">
        <v>1.1710700000000001</v>
      </c>
      <c r="BQ97">
        <v>2.20499</v>
      </c>
      <c r="BR97">
        <v>0.116338</v>
      </c>
      <c r="BS97">
        <v>18.9986</v>
      </c>
      <c r="BT97">
        <v>-20.9087</v>
      </c>
      <c r="BU97">
        <v>1800</v>
      </c>
      <c r="BV97">
        <v>0.91000300000000001</v>
      </c>
      <c r="BW97">
        <v>3.4004E-2</v>
      </c>
      <c r="BX97">
        <v>2.2007599999999999E-2</v>
      </c>
      <c r="BY97">
        <v>3.3985300000000003E-2</v>
      </c>
      <c r="BZ97">
        <v>25</v>
      </c>
      <c r="CA97">
        <v>33528.199999999997</v>
      </c>
      <c r="CB97">
        <v>1690292073.5</v>
      </c>
      <c r="CC97" t="s">
        <v>332</v>
      </c>
      <c r="CD97">
        <v>1690292069.5</v>
      </c>
      <c r="CE97">
        <v>1690292073.5</v>
      </c>
      <c r="CF97">
        <v>4</v>
      </c>
      <c r="CG97">
        <v>-3.6999999999999998E-2</v>
      </c>
      <c r="CH97">
        <v>-1.6E-2</v>
      </c>
      <c r="CI97">
        <v>-0.45200000000000001</v>
      </c>
      <c r="CJ97">
        <v>0.108</v>
      </c>
      <c r="CK97">
        <v>730</v>
      </c>
      <c r="CL97">
        <v>18</v>
      </c>
      <c r="CM97">
        <v>0</v>
      </c>
      <c r="CN97">
        <v>0.01</v>
      </c>
      <c r="CO97">
        <v>-330.01</v>
      </c>
      <c r="CP97">
        <v>-14.263767354596849</v>
      </c>
      <c r="CQ97">
        <v>1.3736022896020481</v>
      </c>
      <c r="CR97">
        <v>-1</v>
      </c>
      <c r="CS97">
        <v>20.832037499999998</v>
      </c>
      <c r="CT97">
        <v>0.89852420262664046</v>
      </c>
      <c r="CU97">
        <v>8.6899932932942819E-2</v>
      </c>
      <c r="CV97">
        <v>-1</v>
      </c>
      <c r="CW97">
        <v>0</v>
      </c>
      <c r="CX97">
        <v>0</v>
      </c>
      <c r="CY97" t="s">
        <v>333</v>
      </c>
      <c r="CZ97">
        <v>2.3643299999999998</v>
      </c>
      <c r="DA97">
        <v>2.71373</v>
      </c>
      <c r="DB97">
        <v>0.100921</v>
      </c>
      <c r="DC97">
        <v>0.14644199999999999</v>
      </c>
      <c r="DD97">
        <v>0.108212</v>
      </c>
      <c r="DE97">
        <v>9.3379899999999991E-3</v>
      </c>
      <c r="DF97">
        <v>32832.6</v>
      </c>
      <c r="DG97">
        <v>27505.7</v>
      </c>
      <c r="DH97">
        <v>31174.799999999999</v>
      </c>
      <c r="DI97">
        <v>28079.3</v>
      </c>
      <c r="DJ97">
        <v>37741.300000000003</v>
      </c>
      <c r="DK97">
        <v>39556.6</v>
      </c>
      <c r="DL97">
        <v>44364.3</v>
      </c>
      <c r="DM97">
        <v>42552.6</v>
      </c>
      <c r="DN97">
        <v>1.4857</v>
      </c>
      <c r="DO97">
        <v>2.0401199999999999</v>
      </c>
      <c r="DP97">
        <v>0.13466600000000001</v>
      </c>
      <c r="DQ97">
        <v>0.12951699999999999</v>
      </c>
      <c r="DR97">
        <v>24.694600000000001</v>
      </c>
      <c r="DS97">
        <v>24.305199999999999</v>
      </c>
      <c r="DT97">
        <v>39.700000000000003</v>
      </c>
      <c r="DU97">
        <v>28.3</v>
      </c>
      <c r="DV97">
        <v>15.432600000000001</v>
      </c>
      <c r="DW97">
        <v>61.383400000000002</v>
      </c>
      <c r="DX97">
        <v>35.9495</v>
      </c>
      <c r="DY97">
        <v>1</v>
      </c>
      <c r="DZ97">
        <v>-0.10675800000000001</v>
      </c>
      <c r="EA97">
        <v>0.21795500000000001</v>
      </c>
      <c r="EB97">
        <v>20.190200000000001</v>
      </c>
      <c r="EC97">
        <v>5.2411000000000003</v>
      </c>
      <c r="ED97">
        <v>12.039899999999999</v>
      </c>
      <c r="EE97">
        <v>5.0171999999999999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</v>
      </c>
      <c r="EL97">
        <v>1.8646100000000001</v>
      </c>
      <c r="EM97">
        <v>1.8692</v>
      </c>
      <c r="EN97">
        <v>1.8672200000000001</v>
      </c>
      <c r="EO97">
        <v>1.8633599999999999</v>
      </c>
      <c r="EP97">
        <v>1.8644499999999999</v>
      </c>
      <c r="EQ97">
        <v>1.8701300000000001</v>
      </c>
      <c r="ER97">
        <v>1.86937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-0.26600000000000001</v>
      </c>
      <c r="FG97">
        <v>0.15140000000000001</v>
      </c>
      <c r="FH97">
        <v>5.0310448532705943E-2</v>
      </c>
      <c r="FI97">
        <v>-6.1462078757559423E-4</v>
      </c>
      <c r="FJ97">
        <v>-1.8861989874597051E-7</v>
      </c>
      <c r="FK97">
        <v>1.1980462299894961E-10</v>
      </c>
      <c r="FL97">
        <v>0.15140825623214971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18.8</v>
      </c>
      <c r="FU97">
        <v>18.8</v>
      </c>
      <c r="FV97">
        <v>1.7663599999999999</v>
      </c>
      <c r="FW97">
        <v>2.5744600000000002</v>
      </c>
      <c r="FX97">
        <v>1.5490699999999999</v>
      </c>
      <c r="FY97">
        <v>2.3315399999999999</v>
      </c>
      <c r="FZ97">
        <v>1.50146</v>
      </c>
      <c r="GA97">
        <v>2.3938000000000001</v>
      </c>
      <c r="GB97">
        <v>33.065199999999997</v>
      </c>
      <c r="GC97">
        <v>23.991199999999999</v>
      </c>
      <c r="GD97">
        <v>19</v>
      </c>
      <c r="GE97">
        <v>286.15600000000001</v>
      </c>
      <c r="GF97">
        <v>584.20299999999997</v>
      </c>
      <c r="GG97">
        <v>23.1953</v>
      </c>
      <c r="GH97">
        <v>26.028300000000002</v>
      </c>
      <c r="GI97">
        <v>29.9999</v>
      </c>
      <c r="GJ97">
        <v>26.174099999999999</v>
      </c>
      <c r="GK97">
        <v>26.157</v>
      </c>
      <c r="GL97">
        <v>35.307899999999997</v>
      </c>
      <c r="GM97">
        <v>91.655699999999996</v>
      </c>
      <c r="GN97">
        <v>41.198099999999997</v>
      </c>
      <c r="GO97">
        <v>23.2545</v>
      </c>
      <c r="GP97">
        <v>800</v>
      </c>
      <c r="GQ97">
        <v>0.91695400000000005</v>
      </c>
      <c r="GR97">
        <v>99.745599999999996</v>
      </c>
      <c r="GS97">
        <v>99.550700000000006</v>
      </c>
    </row>
    <row r="98" spans="1:201" x14ac:dyDescent="0.25">
      <c r="A98">
        <v>82</v>
      </c>
      <c r="B98">
        <v>1690293209.5999999</v>
      </c>
      <c r="C98">
        <v>939</v>
      </c>
      <c r="D98" t="s">
        <v>497</v>
      </c>
      <c r="E98" t="s">
        <v>498</v>
      </c>
      <c r="F98" t="s">
        <v>330</v>
      </c>
      <c r="H98">
        <v>1690293209.5999999</v>
      </c>
      <c r="I98">
        <f t="shared" si="30"/>
        <v>2.1719234179250523E-3</v>
      </c>
      <c r="J98">
        <f t="shared" si="31"/>
        <v>2.1719234179250524</v>
      </c>
      <c r="K98">
        <f t="shared" si="32"/>
        <v>32.484106248183608</v>
      </c>
      <c r="L98">
        <f t="shared" si="33"/>
        <v>465.13299999999998</v>
      </c>
      <c r="M98">
        <f t="shared" si="34"/>
        <v>139.97019764397055</v>
      </c>
      <c r="N98">
        <f t="shared" si="35"/>
        <v>13.919427145362921</v>
      </c>
      <c r="O98">
        <f t="shared" si="36"/>
        <v>46.255453056316988</v>
      </c>
      <c r="P98">
        <f t="shared" si="37"/>
        <v>0.16885187611619321</v>
      </c>
      <c r="Q98">
        <f t="shared" si="38"/>
        <v>2.2611806355352657</v>
      </c>
      <c r="R98">
        <f t="shared" si="39"/>
        <v>0.16214671857055524</v>
      </c>
      <c r="S98">
        <f t="shared" si="40"/>
        <v>0.10192194467099139</v>
      </c>
      <c r="T98">
        <f t="shared" si="41"/>
        <v>276.11633154600003</v>
      </c>
      <c r="U98">
        <f t="shared" si="42"/>
        <v>26.642722723658995</v>
      </c>
      <c r="V98">
        <f t="shared" si="43"/>
        <v>26.642722723658995</v>
      </c>
      <c r="W98">
        <f t="shared" si="44"/>
        <v>3.5047397158032636</v>
      </c>
      <c r="X98">
        <f t="shared" si="45"/>
        <v>68.342441893495362</v>
      </c>
      <c r="Y98">
        <f t="shared" si="46"/>
        <v>2.2109651696521002</v>
      </c>
      <c r="Z98">
        <f t="shared" si="47"/>
        <v>3.2351275552864514</v>
      </c>
      <c r="AA98">
        <f t="shared" si="48"/>
        <v>1.2937745461511634</v>
      </c>
      <c r="AB98">
        <f t="shared" si="49"/>
        <v>-95.78182273049481</v>
      </c>
      <c r="AC98">
        <f t="shared" si="50"/>
        <v>-164.86678164246757</v>
      </c>
      <c r="AD98">
        <f t="shared" si="51"/>
        <v>-15.573239523265109</v>
      </c>
      <c r="AE98">
        <f t="shared" si="52"/>
        <v>-0.10551235022745686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52974.619719027105</v>
      </c>
      <c r="AK98">
        <f t="shared" si="56"/>
        <v>1800</v>
      </c>
      <c r="AL98">
        <f t="shared" si="57"/>
        <v>1499.1127055999998</v>
      </c>
      <c r="AM98">
        <f t="shared" si="58"/>
        <v>0.83284039199999993</v>
      </c>
      <c r="AN98">
        <f t="shared" si="59"/>
        <v>0.15339796197000002</v>
      </c>
      <c r="AO98">
        <v>30</v>
      </c>
      <c r="AP98">
        <v>0.5</v>
      </c>
      <c r="AQ98" t="s">
        <v>331</v>
      </c>
      <c r="AR98">
        <v>2</v>
      </c>
      <c r="AS98">
        <v>1690293209.5999999</v>
      </c>
      <c r="AT98">
        <v>465.13299999999998</v>
      </c>
      <c r="AU98">
        <v>800.01499999999999</v>
      </c>
      <c r="AV98">
        <v>22.232900000000001</v>
      </c>
      <c r="AW98">
        <v>1.00044</v>
      </c>
      <c r="AX98">
        <v>465.39699999999999</v>
      </c>
      <c r="AY98">
        <v>22.081399999999999</v>
      </c>
      <c r="AZ98">
        <v>300.05500000000001</v>
      </c>
      <c r="BA98">
        <v>99.345699999999994</v>
      </c>
      <c r="BB98">
        <v>9.9948999999999996E-2</v>
      </c>
      <c r="BC98">
        <v>25.290299999999998</v>
      </c>
      <c r="BD98">
        <v>26.910799999999998</v>
      </c>
      <c r="BE98">
        <v>26.44</v>
      </c>
      <c r="BF98">
        <v>0</v>
      </c>
      <c r="BG98">
        <v>0</v>
      </c>
      <c r="BH98">
        <v>10028.1</v>
      </c>
      <c r="BI98">
        <v>1060.45</v>
      </c>
      <c r="BJ98">
        <v>2.2987099999999998</v>
      </c>
      <c r="BK98">
        <v>-334.88200000000001</v>
      </c>
      <c r="BL98">
        <v>475.709</v>
      </c>
      <c r="BM98">
        <v>800.81600000000003</v>
      </c>
      <c r="BN98">
        <v>21.232399999999998</v>
      </c>
      <c r="BO98">
        <v>800.01499999999999</v>
      </c>
      <c r="BP98">
        <v>1.00044</v>
      </c>
      <c r="BQ98">
        <v>2.2087400000000001</v>
      </c>
      <c r="BR98">
        <v>9.93893E-2</v>
      </c>
      <c r="BS98">
        <v>19.0258</v>
      </c>
      <c r="BT98">
        <v>-22.702000000000002</v>
      </c>
      <c r="BU98">
        <v>1800</v>
      </c>
      <c r="BV98">
        <v>0.909995</v>
      </c>
      <c r="BW98">
        <v>3.4003199999999997E-2</v>
      </c>
      <c r="BX98">
        <v>2.2007100000000002E-2</v>
      </c>
      <c r="BY98">
        <v>3.3994900000000002E-2</v>
      </c>
      <c r="BZ98">
        <v>25</v>
      </c>
      <c r="CA98">
        <v>33528.199999999997</v>
      </c>
      <c r="CB98">
        <v>1690292073.5</v>
      </c>
      <c r="CC98" t="s">
        <v>332</v>
      </c>
      <c r="CD98">
        <v>1690292069.5</v>
      </c>
      <c r="CE98">
        <v>1690292073.5</v>
      </c>
      <c r="CF98">
        <v>4</v>
      </c>
      <c r="CG98">
        <v>-3.6999999999999998E-2</v>
      </c>
      <c r="CH98">
        <v>-1.6E-2</v>
      </c>
      <c r="CI98">
        <v>-0.45200000000000001</v>
      </c>
      <c r="CJ98">
        <v>0.108</v>
      </c>
      <c r="CK98">
        <v>730</v>
      </c>
      <c r="CL98">
        <v>18</v>
      </c>
      <c r="CM98">
        <v>0</v>
      </c>
      <c r="CN98">
        <v>0.01</v>
      </c>
      <c r="CO98">
        <v>-332.43129268292682</v>
      </c>
      <c r="CP98">
        <v>-13.91956097560994</v>
      </c>
      <c r="CQ98">
        <v>1.37368427948439</v>
      </c>
      <c r="CR98">
        <v>-1</v>
      </c>
      <c r="CS98">
        <v>21.008039024390239</v>
      </c>
      <c r="CT98">
        <v>1.1628355400696739</v>
      </c>
      <c r="CU98">
        <v>0.1147368099184724</v>
      </c>
      <c r="CV98">
        <v>-1</v>
      </c>
      <c r="CW98">
        <v>0</v>
      </c>
      <c r="CX98">
        <v>0</v>
      </c>
      <c r="CY98" t="s">
        <v>333</v>
      </c>
      <c r="CZ98">
        <v>2.3644099999999999</v>
      </c>
      <c r="DA98">
        <v>2.7137600000000002</v>
      </c>
      <c r="DB98">
        <v>0.100563</v>
      </c>
      <c r="DC98">
        <v>0.14643400000000001</v>
      </c>
      <c r="DD98">
        <v>0.108345</v>
      </c>
      <c r="DE98">
        <v>8.0497999999999993E-3</v>
      </c>
      <c r="DF98">
        <v>32845.9</v>
      </c>
      <c r="DG98">
        <v>27506.1</v>
      </c>
      <c r="DH98">
        <v>31175</v>
      </c>
      <c r="DI98">
        <v>28079.4</v>
      </c>
      <c r="DJ98">
        <v>37735.9</v>
      </c>
      <c r="DK98">
        <v>39608.6</v>
      </c>
      <c r="DL98">
        <v>44364.7</v>
      </c>
      <c r="DM98">
        <v>42553</v>
      </c>
      <c r="DN98">
        <v>1.4858199999999999</v>
      </c>
      <c r="DO98">
        <v>2.0398800000000001</v>
      </c>
      <c r="DP98">
        <v>0.13544</v>
      </c>
      <c r="DQ98">
        <v>0.13031100000000001</v>
      </c>
      <c r="DR98">
        <v>24.691400000000002</v>
      </c>
      <c r="DS98">
        <v>24.3032</v>
      </c>
      <c r="DT98">
        <v>39.299999999999997</v>
      </c>
      <c r="DU98">
        <v>28.3</v>
      </c>
      <c r="DV98">
        <v>15.2775</v>
      </c>
      <c r="DW98">
        <v>61.553400000000003</v>
      </c>
      <c r="DX98">
        <v>35.665100000000002</v>
      </c>
      <c r="DY98">
        <v>1</v>
      </c>
      <c r="DZ98">
        <v>-0.107721</v>
      </c>
      <c r="EA98">
        <v>6.2483700000000003E-2</v>
      </c>
      <c r="EB98">
        <v>20.1907</v>
      </c>
      <c r="EC98">
        <v>5.24125</v>
      </c>
      <c r="ED98">
        <v>12.039899999999999</v>
      </c>
      <c r="EE98">
        <v>5.0173500000000004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1.8646100000000001</v>
      </c>
      <c r="EM98">
        <v>1.8692</v>
      </c>
      <c r="EN98">
        <v>1.8672200000000001</v>
      </c>
      <c r="EO98">
        <v>1.8633500000000001</v>
      </c>
      <c r="EP98">
        <v>1.8644499999999999</v>
      </c>
      <c r="EQ98">
        <v>1.87012</v>
      </c>
      <c r="ER98">
        <v>1.8693900000000001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-0.26400000000000001</v>
      </c>
      <c r="FG98">
        <v>0.1515</v>
      </c>
      <c r="FH98">
        <v>5.0310448532705943E-2</v>
      </c>
      <c r="FI98">
        <v>-6.1462078757559423E-4</v>
      </c>
      <c r="FJ98">
        <v>-1.8861989874597051E-7</v>
      </c>
      <c r="FK98">
        <v>1.1980462299894961E-10</v>
      </c>
      <c r="FL98">
        <v>0.15140825623214971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19</v>
      </c>
      <c r="FU98">
        <v>18.899999999999999</v>
      </c>
      <c r="FV98">
        <v>1.7663599999999999</v>
      </c>
      <c r="FW98">
        <v>2.5793499999999998</v>
      </c>
      <c r="FX98">
        <v>1.5490699999999999</v>
      </c>
      <c r="FY98">
        <v>2.3315399999999999</v>
      </c>
      <c r="FZ98">
        <v>1.50146</v>
      </c>
      <c r="GA98">
        <v>2.3779300000000001</v>
      </c>
      <c r="GB98">
        <v>33.065199999999997</v>
      </c>
      <c r="GC98">
        <v>23.991199999999999</v>
      </c>
      <c r="GD98">
        <v>19</v>
      </c>
      <c r="GE98">
        <v>286.19299999999998</v>
      </c>
      <c r="GF98">
        <v>583.95100000000002</v>
      </c>
      <c r="GG98">
        <v>23.331700000000001</v>
      </c>
      <c r="GH98">
        <v>26.023900000000001</v>
      </c>
      <c r="GI98">
        <v>29.999700000000001</v>
      </c>
      <c r="GJ98">
        <v>26.170400000000001</v>
      </c>
      <c r="GK98">
        <v>26.152899999999999</v>
      </c>
      <c r="GL98">
        <v>35.303800000000003</v>
      </c>
      <c r="GM98">
        <v>94.368899999999996</v>
      </c>
      <c r="GN98">
        <v>40.381399999999999</v>
      </c>
      <c r="GO98">
        <v>23.392199999999999</v>
      </c>
      <c r="GP98">
        <v>800</v>
      </c>
      <c r="GQ98">
        <v>0.69766799999999995</v>
      </c>
      <c r="GR98">
        <v>99.746399999999994</v>
      </c>
      <c r="GS98">
        <v>99.551599999999993</v>
      </c>
    </row>
    <row r="99" spans="1:201" x14ac:dyDescent="0.25">
      <c r="A99">
        <v>83</v>
      </c>
      <c r="B99">
        <v>1690293219.5999999</v>
      </c>
      <c r="C99">
        <v>949</v>
      </c>
      <c r="D99" t="s">
        <v>499</v>
      </c>
      <c r="E99" t="s">
        <v>500</v>
      </c>
      <c r="F99" t="s">
        <v>330</v>
      </c>
      <c r="H99">
        <v>1690293219.5999999</v>
      </c>
      <c r="I99">
        <f t="shared" si="30"/>
        <v>2.1934743322248847E-3</v>
      </c>
      <c r="J99">
        <f t="shared" si="31"/>
        <v>2.1934743322248846</v>
      </c>
      <c r="K99">
        <f t="shared" si="32"/>
        <v>32.733354925239354</v>
      </c>
      <c r="L99">
        <f t="shared" si="33"/>
        <v>462.827</v>
      </c>
      <c r="M99">
        <f t="shared" si="34"/>
        <v>139.12311022873581</v>
      </c>
      <c r="N99">
        <f t="shared" si="35"/>
        <v>13.835291815172335</v>
      </c>
      <c r="O99">
        <f t="shared" si="36"/>
        <v>46.026476797513105</v>
      </c>
      <c r="P99">
        <f t="shared" si="37"/>
        <v>0.17098845672316784</v>
      </c>
      <c r="Q99">
        <f t="shared" si="38"/>
        <v>2.2571684484627657</v>
      </c>
      <c r="R99">
        <f t="shared" si="39"/>
        <v>0.16410456389532574</v>
      </c>
      <c r="S99">
        <f t="shared" si="40"/>
        <v>0.10316074980399292</v>
      </c>
      <c r="T99">
        <f t="shared" si="41"/>
        <v>276.11662870800001</v>
      </c>
      <c r="U99">
        <f t="shared" si="42"/>
        <v>26.645773993083331</v>
      </c>
      <c r="V99">
        <f t="shared" si="43"/>
        <v>26.645773993083331</v>
      </c>
      <c r="W99">
        <f t="shared" si="44"/>
        <v>3.5053695228828214</v>
      </c>
      <c r="X99">
        <f t="shared" si="45"/>
        <v>68.414902947768383</v>
      </c>
      <c r="Y99">
        <f t="shared" si="46"/>
        <v>2.2143629395055702</v>
      </c>
      <c r="Z99">
        <f t="shared" si="47"/>
        <v>3.2366675155501339</v>
      </c>
      <c r="AA99">
        <f t="shared" si="48"/>
        <v>1.2910065833772513</v>
      </c>
      <c r="AB99">
        <f t="shared" si="49"/>
        <v>-96.732218051117414</v>
      </c>
      <c r="AC99">
        <f t="shared" si="50"/>
        <v>-163.97204237599527</v>
      </c>
      <c r="AD99">
        <f t="shared" si="51"/>
        <v>-15.517114323024691</v>
      </c>
      <c r="AE99">
        <f t="shared" si="52"/>
        <v>-0.10474604213737848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52815.432284478775</v>
      </c>
      <c r="AK99">
        <f t="shared" si="56"/>
        <v>1800</v>
      </c>
      <c r="AL99">
        <f t="shared" si="57"/>
        <v>1499.1102107999998</v>
      </c>
      <c r="AM99">
        <f t="shared" si="58"/>
        <v>0.83283900599999994</v>
      </c>
      <c r="AN99">
        <f t="shared" si="59"/>
        <v>0.15339812706</v>
      </c>
      <c r="AO99">
        <v>30</v>
      </c>
      <c r="AP99">
        <v>0.5</v>
      </c>
      <c r="AQ99" t="s">
        <v>331</v>
      </c>
      <c r="AR99">
        <v>2</v>
      </c>
      <c r="AS99">
        <v>1690293219.5999999</v>
      </c>
      <c r="AT99">
        <v>462.827</v>
      </c>
      <c r="AU99">
        <v>800.05399999999997</v>
      </c>
      <c r="AV99">
        <v>22.2669</v>
      </c>
      <c r="AW99">
        <v>0.837005</v>
      </c>
      <c r="AX99">
        <v>463.09</v>
      </c>
      <c r="AY99">
        <v>22.115500000000001</v>
      </c>
      <c r="AZ99">
        <v>300.23</v>
      </c>
      <c r="BA99">
        <v>99.346400000000003</v>
      </c>
      <c r="BB99">
        <v>9.9995299999999995E-2</v>
      </c>
      <c r="BC99">
        <v>25.298300000000001</v>
      </c>
      <c r="BD99">
        <v>26.8872</v>
      </c>
      <c r="BE99">
        <v>26.442299999999999</v>
      </c>
      <c r="BF99">
        <v>0</v>
      </c>
      <c r="BG99">
        <v>0</v>
      </c>
      <c r="BH99">
        <v>9996.8799999999992</v>
      </c>
      <c r="BI99">
        <v>1060.58</v>
      </c>
      <c r="BJ99">
        <v>2.2987099999999998</v>
      </c>
      <c r="BK99">
        <v>-337.22699999999998</v>
      </c>
      <c r="BL99">
        <v>473.36700000000002</v>
      </c>
      <c r="BM99">
        <v>800.72400000000005</v>
      </c>
      <c r="BN99">
        <v>21.4299</v>
      </c>
      <c r="BO99">
        <v>800.05399999999997</v>
      </c>
      <c r="BP99">
        <v>0.837005</v>
      </c>
      <c r="BQ99">
        <v>2.2121300000000002</v>
      </c>
      <c r="BR99">
        <v>8.3153400000000002E-2</v>
      </c>
      <c r="BS99">
        <v>19.0504</v>
      </c>
      <c r="BT99">
        <v>-24.6983</v>
      </c>
      <c r="BU99">
        <v>1800</v>
      </c>
      <c r="BV99">
        <v>0.90997899999999998</v>
      </c>
      <c r="BW99">
        <v>3.4001700000000003E-2</v>
      </c>
      <c r="BX99">
        <v>2.2008799999999999E-2</v>
      </c>
      <c r="BY99">
        <v>3.4010400000000003E-2</v>
      </c>
      <c r="BZ99">
        <v>25</v>
      </c>
      <c r="CA99">
        <v>33528.199999999997</v>
      </c>
      <c r="CB99">
        <v>1690292073.5</v>
      </c>
      <c r="CC99" t="s">
        <v>332</v>
      </c>
      <c r="CD99">
        <v>1690292069.5</v>
      </c>
      <c r="CE99">
        <v>1690292073.5</v>
      </c>
      <c r="CF99">
        <v>4</v>
      </c>
      <c r="CG99">
        <v>-3.6999999999999998E-2</v>
      </c>
      <c r="CH99">
        <v>-1.6E-2</v>
      </c>
      <c r="CI99">
        <v>-0.45200000000000001</v>
      </c>
      <c r="CJ99">
        <v>0.108</v>
      </c>
      <c r="CK99">
        <v>730</v>
      </c>
      <c r="CL99">
        <v>18</v>
      </c>
      <c r="CM99">
        <v>0</v>
      </c>
      <c r="CN99">
        <v>0.01</v>
      </c>
      <c r="CO99">
        <v>-334.75253658536582</v>
      </c>
      <c r="CP99">
        <v>-13.826216027874381</v>
      </c>
      <c r="CQ99">
        <v>1.364234800217667</v>
      </c>
      <c r="CR99">
        <v>-1</v>
      </c>
      <c r="CS99">
        <v>21.210536585365851</v>
      </c>
      <c r="CT99">
        <v>1.26052264808365</v>
      </c>
      <c r="CU99">
        <v>0.1243289475468059</v>
      </c>
      <c r="CV99">
        <v>-1</v>
      </c>
      <c r="CW99">
        <v>0</v>
      </c>
      <c r="CX99">
        <v>0</v>
      </c>
      <c r="CY99" t="s">
        <v>333</v>
      </c>
      <c r="CZ99">
        <v>2.3649900000000001</v>
      </c>
      <c r="DA99">
        <v>2.7137799999999999</v>
      </c>
      <c r="DB99">
        <v>0.10019500000000001</v>
      </c>
      <c r="DC99">
        <v>0.14643800000000001</v>
      </c>
      <c r="DD99">
        <v>0.108464</v>
      </c>
      <c r="DE99">
        <v>6.7948499999999998E-3</v>
      </c>
      <c r="DF99">
        <v>32859.599999999999</v>
      </c>
      <c r="DG99">
        <v>27506.2</v>
      </c>
      <c r="DH99">
        <v>31175.3</v>
      </c>
      <c r="DI99">
        <v>28079.7</v>
      </c>
      <c r="DJ99">
        <v>37730.9</v>
      </c>
      <c r="DK99">
        <v>39658.800000000003</v>
      </c>
      <c r="DL99">
        <v>44364.800000000003</v>
      </c>
      <c r="DM99">
        <v>42552.9</v>
      </c>
      <c r="DN99">
        <v>1.4863299999999999</v>
      </c>
      <c r="DO99">
        <v>2.0399500000000002</v>
      </c>
      <c r="DP99">
        <v>0.13406199999999999</v>
      </c>
      <c r="DQ99">
        <v>0.13044800000000001</v>
      </c>
      <c r="DR99">
        <v>24.6904</v>
      </c>
      <c r="DS99">
        <v>24.3032</v>
      </c>
      <c r="DT99">
        <v>38.799999999999997</v>
      </c>
      <c r="DU99">
        <v>28.3</v>
      </c>
      <c r="DV99">
        <v>15.0844</v>
      </c>
      <c r="DW99">
        <v>61.753399999999999</v>
      </c>
      <c r="DX99">
        <v>34.803699999999999</v>
      </c>
      <c r="DY99">
        <v>1</v>
      </c>
      <c r="DZ99">
        <v>-0.10863100000000001</v>
      </c>
      <c r="EA99">
        <v>-4.1503299999999998E-3</v>
      </c>
      <c r="EB99">
        <v>20.1907</v>
      </c>
      <c r="EC99">
        <v>5.24125</v>
      </c>
      <c r="ED99">
        <v>12.039899999999999</v>
      </c>
      <c r="EE99">
        <v>5.01715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</v>
      </c>
      <c r="EL99">
        <v>1.8646199999999999</v>
      </c>
      <c r="EM99">
        <v>1.8692</v>
      </c>
      <c r="EN99">
        <v>1.8672200000000001</v>
      </c>
      <c r="EO99">
        <v>1.86337</v>
      </c>
      <c r="EP99">
        <v>1.8644499999999999</v>
      </c>
      <c r="EQ99">
        <v>1.87015</v>
      </c>
      <c r="ER99">
        <v>1.8693900000000001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-0.26300000000000001</v>
      </c>
      <c r="FG99">
        <v>0.15140000000000001</v>
      </c>
      <c r="FH99">
        <v>5.0310448532705943E-2</v>
      </c>
      <c r="FI99">
        <v>-6.1462078757559423E-4</v>
      </c>
      <c r="FJ99">
        <v>-1.8861989874597051E-7</v>
      </c>
      <c r="FK99">
        <v>1.1980462299894961E-10</v>
      </c>
      <c r="FL99">
        <v>0.15140825623214971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19.2</v>
      </c>
      <c r="FU99">
        <v>19.100000000000001</v>
      </c>
      <c r="FV99">
        <v>1.7651399999999999</v>
      </c>
      <c r="FW99">
        <v>2.5854499999999998</v>
      </c>
      <c r="FX99">
        <v>1.5490699999999999</v>
      </c>
      <c r="FY99">
        <v>2.3315399999999999</v>
      </c>
      <c r="FZ99">
        <v>1.50146</v>
      </c>
      <c r="GA99">
        <v>2.3083499999999999</v>
      </c>
      <c r="GB99">
        <v>33.065199999999997</v>
      </c>
      <c r="GC99">
        <v>23.982399999999998</v>
      </c>
      <c r="GD99">
        <v>19</v>
      </c>
      <c r="GE99">
        <v>286.39499999999998</v>
      </c>
      <c r="GF99">
        <v>583.98500000000001</v>
      </c>
      <c r="GG99">
        <v>23.472799999999999</v>
      </c>
      <c r="GH99">
        <v>26.019500000000001</v>
      </c>
      <c r="GI99">
        <v>29.999600000000001</v>
      </c>
      <c r="GJ99">
        <v>26.1675</v>
      </c>
      <c r="GK99">
        <v>26.150500000000001</v>
      </c>
      <c r="GL99">
        <v>35.297499999999999</v>
      </c>
      <c r="GM99">
        <v>97.799000000000007</v>
      </c>
      <c r="GN99">
        <v>39.553899999999999</v>
      </c>
      <c r="GO99">
        <v>23.520099999999999</v>
      </c>
      <c r="GP99">
        <v>800</v>
      </c>
      <c r="GQ99">
        <v>0.47508899999999998</v>
      </c>
      <c r="GR99">
        <v>99.746899999999997</v>
      </c>
      <c r="GS99">
        <v>99.5518</v>
      </c>
    </row>
    <row r="100" spans="1:201" x14ac:dyDescent="0.25">
      <c r="A100">
        <v>84</v>
      </c>
      <c r="B100">
        <v>1690293229.5999999</v>
      </c>
      <c r="C100">
        <v>959</v>
      </c>
      <c r="D100" t="s">
        <v>501</v>
      </c>
      <c r="E100" t="s">
        <v>502</v>
      </c>
      <c r="F100" t="s">
        <v>330</v>
      </c>
      <c r="H100">
        <v>1690293229.5999999</v>
      </c>
      <c r="I100">
        <f t="shared" si="30"/>
        <v>2.2341684038024953E-3</v>
      </c>
      <c r="J100">
        <f t="shared" si="31"/>
        <v>2.2341684038024954</v>
      </c>
      <c r="K100">
        <f t="shared" si="32"/>
        <v>32.932210261536788</v>
      </c>
      <c r="L100">
        <f t="shared" si="33"/>
        <v>460.50700000000001</v>
      </c>
      <c r="M100">
        <f t="shared" si="34"/>
        <v>141.03225831378398</v>
      </c>
      <c r="N100">
        <f t="shared" si="35"/>
        <v>14.025143744659747</v>
      </c>
      <c r="O100">
        <f t="shared" si="36"/>
        <v>45.795741680971005</v>
      </c>
      <c r="P100">
        <f t="shared" si="37"/>
        <v>0.17446891625929467</v>
      </c>
      <c r="Q100">
        <f t="shared" si="38"/>
        <v>2.2566821379912594</v>
      </c>
      <c r="R100">
        <f t="shared" si="39"/>
        <v>0.16730676382927401</v>
      </c>
      <c r="S100">
        <f t="shared" si="40"/>
        <v>0.10518571855307454</v>
      </c>
      <c r="T100">
        <f t="shared" si="41"/>
        <v>276.11497185941198</v>
      </c>
      <c r="U100">
        <f t="shared" si="42"/>
        <v>26.658114309822434</v>
      </c>
      <c r="V100">
        <f t="shared" si="43"/>
        <v>26.658114309822434</v>
      </c>
      <c r="W100">
        <f t="shared" si="44"/>
        <v>3.5079176737096764</v>
      </c>
      <c r="X100">
        <f t="shared" si="45"/>
        <v>68.428276247194489</v>
      </c>
      <c r="Y100">
        <f t="shared" si="46"/>
        <v>2.2181707929355996</v>
      </c>
      <c r="Z100">
        <f t="shared" si="47"/>
        <v>3.241599693265024</v>
      </c>
      <c r="AA100">
        <f t="shared" si="48"/>
        <v>1.2897468807740768</v>
      </c>
      <c r="AB100">
        <f t="shared" si="49"/>
        <v>-98.52682660769004</v>
      </c>
      <c r="AC100">
        <f t="shared" si="50"/>
        <v>-162.32351147743771</v>
      </c>
      <c r="AD100">
        <f t="shared" si="51"/>
        <v>-15.367343032997322</v>
      </c>
      <c r="AE100">
        <f t="shared" si="52"/>
        <v>-0.1027092587131051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52791.793131660037</v>
      </c>
      <c r="AK100">
        <f t="shared" si="56"/>
        <v>1799.99</v>
      </c>
      <c r="AL100">
        <f t="shared" si="57"/>
        <v>1499.101511612</v>
      </c>
      <c r="AM100">
        <f t="shared" si="58"/>
        <v>0.83283879999999999</v>
      </c>
      <c r="AN100">
        <f t="shared" si="59"/>
        <v>0.15339805879999999</v>
      </c>
      <c r="AO100">
        <v>30</v>
      </c>
      <c r="AP100">
        <v>0.5</v>
      </c>
      <c r="AQ100" t="s">
        <v>331</v>
      </c>
      <c r="AR100">
        <v>2</v>
      </c>
      <c r="AS100">
        <v>1690293229.5999999</v>
      </c>
      <c r="AT100">
        <v>460.50700000000001</v>
      </c>
      <c r="AU100">
        <v>799.87099999999998</v>
      </c>
      <c r="AV100">
        <v>22.305199999999999</v>
      </c>
      <c r="AW100">
        <v>0.477713</v>
      </c>
      <c r="AX100">
        <v>460.76799999999997</v>
      </c>
      <c r="AY100">
        <v>22.1538</v>
      </c>
      <c r="AZ100">
        <v>300.21800000000002</v>
      </c>
      <c r="BA100">
        <v>99.346299999999999</v>
      </c>
      <c r="BB100">
        <v>0.100053</v>
      </c>
      <c r="BC100">
        <v>25.323899999999998</v>
      </c>
      <c r="BD100">
        <v>26.8901</v>
      </c>
      <c r="BE100">
        <v>26.467099999999999</v>
      </c>
      <c r="BF100">
        <v>0</v>
      </c>
      <c r="BG100">
        <v>0</v>
      </c>
      <c r="BH100">
        <v>9993.1200000000008</v>
      </c>
      <c r="BI100">
        <v>1060.6199999999999</v>
      </c>
      <c r="BJ100">
        <v>2.2987099999999998</v>
      </c>
      <c r="BK100">
        <v>-339.36500000000001</v>
      </c>
      <c r="BL100">
        <v>471.01299999999998</v>
      </c>
      <c r="BM100">
        <v>800.25300000000004</v>
      </c>
      <c r="BN100">
        <v>21.827400000000001</v>
      </c>
      <c r="BO100">
        <v>799.87099999999998</v>
      </c>
      <c r="BP100">
        <v>0.477713</v>
      </c>
      <c r="BQ100">
        <v>2.2159300000000002</v>
      </c>
      <c r="BR100">
        <v>4.7459000000000001E-2</v>
      </c>
      <c r="BS100">
        <v>19.077999999999999</v>
      </c>
      <c r="BT100">
        <v>-30.744199999999999</v>
      </c>
      <c r="BU100">
        <v>1799.99</v>
      </c>
      <c r="BV100">
        <v>0.90997799999999995</v>
      </c>
      <c r="BW100">
        <v>3.4000599999999999E-2</v>
      </c>
      <c r="BX100">
        <v>2.2008E-2</v>
      </c>
      <c r="BY100">
        <v>3.40132E-2</v>
      </c>
      <c r="BZ100">
        <v>25</v>
      </c>
      <c r="CA100">
        <v>33528.1</v>
      </c>
      <c r="CB100">
        <v>1690292073.5</v>
      </c>
      <c r="CC100" t="s">
        <v>332</v>
      </c>
      <c r="CD100">
        <v>1690292069.5</v>
      </c>
      <c r="CE100">
        <v>1690292073.5</v>
      </c>
      <c r="CF100">
        <v>4</v>
      </c>
      <c r="CG100">
        <v>-3.6999999999999998E-2</v>
      </c>
      <c r="CH100">
        <v>-1.6E-2</v>
      </c>
      <c r="CI100">
        <v>-0.45200000000000001</v>
      </c>
      <c r="CJ100">
        <v>0.108</v>
      </c>
      <c r="CK100">
        <v>730</v>
      </c>
      <c r="CL100">
        <v>18</v>
      </c>
      <c r="CM100">
        <v>0</v>
      </c>
      <c r="CN100">
        <v>0.01</v>
      </c>
      <c r="CO100">
        <v>-336.986875</v>
      </c>
      <c r="CP100">
        <v>-13.958442776734509</v>
      </c>
      <c r="CQ100">
        <v>1.345866192968308</v>
      </c>
      <c r="CR100">
        <v>-1</v>
      </c>
      <c r="CS100">
        <v>21.411754999999999</v>
      </c>
      <c r="CT100">
        <v>1.2674656660412149</v>
      </c>
      <c r="CU100">
        <v>0.12526560571441811</v>
      </c>
      <c r="CV100">
        <v>-1</v>
      </c>
      <c r="CW100">
        <v>0</v>
      </c>
      <c r="CX100">
        <v>0</v>
      </c>
      <c r="CY100" t="s">
        <v>333</v>
      </c>
      <c r="CZ100">
        <v>2.3650199999999999</v>
      </c>
      <c r="DA100">
        <v>2.7138399999999998</v>
      </c>
      <c r="DB100">
        <v>9.9822099999999997E-2</v>
      </c>
      <c r="DC100">
        <v>0.14641000000000001</v>
      </c>
      <c r="DD100">
        <v>0.108597</v>
      </c>
      <c r="DE100">
        <v>3.9565599999999996E-3</v>
      </c>
      <c r="DF100">
        <v>32873.699999999997</v>
      </c>
      <c r="DG100">
        <v>27507.599999999999</v>
      </c>
      <c r="DH100">
        <v>31175.7</v>
      </c>
      <c r="DI100">
        <v>28080.2</v>
      </c>
      <c r="DJ100">
        <v>37725.800000000003</v>
      </c>
      <c r="DK100">
        <v>39773.199999999997</v>
      </c>
      <c r="DL100">
        <v>44365.599999999999</v>
      </c>
      <c r="DM100">
        <v>42553.7</v>
      </c>
      <c r="DN100">
        <v>1.48665</v>
      </c>
      <c r="DO100">
        <v>2.03972</v>
      </c>
      <c r="DP100">
        <v>0.13434099999999999</v>
      </c>
      <c r="DQ100">
        <v>0.131968</v>
      </c>
      <c r="DR100">
        <v>24.688700000000001</v>
      </c>
      <c r="DS100">
        <v>24.3032</v>
      </c>
      <c r="DT100">
        <v>38.299999999999997</v>
      </c>
      <c r="DU100">
        <v>28.3</v>
      </c>
      <c r="DV100">
        <v>14.8886</v>
      </c>
      <c r="DW100">
        <v>61.383400000000002</v>
      </c>
      <c r="DX100">
        <v>35.288499999999999</v>
      </c>
      <c r="DY100">
        <v>1</v>
      </c>
      <c r="DZ100">
        <v>-0.10878599999999999</v>
      </c>
      <c r="EA100">
        <v>-0.139788</v>
      </c>
      <c r="EB100">
        <v>20.1904</v>
      </c>
      <c r="EC100">
        <v>5.2409499999999998</v>
      </c>
      <c r="ED100">
        <v>12.039899999999999</v>
      </c>
      <c r="EE100">
        <v>5.0170000000000003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1.8646199999999999</v>
      </c>
      <c r="EM100">
        <v>1.8692</v>
      </c>
      <c r="EN100">
        <v>1.8672200000000001</v>
      </c>
      <c r="EO100">
        <v>1.86337</v>
      </c>
      <c r="EP100">
        <v>1.8644400000000001</v>
      </c>
      <c r="EQ100">
        <v>1.8701700000000001</v>
      </c>
      <c r="ER100">
        <v>1.8694200000000001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-0.26100000000000001</v>
      </c>
      <c r="FG100">
        <v>0.15140000000000001</v>
      </c>
      <c r="FH100">
        <v>5.0310448532705943E-2</v>
      </c>
      <c r="FI100">
        <v>-6.1462078757559423E-4</v>
      </c>
      <c r="FJ100">
        <v>-1.8861989874597051E-7</v>
      </c>
      <c r="FK100">
        <v>1.1980462299894961E-10</v>
      </c>
      <c r="FL100">
        <v>0.15140825623214971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19.3</v>
      </c>
      <c r="FU100">
        <v>19.3</v>
      </c>
      <c r="FV100">
        <v>1.7651399999999999</v>
      </c>
      <c r="FW100">
        <v>2.5817899999999998</v>
      </c>
      <c r="FX100">
        <v>1.5490699999999999</v>
      </c>
      <c r="FY100">
        <v>2.3327599999999999</v>
      </c>
      <c r="FZ100">
        <v>1.50146</v>
      </c>
      <c r="GA100">
        <v>2.3327599999999999</v>
      </c>
      <c r="GB100">
        <v>33.065199999999997</v>
      </c>
      <c r="GC100">
        <v>23.982399999999998</v>
      </c>
      <c r="GD100">
        <v>19</v>
      </c>
      <c r="GE100">
        <v>286.52199999999999</v>
      </c>
      <c r="GF100">
        <v>583.74400000000003</v>
      </c>
      <c r="GG100">
        <v>23.617699999999999</v>
      </c>
      <c r="GH100">
        <v>26.015699999999999</v>
      </c>
      <c r="GI100">
        <v>29.9998</v>
      </c>
      <c r="GJ100">
        <v>26.164899999999999</v>
      </c>
      <c r="GK100">
        <v>26.145600000000002</v>
      </c>
      <c r="GL100">
        <v>35.289900000000003</v>
      </c>
      <c r="GM100">
        <v>100</v>
      </c>
      <c r="GN100">
        <v>38.350900000000003</v>
      </c>
      <c r="GO100">
        <v>23.680900000000001</v>
      </c>
      <c r="GP100">
        <v>800</v>
      </c>
      <c r="GQ100">
        <v>0.24202199999999999</v>
      </c>
      <c r="GR100">
        <v>99.748400000000004</v>
      </c>
      <c r="GS100">
        <v>99.553600000000003</v>
      </c>
    </row>
    <row r="101" spans="1:201" x14ac:dyDescent="0.25">
      <c r="A101">
        <v>85</v>
      </c>
      <c r="B101">
        <v>1690293239.5999999</v>
      </c>
      <c r="C101">
        <v>969</v>
      </c>
      <c r="D101" t="s">
        <v>503</v>
      </c>
      <c r="E101" t="s">
        <v>504</v>
      </c>
      <c r="F101" t="s">
        <v>330</v>
      </c>
      <c r="H101">
        <v>1690293239.5999999</v>
      </c>
      <c r="I101">
        <f t="shared" si="30"/>
        <v>2.2499324840300999E-3</v>
      </c>
      <c r="J101">
        <f t="shared" si="31"/>
        <v>2.2499324840300998</v>
      </c>
      <c r="K101">
        <f t="shared" si="32"/>
        <v>33.147769139682801</v>
      </c>
      <c r="L101">
        <f t="shared" si="33"/>
        <v>458.27699999999999</v>
      </c>
      <c r="M101">
        <f t="shared" si="34"/>
        <v>138.79515459804367</v>
      </c>
      <c r="N101">
        <f t="shared" si="35"/>
        <v>13.802884947770384</v>
      </c>
      <c r="O101">
        <f t="shared" si="36"/>
        <v>45.574679631492891</v>
      </c>
      <c r="P101">
        <f t="shared" si="37"/>
        <v>0.17560386272765194</v>
      </c>
      <c r="Q101">
        <f t="shared" si="38"/>
        <v>2.2636256711070115</v>
      </c>
      <c r="R101">
        <f t="shared" si="39"/>
        <v>0.16837157277168094</v>
      </c>
      <c r="S101">
        <f t="shared" si="40"/>
        <v>0.10585720485964648</v>
      </c>
      <c r="T101">
        <f t="shared" si="41"/>
        <v>276.11487269796294</v>
      </c>
      <c r="U101">
        <f t="shared" si="42"/>
        <v>26.668241584628486</v>
      </c>
      <c r="V101">
        <f t="shared" si="43"/>
        <v>26.668241584628486</v>
      </c>
      <c r="W101">
        <f t="shared" si="44"/>
        <v>3.5100100617712422</v>
      </c>
      <c r="X101">
        <f t="shared" si="45"/>
        <v>68.387808945822442</v>
      </c>
      <c r="Y101">
        <f t="shared" si="46"/>
        <v>2.2193785098009</v>
      </c>
      <c r="Z101">
        <f t="shared" si="47"/>
        <v>3.2452838364204872</v>
      </c>
      <c r="AA101">
        <f t="shared" si="48"/>
        <v>1.2906315519703422</v>
      </c>
      <c r="AB101">
        <f t="shared" si="49"/>
        <v>-99.222022545727413</v>
      </c>
      <c r="AC101">
        <f t="shared" si="50"/>
        <v>-161.7279601780314</v>
      </c>
      <c r="AD101">
        <f t="shared" si="51"/>
        <v>-15.2662333441111</v>
      </c>
      <c r="AE101">
        <f t="shared" si="52"/>
        <v>-0.10134336990699921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53061.581199955399</v>
      </c>
      <c r="AK101">
        <f t="shared" si="56"/>
        <v>1799.99</v>
      </c>
      <c r="AL101">
        <f t="shared" si="57"/>
        <v>1499.1020804088398</v>
      </c>
      <c r="AM101">
        <f t="shared" si="58"/>
        <v>0.83283911599999993</v>
      </c>
      <c r="AN101">
        <f t="shared" si="59"/>
        <v>0.15339800371000001</v>
      </c>
      <c r="AO101">
        <v>30</v>
      </c>
      <c r="AP101">
        <v>0.5</v>
      </c>
      <c r="AQ101" t="s">
        <v>331</v>
      </c>
      <c r="AR101">
        <v>2</v>
      </c>
      <c r="AS101">
        <v>1690293239.5999999</v>
      </c>
      <c r="AT101">
        <v>458.27699999999999</v>
      </c>
      <c r="AU101">
        <v>799.95399999999995</v>
      </c>
      <c r="AV101">
        <v>22.317</v>
      </c>
      <c r="AW101">
        <v>0.32697599999999999</v>
      </c>
      <c r="AX101">
        <v>458.536</v>
      </c>
      <c r="AY101">
        <v>22.165600000000001</v>
      </c>
      <c r="AZ101">
        <v>300.09800000000001</v>
      </c>
      <c r="BA101">
        <v>99.347899999999996</v>
      </c>
      <c r="BB101">
        <v>9.9987699999999999E-2</v>
      </c>
      <c r="BC101">
        <v>25.343</v>
      </c>
      <c r="BD101">
        <v>26.9255</v>
      </c>
      <c r="BE101">
        <v>26.494900000000001</v>
      </c>
      <c r="BF101">
        <v>0</v>
      </c>
      <c r="BG101">
        <v>0</v>
      </c>
      <c r="BH101">
        <v>10046.9</v>
      </c>
      <c r="BI101">
        <v>1060.67</v>
      </c>
      <c r="BJ101">
        <v>2.2987099999999998</v>
      </c>
      <c r="BK101">
        <v>-341.678</v>
      </c>
      <c r="BL101">
        <v>468.73700000000002</v>
      </c>
      <c r="BM101">
        <v>800.21600000000001</v>
      </c>
      <c r="BN101">
        <v>21.99</v>
      </c>
      <c r="BO101">
        <v>799.95399999999995</v>
      </c>
      <c r="BP101">
        <v>0.32697599999999999</v>
      </c>
      <c r="BQ101">
        <v>2.2171500000000002</v>
      </c>
      <c r="BR101">
        <v>3.2484300000000001E-2</v>
      </c>
      <c r="BS101">
        <v>19.0868</v>
      </c>
      <c r="BT101">
        <v>-34.6432</v>
      </c>
      <c r="BU101">
        <v>1799.99</v>
      </c>
      <c r="BV101">
        <v>0.90998100000000004</v>
      </c>
      <c r="BW101">
        <v>3.3999500000000002E-2</v>
      </c>
      <c r="BX101">
        <v>2.20073E-2</v>
      </c>
      <c r="BY101">
        <v>3.4012100000000003E-2</v>
      </c>
      <c r="BZ101">
        <v>25</v>
      </c>
      <c r="CA101">
        <v>33528.1</v>
      </c>
      <c r="CB101">
        <v>1690292073.5</v>
      </c>
      <c r="CC101" t="s">
        <v>332</v>
      </c>
      <c r="CD101">
        <v>1690292069.5</v>
      </c>
      <c r="CE101">
        <v>1690292073.5</v>
      </c>
      <c r="CF101">
        <v>4</v>
      </c>
      <c r="CG101">
        <v>-3.6999999999999998E-2</v>
      </c>
      <c r="CH101">
        <v>-1.6E-2</v>
      </c>
      <c r="CI101">
        <v>-0.45200000000000001</v>
      </c>
      <c r="CJ101">
        <v>0.108</v>
      </c>
      <c r="CK101">
        <v>730</v>
      </c>
      <c r="CL101">
        <v>18</v>
      </c>
      <c r="CM101">
        <v>0</v>
      </c>
      <c r="CN101">
        <v>0.01</v>
      </c>
      <c r="CO101">
        <v>-339.26107317073172</v>
      </c>
      <c r="CP101">
        <v>-13.381944250871239</v>
      </c>
      <c r="CQ101">
        <v>1.3237047123047301</v>
      </c>
      <c r="CR101">
        <v>-1</v>
      </c>
      <c r="CS101">
        <v>21.720631707317079</v>
      </c>
      <c r="CT101">
        <v>2.136119163763051</v>
      </c>
      <c r="CU101">
        <v>0.21725659488042301</v>
      </c>
      <c r="CV101">
        <v>-1</v>
      </c>
      <c r="CW101">
        <v>0</v>
      </c>
      <c r="CX101">
        <v>0</v>
      </c>
      <c r="CY101" t="s">
        <v>333</v>
      </c>
      <c r="CZ101">
        <v>2.3645999999999998</v>
      </c>
      <c r="DA101">
        <v>2.7138200000000001</v>
      </c>
      <c r="DB101">
        <v>9.9465100000000001E-2</v>
      </c>
      <c r="DC101">
        <v>0.14641899999999999</v>
      </c>
      <c r="DD101">
        <v>0.108641</v>
      </c>
      <c r="DE101">
        <v>2.7333399999999999E-3</v>
      </c>
      <c r="DF101">
        <v>32886.699999999997</v>
      </c>
      <c r="DG101">
        <v>27507.7</v>
      </c>
      <c r="DH101">
        <v>31175.7</v>
      </c>
      <c r="DI101">
        <v>28080.5</v>
      </c>
      <c r="DJ101">
        <v>37723.9</v>
      </c>
      <c r="DK101">
        <v>39822.400000000001</v>
      </c>
      <c r="DL101">
        <v>44365.599999999999</v>
      </c>
      <c r="DM101">
        <v>42553.9</v>
      </c>
      <c r="DN101">
        <v>1.4866999999999999</v>
      </c>
      <c r="DO101">
        <v>2.0397799999999999</v>
      </c>
      <c r="DP101">
        <v>0.13650999999999999</v>
      </c>
      <c r="DQ101">
        <v>0.133544</v>
      </c>
      <c r="DR101">
        <v>24.688700000000001</v>
      </c>
      <c r="DS101">
        <v>24.305199999999999</v>
      </c>
      <c r="DT101">
        <v>37.9</v>
      </c>
      <c r="DU101">
        <v>28.3</v>
      </c>
      <c r="DV101">
        <v>14.7317</v>
      </c>
      <c r="DW101">
        <v>60.953400000000002</v>
      </c>
      <c r="DX101">
        <v>35.785299999999999</v>
      </c>
      <c r="DY101">
        <v>1</v>
      </c>
      <c r="DZ101">
        <v>-0.108791</v>
      </c>
      <c r="EA101">
        <v>-0.17347000000000001</v>
      </c>
      <c r="EB101">
        <v>20.1906</v>
      </c>
      <c r="EC101">
        <v>5.2413999999999996</v>
      </c>
      <c r="ED101">
        <v>12.039899999999999</v>
      </c>
      <c r="EE101">
        <v>5.0171000000000001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</v>
      </c>
      <c r="EL101">
        <v>1.8646100000000001</v>
      </c>
      <c r="EM101">
        <v>1.8691899999999999</v>
      </c>
      <c r="EN101">
        <v>1.8672200000000001</v>
      </c>
      <c r="EO101">
        <v>1.86337</v>
      </c>
      <c r="EP101">
        <v>1.86443</v>
      </c>
      <c r="EQ101">
        <v>1.8701300000000001</v>
      </c>
      <c r="ER101">
        <v>1.8693900000000001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-0.25900000000000001</v>
      </c>
      <c r="FG101">
        <v>0.15140000000000001</v>
      </c>
      <c r="FH101">
        <v>5.0310448532705943E-2</v>
      </c>
      <c r="FI101">
        <v>-6.1462078757559423E-4</v>
      </c>
      <c r="FJ101">
        <v>-1.8861989874597051E-7</v>
      </c>
      <c r="FK101">
        <v>1.1980462299894961E-10</v>
      </c>
      <c r="FL101">
        <v>0.15140825623214971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19.5</v>
      </c>
      <c r="FU101">
        <v>19.399999999999999</v>
      </c>
      <c r="FV101">
        <v>1.7651399999999999</v>
      </c>
      <c r="FW101">
        <v>2.5805699999999998</v>
      </c>
      <c r="FX101">
        <v>1.5490699999999999</v>
      </c>
      <c r="FY101">
        <v>2.3315399999999999</v>
      </c>
      <c r="FZ101">
        <v>1.50146</v>
      </c>
      <c r="GA101">
        <v>2.3742700000000001</v>
      </c>
      <c r="GB101">
        <v>33.065199999999997</v>
      </c>
      <c r="GC101">
        <v>23.991199999999999</v>
      </c>
      <c r="GD101">
        <v>19</v>
      </c>
      <c r="GE101">
        <v>286.52699999999999</v>
      </c>
      <c r="GF101">
        <v>583.76599999999996</v>
      </c>
      <c r="GG101">
        <v>23.770299999999999</v>
      </c>
      <c r="GH101">
        <v>26.012499999999999</v>
      </c>
      <c r="GI101">
        <v>30.0002</v>
      </c>
      <c r="GJ101">
        <v>26.161100000000001</v>
      </c>
      <c r="GK101">
        <v>26.143899999999999</v>
      </c>
      <c r="GL101">
        <v>35.2911</v>
      </c>
      <c r="GM101">
        <v>100</v>
      </c>
      <c r="GN101">
        <v>37.603900000000003</v>
      </c>
      <c r="GO101">
        <v>23.803799999999999</v>
      </c>
      <c r="GP101">
        <v>800</v>
      </c>
      <c r="GQ101">
        <v>3.02866E-2</v>
      </c>
      <c r="GR101">
        <v>99.748500000000007</v>
      </c>
      <c r="GS101">
        <v>99.554500000000004</v>
      </c>
    </row>
    <row r="102" spans="1:201" x14ac:dyDescent="0.25">
      <c r="A102">
        <v>86</v>
      </c>
      <c r="B102">
        <v>1690293249.5999999</v>
      </c>
      <c r="C102">
        <v>979</v>
      </c>
      <c r="D102" t="s">
        <v>505</v>
      </c>
      <c r="E102" t="s">
        <v>506</v>
      </c>
      <c r="F102" t="s">
        <v>330</v>
      </c>
      <c r="H102">
        <v>1690293249.5999999</v>
      </c>
      <c r="I102">
        <f t="shared" si="30"/>
        <v>2.2569304009731565E-3</v>
      </c>
      <c r="J102">
        <f t="shared" si="31"/>
        <v>2.2569304009731566</v>
      </c>
      <c r="K102">
        <f t="shared" si="32"/>
        <v>33.399060650350371</v>
      </c>
      <c r="L102">
        <f t="shared" si="33"/>
        <v>455.99799999999999</v>
      </c>
      <c r="M102">
        <f t="shared" si="34"/>
        <v>134.69501881100928</v>
      </c>
      <c r="N102">
        <f t="shared" si="35"/>
        <v>13.395047862502956</v>
      </c>
      <c r="O102">
        <f t="shared" si="36"/>
        <v>45.347742545519999</v>
      </c>
      <c r="P102">
        <f t="shared" si="37"/>
        <v>0.17590956287606974</v>
      </c>
      <c r="Q102">
        <f t="shared" si="38"/>
        <v>2.2566938174746651</v>
      </c>
      <c r="R102">
        <f t="shared" si="39"/>
        <v>0.16863133044872822</v>
      </c>
      <c r="S102">
        <f t="shared" si="40"/>
        <v>0.10602340831133317</v>
      </c>
      <c r="T102">
        <f t="shared" si="41"/>
        <v>276.11620947</v>
      </c>
      <c r="U102">
        <f t="shared" si="42"/>
        <v>26.690030481529121</v>
      </c>
      <c r="V102">
        <f t="shared" si="43"/>
        <v>26.690030481529121</v>
      </c>
      <c r="W102">
        <f t="shared" si="44"/>
        <v>3.5145155426903592</v>
      </c>
      <c r="X102">
        <f t="shared" si="45"/>
        <v>68.3831182004607</v>
      </c>
      <c r="Y102">
        <f t="shared" si="46"/>
        <v>2.2219198491480001</v>
      </c>
      <c r="Z102">
        <f t="shared" si="47"/>
        <v>3.2492227725483143</v>
      </c>
      <c r="AA102">
        <f t="shared" si="48"/>
        <v>1.292595693542359</v>
      </c>
      <c r="AB102">
        <f t="shared" si="49"/>
        <v>-99.530630682916197</v>
      </c>
      <c r="AC102">
        <f t="shared" si="50"/>
        <v>-161.40168121506608</v>
      </c>
      <c r="AD102">
        <f t="shared" si="51"/>
        <v>-15.285467658839684</v>
      </c>
      <c r="AE102">
        <f t="shared" si="52"/>
        <v>-0.10157008682196533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52785.282273809207</v>
      </c>
      <c r="AK102">
        <f t="shared" si="56"/>
        <v>1800</v>
      </c>
      <c r="AL102">
        <f t="shared" si="57"/>
        <v>1499.1105599999999</v>
      </c>
      <c r="AM102">
        <f t="shared" si="58"/>
        <v>0.83283919999999989</v>
      </c>
      <c r="AN102">
        <f t="shared" si="59"/>
        <v>0.15339789414999999</v>
      </c>
      <c r="AO102">
        <v>30</v>
      </c>
      <c r="AP102">
        <v>0.5</v>
      </c>
      <c r="AQ102" t="s">
        <v>331</v>
      </c>
      <c r="AR102">
        <v>2</v>
      </c>
      <c r="AS102">
        <v>1690293249.5999999</v>
      </c>
      <c r="AT102">
        <v>455.99799999999999</v>
      </c>
      <c r="AU102">
        <v>800.02099999999996</v>
      </c>
      <c r="AV102">
        <v>22.342700000000001</v>
      </c>
      <c r="AW102">
        <v>0.294265</v>
      </c>
      <c r="AX102">
        <v>456.25599999999997</v>
      </c>
      <c r="AY102">
        <v>22.191299999999998</v>
      </c>
      <c r="AZ102">
        <v>300.226</v>
      </c>
      <c r="BA102">
        <v>99.347200000000001</v>
      </c>
      <c r="BB102">
        <v>0.10004</v>
      </c>
      <c r="BC102">
        <v>25.363399999999999</v>
      </c>
      <c r="BD102">
        <v>26.9573</v>
      </c>
      <c r="BE102">
        <v>26.508199999999999</v>
      </c>
      <c r="BF102">
        <v>0</v>
      </c>
      <c r="BG102">
        <v>0</v>
      </c>
      <c r="BH102">
        <v>9993.1200000000008</v>
      </c>
      <c r="BI102">
        <v>1060.69</v>
      </c>
      <c r="BJ102">
        <v>2.2987099999999998</v>
      </c>
      <c r="BK102">
        <v>-344.02300000000002</v>
      </c>
      <c r="BL102">
        <v>466.41899999999998</v>
      </c>
      <c r="BM102">
        <v>800.25699999999995</v>
      </c>
      <c r="BN102">
        <v>22.048400000000001</v>
      </c>
      <c r="BO102">
        <v>800.02099999999996</v>
      </c>
      <c r="BP102">
        <v>0.294265</v>
      </c>
      <c r="BQ102">
        <v>2.2196899999999999</v>
      </c>
      <c r="BR102">
        <v>2.9234400000000001E-2</v>
      </c>
      <c r="BS102">
        <v>19.1051</v>
      </c>
      <c r="BT102">
        <v>-35.701799999999999</v>
      </c>
      <c r="BU102">
        <v>1800</v>
      </c>
      <c r="BV102">
        <v>0.90998400000000002</v>
      </c>
      <c r="BW102">
        <v>3.3998300000000002E-2</v>
      </c>
      <c r="BX102">
        <v>2.2006499999999998E-2</v>
      </c>
      <c r="BY102">
        <v>3.4010899999999997E-2</v>
      </c>
      <c r="BZ102">
        <v>25</v>
      </c>
      <c r="CA102">
        <v>33528.199999999997</v>
      </c>
      <c r="CB102">
        <v>1690292073.5</v>
      </c>
      <c r="CC102" t="s">
        <v>332</v>
      </c>
      <c r="CD102">
        <v>1690292069.5</v>
      </c>
      <c r="CE102">
        <v>1690292073.5</v>
      </c>
      <c r="CF102">
        <v>4</v>
      </c>
      <c r="CG102">
        <v>-3.6999999999999998E-2</v>
      </c>
      <c r="CH102">
        <v>-1.6E-2</v>
      </c>
      <c r="CI102">
        <v>-0.45200000000000001</v>
      </c>
      <c r="CJ102">
        <v>0.108</v>
      </c>
      <c r="CK102">
        <v>730</v>
      </c>
      <c r="CL102">
        <v>18</v>
      </c>
      <c r="CM102">
        <v>0</v>
      </c>
      <c r="CN102">
        <v>0.01</v>
      </c>
      <c r="CO102">
        <v>-341.50821951219518</v>
      </c>
      <c r="CP102">
        <v>-14.01788153310099</v>
      </c>
      <c r="CQ102">
        <v>1.3829369862404981</v>
      </c>
      <c r="CR102">
        <v>-1</v>
      </c>
      <c r="CS102">
        <v>21.965453658536589</v>
      </c>
      <c r="CT102">
        <v>0.60741951219514478</v>
      </c>
      <c r="CU102">
        <v>6.5720008823689821E-2</v>
      </c>
      <c r="CV102">
        <v>-1</v>
      </c>
      <c r="CW102">
        <v>0</v>
      </c>
      <c r="CX102">
        <v>0</v>
      </c>
      <c r="CY102" t="s">
        <v>333</v>
      </c>
      <c r="CZ102">
        <v>2.3650500000000001</v>
      </c>
      <c r="DA102">
        <v>2.7138300000000002</v>
      </c>
      <c r="DB102">
        <v>9.9097000000000005E-2</v>
      </c>
      <c r="DC102">
        <v>0.146427</v>
      </c>
      <c r="DD102">
        <v>0.10872999999999999</v>
      </c>
      <c r="DE102">
        <v>2.4647499999999999E-3</v>
      </c>
      <c r="DF102">
        <v>32900.5</v>
      </c>
      <c r="DG102">
        <v>27507.4</v>
      </c>
      <c r="DH102">
        <v>31176</v>
      </c>
      <c r="DI102">
        <v>28080.5</v>
      </c>
      <c r="DJ102">
        <v>37720.400000000001</v>
      </c>
      <c r="DK102">
        <v>39833</v>
      </c>
      <c r="DL102">
        <v>44366</v>
      </c>
      <c r="DM102">
        <v>42553.7</v>
      </c>
      <c r="DN102">
        <v>1.4870300000000001</v>
      </c>
      <c r="DO102">
        <v>2.0396000000000001</v>
      </c>
      <c r="DP102">
        <v>0.13845399999999999</v>
      </c>
      <c r="DQ102">
        <v>0.134237</v>
      </c>
      <c r="DR102">
        <v>24.688700000000001</v>
      </c>
      <c r="DS102">
        <v>24.307099999999998</v>
      </c>
      <c r="DT102">
        <v>37.5</v>
      </c>
      <c r="DU102">
        <v>28.3</v>
      </c>
      <c r="DV102">
        <v>14.5771</v>
      </c>
      <c r="DW102">
        <v>61.903399999999998</v>
      </c>
      <c r="DX102">
        <v>34.863799999999998</v>
      </c>
      <c r="DY102">
        <v>1</v>
      </c>
      <c r="DZ102">
        <v>-0.109037</v>
      </c>
      <c r="EA102">
        <v>-0.11307200000000001</v>
      </c>
      <c r="EB102">
        <v>20.1907</v>
      </c>
      <c r="EC102">
        <v>5.2415500000000002</v>
      </c>
      <c r="ED102">
        <v>12.039899999999999</v>
      </c>
      <c r="EE102">
        <v>5.0165499999999996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1.8646199999999999</v>
      </c>
      <c r="EM102">
        <v>1.8692</v>
      </c>
      <c r="EN102">
        <v>1.8672200000000001</v>
      </c>
      <c r="EO102">
        <v>1.86338</v>
      </c>
      <c r="EP102">
        <v>1.8644499999999999</v>
      </c>
      <c r="EQ102">
        <v>1.8701399999999999</v>
      </c>
      <c r="ER102">
        <v>1.8693900000000001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-0.25800000000000001</v>
      </c>
      <c r="FG102">
        <v>0.15140000000000001</v>
      </c>
      <c r="FH102">
        <v>5.0310448532705943E-2</v>
      </c>
      <c r="FI102">
        <v>-6.1462078757559423E-4</v>
      </c>
      <c r="FJ102">
        <v>-1.8861989874597051E-7</v>
      </c>
      <c r="FK102">
        <v>1.1980462299894961E-10</v>
      </c>
      <c r="FL102">
        <v>0.15140825623214971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19.7</v>
      </c>
      <c r="FU102">
        <v>19.600000000000001</v>
      </c>
      <c r="FV102">
        <v>1.7651399999999999</v>
      </c>
      <c r="FW102">
        <v>2.5817899999999998</v>
      </c>
      <c r="FX102">
        <v>1.5490699999999999</v>
      </c>
      <c r="FY102">
        <v>2.3327599999999999</v>
      </c>
      <c r="FZ102">
        <v>1.50146</v>
      </c>
      <c r="GA102">
        <v>2.3083499999999999</v>
      </c>
      <c r="GB102">
        <v>33.065199999999997</v>
      </c>
      <c r="GC102">
        <v>23.982399999999998</v>
      </c>
      <c r="GD102">
        <v>19</v>
      </c>
      <c r="GE102">
        <v>286.65600000000001</v>
      </c>
      <c r="GF102">
        <v>583.596</v>
      </c>
      <c r="GG102">
        <v>23.8721</v>
      </c>
      <c r="GH102">
        <v>26.008500000000002</v>
      </c>
      <c r="GI102">
        <v>30</v>
      </c>
      <c r="GJ102">
        <v>26.1587</v>
      </c>
      <c r="GK102">
        <v>26.1418</v>
      </c>
      <c r="GL102">
        <v>35.288600000000002</v>
      </c>
      <c r="GM102">
        <v>100</v>
      </c>
      <c r="GN102">
        <v>36.789200000000001</v>
      </c>
      <c r="GO102">
        <v>23.8795</v>
      </c>
      <c r="GP102">
        <v>800</v>
      </c>
      <c r="GQ102">
        <v>0</v>
      </c>
      <c r="GR102">
        <v>99.749399999999994</v>
      </c>
      <c r="GS102">
        <v>99.554100000000005</v>
      </c>
    </row>
    <row r="103" spans="1:201" x14ac:dyDescent="0.25">
      <c r="A103">
        <v>87</v>
      </c>
      <c r="B103">
        <v>1690293259.5999999</v>
      </c>
      <c r="C103">
        <v>989</v>
      </c>
      <c r="D103" t="s">
        <v>507</v>
      </c>
      <c r="E103" t="s">
        <v>508</v>
      </c>
      <c r="F103" t="s">
        <v>330</v>
      </c>
      <c r="H103">
        <v>1690293259.5999999</v>
      </c>
      <c r="I103">
        <f t="shared" si="30"/>
        <v>2.2638825559220762E-3</v>
      </c>
      <c r="J103">
        <f t="shared" si="31"/>
        <v>2.2638825559220761</v>
      </c>
      <c r="K103">
        <f t="shared" si="32"/>
        <v>33.627283756170876</v>
      </c>
      <c r="L103">
        <f t="shared" si="33"/>
        <v>453.56200000000001</v>
      </c>
      <c r="M103">
        <f t="shared" si="34"/>
        <v>131.62345722593631</v>
      </c>
      <c r="N103">
        <f t="shared" si="35"/>
        <v>13.089282726098629</v>
      </c>
      <c r="O103">
        <f t="shared" si="36"/>
        <v>45.104431815858</v>
      </c>
      <c r="P103">
        <f t="shared" si="37"/>
        <v>0.17673945059304599</v>
      </c>
      <c r="Q103">
        <f t="shared" si="38"/>
        <v>2.2592394943901311</v>
      </c>
      <c r="R103">
        <f t="shared" si="39"/>
        <v>0.16940183222559371</v>
      </c>
      <c r="S103">
        <f t="shared" si="40"/>
        <v>0.10651001596454357</v>
      </c>
      <c r="T103">
        <f t="shared" si="41"/>
        <v>276.11619811200006</v>
      </c>
      <c r="U103">
        <f t="shared" si="42"/>
        <v>26.706939492125681</v>
      </c>
      <c r="V103">
        <f t="shared" si="43"/>
        <v>26.706939492125681</v>
      </c>
      <c r="W103">
        <f t="shared" si="44"/>
        <v>3.5180154455876931</v>
      </c>
      <c r="X103">
        <f t="shared" si="45"/>
        <v>68.46869586903945</v>
      </c>
      <c r="Y103">
        <f t="shared" si="46"/>
        <v>2.2274267387274</v>
      </c>
      <c r="Z103">
        <f t="shared" si="47"/>
        <v>3.2532045637145104</v>
      </c>
      <c r="AA103">
        <f t="shared" si="48"/>
        <v>1.290588706860293</v>
      </c>
      <c r="AB103">
        <f t="shared" si="49"/>
        <v>-99.837220716163557</v>
      </c>
      <c r="AC103">
        <f t="shared" si="50"/>
        <v>-161.13418839299473</v>
      </c>
      <c r="AD103">
        <f t="shared" si="51"/>
        <v>-15.245807788386106</v>
      </c>
      <c r="AE103">
        <f t="shared" si="52"/>
        <v>-0.10101878554434052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52881.618735986696</v>
      </c>
      <c r="AK103">
        <f t="shared" si="56"/>
        <v>1800</v>
      </c>
      <c r="AL103">
        <f t="shared" si="57"/>
        <v>1499.1118362</v>
      </c>
      <c r="AM103">
        <f t="shared" si="58"/>
        <v>0.83283990899999993</v>
      </c>
      <c r="AN103">
        <f t="shared" si="59"/>
        <v>0.15339788784000002</v>
      </c>
      <c r="AO103">
        <v>30</v>
      </c>
      <c r="AP103">
        <v>0.5</v>
      </c>
      <c r="AQ103" t="s">
        <v>331</v>
      </c>
      <c r="AR103">
        <v>2</v>
      </c>
      <c r="AS103">
        <v>1690293259.5999999</v>
      </c>
      <c r="AT103">
        <v>453.56200000000001</v>
      </c>
      <c r="AU103">
        <v>799.95399999999995</v>
      </c>
      <c r="AV103">
        <v>22.398599999999998</v>
      </c>
      <c r="AW103">
        <v>0.27636500000000003</v>
      </c>
      <c r="AX103">
        <v>453.81799999999998</v>
      </c>
      <c r="AY103">
        <v>22.247199999999999</v>
      </c>
      <c r="AZ103">
        <v>300.12900000000002</v>
      </c>
      <c r="BA103">
        <v>99.344899999999996</v>
      </c>
      <c r="BB103">
        <v>0.100009</v>
      </c>
      <c r="BC103">
        <v>25.384</v>
      </c>
      <c r="BD103">
        <v>26.984300000000001</v>
      </c>
      <c r="BE103">
        <v>26.526199999999999</v>
      </c>
      <c r="BF103">
        <v>0</v>
      </c>
      <c r="BG103">
        <v>0</v>
      </c>
      <c r="BH103">
        <v>10013.1</v>
      </c>
      <c r="BI103">
        <v>1060.79</v>
      </c>
      <c r="BJ103">
        <v>2.3127300000000002</v>
      </c>
      <c r="BK103">
        <v>-346.392</v>
      </c>
      <c r="BL103">
        <v>463.95400000000001</v>
      </c>
      <c r="BM103">
        <v>800.17499999999995</v>
      </c>
      <c r="BN103">
        <v>22.122199999999999</v>
      </c>
      <c r="BO103">
        <v>799.95399999999995</v>
      </c>
      <c r="BP103">
        <v>0.27636500000000003</v>
      </c>
      <c r="BQ103">
        <v>2.22519</v>
      </c>
      <c r="BR103">
        <v>2.7455500000000001E-2</v>
      </c>
      <c r="BS103">
        <v>19.1448</v>
      </c>
      <c r="BT103">
        <v>-36.327100000000002</v>
      </c>
      <c r="BU103">
        <v>1800</v>
      </c>
      <c r="BV103">
        <v>0.90998800000000002</v>
      </c>
      <c r="BW103">
        <v>3.3996899999999997E-2</v>
      </c>
      <c r="BX103">
        <v>2.20057E-2</v>
      </c>
      <c r="BY103">
        <v>3.4009600000000001E-2</v>
      </c>
      <c r="BZ103">
        <v>25</v>
      </c>
      <c r="CA103">
        <v>33528.300000000003</v>
      </c>
      <c r="CB103">
        <v>1690292073.5</v>
      </c>
      <c r="CC103" t="s">
        <v>332</v>
      </c>
      <c r="CD103">
        <v>1690292069.5</v>
      </c>
      <c r="CE103">
        <v>1690292073.5</v>
      </c>
      <c r="CF103">
        <v>4</v>
      </c>
      <c r="CG103">
        <v>-3.6999999999999998E-2</v>
      </c>
      <c r="CH103">
        <v>-1.6E-2</v>
      </c>
      <c r="CI103">
        <v>-0.45200000000000001</v>
      </c>
      <c r="CJ103">
        <v>0.108</v>
      </c>
      <c r="CK103">
        <v>730</v>
      </c>
      <c r="CL103">
        <v>18</v>
      </c>
      <c r="CM103">
        <v>0</v>
      </c>
      <c r="CN103">
        <v>0.01</v>
      </c>
      <c r="CO103">
        <v>-344.01665000000003</v>
      </c>
      <c r="CP103">
        <v>-14.043151969980199</v>
      </c>
      <c r="CQ103">
        <v>1.3513973425680541</v>
      </c>
      <c r="CR103">
        <v>-1</v>
      </c>
      <c r="CS103">
        <v>22.0502225</v>
      </c>
      <c r="CT103">
        <v>0.40150131332075673</v>
      </c>
      <c r="CU103">
        <v>3.8694582873446293E-2</v>
      </c>
      <c r="CV103">
        <v>-1</v>
      </c>
      <c r="CW103">
        <v>0</v>
      </c>
      <c r="CX103">
        <v>0</v>
      </c>
      <c r="CY103" t="s">
        <v>333</v>
      </c>
      <c r="CZ103">
        <v>2.3647200000000002</v>
      </c>
      <c r="DA103">
        <v>2.7138100000000001</v>
      </c>
      <c r="DB103">
        <v>9.8701300000000006E-2</v>
      </c>
      <c r="DC103">
        <v>0.14641599999999999</v>
      </c>
      <c r="DD103">
        <v>0.108921</v>
      </c>
      <c r="DE103">
        <v>2.3173E-3</v>
      </c>
      <c r="DF103">
        <v>32914.400000000001</v>
      </c>
      <c r="DG103">
        <v>27507.9</v>
      </c>
      <c r="DH103">
        <v>31175.4</v>
      </c>
      <c r="DI103">
        <v>28080.7</v>
      </c>
      <c r="DJ103">
        <v>37711.5</v>
      </c>
      <c r="DK103">
        <v>39839.1</v>
      </c>
      <c r="DL103">
        <v>44365.2</v>
      </c>
      <c r="DM103">
        <v>42554</v>
      </c>
      <c r="DN103">
        <v>1.48675</v>
      </c>
      <c r="DO103">
        <v>2.0396700000000001</v>
      </c>
      <c r="DP103">
        <v>0.140101</v>
      </c>
      <c r="DQ103">
        <v>0.13520599999999999</v>
      </c>
      <c r="DR103">
        <v>24.688700000000001</v>
      </c>
      <c r="DS103">
        <v>24.3093</v>
      </c>
      <c r="DT103">
        <v>37</v>
      </c>
      <c r="DU103">
        <v>28.3</v>
      </c>
      <c r="DV103">
        <v>14.3826</v>
      </c>
      <c r="DW103">
        <v>61.8033</v>
      </c>
      <c r="DX103">
        <v>35.5809</v>
      </c>
      <c r="DY103">
        <v>1</v>
      </c>
      <c r="DZ103">
        <v>-0.109677</v>
      </c>
      <c r="EA103">
        <v>-5.3224399999999998E-2</v>
      </c>
      <c r="EB103">
        <v>20.1907</v>
      </c>
      <c r="EC103">
        <v>5.2411000000000003</v>
      </c>
      <c r="ED103">
        <v>12.039899999999999</v>
      </c>
      <c r="EE103">
        <v>5.0169499999999996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</v>
      </c>
      <c r="EL103">
        <v>1.8646199999999999</v>
      </c>
      <c r="EM103">
        <v>1.8692</v>
      </c>
      <c r="EN103">
        <v>1.8672200000000001</v>
      </c>
      <c r="EO103">
        <v>1.8633599999999999</v>
      </c>
      <c r="EP103">
        <v>1.8644499999999999</v>
      </c>
      <c r="EQ103">
        <v>1.87016</v>
      </c>
      <c r="ER103">
        <v>1.86937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-0.25600000000000001</v>
      </c>
      <c r="FG103">
        <v>0.15140000000000001</v>
      </c>
      <c r="FH103">
        <v>5.0310448532705943E-2</v>
      </c>
      <c r="FI103">
        <v>-6.1462078757559423E-4</v>
      </c>
      <c r="FJ103">
        <v>-1.8861989874597051E-7</v>
      </c>
      <c r="FK103">
        <v>1.1980462299894961E-10</v>
      </c>
      <c r="FL103">
        <v>0.15140825623214971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19.8</v>
      </c>
      <c r="FU103">
        <v>19.8</v>
      </c>
      <c r="FV103">
        <v>1.7651399999999999</v>
      </c>
      <c r="FW103">
        <v>2.5769000000000002</v>
      </c>
      <c r="FX103">
        <v>1.5490699999999999</v>
      </c>
      <c r="FY103">
        <v>2.3327599999999999</v>
      </c>
      <c r="FZ103">
        <v>1.50146</v>
      </c>
      <c r="GA103">
        <v>2.3852500000000001</v>
      </c>
      <c r="GB103">
        <v>33.065199999999997</v>
      </c>
      <c r="GC103">
        <v>23.991199999999999</v>
      </c>
      <c r="GD103">
        <v>19</v>
      </c>
      <c r="GE103">
        <v>286.52699999999999</v>
      </c>
      <c r="GF103">
        <v>583.63300000000004</v>
      </c>
      <c r="GG103">
        <v>23.919799999999999</v>
      </c>
      <c r="GH103">
        <v>26.004799999999999</v>
      </c>
      <c r="GI103">
        <v>29.9999</v>
      </c>
      <c r="GJ103">
        <v>26.156099999999999</v>
      </c>
      <c r="GK103">
        <v>26.139600000000002</v>
      </c>
      <c r="GL103">
        <v>35.2898</v>
      </c>
      <c r="GM103">
        <v>100</v>
      </c>
      <c r="GN103">
        <v>35.5944</v>
      </c>
      <c r="GO103">
        <v>23.924700000000001</v>
      </c>
      <c r="GP103">
        <v>800</v>
      </c>
      <c r="GQ103">
        <v>0</v>
      </c>
      <c r="GR103">
        <v>99.747600000000006</v>
      </c>
      <c r="GS103">
        <v>99.554699999999997</v>
      </c>
    </row>
    <row r="104" spans="1:201" x14ac:dyDescent="0.25">
      <c r="A104">
        <v>88</v>
      </c>
      <c r="B104">
        <v>1690293269.5999999</v>
      </c>
      <c r="C104">
        <v>999</v>
      </c>
      <c r="D104" t="s">
        <v>509</v>
      </c>
      <c r="E104" t="s">
        <v>510</v>
      </c>
      <c r="F104" t="s">
        <v>330</v>
      </c>
      <c r="H104">
        <v>1690293269.5999999</v>
      </c>
      <c r="I104">
        <f t="shared" si="30"/>
        <v>2.2710704362690387E-3</v>
      </c>
      <c r="J104">
        <f t="shared" si="31"/>
        <v>2.2710704362690386</v>
      </c>
      <c r="K104">
        <f t="shared" si="32"/>
        <v>33.851821703548296</v>
      </c>
      <c r="L104">
        <f t="shared" si="33"/>
        <v>451.30799999999999</v>
      </c>
      <c r="M104">
        <f t="shared" si="34"/>
        <v>129.30395278340816</v>
      </c>
      <c r="N104">
        <f t="shared" si="35"/>
        <v>12.859052753381031</v>
      </c>
      <c r="O104">
        <f t="shared" si="36"/>
        <v>44.881794060417597</v>
      </c>
      <c r="P104">
        <f t="shared" si="37"/>
        <v>0.17788143707341744</v>
      </c>
      <c r="Q104">
        <f t="shared" si="38"/>
        <v>2.2607383653814721</v>
      </c>
      <c r="R104">
        <f t="shared" si="39"/>
        <v>0.17045553818000217</v>
      </c>
      <c r="S104">
        <f t="shared" si="40"/>
        <v>0.10717606602251881</v>
      </c>
      <c r="T104">
        <f t="shared" si="41"/>
        <v>276.11600090400003</v>
      </c>
      <c r="U104">
        <f t="shared" si="42"/>
        <v>26.718342105960627</v>
      </c>
      <c r="V104">
        <f t="shared" si="43"/>
        <v>26.718342105960627</v>
      </c>
      <c r="W104">
        <f t="shared" si="44"/>
        <v>3.5203773273050083</v>
      </c>
      <c r="X104">
        <f t="shared" si="45"/>
        <v>68.602189173777532</v>
      </c>
      <c r="Y104">
        <f t="shared" si="46"/>
        <v>2.2337073049692</v>
      </c>
      <c r="Z104">
        <f t="shared" si="47"/>
        <v>3.2560291907171544</v>
      </c>
      <c r="AA104">
        <f t="shared" si="48"/>
        <v>1.2866700223358083</v>
      </c>
      <c r="AB104">
        <f t="shared" si="49"/>
        <v>-100.15420623946461</v>
      </c>
      <c r="AC104">
        <f t="shared" si="50"/>
        <v>-160.85139095134559</v>
      </c>
      <c r="AD104">
        <f t="shared" si="51"/>
        <v>-15.210943894282705</v>
      </c>
      <c r="AE104">
        <f t="shared" si="52"/>
        <v>-0.10054018109286744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52938.050857912764</v>
      </c>
      <c r="AK104">
        <f t="shared" si="56"/>
        <v>1800</v>
      </c>
      <c r="AL104">
        <f t="shared" si="57"/>
        <v>1499.1119874000001</v>
      </c>
      <c r="AM104">
        <f t="shared" si="58"/>
        <v>0.832839993</v>
      </c>
      <c r="AN104">
        <f t="shared" si="59"/>
        <v>0.15339777828000001</v>
      </c>
      <c r="AO104">
        <v>30</v>
      </c>
      <c r="AP104">
        <v>0.5</v>
      </c>
      <c r="AQ104" t="s">
        <v>331</v>
      </c>
      <c r="AR104">
        <v>2</v>
      </c>
      <c r="AS104">
        <v>1690293269.5999999</v>
      </c>
      <c r="AT104">
        <v>451.30799999999999</v>
      </c>
      <c r="AU104">
        <v>800.00599999999997</v>
      </c>
      <c r="AV104">
        <v>22.460999999999999</v>
      </c>
      <c r="AW104">
        <v>0.26484000000000002</v>
      </c>
      <c r="AX104">
        <v>451.56299999999999</v>
      </c>
      <c r="AY104">
        <v>22.3095</v>
      </c>
      <c r="AZ104">
        <v>300.06</v>
      </c>
      <c r="BA104">
        <v>99.348299999999995</v>
      </c>
      <c r="BB104">
        <v>9.9957199999999996E-2</v>
      </c>
      <c r="BC104">
        <v>25.398599999999998</v>
      </c>
      <c r="BD104">
        <v>26.984100000000002</v>
      </c>
      <c r="BE104">
        <v>26.542300000000001</v>
      </c>
      <c r="BF104">
        <v>0</v>
      </c>
      <c r="BG104">
        <v>0</v>
      </c>
      <c r="BH104">
        <v>10024.4</v>
      </c>
      <c r="BI104">
        <v>1060.8900000000001</v>
      </c>
      <c r="BJ104">
        <v>2.2987099999999998</v>
      </c>
      <c r="BK104">
        <v>-348.697</v>
      </c>
      <c r="BL104">
        <v>461.678</v>
      </c>
      <c r="BM104">
        <v>800.21799999999996</v>
      </c>
      <c r="BN104">
        <v>22.196100000000001</v>
      </c>
      <c r="BO104">
        <v>800.00599999999997</v>
      </c>
      <c r="BP104">
        <v>0.26484000000000002</v>
      </c>
      <c r="BQ104">
        <v>2.2314600000000002</v>
      </c>
      <c r="BR104">
        <v>2.6311399999999999E-2</v>
      </c>
      <c r="BS104">
        <v>19.190000000000001</v>
      </c>
      <c r="BT104">
        <v>-36.748899999999999</v>
      </c>
      <c r="BU104">
        <v>1800</v>
      </c>
      <c r="BV104">
        <v>0.90999099999999999</v>
      </c>
      <c r="BW104">
        <v>3.3995699999999997E-2</v>
      </c>
      <c r="BX104">
        <v>2.2004900000000001E-2</v>
      </c>
      <c r="BY104">
        <v>3.4008400000000001E-2</v>
      </c>
      <c r="BZ104">
        <v>25</v>
      </c>
      <c r="CA104">
        <v>33528.400000000001</v>
      </c>
      <c r="CB104">
        <v>1690292073.5</v>
      </c>
      <c r="CC104" t="s">
        <v>332</v>
      </c>
      <c r="CD104">
        <v>1690292069.5</v>
      </c>
      <c r="CE104">
        <v>1690292073.5</v>
      </c>
      <c r="CF104">
        <v>4</v>
      </c>
      <c r="CG104">
        <v>-3.6999999999999998E-2</v>
      </c>
      <c r="CH104">
        <v>-1.6E-2</v>
      </c>
      <c r="CI104">
        <v>-0.45200000000000001</v>
      </c>
      <c r="CJ104">
        <v>0.108</v>
      </c>
      <c r="CK104">
        <v>730</v>
      </c>
      <c r="CL104">
        <v>18</v>
      </c>
      <c r="CM104">
        <v>0</v>
      </c>
      <c r="CN104">
        <v>0.01</v>
      </c>
      <c r="CO104">
        <v>-346.12790000000001</v>
      </c>
      <c r="CP104">
        <v>-14.217883677297239</v>
      </c>
      <c r="CQ104">
        <v>1.368600632032585</v>
      </c>
      <c r="CR104">
        <v>-1</v>
      </c>
      <c r="CS104">
        <v>22.112954999999999</v>
      </c>
      <c r="CT104">
        <v>0.44154821763599972</v>
      </c>
      <c r="CU104">
        <v>4.2486144506179782E-2</v>
      </c>
      <c r="CV104">
        <v>-1</v>
      </c>
      <c r="CW104">
        <v>0</v>
      </c>
      <c r="CX104">
        <v>0</v>
      </c>
      <c r="CY104" t="s">
        <v>333</v>
      </c>
      <c r="CZ104">
        <v>2.3645</v>
      </c>
      <c r="DA104">
        <v>2.7137699999999998</v>
      </c>
      <c r="DB104">
        <v>9.8339800000000005E-2</v>
      </c>
      <c r="DC104">
        <v>0.146427</v>
      </c>
      <c r="DD104">
        <v>0.109141</v>
      </c>
      <c r="DE104">
        <v>2.2223E-3</v>
      </c>
      <c r="DF104">
        <v>32928</v>
      </c>
      <c r="DG104">
        <v>27507.5</v>
      </c>
      <c r="DH104">
        <v>31175.8</v>
      </c>
      <c r="DI104">
        <v>28080.6</v>
      </c>
      <c r="DJ104">
        <v>37702.6</v>
      </c>
      <c r="DK104">
        <v>39843</v>
      </c>
      <c r="DL104">
        <v>44365.8</v>
      </c>
      <c r="DM104">
        <v>42554</v>
      </c>
      <c r="DN104">
        <v>1.48658</v>
      </c>
      <c r="DO104">
        <v>2.0396000000000001</v>
      </c>
      <c r="DP104">
        <v>0.139963</v>
      </c>
      <c r="DQ104">
        <v>0.135854</v>
      </c>
      <c r="DR104">
        <v>24.690799999999999</v>
      </c>
      <c r="DS104">
        <v>24.314800000000002</v>
      </c>
      <c r="DT104">
        <v>36.6</v>
      </c>
      <c r="DU104">
        <v>28.4</v>
      </c>
      <c r="DV104">
        <v>14.3102</v>
      </c>
      <c r="DW104">
        <v>61.553400000000003</v>
      </c>
      <c r="DX104">
        <v>35.588900000000002</v>
      </c>
      <c r="DY104">
        <v>1</v>
      </c>
      <c r="DZ104">
        <v>-0.10974100000000001</v>
      </c>
      <c r="EA104">
        <v>-2.83497E-3</v>
      </c>
      <c r="EB104">
        <v>20.1907</v>
      </c>
      <c r="EC104">
        <v>5.2413999999999996</v>
      </c>
      <c r="ED104">
        <v>12.039899999999999</v>
      </c>
      <c r="EE104">
        <v>5.0172499999999998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1.8646199999999999</v>
      </c>
      <c r="EM104">
        <v>1.8692</v>
      </c>
      <c r="EN104">
        <v>1.8672200000000001</v>
      </c>
      <c r="EO104">
        <v>1.8633900000000001</v>
      </c>
      <c r="EP104">
        <v>1.86446</v>
      </c>
      <c r="EQ104">
        <v>1.8701700000000001</v>
      </c>
      <c r="ER104">
        <v>1.8694200000000001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-0.255</v>
      </c>
      <c r="FG104">
        <v>0.1515</v>
      </c>
      <c r="FH104">
        <v>5.0310448532705943E-2</v>
      </c>
      <c r="FI104">
        <v>-6.1462078757559423E-4</v>
      </c>
      <c r="FJ104">
        <v>-1.8861989874597051E-7</v>
      </c>
      <c r="FK104">
        <v>1.1980462299894961E-10</v>
      </c>
      <c r="FL104">
        <v>0.15140825623214971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20</v>
      </c>
      <c r="FU104">
        <v>19.899999999999999</v>
      </c>
      <c r="FV104">
        <v>1.7651399999999999</v>
      </c>
      <c r="FW104">
        <v>2.5805699999999998</v>
      </c>
      <c r="FX104">
        <v>1.5490699999999999</v>
      </c>
      <c r="FY104">
        <v>2.3327599999999999</v>
      </c>
      <c r="FZ104">
        <v>1.50146</v>
      </c>
      <c r="GA104">
        <v>2.3962400000000001</v>
      </c>
      <c r="GB104">
        <v>33.065199999999997</v>
      </c>
      <c r="GC104">
        <v>23.982399999999998</v>
      </c>
      <c r="GD104">
        <v>19</v>
      </c>
      <c r="GE104">
        <v>286.43799999999999</v>
      </c>
      <c r="GF104">
        <v>583.54999999999995</v>
      </c>
      <c r="GG104">
        <v>23.9436</v>
      </c>
      <c r="GH104">
        <v>26.0015</v>
      </c>
      <c r="GI104">
        <v>29.9999</v>
      </c>
      <c r="GJ104">
        <v>26.153400000000001</v>
      </c>
      <c r="GK104">
        <v>26.137699999999999</v>
      </c>
      <c r="GL104">
        <v>35.286299999999997</v>
      </c>
      <c r="GM104">
        <v>100</v>
      </c>
      <c r="GN104">
        <v>34.819499999999998</v>
      </c>
      <c r="GO104">
        <v>23.941299999999998</v>
      </c>
      <c r="GP104">
        <v>800</v>
      </c>
      <c r="GQ104">
        <v>0</v>
      </c>
      <c r="GR104">
        <v>99.748999999999995</v>
      </c>
      <c r="GS104">
        <v>99.554599999999994</v>
      </c>
    </row>
    <row r="105" spans="1:201" x14ac:dyDescent="0.25">
      <c r="A105">
        <v>89</v>
      </c>
      <c r="B105">
        <v>1690293279.5999999</v>
      </c>
      <c r="C105">
        <v>1009</v>
      </c>
      <c r="D105" t="s">
        <v>511</v>
      </c>
      <c r="E105" t="s">
        <v>512</v>
      </c>
      <c r="F105" t="s">
        <v>330</v>
      </c>
      <c r="H105">
        <v>1690293279.5999999</v>
      </c>
      <c r="I105">
        <f t="shared" si="30"/>
        <v>2.280787059886818E-3</v>
      </c>
      <c r="J105">
        <f t="shared" si="31"/>
        <v>2.2807870598868178</v>
      </c>
      <c r="K105">
        <f t="shared" si="32"/>
        <v>34.088760149227099</v>
      </c>
      <c r="L105">
        <f t="shared" si="33"/>
        <v>449.17899999999997</v>
      </c>
      <c r="M105">
        <f t="shared" si="34"/>
        <v>127.28672819103252</v>
      </c>
      <c r="N105">
        <f t="shared" si="35"/>
        <v>12.658070435004074</v>
      </c>
      <c r="O105">
        <f t="shared" si="36"/>
        <v>44.668752985711997</v>
      </c>
      <c r="P105">
        <f t="shared" si="37"/>
        <v>0.17920459281563253</v>
      </c>
      <c r="Q105">
        <f t="shared" si="38"/>
        <v>2.2601331349412939</v>
      </c>
      <c r="R105">
        <f t="shared" si="39"/>
        <v>0.17166839835539316</v>
      </c>
      <c r="S105">
        <f t="shared" si="40"/>
        <v>0.1079434362950813</v>
      </c>
      <c r="T105">
        <f t="shared" si="41"/>
        <v>276.11433941492561</v>
      </c>
      <c r="U105">
        <f t="shared" si="42"/>
        <v>26.732618503672519</v>
      </c>
      <c r="V105">
        <f t="shared" si="43"/>
        <v>26.732618503672519</v>
      </c>
      <c r="W105">
        <f t="shared" si="44"/>
        <v>3.523336422216059</v>
      </c>
      <c r="X105">
        <f t="shared" si="45"/>
        <v>68.737240963216834</v>
      </c>
      <c r="Y105">
        <f t="shared" si="46"/>
        <v>2.2403938499792</v>
      </c>
      <c r="Z105">
        <f t="shared" si="47"/>
        <v>3.2593595823523027</v>
      </c>
      <c r="AA105">
        <f t="shared" si="48"/>
        <v>1.282942572236859</v>
      </c>
      <c r="AB105">
        <f t="shared" si="49"/>
        <v>-100.58270934100868</v>
      </c>
      <c r="AC105">
        <f t="shared" si="50"/>
        <v>-160.45209288242879</v>
      </c>
      <c r="AD105">
        <f t="shared" si="51"/>
        <v>-15.179643285229446</v>
      </c>
      <c r="AE105">
        <f t="shared" si="52"/>
        <v>-0.1001060937413456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52911.128994655483</v>
      </c>
      <c r="AK105">
        <f t="shared" si="56"/>
        <v>1799.99</v>
      </c>
      <c r="AL105">
        <f t="shared" si="57"/>
        <v>1499.1040927976599</v>
      </c>
      <c r="AM105">
        <f t="shared" si="58"/>
        <v>0.83284023399999996</v>
      </c>
      <c r="AN105">
        <f t="shared" si="59"/>
        <v>0.15339770744</v>
      </c>
      <c r="AO105">
        <v>30</v>
      </c>
      <c r="AP105">
        <v>0.5</v>
      </c>
      <c r="AQ105" t="s">
        <v>331</v>
      </c>
      <c r="AR105">
        <v>2</v>
      </c>
      <c r="AS105">
        <v>1690293279.5999999</v>
      </c>
      <c r="AT105">
        <v>449.17899999999997</v>
      </c>
      <c r="AU105">
        <v>799.98400000000004</v>
      </c>
      <c r="AV105">
        <v>22.5289</v>
      </c>
      <c r="AW105">
        <v>0.25565399999999999</v>
      </c>
      <c r="AX105">
        <v>449.43200000000002</v>
      </c>
      <c r="AY105">
        <v>22.377500000000001</v>
      </c>
      <c r="AZ105">
        <v>300.27999999999997</v>
      </c>
      <c r="BA105">
        <v>99.345299999999995</v>
      </c>
      <c r="BB105">
        <v>0.10002800000000001</v>
      </c>
      <c r="BC105">
        <v>25.415800000000001</v>
      </c>
      <c r="BD105">
        <v>26.995799999999999</v>
      </c>
      <c r="BE105">
        <v>26.548400000000001</v>
      </c>
      <c r="BF105">
        <v>0</v>
      </c>
      <c r="BG105">
        <v>0</v>
      </c>
      <c r="BH105">
        <v>10020</v>
      </c>
      <c r="BI105">
        <v>1061.05</v>
      </c>
      <c r="BJ105">
        <v>2.2987099999999998</v>
      </c>
      <c r="BK105">
        <v>-350.80500000000001</v>
      </c>
      <c r="BL105">
        <v>459.53199999999998</v>
      </c>
      <c r="BM105">
        <v>800.18899999999996</v>
      </c>
      <c r="BN105">
        <v>22.273299999999999</v>
      </c>
      <c r="BO105">
        <v>799.98400000000004</v>
      </c>
      <c r="BP105">
        <v>0.25565399999999999</v>
      </c>
      <c r="BQ105">
        <v>2.23814</v>
      </c>
      <c r="BR105">
        <v>2.5398E-2</v>
      </c>
      <c r="BS105">
        <v>19.238</v>
      </c>
      <c r="BT105">
        <v>-37.097700000000003</v>
      </c>
      <c r="BU105">
        <v>1799.99</v>
      </c>
      <c r="BV105">
        <v>0.90999399999999997</v>
      </c>
      <c r="BW105">
        <v>3.39946E-2</v>
      </c>
      <c r="BX105">
        <v>2.2004200000000002E-2</v>
      </c>
      <c r="BY105">
        <v>3.4007200000000001E-2</v>
      </c>
      <c r="BZ105">
        <v>25</v>
      </c>
      <c r="CA105">
        <v>33528.199999999997</v>
      </c>
      <c r="CB105">
        <v>1690292073.5</v>
      </c>
      <c r="CC105" t="s">
        <v>332</v>
      </c>
      <c r="CD105">
        <v>1690292069.5</v>
      </c>
      <c r="CE105">
        <v>1690292073.5</v>
      </c>
      <c r="CF105">
        <v>4</v>
      </c>
      <c r="CG105">
        <v>-3.6999999999999998E-2</v>
      </c>
      <c r="CH105">
        <v>-1.6E-2</v>
      </c>
      <c r="CI105">
        <v>-0.45200000000000001</v>
      </c>
      <c r="CJ105">
        <v>0.108</v>
      </c>
      <c r="CK105">
        <v>730</v>
      </c>
      <c r="CL105">
        <v>18</v>
      </c>
      <c r="CM105">
        <v>0</v>
      </c>
      <c r="CN105">
        <v>0.01</v>
      </c>
      <c r="CO105">
        <v>-348.45504878048791</v>
      </c>
      <c r="CP105">
        <v>-13.306076655053049</v>
      </c>
      <c r="CQ105">
        <v>1.313546715282796</v>
      </c>
      <c r="CR105">
        <v>-1</v>
      </c>
      <c r="CS105">
        <v>22.188107317073179</v>
      </c>
      <c r="CT105">
        <v>0.4444390243902796</v>
      </c>
      <c r="CU105">
        <v>4.3847976788121718E-2</v>
      </c>
      <c r="CV105">
        <v>-1</v>
      </c>
      <c r="CW105">
        <v>0</v>
      </c>
      <c r="CX105">
        <v>0</v>
      </c>
      <c r="CY105" t="s">
        <v>333</v>
      </c>
      <c r="CZ105">
        <v>2.3652000000000002</v>
      </c>
      <c r="DA105">
        <v>2.7138399999999998</v>
      </c>
      <c r="DB105">
        <v>9.7991700000000001E-2</v>
      </c>
      <c r="DC105">
        <v>0.146421</v>
      </c>
      <c r="DD105">
        <v>0.109373</v>
      </c>
      <c r="DE105">
        <v>2.1463699999999999E-3</v>
      </c>
      <c r="DF105">
        <v>32940.699999999997</v>
      </c>
      <c r="DG105">
        <v>27508.3</v>
      </c>
      <c r="DH105">
        <v>31175.8</v>
      </c>
      <c r="DI105">
        <v>28081.200000000001</v>
      </c>
      <c r="DJ105">
        <v>37692.6</v>
      </c>
      <c r="DK105">
        <v>39846.699999999997</v>
      </c>
      <c r="DL105">
        <v>44365.8</v>
      </c>
      <c r="DM105">
        <v>42554.7</v>
      </c>
      <c r="DN105">
        <v>1.48722</v>
      </c>
      <c r="DO105">
        <v>2.03932</v>
      </c>
      <c r="DP105">
        <v>0.14044000000000001</v>
      </c>
      <c r="DQ105">
        <v>0.135768</v>
      </c>
      <c r="DR105">
        <v>24.694800000000001</v>
      </c>
      <c r="DS105">
        <v>24.322399999999998</v>
      </c>
      <c r="DT105">
        <v>36.1</v>
      </c>
      <c r="DU105">
        <v>28.4</v>
      </c>
      <c r="DV105">
        <v>14.1145</v>
      </c>
      <c r="DW105">
        <v>61.183399999999999</v>
      </c>
      <c r="DX105">
        <v>34.799700000000001</v>
      </c>
      <c r="DY105">
        <v>1</v>
      </c>
      <c r="DZ105">
        <v>-0.110246</v>
      </c>
      <c r="EA105">
        <v>1.3248899999999999E-2</v>
      </c>
      <c r="EB105">
        <v>20.1906</v>
      </c>
      <c r="EC105">
        <v>5.2416999999999998</v>
      </c>
      <c r="ED105">
        <v>12.039899999999999</v>
      </c>
      <c r="EE105">
        <v>5.0171000000000001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</v>
      </c>
      <c r="EL105">
        <v>1.8646100000000001</v>
      </c>
      <c r="EM105">
        <v>1.8692</v>
      </c>
      <c r="EN105">
        <v>1.8672200000000001</v>
      </c>
      <c r="EO105">
        <v>1.86337</v>
      </c>
      <c r="EP105">
        <v>1.8644700000000001</v>
      </c>
      <c r="EQ105">
        <v>1.87015</v>
      </c>
      <c r="ER105">
        <v>1.86938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-0.253</v>
      </c>
      <c r="FG105">
        <v>0.15140000000000001</v>
      </c>
      <c r="FH105">
        <v>5.0310448532705943E-2</v>
      </c>
      <c r="FI105">
        <v>-6.1462078757559423E-4</v>
      </c>
      <c r="FJ105">
        <v>-1.8861989874597051E-7</v>
      </c>
      <c r="FK105">
        <v>1.1980462299894961E-10</v>
      </c>
      <c r="FL105">
        <v>0.15140825623214971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20.2</v>
      </c>
      <c r="FU105">
        <v>20.100000000000001</v>
      </c>
      <c r="FV105">
        <v>1.7651399999999999</v>
      </c>
      <c r="FW105">
        <v>2.5830099999999998</v>
      </c>
      <c r="FX105">
        <v>1.5490699999999999</v>
      </c>
      <c r="FY105">
        <v>2.3327599999999999</v>
      </c>
      <c r="FZ105">
        <v>1.50146</v>
      </c>
      <c r="GA105">
        <v>2.2619600000000002</v>
      </c>
      <c r="GB105">
        <v>33.065199999999997</v>
      </c>
      <c r="GC105">
        <v>23.982399999999998</v>
      </c>
      <c r="GD105">
        <v>19</v>
      </c>
      <c r="GE105">
        <v>286.70600000000002</v>
      </c>
      <c r="GF105">
        <v>583.29499999999996</v>
      </c>
      <c r="GG105">
        <v>23.9528</v>
      </c>
      <c r="GH105">
        <v>25.997599999999998</v>
      </c>
      <c r="GI105">
        <v>30</v>
      </c>
      <c r="GJ105">
        <v>26.150600000000001</v>
      </c>
      <c r="GK105">
        <v>26.135200000000001</v>
      </c>
      <c r="GL105">
        <v>35.286499999999997</v>
      </c>
      <c r="GM105">
        <v>100</v>
      </c>
      <c r="GN105">
        <v>34.055100000000003</v>
      </c>
      <c r="GO105">
        <v>23.951699999999999</v>
      </c>
      <c r="GP105">
        <v>800</v>
      </c>
      <c r="GQ105">
        <v>0</v>
      </c>
      <c r="GR105">
        <v>99.748900000000006</v>
      </c>
      <c r="GS105">
        <v>99.556399999999996</v>
      </c>
    </row>
    <row r="106" spans="1:201" x14ac:dyDescent="0.25">
      <c r="A106">
        <v>90</v>
      </c>
      <c r="B106">
        <v>1690293289.5999999</v>
      </c>
      <c r="C106">
        <v>1019</v>
      </c>
      <c r="D106" t="s">
        <v>513</v>
      </c>
      <c r="E106" t="s">
        <v>514</v>
      </c>
      <c r="F106" t="s">
        <v>330</v>
      </c>
      <c r="H106">
        <v>1690293289.5999999</v>
      </c>
      <c r="I106">
        <f t="shared" si="30"/>
        <v>2.2877860808107947E-3</v>
      </c>
      <c r="J106">
        <f t="shared" si="31"/>
        <v>2.2877860808107946</v>
      </c>
      <c r="K106">
        <f t="shared" si="32"/>
        <v>34.276952877036543</v>
      </c>
      <c r="L106">
        <f t="shared" si="33"/>
        <v>447.02100000000002</v>
      </c>
      <c r="M106">
        <f t="shared" si="34"/>
        <v>125.99244553800551</v>
      </c>
      <c r="N106">
        <f t="shared" si="35"/>
        <v>12.529729935472215</v>
      </c>
      <c r="O106">
        <f t="shared" si="36"/>
        <v>44.455462242735592</v>
      </c>
      <c r="P106">
        <f t="shared" si="37"/>
        <v>0.18070886294423574</v>
      </c>
      <c r="Q106">
        <f t="shared" si="38"/>
        <v>2.2587296991174166</v>
      </c>
      <c r="R106">
        <f t="shared" si="39"/>
        <v>0.17304398228386089</v>
      </c>
      <c r="S106">
        <f t="shared" si="40"/>
        <v>0.1088140555845219</v>
      </c>
      <c r="T106">
        <f t="shared" si="41"/>
        <v>276.115733514</v>
      </c>
      <c r="U106">
        <f t="shared" si="42"/>
        <v>26.740549207979694</v>
      </c>
      <c r="V106">
        <f t="shared" si="43"/>
        <v>26.740549207979694</v>
      </c>
      <c r="W106">
        <f t="shared" si="44"/>
        <v>3.5249811717501305</v>
      </c>
      <c r="X106">
        <f t="shared" si="45"/>
        <v>68.942596542398093</v>
      </c>
      <c r="Y106">
        <f t="shared" si="46"/>
        <v>2.2483561779478798</v>
      </c>
      <c r="Z106">
        <f t="shared" si="47"/>
        <v>3.2612003183912472</v>
      </c>
      <c r="AA106">
        <f t="shared" si="48"/>
        <v>1.2766249938022507</v>
      </c>
      <c r="AB106">
        <f t="shared" si="49"/>
        <v>-100.89136616375605</v>
      </c>
      <c r="AC106">
        <f t="shared" si="50"/>
        <v>-160.16136244603047</v>
      </c>
      <c r="AD106">
        <f t="shared" si="51"/>
        <v>-15.162878540124035</v>
      </c>
      <c r="AE106">
        <f t="shared" si="52"/>
        <v>-9.9873635910569192E-2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52854.336771280679</v>
      </c>
      <c r="AK106">
        <f t="shared" si="56"/>
        <v>1800</v>
      </c>
      <c r="AL106">
        <f t="shared" si="57"/>
        <v>1499.1128334</v>
      </c>
      <c r="AM106">
        <f t="shared" si="58"/>
        <v>0.83284046300000003</v>
      </c>
      <c r="AN106">
        <f t="shared" si="59"/>
        <v>0.15339762972999998</v>
      </c>
      <c r="AO106">
        <v>30</v>
      </c>
      <c r="AP106">
        <v>0.5</v>
      </c>
      <c r="AQ106" t="s">
        <v>331</v>
      </c>
      <c r="AR106">
        <v>2</v>
      </c>
      <c r="AS106">
        <v>1690293289.5999999</v>
      </c>
      <c r="AT106">
        <v>447.02100000000002</v>
      </c>
      <c r="AU106">
        <v>800.00800000000004</v>
      </c>
      <c r="AV106">
        <v>22.6083</v>
      </c>
      <c r="AW106">
        <v>0.24826500000000001</v>
      </c>
      <c r="AX106">
        <v>447.27300000000002</v>
      </c>
      <c r="AY106">
        <v>22.456900000000001</v>
      </c>
      <c r="AZ106">
        <v>300.00799999999998</v>
      </c>
      <c r="BA106">
        <v>99.348299999999995</v>
      </c>
      <c r="BB106">
        <v>9.99636E-2</v>
      </c>
      <c r="BC106">
        <v>25.4253</v>
      </c>
      <c r="BD106">
        <v>26.991499999999998</v>
      </c>
      <c r="BE106">
        <v>26.5533</v>
      </c>
      <c r="BF106">
        <v>0</v>
      </c>
      <c r="BG106">
        <v>0</v>
      </c>
      <c r="BH106">
        <v>10008.799999999999</v>
      </c>
      <c r="BI106">
        <v>1061.26</v>
      </c>
      <c r="BJ106">
        <v>2.2987099999999998</v>
      </c>
      <c r="BK106">
        <v>-352.98700000000002</v>
      </c>
      <c r="BL106">
        <v>457.36099999999999</v>
      </c>
      <c r="BM106">
        <v>800.20699999999999</v>
      </c>
      <c r="BN106">
        <v>22.36</v>
      </c>
      <c r="BO106">
        <v>800.00800000000004</v>
      </c>
      <c r="BP106">
        <v>0.24826500000000001</v>
      </c>
      <c r="BQ106">
        <v>2.2460900000000001</v>
      </c>
      <c r="BR106">
        <v>2.4664700000000001E-2</v>
      </c>
      <c r="BS106">
        <v>19.294899999999998</v>
      </c>
      <c r="BT106">
        <v>-37.386000000000003</v>
      </c>
      <c r="BU106">
        <v>1800</v>
      </c>
      <c r="BV106">
        <v>0.90999699999999994</v>
      </c>
      <c r="BW106">
        <v>3.3993500000000003E-2</v>
      </c>
      <c r="BX106">
        <v>2.2003399999999999E-2</v>
      </c>
      <c r="BY106">
        <v>3.4006099999999997E-2</v>
      </c>
      <c r="BZ106">
        <v>25</v>
      </c>
      <c r="CA106">
        <v>33528.400000000001</v>
      </c>
      <c r="CB106">
        <v>1690292073.5</v>
      </c>
      <c r="CC106" t="s">
        <v>332</v>
      </c>
      <c r="CD106">
        <v>1690292069.5</v>
      </c>
      <c r="CE106">
        <v>1690292073.5</v>
      </c>
      <c r="CF106">
        <v>4</v>
      </c>
      <c r="CG106">
        <v>-3.6999999999999998E-2</v>
      </c>
      <c r="CH106">
        <v>-1.6E-2</v>
      </c>
      <c r="CI106">
        <v>-0.45200000000000001</v>
      </c>
      <c r="CJ106">
        <v>0.108</v>
      </c>
      <c r="CK106">
        <v>730</v>
      </c>
      <c r="CL106">
        <v>18</v>
      </c>
      <c r="CM106">
        <v>0</v>
      </c>
      <c r="CN106">
        <v>0.01</v>
      </c>
      <c r="CO106">
        <v>-350.60604999999998</v>
      </c>
      <c r="CP106">
        <v>-13.32720450281413</v>
      </c>
      <c r="CQ106">
        <v>1.2829910161415821</v>
      </c>
      <c r="CR106">
        <v>-1</v>
      </c>
      <c r="CS106">
        <v>22.2648075</v>
      </c>
      <c r="CT106">
        <v>0.50203789868664006</v>
      </c>
      <c r="CU106">
        <v>4.8367336020810538E-2</v>
      </c>
      <c r="CV106">
        <v>-1</v>
      </c>
      <c r="CW106">
        <v>0</v>
      </c>
      <c r="CX106">
        <v>0</v>
      </c>
      <c r="CY106" t="s">
        <v>333</v>
      </c>
      <c r="CZ106">
        <v>2.36435</v>
      </c>
      <c r="DA106">
        <v>2.7137600000000002</v>
      </c>
      <c r="DB106">
        <v>9.7643999999999995E-2</v>
      </c>
      <c r="DC106">
        <v>0.146429</v>
      </c>
      <c r="DD106">
        <v>0.109651</v>
      </c>
      <c r="DE106">
        <v>2.0853500000000001E-3</v>
      </c>
      <c r="DF106">
        <v>32953.9</v>
      </c>
      <c r="DG106">
        <v>27508.3</v>
      </c>
      <c r="DH106">
        <v>31176.3</v>
      </c>
      <c r="DI106">
        <v>28081.5</v>
      </c>
      <c r="DJ106">
        <v>37681.199999999997</v>
      </c>
      <c r="DK106">
        <v>39849.599999999999</v>
      </c>
      <c r="DL106">
        <v>44366.5</v>
      </c>
      <c r="DM106">
        <v>42555.199999999997</v>
      </c>
      <c r="DN106">
        <v>1.4869000000000001</v>
      </c>
      <c r="DO106">
        <v>2.0395500000000002</v>
      </c>
      <c r="DP106">
        <v>0.13988800000000001</v>
      </c>
      <c r="DQ106">
        <v>0.135601</v>
      </c>
      <c r="DR106">
        <v>24.6995</v>
      </c>
      <c r="DS106">
        <v>24.33</v>
      </c>
      <c r="DT106">
        <v>35.6</v>
      </c>
      <c r="DU106">
        <v>28.4</v>
      </c>
      <c r="DV106">
        <v>13.9191</v>
      </c>
      <c r="DW106">
        <v>61.833399999999997</v>
      </c>
      <c r="DX106">
        <v>35.917499999999997</v>
      </c>
      <c r="DY106">
        <v>1</v>
      </c>
      <c r="DZ106">
        <v>-0.110391</v>
      </c>
      <c r="EA106">
        <v>0.82643200000000006</v>
      </c>
      <c r="EB106">
        <v>20.183599999999998</v>
      </c>
      <c r="EC106">
        <v>5.2416999999999998</v>
      </c>
      <c r="ED106">
        <v>12.039899999999999</v>
      </c>
      <c r="EE106">
        <v>5.0170500000000002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</v>
      </c>
      <c r="EL106">
        <v>1.8646</v>
      </c>
      <c r="EM106">
        <v>1.8692</v>
      </c>
      <c r="EN106">
        <v>1.8672200000000001</v>
      </c>
      <c r="EO106">
        <v>1.8633900000000001</v>
      </c>
      <c r="EP106">
        <v>1.86446</v>
      </c>
      <c r="EQ106">
        <v>1.87015</v>
      </c>
      <c r="ER106">
        <v>1.86938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-0.252</v>
      </c>
      <c r="FG106">
        <v>0.15140000000000001</v>
      </c>
      <c r="FH106">
        <v>5.0310448532705943E-2</v>
      </c>
      <c r="FI106">
        <v>-6.1462078757559423E-4</v>
      </c>
      <c r="FJ106">
        <v>-1.8861989874597051E-7</v>
      </c>
      <c r="FK106">
        <v>1.1980462299894961E-10</v>
      </c>
      <c r="FL106">
        <v>0.15140825623214971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20.3</v>
      </c>
      <c r="FU106">
        <v>20.3</v>
      </c>
      <c r="FV106">
        <v>1.7651399999999999</v>
      </c>
      <c r="FW106">
        <v>2.5781200000000002</v>
      </c>
      <c r="FX106">
        <v>1.5490699999999999</v>
      </c>
      <c r="FY106">
        <v>2.3327599999999999</v>
      </c>
      <c r="FZ106">
        <v>1.50146</v>
      </c>
      <c r="GA106">
        <v>2.3791500000000001</v>
      </c>
      <c r="GB106">
        <v>33.065199999999997</v>
      </c>
      <c r="GC106">
        <v>23.982399999999998</v>
      </c>
      <c r="GD106">
        <v>19</v>
      </c>
      <c r="GE106">
        <v>286.553</v>
      </c>
      <c r="GF106">
        <v>583.45600000000002</v>
      </c>
      <c r="GG106">
        <v>23.946300000000001</v>
      </c>
      <c r="GH106">
        <v>25.994399999999999</v>
      </c>
      <c r="GI106">
        <v>30.000299999999999</v>
      </c>
      <c r="GJ106">
        <v>26.1477</v>
      </c>
      <c r="GK106">
        <v>26.132999999999999</v>
      </c>
      <c r="GL106">
        <v>35.285200000000003</v>
      </c>
      <c r="GM106">
        <v>100</v>
      </c>
      <c r="GN106">
        <v>33.302100000000003</v>
      </c>
      <c r="GO106">
        <v>23.533799999999999</v>
      </c>
      <c r="GP106">
        <v>800</v>
      </c>
      <c r="GQ106">
        <v>0</v>
      </c>
      <c r="GR106">
        <v>99.750399999999999</v>
      </c>
      <c r="GS106">
        <v>99.557500000000005</v>
      </c>
    </row>
    <row r="107" spans="1:201" x14ac:dyDescent="0.25">
      <c r="A107">
        <v>91</v>
      </c>
      <c r="B107">
        <v>1690293299.5999999</v>
      </c>
      <c r="C107">
        <v>1029</v>
      </c>
      <c r="D107" t="s">
        <v>515</v>
      </c>
      <c r="E107" t="s">
        <v>516</v>
      </c>
      <c r="F107" t="s">
        <v>330</v>
      </c>
      <c r="H107">
        <v>1690293299.5999999</v>
      </c>
      <c r="I107">
        <f t="shared" si="30"/>
        <v>2.2919599556780572E-3</v>
      </c>
      <c r="J107">
        <f t="shared" si="31"/>
        <v>2.291959955678057</v>
      </c>
      <c r="K107">
        <f t="shared" si="32"/>
        <v>34.489804891560873</v>
      </c>
      <c r="L107">
        <f t="shared" si="33"/>
        <v>444.94600000000003</v>
      </c>
      <c r="M107">
        <f t="shared" si="34"/>
        <v>124.12036369892003</v>
      </c>
      <c r="N107">
        <f t="shared" si="35"/>
        <v>12.343274433124984</v>
      </c>
      <c r="O107">
        <f t="shared" si="36"/>
        <v>44.248102585676001</v>
      </c>
      <c r="P107">
        <f t="shared" si="37"/>
        <v>0.18196094180409292</v>
      </c>
      <c r="Q107">
        <f t="shared" si="38"/>
        <v>2.2562756721709176</v>
      </c>
      <c r="R107">
        <f t="shared" si="39"/>
        <v>0.17418387075295808</v>
      </c>
      <c r="S107">
        <f t="shared" si="40"/>
        <v>0.10953595839654912</v>
      </c>
      <c r="T107">
        <f t="shared" si="41"/>
        <v>276.11419842170886</v>
      </c>
      <c r="U107">
        <f t="shared" si="42"/>
        <v>26.724380415076567</v>
      </c>
      <c r="V107">
        <f t="shared" si="43"/>
        <v>26.724380415076567</v>
      </c>
      <c r="W107">
        <f t="shared" si="44"/>
        <v>3.5216286337309675</v>
      </c>
      <c r="X107">
        <f t="shared" si="45"/>
        <v>69.091883728297248</v>
      </c>
      <c r="Y107">
        <f t="shared" si="46"/>
        <v>2.2510697364165999</v>
      </c>
      <c r="Z107">
        <f t="shared" si="47"/>
        <v>3.2580812896474161</v>
      </c>
      <c r="AA107">
        <f t="shared" si="48"/>
        <v>1.2705588973143676</v>
      </c>
      <c r="AB107">
        <f t="shared" si="49"/>
        <v>-101.07543404540232</v>
      </c>
      <c r="AC107">
        <f t="shared" si="50"/>
        <v>-159.97898501025253</v>
      </c>
      <c r="AD107">
        <f t="shared" si="51"/>
        <v>-15.159631780204592</v>
      </c>
      <c r="AE107">
        <f t="shared" si="52"/>
        <v>-9.9852414150603863E-2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52760.73568967032</v>
      </c>
      <c r="AK107">
        <f t="shared" si="56"/>
        <v>1799.99</v>
      </c>
      <c r="AL107">
        <f t="shared" si="57"/>
        <v>1499.1054913898899</v>
      </c>
      <c r="AM107">
        <f t="shared" si="58"/>
        <v>0.83284101099999996</v>
      </c>
      <c r="AN107">
        <f t="shared" si="59"/>
        <v>0.15339762910999999</v>
      </c>
      <c r="AO107">
        <v>30</v>
      </c>
      <c r="AP107">
        <v>0.5</v>
      </c>
      <c r="AQ107" t="s">
        <v>331</v>
      </c>
      <c r="AR107">
        <v>2</v>
      </c>
      <c r="AS107">
        <v>1690293299.5999999</v>
      </c>
      <c r="AT107">
        <v>444.94600000000003</v>
      </c>
      <c r="AU107">
        <v>799.94500000000005</v>
      </c>
      <c r="AV107">
        <v>22.636099999999999</v>
      </c>
      <c r="AW107">
        <v>0.24143200000000001</v>
      </c>
      <c r="AX107">
        <v>445.19600000000003</v>
      </c>
      <c r="AY107">
        <v>22.4847</v>
      </c>
      <c r="AZ107">
        <v>300.08199999999999</v>
      </c>
      <c r="BA107">
        <v>99.346000000000004</v>
      </c>
      <c r="BB107">
        <v>0.100006</v>
      </c>
      <c r="BC107">
        <v>25.409199999999998</v>
      </c>
      <c r="BD107">
        <v>26.972999999999999</v>
      </c>
      <c r="BE107">
        <v>26.551400000000001</v>
      </c>
      <c r="BF107">
        <v>0</v>
      </c>
      <c r="BG107">
        <v>0</v>
      </c>
      <c r="BH107">
        <v>9990</v>
      </c>
      <c r="BI107">
        <v>1061.45</v>
      </c>
      <c r="BJ107">
        <v>2.2987099999999998</v>
      </c>
      <c r="BK107">
        <v>-354.99900000000002</v>
      </c>
      <c r="BL107">
        <v>455.25099999999998</v>
      </c>
      <c r="BM107">
        <v>800.13800000000003</v>
      </c>
      <c r="BN107">
        <v>22.394600000000001</v>
      </c>
      <c r="BO107">
        <v>799.94500000000005</v>
      </c>
      <c r="BP107">
        <v>0.24143200000000001</v>
      </c>
      <c r="BQ107">
        <v>2.2488000000000001</v>
      </c>
      <c r="BR107">
        <v>2.3985300000000001E-2</v>
      </c>
      <c r="BS107">
        <v>19.314299999999999</v>
      </c>
      <c r="BT107">
        <v>-37.6601</v>
      </c>
      <c r="BU107">
        <v>1799.99</v>
      </c>
      <c r="BV107">
        <v>0.91</v>
      </c>
      <c r="BW107">
        <v>3.3992500000000002E-2</v>
      </c>
      <c r="BX107">
        <v>2.2002799999999999E-2</v>
      </c>
      <c r="BY107">
        <v>3.4005100000000003E-2</v>
      </c>
      <c r="BZ107">
        <v>25</v>
      </c>
      <c r="CA107">
        <v>33528.199999999997</v>
      </c>
      <c r="CB107">
        <v>1690292073.5</v>
      </c>
      <c r="CC107" t="s">
        <v>332</v>
      </c>
      <c r="CD107">
        <v>1690292069.5</v>
      </c>
      <c r="CE107">
        <v>1690292073.5</v>
      </c>
      <c r="CF107">
        <v>4</v>
      </c>
      <c r="CG107">
        <v>-3.6999999999999998E-2</v>
      </c>
      <c r="CH107">
        <v>-1.6E-2</v>
      </c>
      <c r="CI107">
        <v>-0.45200000000000001</v>
      </c>
      <c r="CJ107">
        <v>0.108</v>
      </c>
      <c r="CK107">
        <v>730</v>
      </c>
      <c r="CL107">
        <v>18</v>
      </c>
      <c r="CM107">
        <v>0</v>
      </c>
      <c r="CN107">
        <v>0.01</v>
      </c>
      <c r="CO107">
        <v>-352.76002499999998</v>
      </c>
      <c r="CP107">
        <v>-12.72717073170716</v>
      </c>
      <c r="CQ107">
        <v>1.22583352229208</v>
      </c>
      <c r="CR107">
        <v>-1</v>
      </c>
      <c r="CS107">
        <v>22.343665000000001</v>
      </c>
      <c r="CT107">
        <v>0.43247729831137599</v>
      </c>
      <c r="CU107">
        <v>4.2348244060409261E-2</v>
      </c>
      <c r="CV107">
        <v>-1</v>
      </c>
      <c r="CW107">
        <v>0</v>
      </c>
      <c r="CX107">
        <v>0</v>
      </c>
      <c r="CY107" t="s">
        <v>333</v>
      </c>
      <c r="CZ107">
        <v>2.3645900000000002</v>
      </c>
      <c r="DA107">
        <v>2.7137899999999999</v>
      </c>
      <c r="DB107">
        <v>9.7303299999999995E-2</v>
      </c>
      <c r="DC107">
        <v>0.14641799999999999</v>
      </c>
      <c r="DD107">
        <v>0.10974399999999999</v>
      </c>
      <c r="DE107">
        <v>2.0287600000000001E-3</v>
      </c>
      <c r="DF107">
        <v>32966.199999999997</v>
      </c>
      <c r="DG107">
        <v>27508.2</v>
      </c>
      <c r="DH107">
        <v>31176.1</v>
      </c>
      <c r="DI107">
        <v>28081</v>
      </c>
      <c r="DJ107">
        <v>37677</v>
      </c>
      <c r="DK107">
        <v>39851.1</v>
      </c>
      <c r="DL107">
        <v>44366.3</v>
      </c>
      <c r="DM107">
        <v>42554.400000000001</v>
      </c>
      <c r="DN107">
        <v>1.48675</v>
      </c>
      <c r="DO107">
        <v>2.0392000000000001</v>
      </c>
      <c r="DP107">
        <v>0.138409</v>
      </c>
      <c r="DQ107">
        <v>0.135042</v>
      </c>
      <c r="DR107">
        <v>24.705200000000001</v>
      </c>
      <c r="DS107">
        <v>24.337299999999999</v>
      </c>
      <c r="DT107">
        <v>35.200000000000003</v>
      </c>
      <c r="DU107">
        <v>28.4</v>
      </c>
      <c r="DV107">
        <v>13.761100000000001</v>
      </c>
      <c r="DW107">
        <v>61.343400000000003</v>
      </c>
      <c r="DX107">
        <v>35.464700000000001</v>
      </c>
      <c r="DY107">
        <v>1</v>
      </c>
      <c r="DZ107">
        <v>-0.109121</v>
      </c>
      <c r="EA107">
        <v>0.44755200000000001</v>
      </c>
      <c r="EB107">
        <v>20.189</v>
      </c>
      <c r="EC107">
        <v>5.24125</v>
      </c>
      <c r="ED107">
        <v>12.039899999999999</v>
      </c>
      <c r="EE107">
        <v>5.0173500000000004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</v>
      </c>
      <c r="EL107">
        <v>1.8646199999999999</v>
      </c>
      <c r="EM107">
        <v>1.8692</v>
      </c>
      <c r="EN107">
        <v>1.8672200000000001</v>
      </c>
      <c r="EO107">
        <v>1.8633999999999999</v>
      </c>
      <c r="EP107">
        <v>1.8644499999999999</v>
      </c>
      <c r="EQ107">
        <v>1.87015</v>
      </c>
      <c r="ER107">
        <v>1.86938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-0.25</v>
      </c>
      <c r="FG107">
        <v>0.15140000000000001</v>
      </c>
      <c r="FH107">
        <v>5.0310448532705943E-2</v>
      </c>
      <c r="FI107">
        <v>-6.1462078757559423E-4</v>
      </c>
      <c r="FJ107">
        <v>-1.8861989874597051E-7</v>
      </c>
      <c r="FK107">
        <v>1.1980462299894961E-10</v>
      </c>
      <c r="FL107">
        <v>0.15140825623214971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20.5</v>
      </c>
      <c r="FU107">
        <v>20.399999999999999</v>
      </c>
      <c r="FV107">
        <v>1.7651399999999999</v>
      </c>
      <c r="FW107">
        <v>2.5842299999999998</v>
      </c>
      <c r="FX107">
        <v>1.5490699999999999</v>
      </c>
      <c r="FY107">
        <v>2.3327599999999999</v>
      </c>
      <c r="FZ107">
        <v>1.50146</v>
      </c>
      <c r="GA107">
        <v>2.33765</v>
      </c>
      <c r="GB107">
        <v>33.065199999999997</v>
      </c>
      <c r="GC107">
        <v>23.982399999999998</v>
      </c>
      <c r="GD107">
        <v>19</v>
      </c>
      <c r="GE107">
        <v>286.47699999999998</v>
      </c>
      <c r="GF107">
        <v>583.14300000000003</v>
      </c>
      <c r="GG107">
        <v>23.558</v>
      </c>
      <c r="GH107">
        <v>25.991</v>
      </c>
      <c r="GI107">
        <v>29.9999</v>
      </c>
      <c r="GJ107">
        <v>26.145199999999999</v>
      </c>
      <c r="GK107">
        <v>26.130800000000001</v>
      </c>
      <c r="GL107">
        <v>35.282899999999998</v>
      </c>
      <c r="GM107">
        <v>100</v>
      </c>
      <c r="GN107">
        <v>32.483800000000002</v>
      </c>
      <c r="GO107">
        <v>23.627500000000001</v>
      </c>
      <c r="GP107">
        <v>800</v>
      </c>
      <c r="GQ107">
        <v>0</v>
      </c>
      <c r="GR107">
        <v>99.749899999999997</v>
      </c>
      <c r="GS107">
        <v>99.555700000000002</v>
      </c>
    </row>
    <row r="108" spans="1:201" x14ac:dyDescent="0.25">
      <c r="A108">
        <v>92</v>
      </c>
      <c r="B108">
        <v>1690293309.5999999</v>
      </c>
      <c r="C108">
        <v>1039</v>
      </c>
      <c r="D108" t="s">
        <v>517</v>
      </c>
      <c r="E108" t="s">
        <v>518</v>
      </c>
      <c r="F108" t="s">
        <v>330</v>
      </c>
      <c r="H108">
        <v>1690293309.5999999</v>
      </c>
      <c r="I108">
        <f t="shared" si="30"/>
        <v>2.2999274781059795E-3</v>
      </c>
      <c r="J108">
        <f t="shared" si="31"/>
        <v>2.2999274781059795</v>
      </c>
      <c r="K108">
        <f t="shared" si="32"/>
        <v>34.716911606610857</v>
      </c>
      <c r="L108">
        <f t="shared" si="33"/>
        <v>442.85399999999998</v>
      </c>
      <c r="M108">
        <f t="shared" si="34"/>
        <v>123.87724490080616</v>
      </c>
      <c r="N108">
        <f t="shared" si="35"/>
        <v>12.319054390530027</v>
      </c>
      <c r="O108">
        <f t="shared" si="36"/>
        <v>44.039908357925398</v>
      </c>
      <c r="P108">
        <f t="shared" si="37"/>
        <v>0.18427847981637038</v>
      </c>
      <c r="Q108">
        <f t="shared" si="38"/>
        <v>2.2575617051921819</v>
      </c>
      <c r="R108">
        <f t="shared" si="39"/>
        <v>0.17631103778694993</v>
      </c>
      <c r="S108">
        <f t="shared" si="40"/>
        <v>0.11088153422664412</v>
      </c>
      <c r="T108">
        <f t="shared" si="41"/>
        <v>276.11390640933115</v>
      </c>
      <c r="U108">
        <f t="shared" si="42"/>
        <v>26.702575746819385</v>
      </c>
      <c r="V108">
        <f t="shared" si="43"/>
        <v>26.702575746819385</v>
      </c>
      <c r="W108">
        <f t="shared" si="44"/>
        <v>3.5171119268108151</v>
      </c>
      <c r="X108">
        <f t="shared" si="45"/>
        <v>69.366583220324529</v>
      </c>
      <c r="Y108">
        <f t="shared" si="46"/>
        <v>2.2575358190621202</v>
      </c>
      <c r="Z108">
        <f t="shared" si="47"/>
        <v>3.2545005307406556</v>
      </c>
      <c r="AA108">
        <f t="shared" si="48"/>
        <v>1.2595761077486949</v>
      </c>
      <c r="AB108">
        <f t="shared" si="49"/>
        <v>-101.4268017844737</v>
      </c>
      <c r="AC108">
        <f t="shared" si="50"/>
        <v>-159.6679598320282</v>
      </c>
      <c r="AD108">
        <f t="shared" si="51"/>
        <v>-15.118483003821069</v>
      </c>
      <c r="AE108">
        <f t="shared" si="52"/>
        <v>-9.9338210991788856E-2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52814.510714405827</v>
      </c>
      <c r="AK108">
        <f t="shared" si="56"/>
        <v>1799.99</v>
      </c>
      <c r="AL108">
        <f t="shared" si="57"/>
        <v>1499.1045499951199</v>
      </c>
      <c r="AM108">
        <f t="shared" si="58"/>
        <v>0.83284048799999988</v>
      </c>
      <c r="AN108">
        <f t="shared" si="59"/>
        <v>0.15339746687999997</v>
      </c>
      <c r="AO108">
        <v>30</v>
      </c>
      <c r="AP108">
        <v>0.5</v>
      </c>
      <c r="AQ108" t="s">
        <v>331</v>
      </c>
      <c r="AR108">
        <v>2</v>
      </c>
      <c r="AS108">
        <v>1690293309.5999999</v>
      </c>
      <c r="AT108">
        <v>442.85399999999998</v>
      </c>
      <c r="AU108">
        <v>800.01199999999994</v>
      </c>
      <c r="AV108">
        <v>22.7012</v>
      </c>
      <c r="AW108">
        <v>0.23639199999999999</v>
      </c>
      <c r="AX108">
        <v>443.10199999999998</v>
      </c>
      <c r="AY108">
        <v>22.549800000000001</v>
      </c>
      <c r="AZ108">
        <v>300.16500000000002</v>
      </c>
      <c r="BA108">
        <v>99.345699999999994</v>
      </c>
      <c r="BB108">
        <v>9.9960099999999996E-2</v>
      </c>
      <c r="BC108">
        <v>25.390699999999999</v>
      </c>
      <c r="BD108">
        <v>26.993400000000001</v>
      </c>
      <c r="BE108">
        <v>26.522200000000002</v>
      </c>
      <c r="BF108">
        <v>0</v>
      </c>
      <c r="BG108">
        <v>0</v>
      </c>
      <c r="BH108">
        <v>10000</v>
      </c>
      <c r="BI108">
        <v>1061.5899999999999</v>
      </c>
      <c r="BJ108">
        <v>2.2987099999999998</v>
      </c>
      <c r="BK108">
        <v>-357.15800000000002</v>
      </c>
      <c r="BL108">
        <v>453.14100000000002</v>
      </c>
      <c r="BM108">
        <v>800.20100000000002</v>
      </c>
      <c r="BN108">
        <v>22.4648</v>
      </c>
      <c r="BO108">
        <v>800.01199999999994</v>
      </c>
      <c r="BP108">
        <v>0.23639199999999999</v>
      </c>
      <c r="BQ108">
        <v>2.2552699999999999</v>
      </c>
      <c r="BR108">
        <v>2.3484499999999998E-2</v>
      </c>
      <c r="BS108">
        <v>19.360399999999998</v>
      </c>
      <c r="BT108">
        <v>-37.866700000000002</v>
      </c>
      <c r="BU108">
        <v>1799.99</v>
      </c>
      <c r="BV108">
        <v>0.91000099999999995</v>
      </c>
      <c r="BW108">
        <v>3.3991800000000003E-2</v>
      </c>
      <c r="BX108">
        <v>2.2002399999999998E-2</v>
      </c>
      <c r="BY108">
        <v>3.4004399999999997E-2</v>
      </c>
      <c r="BZ108">
        <v>25</v>
      </c>
      <c r="CA108">
        <v>33528.300000000003</v>
      </c>
      <c r="CB108">
        <v>1690292073.5</v>
      </c>
      <c r="CC108" t="s">
        <v>332</v>
      </c>
      <c r="CD108">
        <v>1690292069.5</v>
      </c>
      <c r="CE108">
        <v>1690292073.5</v>
      </c>
      <c r="CF108">
        <v>4</v>
      </c>
      <c r="CG108">
        <v>-3.6999999999999998E-2</v>
      </c>
      <c r="CH108">
        <v>-1.6E-2</v>
      </c>
      <c r="CI108">
        <v>-0.45200000000000001</v>
      </c>
      <c r="CJ108">
        <v>0.108</v>
      </c>
      <c r="CK108">
        <v>730</v>
      </c>
      <c r="CL108">
        <v>18</v>
      </c>
      <c r="CM108">
        <v>0</v>
      </c>
      <c r="CN108">
        <v>0.01</v>
      </c>
      <c r="CO108">
        <v>-354.87909756097559</v>
      </c>
      <c r="CP108">
        <v>-12.44170034843274</v>
      </c>
      <c r="CQ108">
        <v>1.227212443192196</v>
      </c>
      <c r="CR108">
        <v>-1</v>
      </c>
      <c r="CS108">
        <v>22.39951951219512</v>
      </c>
      <c r="CT108">
        <v>0.24426689895473419</v>
      </c>
      <c r="CU108">
        <v>2.5128064375797739E-2</v>
      </c>
      <c r="CV108">
        <v>-1</v>
      </c>
      <c r="CW108">
        <v>0</v>
      </c>
      <c r="CX108">
        <v>0</v>
      </c>
      <c r="CY108" t="s">
        <v>333</v>
      </c>
      <c r="CZ108">
        <v>2.3648500000000001</v>
      </c>
      <c r="DA108">
        <v>2.7137500000000001</v>
      </c>
      <c r="DB108">
        <v>9.6961500000000006E-2</v>
      </c>
      <c r="DC108">
        <v>0.146427</v>
      </c>
      <c r="DD108">
        <v>0.109969</v>
      </c>
      <c r="DE108">
        <v>1.9870299999999999E-3</v>
      </c>
      <c r="DF108">
        <v>32979.4</v>
      </c>
      <c r="DG108">
        <v>27508.2</v>
      </c>
      <c r="DH108">
        <v>31176.799999999999</v>
      </c>
      <c r="DI108">
        <v>28081.3</v>
      </c>
      <c r="DJ108">
        <v>37668.1</v>
      </c>
      <c r="DK108">
        <v>39853.199999999997</v>
      </c>
      <c r="DL108">
        <v>44367.199999999997</v>
      </c>
      <c r="DM108">
        <v>42554.9</v>
      </c>
      <c r="DN108">
        <v>1.4871000000000001</v>
      </c>
      <c r="DO108">
        <v>2.0391499999999998</v>
      </c>
      <c r="DP108">
        <v>0.139434</v>
      </c>
      <c r="DQ108">
        <v>0.13300799999999999</v>
      </c>
      <c r="DR108">
        <v>24.7088</v>
      </c>
      <c r="DS108">
        <v>24.3414</v>
      </c>
      <c r="DT108">
        <v>34.799999999999997</v>
      </c>
      <c r="DU108">
        <v>28.4</v>
      </c>
      <c r="DV108">
        <v>13.605399999999999</v>
      </c>
      <c r="DW108">
        <v>61.2134</v>
      </c>
      <c r="DX108">
        <v>35.003999999999998</v>
      </c>
      <c r="DY108">
        <v>1</v>
      </c>
      <c r="DZ108">
        <v>-0.10996400000000001</v>
      </c>
      <c r="EA108">
        <v>0.17124200000000001</v>
      </c>
      <c r="EB108">
        <v>20.190200000000001</v>
      </c>
      <c r="EC108">
        <v>5.2416999999999998</v>
      </c>
      <c r="ED108">
        <v>12.039899999999999</v>
      </c>
      <c r="EE108">
        <v>5.01715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</v>
      </c>
      <c r="EL108">
        <v>1.8646100000000001</v>
      </c>
      <c r="EM108">
        <v>1.8692</v>
      </c>
      <c r="EN108">
        <v>1.8672200000000001</v>
      </c>
      <c r="EO108">
        <v>1.86337</v>
      </c>
      <c r="EP108">
        <v>1.86446</v>
      </c>
      <c r="EQ108">
        <v>1.87015</v>
      </c>
      <c r="ER108">
        <v>1.86937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-0.248</v>
      </c>
      <c r="FG108">
        <v>0.15140000000000001</v>
      </c>
      <c r="FH108">
        <v>5.0310448532705943E-2</v>
      </c>
      <c r="FI108">
        <v>-6.1462078757559423E-4</v>
      </c>
      <c r="FJ108">
        <v>-1.8861989874597051E-7</v>
      </c>
      <c r="FK108">
        <v>1.1980462299894961E-10</v>
      </c>
      <c r="FL108">
        <v>0.15140825623214971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20.7</v>
      </c>
      <c r="FU108">
        <v>20.6</v>
      </c>
      <c r="FV108">
        <v>1.7651399999999999</v>
      </c>
      <c r="FW108">
        <v>2.5805699999999998</v>
      </c>
      <c r="FX108">
        <v>1.5490699999999999</v>
      </c>
      <c r="FY108">
        <v>2.3315399999999999</v>
      </c>
      <c r="FZ108">
        <v>1.50146</v>
      </c>
      <c r="GA108">
        <v>2.32666</v>
      </c>
      <c r="GB108">
        <v>33.065199999999997</v>
      </c>
      <c r="GC108">
        <v>23.991199999999999</v>
      </c>
      <c r="GD108">
        <v>19</v>
      </c>
      <c r="GE108">
        <v>286.61700000000002</v>
      </c>
      <c r="GF108">
        <v>583.07600000000002</v>
      </c>
      <c r="GG108">
        <v>23.614699999999999</v>
      </c>
      <c r="GH108">
        <v>25.9878</v>
      </c>
      <c r="GI108">
        <v>29.999600000000001</v>
      </c>
      <c r="GJ108">
        <v>26.143000000000001</v>
      </c>
      <c r="GK108">
        <v>26.128699999999998</v>
      </c>
      <c r="GL108">
        <v>35.279200000000003</v>
      </c>
      <c r="GM108">
        <v>100</v>
      </c>
      <c r="GN108">
        <v>31.674299999999999</v>
      </c>
      <c r="GO108">
        <v>23.645800000000001</v>
      </c>
      <c r="GP108">
        <v>800</v>
      </c>
      <c r="GQ108">
        <v>0</v>
      </c>
      <c r="GR108">
        <v>99.751900000000006</v>
      </c>
      <c r="GS108">
        <v>99.556799999999996</v>
      </c>
    </row>
    <row r="109" spans="1:201" x14ac:dyDescent="0.25">
      <c r="A109">
        <v>93</v>
      </c>
      <c r="B109">
        <v>1690293319.5999999</v>
      </c>
      <c r="C109">
        <v>1049</v>
      </c>
      <c r="D109" t="s">
        <v>519</v>
      </c>
      <c r="E109" t="s">
        <v>520</v>
      </c>
      <c r="F109" t="s">
        <v>330</v>
      </c>
      <c r="H109">
        <v>1690293319.5999999</v>
      </c>
      <c r="I109">
        <f t="shared" si="30"/>
        <v>2.3076737541695984E-3</v>
      </c>
      <c r="J109">
        <f t="shared" si="31"/>
        <v>2.3076737541695982</v>
      </c>
      <c r="K109">
        <f t="shared" si="32"/>
        <v>34.897164577176646</v>
      </c>
      <c r="L109">
        <f t="shared" si="33"/>
        <v>440.892</v>
      </c>
      <c r="M109">
        <f t="shared" si="34"/>
        <v>123.30085565372782</v>
      </c>
      <c r="N109">
        <f t="shared" si="35"/>
        <v>12.262409548030977</v>
      </c>
      <c r="O109">
        <f t="shared" si="36"/>
        <v>43.847208048852004</v>
      </c>
      <c r="P109">
        <f t="shared" si="37"/>
        <v>0.18609192886199685</v>
      </c>
      <c r="Q109">
        <f t="shared" si="38"/>
        <v>2.2569069766475964</v>
      </c>
      <c r="R109">
        <f t="shared" si="39"/>
        <v>0.17796837226471759</v>
      </c>
      <c r="S109">
        <f t="shared" si="40"/>
        <v>0.11193054886020141</v>
      </c>
      <c r="T109">
        <f t="shared" si="41"/>
        <v>276.11545588200005</v>
      </c>
      <c r="U109">
        <f t="shared" si="42"/>
        <v>26.703565478649971</v>
      </c>
      <c r="V109">
        <f t="shared" si="43"/>
        <v>26.703565478649971</v>
      </c>
      <c r="W109">
        <f t="shared" si="44"/>
        <v>3.5173168342251011</v>
      </c>
      <c r="X109">
        <f t="shared" si="45"/>
        <v>69.590318437049177</v>
      </c>
      <c r="Y109">
        <f t="shared" si="46"/>
        <v>2.2652481363525001</v>
      </c>
      <c r="Z109">
        <f t="shared" si="47"/>
        <v>3.2551196592118266</v>
      </c>
      <c r="AA109">
        <f t="shared" si="48"/>
        <v>1.252068697872601</v>
      </c>
      <c r="AB109">
        <f t="shared" si="49"/>
        <v>-101.76841255887929</v>
      </c>
      <c r="AC109">
        <f t="shared" si="50"/>
        <v>-159.35272061762646</v>
      </c>
      <c r="AD109">
        <f t="shared" si="51"/>
        <v>-15.093328097244171</v>
      </c>
      <c r="AE109">
        <f t="shared" si="52"/>
        <v>-9.9005391749869887E-2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52788.342904989331</v>
      </c>
      <c r="AK109">
        <f t="shared" si="56"/>
        <v>1800</v>
      </c>
      <c r="AL109">
        <f t="shared" si="57"/>
        <v>1499.1139691999999</v>
      </c>
      <c r="AM109">
        <f t="shared" si="58"/>
        <v>0.83284109399999995</v>
      </c>
      <c r="AN109">
        <f t="shared" si="59"/>
        <v>0.15339747549000002</v>
      </c>
      <c r="AO109">
        <v>30</v>
      </c>
      <c r="AP109">
        <v>0.5</v>
      </c>
      <c r="AQ109" t="s">
        <v>331</v>
      </c>
      <c r="AR109">
        <v>2</v>
      </c>
      <c r="AS109">
        <v>1690293319.5999999</v>
      </c>
      <c r="AT109">
        <v>440.892</v>
      </c>
      <c r="AU109">
        <v>799.95899999999995</v>
      </c>
      <c r="AV109">
        <v>22.7775</v>
      </c>
      <c r="AW109">
        <v>0.231353</v>
      </c>
      <c r="AX109">
        <v>441.13900000000001</v>
      </c>
      <c r="AY109">
        <v>22.626100000000001</v>
      </c>
      <c r="AZ109">
        <v>300.06599999999997</v>
      </c>
      <c r="BA109">
        <v>99.351100000000002</v>
      </c>
      <c r="BB109">
        <v>0.10003099999999999</v>
      </c>
      <c r="BC109">
        <v>25.393899999999999</v>
      </c>
      <c r="BD109">
        <v>26.977499999999999</v>
      </c>
      <c r="BE109">
        <v>26.511600000000001</v>
      </c>
      <c r="BF109">
        <v>0</v>
      </c>
      <c r="BG109">
        <v>0</v>
      </c>
      <c r="BH109">
        <v>9994.3799999999992</v>
      </c>
      <c r="BI109">
        <v>1061.7</v>
      </c>
      <c r="BJ109">
        <v>2.2987099999999998</v>
      </c>
      <c r="BK109">
        <v>-359.06700000000001</v>
      </c>
      <c r="BL109">
        <v>451.16800000000001</v>
      </c>
      <c r="BM109">
        <v>800.14400000000001</v>
      </c>
      <c r="BN109">
        <v>22.546199999999999</v>
      </c>
      <c r="BO109">
        <v>799.95899999999995</v>
      </c>
      <c r="BP109">
        <v>0.231353</v>
      </c>
      <c r="BQ109">
        <v>2.2629700000000001</v>
      </c>
      <c r="BR109">
        <v>2.2985100000000001E-2</v>
      </c>
      <c r="BS109">
        <v>19.415199999999999</v>
      </c>
      <c r="BT109">
        <v>-38.076700000000002</v>
      </c>
      <c r="BU109">
        <v>1800</v>
      </c>
      <c r="BV109">
        <v>0.91000400000000004</v>
      </c>
      <c r="BW109">
        <v>3.3990899999999998E-2</v>
      </c>
      <c r="BX109">
        <v>2.2001699999999999E-2</v>
      </c>
      <c r="BY109">
        <v>3.4003499999999999E-2</v>
      </c>
      <c r="BZ109">
        <v>25</v>
      </c>
      <c r="CA109">
        <v>33528.400000000001</v>
      </c>
      <c r="CB109">
        <v>1690292073.5</v>
      </c>
      <c r="CC109" t="s">
        <v>332</v>
      </c>
      <c r="CD109">
        <v>1690292069.5</v>
      </c>
      <c r="CE109">
        <v>1690292073.5</v>
      </c>
      <c r="CF109">
        <v>4</v>
      </c>
      <c r="CG109">
        <v>-3.6999999999999998E-2</v>
      </c>
      <c r="CH109">
        <v>-1.6E-2</v>
      </c>
      <c r="CI109">
        <v>-0.45200000000000001</v>
      </c>
      <c r="CJ109">
        <v>0.108</v>
      </c>
      <c r="CK109">
        <v>730</v>
      </c>
      <c r="CL109">
        <v>18</v>
      </c>
      <c r="CM109">
        <v>0</v>
      </c>
      <c r="CN109">
        <v>0.01</v>
      </c>
      <c r="CO109">
        <v>-356.85789999999997</v>
      </c>
      <c r="CP109">
        <v>-12.138033771106249</v>
      </c>
      <c r="CQ109">
        <v>1.1682920610874641</v>
      </c>
      <c r="CR109">
        <v>-1</v>
      </c>
      <c r="CS109">
        <v>22.455647500000001</v>
      </c>
      <c r="CT109">
        <v>0.46884540337710617</v>
      </c>
      <c r="CU109">
        <v>4.5306202596885239E-2</v>
      </c>
      <c r="CV109">
        <v>-1</v>
      </c>
      <c r="CW109">
        <v>0</v>
      </c>
      <c r="CX109">
        <v>0</v>
      </c>
      <c r="CY109" t="s">
        <v>333</v>
      </c>
      <c r="CZ109">
        <v>2.3645299999999998</v>
      </c>
      <c r="DA109">
        <v>2.7138200000000001</v>
      </c>
      <c r="DB109">
        <v>9.6645700000000001E-2</v>
      </c>
      <c r="DC109">
        <v>0.146428</v>
      </c>
      <c r="DD109">
        <v>0.110237</v>
      </c>
      <c r="DE109">
        <v>1.94539E-3</v>
      </c>
      <c r="DF109">
        <v>32990.9</v>
      </c>
      <c r="DG109">
        <v>27508.9</v>
      </c>
      <c r="DH109">
        <v>31176.7</v>
      </c>
      <c r="DI109">
        <v>28082</v>
      </c>
      <c r="DJ109">
        <v>37656.6</v>
      </c>
      <c r="DK109">
        <v>39855.699999999997</v>
      </c>
      <c r="DL109">
        <v>44367.3</v>
      </c>
      <c r="DM109">
        <v>42555.7</v>
      </c>
      <c r="DN109">
        <v>1.48705</v>
      </c>
      <c r="DO109">
        <v>2.0388799999999998</v>
      </c>
      <c r="DP109">
        <v>0.13830500000000001</v>
      </c>
      <c r="DQ109">
        <v>0.13231499999999999</v>
      </c>
      <c r="DR109">
        <v>24.711400000000001</v>
      </c>
      <c r="DS109">
        <v>24.342099999999999</v>
      </c>
      <c r="DT109">
        <v>34.4</v>
      </c>
      <c r="DU109">
        <v>28.4</v>
      </c>
      <c r="DV109">
        <v>13.4476</v>
      </c>
      <c r="DW109">
        <v>61.863399999999999</v>
      </c>
      <c r="DX109">
        <v>35.921500000000002</v>
      </c>
      <c r="DY109">
        <v>1</v>
      </c>
      <c r="DZ109">
        <v>-0.110663</v>
      </c>
      <c r="EA109">
        <v>0.17819399999999999</v>
      </c>
      <c r="EB109">
        <v>20.190200000000001</v>
      </c>
      <c r="EC109">
        <v>5.24125</v>
      </c>
      <c r="ED109">
        <v>12.039899999999999</v>
      </c>
      <c r="EE109">
        <v>5.0174500000000002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</v>
      </c>
      <c r="EL109">
        <v>1.8646199999999999</v>
      </c>
      <c r="EM109">
        <v>1.8692</v>
      </c>
      <c r="EN109">
        <v>1.8672200000000001</v>
      </c>
      <c r="EO109">
        <v>1.8633599999999999</v>
      </c>
      <c r="EP109">
        <v>1.86446</v>
      </c>
      <c r="EQ109">
        <v>1.87015</v>
      </c>
      <c r="ER109">
        <v>1.86938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-0.247</v>
      </c>
      <c r="FG109">
        <v>0.15140000000000001</v>
      </c>
      <c r="FH109">
        <v>5.0310448532705943E-2</v>
      </c>
      <c r="FI109">
        <v>-6.1462078757559423E-4</v>
      </c>
      <c r="FJ109">
        <v>-1.8861989874597051E-7</v>
      </c>
      <c r="FK109">
        <v>1.1980462299894961E-10</v>
      </c>
      <c r="FL109">
        <v>0.15140825623214971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20.8</v>
      </c>
      <c r="FU109">
        <v>20.8</v>
      </c>
      <c r="FV109">
        <v>1.7639199999999999</v>
      </c>
      <c r="FW109">
        <v>2.5769000000000002</v>
      </c>
      <c r="FX109">
        <v>1.5490699999999999</v>
      </c>
      <c r="FY109">
        <v>2.3315399999999999</v>
      </c>
      <c r="FZ109">
        <v>1.50146</v>
      </c>
      <c r="GA109">
        <v>2.36206</v>
      </c>
      <c r="GB109">
        <v>33.087499999999999</v>
      </c>
      <c r="GC109">
        <v>23.991199999999999</v>
      </c>
      <c r="GD109">
        <v>19</v>
      </c>
      <c r="GE109">
        <v>286.58600000000001</v>
      </c>
      <c r="GF109">
        <v>582.82500000000005</v>
      </c>
      <c r="GG109">
        <v>23.6572</v>
      </c>
      <c r="GH109">
        <v>25.984500000000001</v>
      </c>
      <c r="GI109">
        <v>29.9998</v>
      </c>
      <c r="GJ109">
        <v>26.140799999999999</v>
      </c>
      <c r="GK109">
        <v>26.1265</v>
      </c>
      <c r="GL109">
        <v>35.279600000000002</v>
      </c>
      <c r="GM109">
        <v>100</v>
      </c>
      <c r="GN109">
        <v>30.871700000000001</v>
      </c>
      <c r="GO109">
        <v>23.662099999999999</v>
      </c>
      <c r="GP109">
        <v>800</v>
      </c>
      <c r="GQ109">
        <v>0</v>
      </c>
      <c r="GR109">
        <v>99.751999999999995</v>
      </c>
      <c r="GS109">
        <v>99.559100000000001</v>
      </c>
    </row>
    <row r="110" spans="1:201" x14ac:dyDescent="0.25">
      <c r="A110">
        <v>94</v>
      </c>
      <c r="B110">
        <v>1690293329.5999999</v>
      </c>
      <c r="C110">
        <v>1059</v>
      </c>
      <c r="D110" t="s">
        <v>521</v>
      </c>
      <c r="E110" t="s">
        <v>522</v>
      </c>
      <c r="F110" t="s">
        <v>330</v>
      </c>
      <c r="H110">
        <v>1690293329.5999999</v>
      </c>
      <c r="I110">
        <f t="shared" si="30"/>
        <v>2.3159505182113282E-3</v>
      </c>
      <c r="J110">
        <f t="shared" si="31"/>
        <v>2.315950518211328</v>
      </c>
      <c r="K110">
        <f t="shared" si="32"/>
        <v>35.093760755565079</v>
      </c>
      <c r="L110">
        <f t="shared" si="33"/>
        <v>438.98099999999999</v>
      </c>
      <c r="M110">
        <f t="shared" si="34"/>
        <v>122.85204674937076</v>
      </c>
      <c r="N110">
        <f t="shared" si="35"/>
        <v>12.217219949342581</v>
      </c>
      <c r="O110">
        <f t="shared" si="36"/>
        <v>43.655173621353001</v>
      </c>
      <c r="P110">
        <f t="shared" si="37"/>
        <v>0.18804736871318264</v>
      </c>
      <c r="Q110">
        <f t="shared" si="38"/>
        <v>2.2604717884843728</v>
      </c>
      <c r="R110">
        <f t="shared" si="39"/>
        <v>0.17976873639978394</v>
      </c>
      <c r="S110">
        <f t="shared" si="40"/>
        <v>0.11306888899578404</v>
      </c>
      <c r="T110">
        <f t="shared" si="41"/>
        <v>276.11544209399995</v>
      </c>
      <c r="U110">
        <f t="shared" si="42"/>
        <v>26.700038231653458</v>
      </c>
      <c r="V110">
        <f t="shared" si="43"/>
        <v>26.700038231653458</v>
      </c>
      <c r="W110">
        <f t="shared" si="44"/>
        <v>3.5165866243688249</v>
      </c>
      <c r="X110">
        <f t="shared" si="45"/>
        <v>69.815083681930886</v>
      </c>
      <c r="Y110">
        <f t="shared" si="46"/>
        <v>2.2727131148568001</v>
      </c>
      <c r="Z110">
        <f t="shared" si="47"/>
        <v>3.2553325083888849</v>
      </c>
      <c r="AA110">
        <f t="shared" si="48"/>
        <v>1.2438735095120248</v>
      </c>
      <c r="AB110">
        <f t="shared" si="49"/>
        <v>-102.13341785311958</v>
      </c>
      <c r="AC110">
        <f t="shared" si="50"/>
        <v>-159.04051351420551</v>
      </c>
      <c r="AD110">
        <f t="shared" si="51"/>
        <v>-15.039817460335975</v>
      </c>
      <c r="AE110">
        <f t="shared" si="52"/>
        <v>-9.8306733661132739E-2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52928.165697430777</v>
      </c>
      <c r="AK110">
        <f t="shared" si="56"/>
        <v>1800</v>
      </c>
      <c r="AL110">
        <f t="shared" si="57"/>
        <v>1499.1135714</v>
      </c>
      <c r="AM110">
        <f t="shared" si="58"/>
        <v>0.83284087299999998</v>
      </c>
      <c r="AN110">
        <f t="shared" si="59"/>
        <v>0.15339746782999997</v>
      </c>
      <c r="AO110">
        <v>30</v>
      </c>
      <c r="AP110">
        <v>0.5</v>
      </c>
      <c r="AQ110" t="s">
        <v>331</v>
      </c>
      <c r="AR110">
        <v>2</v>
      </c>
      <c r="AS110">
        <v>1690293329.5999999</v>
      </c>
      <c r="AT110">
        <v>438.98099999999999</v>
      </c>
      <c r="AU110">
        <v>800.01900000000001</v>
      </c>
      <c r="AV110">
        <v>22.8536</v>
      </c>
      <c r="AW110">
        <v>0.227521</v>
      </c>
      <c r="AX110">
        <v>439.22699999999998</v>
      </c>
      <c r="AY110">
        <v>22.702200000000001</v>
      </c>
      <c r="AZ110">
        <v>300.05500000000001</v>
      </c>
      <c r="BA110">
        <v>99.346599999999995</v>
      </c>
      <c r="BB110">
        <v>0.100013</v>
      </c>
      <c r="BC110">
        <v>25.395</v>
      </c>
      <c r="BD110">
        <v>26.9527</v>
      </c>
      <c r="BE110">
        <v>26.504999999999999</v>
      </c>
      <c r="BF110">
        <v>0</v>
      </c>
      <c r="BG110">
        <v>0</v>
      </c>
      <c r="BH110">
        <v>10022.5</v>
      </c>
      <c r="BI110">
        <v>1061.73</v>
      </c>
      <c r="BJ110">
        <v>2.2987099999999998</v>
      </c>
      <c r="BK110">
        <v>-361.03800000000001</v>
      </c>
      <c r="BL110">
        <v>449.24799999999999</v>
      </c>
      <c r="BM110">
        <v>800.20100000000002</v>
      </c>
      <c r="BN110">
        <v>22.626100000000001</v>
      </c>
      <c r="BO110">
        <v>800.01900000000001</v>
      </c>
      <c r="BP110">
        <v>0.227521</v>
      </c>
      <c r="BQ110">
        <v>2.2704300000000002</v>
      </c>
      <c r="BR110">
        <v>2.2603399999999999E-2</v>
      </c>
      <c r="BS110">
        <v>19.4681</v>
      </c>
      <c r="BT110">
        <v>-38.24</v>
      </c>
      <c r="BU110">
        <v>1800</v>
      </c>
      <c r="BV110">
        <v>0.91000300000000001</v>
      </c>
      <c r="BW110">
        <v>3.3992799999999997E-2</v>
      </c>
      <c r="BX110">
        <v>2.2001400000000001E-2</v>
      </c>
      <c r="BY110">
        <v>3.4002900000000003E-2</v>
      </c>
      <c r="BZ110">
        <v>25</v>
      </c>
      <c r="CA110">
        <v>33528.400000000001</v>
      </c>
      <c r="CB110">
        <v>1690292073.5</v>
      </c>
      <c r="CC110" t="s">
        <v>332</v>
      </c>
      <c r="CD110">
        <v>1690292069.5</v>
      </c>
      <c r="CE110">
        <v>1690292073.5</v>
      </c>
      <c r="CF110">
        <v>4</v>
      </c>
      <c r="CG110">
        <v>-3.6999999999999998E-2</v>
      </c>
      <c r="CH110">
        <v>-1.6E-2</v>
      </c>
      <c r="CI110">
        <v>-0.45200000000000001</v>
      </c>
      <c r="CJ110">
        <v>0.108</v>
      </c>
      <c r="CK110">
        <v>730</v>
      </c>
      <c r="CL110">
        <v>18</v>
      </c>
      <c r="CM110">
        <v>0</v>
      </c>
      <c r="CN110">
        <v>0.01</v>
      </c>
      <c r="CO110">
        <v>-358.88917073170728</v>
      </c>
      <c r="CP110">
        <v>-11.668202090593001</v>
      </c>
      <c r="CQ110">
        <v>1.1507233335441129</v>
      </c>
      <c r="CR110">
        <v>-1</v>
      </c>
      <c r="CS110">
        <v>22.53861951219513</v>
      </c>
      <c r="CT110">
        <v>0.49117839721255002</v>
      </c>
      <c r="CU110">
        <v>4.8436487050681258E-2</v>
      </c>
      <c r="CV110">
        <v>-1</v>
      </c>
      <c r="CW110">
        <v>0</v>
      </c>
      <c r="CX110">
        <v>0</v>
      </c>
      <c r="CY110" t="s">
        <v>333</v>
      </c>
      <c r="CZ110">
        <v>2.3645</v>
      </c>
      <c r="DA110">
        <v>2.7138200000000001</v>
      </c>
      <c r="DB110">
        <v>9.63286E-2</v>
      </c>
      <c r="DC110">
        <v>0.14643</v>
      </c>
      <c r="DD110">
        <v>0.11049399999999999</v>
      </c>
      <c r="DE110">
        <v>1.91354E-3</v>
      </c>
      <c r="DF110">
        <v>33002.6</v>
      </c>
      <c r="DG110">
        <v>27509.3</v>
      </c>
      <c r="DH110">
        <v>31176.799999999999</v>
      </c>
      <c r="DI110">
        <v>28082.5</v>
      </c>
      <c r="DJ110">
        <v>37645.599999999999</v>
      </c>
      <c r="DK110">
        <v>39857.599999999999</v>
      </c>
      <c r="DL110">
        <v>44367.199999999997</v>
      </c>
      <c r="DM110">
        <v>42556.4</v>
      </c>
      <c r="DN110">
        <v>1.4870300000000001</v>
      </c>
      <c r="DO110">
        <v>2.0390799999999998</v>
      </c>
      <c r="DP110">
        <v>0.13678100000000001</v>
      </c>
      <c r="DQ110">
        <v>0.131913</v>
      </c>
      <c r="DR110">
        <v>24.711500000000001</v>
      </c>
      <c r="DS110">
        <v>24.342099999999999</v>
      </c>
      <c r="DT110">
        <v>34</v>
      </c>
      <c r="DU110">
        <v>28.4</v>
      </c>
      <c r="DV110">
        <v>13.2949</v>
      </c>
      <c r="DW110">
        <v>61.253300000000003</v>
      </c>
      <c r="DX110">
        <v>35.488799999999998</v>
      </c>
      <c r="DY110">
        <v>1</v>
      </c>
      <c r="DZ110">
        <v>-0.11092200000000001</v>
      </c>
      <c r="EA110">
        <v>9.5152500000000001E-2</v>
      </c>
      <c r="EB110">
        <v>20.1907</v>
      </c>
      <c r="EC110">
        <v>5.242</v>
      </c>
      <c r="ED110">
        <v>12.039899999999999</v>
      </c>
      <c r="EE110">
        <v>5.0174500000000002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</v>
      </c>
      <c r="EL110">
        <v>1.8646100000000001</v>
      </c>
      <c r="EM110">
        <v>1.8691899999999999</v>
      </c>
      <c r="EN110">
        <v>1.8672200000000001</v>
      </c>
      <c r="EO110">
        <v>1.8633599999999999</v>
      </c>
      <c r="EP110">
        <v>1.86446</v>
      </c>
      <c r="EQ110">
        <v>1.87015</v>
      </c>
      <c r="ER110">
        <v>1.86938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-0.246</v>
      </c>
      <c r="FG110">
        <v>0.15140000000000001</v>
      </c>
      <c r="FH110">
        <v>5.0310448532705943E-2</v>
      </c>
      <c r="FI110">
        <v>-6.1462078757559423E-4</v>
      </c>
      <c r="FJ110">
        <v>-1.8861989874597051E-7</v>
      </c>
      <c r="FK110">
        <v>1.1980462299894961E-10</v>
      </c>
      <c r="FL110">
        <v>0.15140825623214971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21</v>
      </c>
      <c r="FU110">
        <v>20.9</v>
      </c>
      <c r="FV110">
        <v>1.7651399999999999</v>
      </c>
      <c r="FW110">
        <v>2.5854499999999998</v>
      </c>
      <c r="FX110">
        <v>1.5490699999999999</v>
      </c>
      <c r="FY110">
        <v>2.3315399999999999</v>
      </c>
      <c r="FZ110">
        <v>1.50146</v>
      </c>
      <c r="GA110">
        <v>2.3095699999999999</v>
      </c>
      <c r="GB110">
        <v>33.087499999999999</v>
      </c>
      <c r="GC110">
        <v>23.982399999999998</v>
      </c>
      <c r="GD110">
        <v>19</v>
      </c>
      <c r="GE110">
        <v>286.56099999999998</v>
      </c>
      <c r="GF110">
        <v>582.96500000000003</v>
      </c>
      <c r="GG110">
        <v>23.690200000000001</v>
      </c>
      <c r="GH110">
        <v>25.982299999999999</v>
      </c>
      <c r="GI110">
        <v>29.9999</v>
      </c>
      <c r="GJ110">
        <v>26.137499999999999</v>
      </c>
      <c r="GK110">
        <v>26.124300000000002</v>
      </c>
      <c r="GL110">
        <v>35.275799999999997</v>
      </c>
      <c r="GM110">
        <v>100</v>
      </c>
      <c r="GN110">
        <v>30.0928</v>
      </c>
      <c r="GO110">
        <v>23.721599999999999</v>
      </c>
      <c r="GP110">
        <v>800</v>
      </c>
      <c r="GQ110">
        <v>0</v>
      </c>
      <c r="GR110">
        <v>99.752099999999999</v>
      </c>
      <c r="GS110">
        <v>99.560599999999994</v>
      </c>
    </row>
    <row r="111" spans="1:201" x14ac:dyDescent="0.25">
      <c r="A111">
        <v>95</v>
      </c>
      <c r="B111">
        <v>1690293339.5999999</v>
      </c>
      <c r="C111">
        <v>1069</v>
      </c>
      <c r="D111" t="s">
        <v>523</v>
      </c>
      <c r="E111" t="s">
        <v>524</v>
      </c>
      <c r="F111" t="s">
        <v>330</v>
      </c>
      <c r="H111">
        <v>1690293339.5999999</v>
      </c>
      <c r="I111">
        <f t="shared" si="30"/>
        <v>2.3251789812733575E-3</v>
      </c>
      <c r="J111">
        <f t="shared" si="31"/>
        <v>2.3251789812733574</v>
      </c>
      <c r="K111">
        <f t="shared" si="32"/>
        <v>35.293511824645059</v>
      </c>
      <c r="L111">
        <f t="shared" si="33"/>
        <v>437.15199999999999</v>
      </c>
      <c r="M111">
        <f t="shared" si="34"/>
        <v>121.78215454778096</v>
      </c>
      <c r="N111">
        <f t="shared" si="35"/>
        <v>12.110786502537309</v>
      </c>
      <c r="O111">
        <f t="shared" si="36"/>
        <v>43.473155494879997</v>
      </c>
      <c r="P111">
        <f t="shared" si="37"/>
        <v>0.18960805797818661</v>
      </c>
      <c r="Q111">
        <f t="shared" si="38"/>
        <v>2.2607136961886014</v>
      </c>
      <c r="R111">
        <f t="shared" si="39"/>
        <v>0.18119560091285869</v>
      </c>
      <c r="S111">
        <f t="shared" si="40"/>
        <v>0.11397197074165386</v>
      </c>
      <c r="T111">
        <f t="shared" si="41"/>
        <v>276.11558272800005</v>
      </c>
      <c r="U111">
        <f t="shared" si="42"/>
        <v>26.712142015136411</v>
      </c>
      <c r="V111">
        <f t="shared" si="43"/>
        <v>26.712142015136411</v>
      </c>
      <c r="W111">
        <f t="shared" si="44"/>
        <v>3.5190928991179264</v>
      </c>
      <c r="X111">
        <f t="shared" si="45"/>
        <v>69.980319841085958</v>
      </c>
      <c r="Y111">
        <f t="shared" si="46"/>
        <v>2.280164778109</v>
      </c>
      <c r="Z111">
        <f t="shared" si="47"/>
        <v>3.2582943080095763</v>
      </c>
      <c r="AA111">
        <f t="shared" si="48"/>
        <v>1.2389281210089265</v>
      </c>
      <c r="AB111">
        <f t="shared" si="49"/>
        <v>-102.54039307415506</v>
      </c>
      <c r="AC111">
        <f t="shared" si="50"/>
        <v>-158.6679798877008</v>
      </c>
      <c r="AD111">
        <f t="shared" si="51"/>
        <v>-15.005044875747849</v>
      </c>
      <c r="AE111">
        <f t="shared" si="52"/>
        <v>-9.7835109603664705E-2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52934.96289419903</v>
      </c>
      <c r="AK111">
        <f t="shared" si="56"/>
        <v>1800</v>
      </c>
      <c r="AL111">
        <f t="shared" si="57"/>
        <v>1499.1109128000001</v>
      </c>
      <c r="AM111">
        <f t="shared" si="58"/>
        <v>0.83283939600000001</v>
      </c>
      <c r="AN111">
        <f t="shared" si="59"/>
        <v>0.15339754596000002</v>
      </c>
      <c r="AO111">
        <v>30</v>
      </c>
      <c r="AP111">
        <v>0.5</v>
      </c>
      <c r="AQ111" t="s">
        <v>331</v>
      </c>
      <c r="AR111">
        <v>2</v>
      </c>
      <c r="AS111">
        <v>1690293339.5999999</v>
      </c>
      <c r="AT111">
        <v>437.15199999999999</v>
      </c>
      <c r="AU111">
        <v>800.04</v>
      </c>
      <c r="AV111">
        <v>22.928599999999999</v>
      </c>
      <c r="AW111">
        <v>0.223186</v>
      </c>
      <c r="AX111">
        <v>437.39600000000002</v>
      </c>
      <c r="AY111">
        <v>22.777200000000001</v>
      </c>
      <c r="AZ111">
        <v>300.17500000000001</v>
      </c>
      <c r="BA111">
        <v>99.346400000000003</v>
      </c>
      <c r="BB111">
        <v>9.9915000000000004E-2</v>
      </c>
      <c r="BC111">
        <v>25.410299999999999</v>
      </c>
      <c r="BD111">
        <v>26.977499999999999</v>
      </c>
      <c r="BE111">
        <v>26.523900000000001</v>
      </c>
      <c r="BF111">
        <v>0</v>
      </c>
      <c r="BG111">
        <v>0</v>
      </c>
      <c r="BH111">
        <v>10024.4</v>
      </c>
      <c r="BI111">
        <v>1061.74</v>
      </c>
      <c r="BJ111">
        <v>2.2987099999999998</v>
      </c>
      <c r="BK111">
        <v>-362.88900000000001</v>
      </c>
      <c r="BL111">
        <v>447.41</v>
      </c>
      <c r="BM111">
        <v>800.21900000000005</v>
      </c>
      <c r="BN111">
        <v>22.705400000000001</v>
      </c>
      <c r="BO111">
        <v>800.04</v>
      </c>
      <c r="BP111">
        <v>0.223186</v>
      </c>
      <c r="BQ111">
        <v>2.2778700000000001</v>
      </c>
      <c r="BR111">
        <v>2.21727E-2</v>
      </c>
      <c r="BS111">
        <v>19.520700000000001</v>
      </c>
      <c r="BT111">
        <v>-38.427300000000002</v>
      </c>
      <c r="BU111">
        <v>1800</v>
      </c>
      <c r="BV111">
        <v>0.90999300000000005</v>
      </c>
      <c r="BW111">
        <v>3.4004399999999997E-2</v>
      </c>
      <c r="BX111">
        <v>2.2000800000000001E-2</v>
      </c>
      <c r="BY111">
        <v>3.4001999999999998E-2</v>
      </c>
      <c r="BZ111">
        <v>25</v>
      </c>
      <c r="CA111">
        <v>33528.300000000003</v>
      </c>
      <c r="CB111">
        <v>1690292073.5</v>
      </c>
      <c r="CC111" t="s">
        <v>332</v>
      </c>
      <c r="CD111">
        <v>1690292069.5</v>
      </c>
      <c r="CE111">
        <v>1690292073.5</v>
      </c>
      <c r="CF111">
        <v>4</v>
      </c>
      <c r="CG111">
        <v>-3.6999999999999998E-2</v>
      </c>
      <c r="CH111">
        <v>-1.6E-2</v>
      </c>
      <c r="CI111">
        <v>-0.45200000000000001</v>
      </c>
      <c r="CJ111">
        <v>0.108</v>
      </c>
      <c r="CK111">
        <v>730</v>
      </c>
      <c r="CL111">
        <v>18</v>
      </c>
      <c r="CM111">
        <v>0</v>
      </c>
      <c r="CN111">
        <v>0.01</v>
      </c>
      <c r="CO111">
        <v>-360.82339024390251</v>
      </c>
      <c r="CP111">
        <v>-11.506912891986421</v>
      </c>
      <c r="CQ111">
        <v>1.1350937186632299</v>
      </c>
      <c r="CR111">
        <v>-1</v>
      </c>
      <c r="CS111">
        <v>22.61878048780488</v>
      </c>
      <c r="CT111">
        <v>0.47281881533100378</v>
      </c>
      <c r="CU111">
        <v>4.6631331556035063E-2</v>
      </c>
      <c r="CV111">
        <v>-1</v>
      </c>
      <c r="CW111">
        <v>0</v>
      </c>
      <c r="CX111">
        <v>0</v>
      </c>
      <c r="CY111" t="s">
        <v>333</v>
      </c>
      <c r="CZ111">
        <v>2.3649</v>
      </c>
      <c r="DA111">
        <v>2.71373</v>
      </c>
      <c r="DB111">
        <v>9.6028100000000005E-2</v>
      </c>
      <c r="DC111">
        <v>0.14643300000000001</v>
      </c>
      <c r="DD111">
        <v>0.110752</v>
      </c>
      <c r="DE111">
        <v>1.8775899999999999E-3</v>
      </c>
      <c r="DF111">
        <v>33013.4</v>
      </c>
      <c r="DG111">
        <v>27509.5</v>
      </c>
      <c r="DH111">
        <v>31176.7</v>
      </c>
      <c r="DI111">
        <v>28082.7</v>
      </c>
      <c r="DJ111">
        <v>37634.400000000001</v>
      </c>
      <c r="DK111">
        <v>39859.300000000003</v>
      </c>
      <c r="DL111">
        <v>44367.1</v>
      </c>
      <c r="DM111">
        <v>42556.6</v>
      </c>
      <c r="DN111">
        <v>1.4873799999999999</v>
      </c>
      <c r="DO111">
        <v>2.03912</v>
      </c>
      <c r="DP111">
        <v>0.13841300000000001</v>
      </c>
      <c r="DQ111">
        <v>0.13312299999999999</v>
      </c>
      <c r="DR111">
        <v>24.709599999999998</v>
      </c>
      <c r="DS111">
        <v>24.341200000000001</v>
      </c>
      <c r="DT111">
        <v>33.6</v>
      </c>
      <c r="DU111">
        <v>28.4</v>
      </c>
      <c r="DV111">
        <v>13.136200000000001</v>
      </c>
      <c r="DW111">
        <v>61.273400000000002</v>
      </c>
      <c r="DX111">
        <v>34.959899999999998</v>
      </c>
      <c r="DY111">
        <v>1</v>
      </c>
      <c r="DZ111">
        <v>-0.111583</v>
      </c>
      <c r="EA111">
        <v>1.0737999999999999E-2</v>
      </c>
      <c r="EB111">
        <v>20.1906</v>
      </c>
      <c r="EC111">
        <v>5.2418500000000003</v>
      </c>
      <c r="ED111">
        <v>12.039899999999999</v>
      </c>
      <c r="EE111">
        <v>5.0175000000000001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1.8646199999999999</v>
      </c>
      <c r="EM111">
        <v>1.8692</v>
      </c>
      <c r="EN111">
        <v>1.8672200000000001</v>
      </c>
      <c r="EO111">
        <v>1.86338</v>
      </c>
      <c r="EP111">
        <v>1.8644700000000001</v>
      </c>
      <c r="EQ111">
        <v>1.8701700000000001</v>
      </c>
      <c r="ER111">
        <v>1.86937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-0.24399999999999999</v>
      </c>
      <c r="FG111">
        <v>0.15140000000000001</v>
      </c>
      <c r="FH111">
        <v>5.0310448532705943E-2</v>
      </c>
      <c r="FI111">
        <v>-6.1462078757559423E-4</v>
      </c>
      <c r="FJ111">
        <v>-1.8861989874597051E-7</v>
      </c>
      <c r="FK111">
        <v>1.1980462299894961E-10</v>
      </c>
      <c r="FL111">
        <v>0.15140825623214971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21.2</v>
      </c>
      <c r="FU111">
        <v>21.1</v>
      </c>
      <c r="FV111">
        <v>1.7639199999999999</v>
      </c>
      <c r="FW111">
        <v>2.5830099999999998</v>
      </c>
      <c r="FX111">
        <v>1.5490699999999999</v>
      </c>
      <c r="FY111">
        <v>2.3327599999999999</v>
      </c>
      <c r="FZ111">
        <v>1.50146</v>
      </c>
      <c r="GA111">
        <v>2.3107899999999999</v>
      </c>
      <c r="GB111">
        <v>33.087499999999999</v>
      </c>
      <c r="GC111">
        <v>23.991199999999999</v>
      </c>
      <c r="GD111">
        <v>19</v>
      </c>
      <c r="GE111">
        <v>286.69799999999998</v>
      </c>
      <c r="GF111">
        <v>582.98199999999997</v>
      </c>
      <c r="GG111">
        <v>23.7621</v>
      </c>
      <c r="GH111">
        <v>25.979600000000001</v>
      </c>
      <c r="GI111">
        <v>29.9999</v>
      </c>
      <c r="GJ111">
        <v>26.134699999999999</v>
      </c>
      <c r="GK111">
        <v>26.1221</v>
      </c>
      <c r="GL111">
        <v>35.275300000000001</v>
      </c>
      <c r="GM111">
        <v>100</v>
      </c>
      <c r="GN111">
        <v>29.313500000000001</v>
      </c>
      <c r="GO111">
        <v>23.7849</v>
      </c>
      <c r="GP111">
        <v>800</v>
      </c>
      <c r="GQ111">
        <v>0</v>
      </c>
      <c r="GR111">
        <v>99.7517</v>
      </c>
      <c r="GS111">
        <v>99.561300000000003</v>
      </c>
    </row>
    <row r="112" spans="1:201" x14ac:dyDescent="0.25">
      <c r="A112">
        <v>96</v>
      </c>
      <c r="B112">
        <v>1690293349.5999999</v>
      </c>
      <c r="C112">
        <v>1079</v>
      </c>
      <c r="D112" t="s">
        <v>525</v>
      </c>
      <c r="E112" t="s">
        <v>526</v>
      </c>
      <c r="F112" t="s">
        <v>330</v>
      </c>
      <c r="H112">
        <v>1690293349.5999999</v>
      </c>
      <c r="I112">
        <f t="shared" si="30"/>
        <v>2.3331054039782413E-3</v>
      </c>
      <c r="J112">
        <f t="shared" si="31"/>
        <v>2.3331054039782413</v>
      </c>
      <c r="K112">
        <f t="shared" si="32"/>
        <v>35.456110142662716</v>
      </c>
      <c r="L112">
        <f t="shared" si="33"/>
        <v>435.322</v>
      </c>
      <c r="M112">
        <f t="shared" si="34"/>
        <v>121.502651971228</v>
      </c>
      <c r="N112">
        <f t="shared" si="35"/>
        <v>12.083154300830362</v>
      </c>
      <c r="O112">
        <f t="shared" si="36"/>
        <v>43.291753811198006</v>
      </c>
      <c r="P112">
        <f t="shared" si="37"/>
        <v>0.19150076705253999</v>
      </c>
      <c r="Q112">
        <f t="shared" si="38"/>
        <v>2.2538749144592836</v>
      </c>
      <c r="R112">
        <f t="shared" si="39"/>
        <v>0.18289883625577663</v>
      </c>
      <c r="S112">
        <f t="shared" si="40"/>
        <v>0.11505242003639501</v>
      </c>
      <c r="T112">
        <f t="shared" si="41"/>
        <v>276.11538591599998</v>
      </c>
      <c r="U112">
        <f t="shared" si="42"/>
        <v>26.715918290245554</v>
      </c>
      <c r="V112">
        <f t="shared" si="43"/>
        <v>26.715918290245554</v>
      </c>
      <c r="W112">
        <f t="shared" si="44"/>
        <v>3.51987515413167</v>
      </c>
      <c r="X112">
        <f t="shared" si="45"/>
        <v>70.219549007304309</v>
      </c>
      <c r="Y112">
        <f t="shared" si="46"/>
        <v>2.2883403574195</v>
      </c>
      <c r="Z112">
        <f t="shared" si="47"/>
        <v>3.2588365914760642</v>
      </c>
      <c r="AA112">
        <f t="shared" si="48"/>
        <v>1.2315347967121699</v>
      </c>
      <c r="AB112">
        <f t="shared" si="49"/>
        <v>-102.88994831544044</v>
      </c>
      <c r="AC112">
        <f t="shared" si="50"/>
        <v>-158.30662870139363</v>
      </c>
      <c r="AD112">
        <f t="shared" si="51"/>
        <v>-15.016792850088638</v>
      </c>
      <c r="AE112">
        <f t="shared" si="52"/>
        <v>-9.7983950922724716E-2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52665.867747167948</v>
      </c>
      <c r="AK112">
        <f t="shared" si="56"/>
        <v>1800</v>
      </c>
      <c r="AL112">
        <f t="shared" si="57"/>
        <v>1499.1090965999999</v>
      </c>
      <c r="AM112">
        <f t="shared" si="58"/>
        <v>0.8328383869999999</v>
      </c>
      <c r="AN112">
        <f t="shared" si="59"/>
        <v>0.15339743661999999</v>
      </c>
      <c r="AO112">
        <v>30</v>
      </c>
      <c r="AP112">
        <v>0.5</v>
      </c>
      <c r="AQ112" t="s">
        <v>331</v>
      </c>
      <c r="AR112">
        <v>2</v>
      </c>
      <c r="AS112">
        <v>1690293349.5999999</v>
      </c>
      <c r="AT112">
        <v>435.322</v>
      </c>
      <c r="AU112">
        <v>799.99099999999999</v>
      </c>
      <c r="AV112">
        <v>23.0105</v>
      </c>
      <c r="AW112">
        <v>0.21934400000000001</v>
      </c>
      <c r="AX112">
        <v>435.565</v>
      </c>
      <c r="AY112">
        <v>22.859100000000002</v>
      </c>
      <c r="AZ112">
        <v>300.04000000000002</v>
      </c>
      <c r="BA112">
        <v>99.3476</v>
      </c>
      <c r="BB112">
        <v>0.100059</v>
      </c>
      <c r="BC112">
        <v>25.4131</v>
      </c>
      <c r="BD112">
        <v>26.974599999999999</v>
      </c>
      <c r="BE112">
        <v>26.548400000000001</v>
      </c>
      <c r="BF112">
        <v>0</v>
      </c>
      <c r="BG112">
        <v>0</v>
      </c>
      <c r="BH112">
        <v>9971.25</v>
      </c>
      <c r="BI112">
        <v>1061.82</v>
      </c>
      <c r="BJ112">
        <v>2.2987099999999998</v>
      </c>
      <c r="BK112">
        <v>-364.66899999999998</v>
      </c>
      <c r="BL112">
        <v>445.57499999999999</v>
      </c>
      <c r="BM112">
        <v>800.16600000000005</v>
      </c>
      <c r="BN112">
        <v>22.7912</v>
      </c>
      <c r="BO112">
        <v>799.99099999999999</v>
      </c>
      <c r="BP112">
        <v>0.21934400000000001</v>
      </c>
      <c r="BQ112">
        <v>2.2860399999999998</v>
      </c>
      <c r="BR112">
        <v>2.17913E-2</v>
      </c>
      <c r="BS112">
        <v>19.578399999999998</v>
      </c>
      <c r="BT112">
        <v>-38.595999999999997</v>
      </c>
      <c r="BU112">
        <v>1800</v>
      </c>
      <c r="BV112">
        <v>0.90998999999999997</v>
      </c>
      <c r="BW112">
        <v>3.4008499999999997E-2</v>
      </c>
      <c r="BX112">
        <v>2.2000100000000002E-2</v>
      </c>
      <c r="BY112">
        <v>3.4001000000000003E-2</v>
      </c>
      <c r="BZ112">
        <v>25</v>
      </c>
      <c r="CA112">
        <v>33528.300000000003</v>
      </c>
      <c r="CB112">
        <v>1690292073.5</v>
      </c>
      <c r="CC112" t="s">
        <v>332</v>
      </c>
      <c r="CD112">
        <v>1690292069.5</v>
      </c>
      <c r="CE112">
        <v>1690292073.5</v>
      </c>
      <c r="CF112">
        <v>4</v>
      </c>
      <c r="CG112">
        <v>-3.6999999999999998E-2</v>
      </c>
      <c r="CH112">
        <v>-1.6E-2</v>
      </c>
      <c r="CI112">
        <v>-0.45200000000000001</v>
      </c>
      <c r="CJ112">
        <v>0.108</v>
      </c>
      <c r="CK112">
        <v>730</v>
      </c>
      <c r="CL112">
        <v>18</v>
      </c>
      <c r="CM112">
        <v>0</v>
      </c>
      <c r="CN112">
        <v>0.01</v>
      </c>
      <c r="CO112">
        <v>-362.68709756097559</v>
      </c>
      <c r="CP112">
        <v>-10.928362369338791</v>
      </c>
      <c r="CQ112">
        <v>1.078129654289067</v>
      </c>
      <c r="CR112">
        <v>-1</v>
      </c>
      <c r="CS112">
        <v>22.698968292682931</v>
      </c>
      <c r="CT112">
        <v>0.49336306620211889</v>
      </c>
      <c r="CU112">
        <v>4.8673438637437318E-2</v>
      </c>
      <c r="CV112">
        <v>-1</v>
      </c>
      <c r="CW112">
        <v>0</v>
      </c>
      <c r="CX112">
        <v>0</v>
      </c>
      <c r="CY112" t="s">
        <v>333</v>
      </c>
      <c r="CZ112">
        <v>2.3644599999999998</v>
      </c>
      <c r="DA112">
        <v>2.7138200000000001</v>
      </c>
      <c r="DB112">
        <v>9.5728400000000005E-2</v>
      </c>
      <c r="DC112">
        <v>0.146429</v>
      </c>
      <c r="DD112">
        <v>0.11103399999999999</v>
      </c>
      <c r="DE112">
        <v>1.84574E-3</v>
      </c>
      <c r="DF112">
        <v>33025</v>
      </c>
      <c r="DG112">
        <v>27509.599999999999</v>
      </c>
      <c r="DH112">
        <v>31177.3</v>
      </c>
      <c r="DI112">
        <v>28082.799999999999</v>
      </c>
      <c r="DJ112">
        <v>37623</v>
      </c>
      <c r="DK112">
        <v>39860.6</v>
      </c>
      <c r="DL112">
        <v>44367.9</v>
      </c>
      <c r="DM112">
        <v>42556.7</v>
      </c>
      <c r="DN112">
        <v>1.48742</v>
      </c>
      <c r="DO112">
        <v>2.03912</v>
      </c>
      <c r="DP112">
        <v>0.13813</v>
      </c>
      <c r="DQ112">
        <v>0.13456899999999999</v>
      </c>
      <c r="DR112">
        <v>24.711400000000001</v>
      </c>
      <c r="DS112">
        <v>24.342099999999999</v>
      </c>
      <c r="DT112">
        <v>33.200000000000003</v>
      </c>
      <c r="DU112">
        <v>28.4</v>
      </c>
      <c r="DV112">
        <v>12.9818</v>
      </c>
      <c r="DW112">
        <v>61.503399999999999</v>
      </c>
      <c r="DX112">
        <v>35.825299999999999</v>
      </c>
      <c r="DY112">
        <v>1</v>
      </c>
      <c r="DZ112">
        <v>-0.112154</v>
      </c>
      <c r="EA112">
        <v>7.0555599999999996E-2</v>
      </c>
      <c r="EB112">
        <v>20.190799999999999</v>
      </c>
      <c r="EC112">
        <v>5.2413999999999996</v>
      </c>
      <c r="ED112">
        <v>12.039899999999999</v>
      </c>
      <c r="EE112">
        <v>5.0175000000000001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</v>
      </c>
      <c r="EL112">
        <v>1.8646199999999999</v>
      </c>
      <c r="EM112">
        <v>1.8692</v>
      </c>
      <c r="EN112">
        <v>1.8672299999999999</v>
      </c>
      <c r="EO112">
        <v>1.8633900000000001</v>
      </c>
      <c r="EP112">
        <v>1.8644700000000001</v>
      </c>
      <c r="EQ112">
        <v>1.87022</v>
      </c>
      <c r="ER112">
        <v>1.8694299999999999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-0.24299999999999999</v>
      </c>
      <c r="FG112">
        <v>0.15140000000000001</v>
      </c>
      <c r="FH112">
        <v>5.0310448532705943E-2</v>
      </c>
      <c r="FI112">
        <v>-6.1462078757559423E-4</v>
      </c>
      <c r="FJ112">
        <v>-1.8861989874597051E-7</v>
      </c>
      <c r="FK112">
        <v>1.1980462299894961E-10</v>
      </c>
      <c r="FL112">
        <v>0.15140825623214971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21.3</v>
      </c>
      <c r="FU112">
        <v>21.3</v>
      </c>
      <c r="FV112">
        <v>1.7639199999999999</v>
      </c>
      <c r="FW112">
        <v>2.5769000000000002</v>
      </c>
      <c r="FX112">
        <v>1.5490699999999999</v>
      </c>
      <c r="FY112">
        <v>2.3315399999999999</v>
      </c>
      <c r="FZ112">
        <v>1.50146</v>
      </c>
      <c r="GA112">
        <v>2.3925800000000002</v>
      </c>
      <c r="GB112">
        <v>33.087499999999999</v>
      </c>
      <c r="GC112">
        <v>23.991199999999999</v>
      </c>
      <c r="GD112">
        <v>19</v>
      </c>
      <c r="GE112">
        <v>286.70999999999998</v>
      </c>
      <c r="GF112">
        <v>582.95600000000002</v>
      </c>
      <c r="GG112">
        <v>23.809699999999999</v>
      </c>
      <c r="GH112">
        <v>25.976800000000001</v>
      </c>
      <c r="GI112">
        <v>29.9999</v>
      </c>
      <c r="GJ112">
        <v>26.1325</v>
      </c>
      <c r="GK112">
        <v>26.119900000000001</v>
      </c>
      <c r="GL112">
        <v>35.277299999999997</v>
      </c>
      <c r="GM112">
        <v>100</v>
      </c>
      <c r="GN112">
        <v>28.548200000000001</v>
      </c>
      <c r="GO112">
        <v>23.809200000000001</v>
      </c>
      <c r="GP112">
        <v>800</v>
      </c>
      <c r="GQ112">
        <v>0</v>
      </c>
      <c r="GR112">
        <v>99.753500000000003</v>
      </c>
      <c r="GS112">
        <v>99.561400000000006</v>
      </c>
    </row>
    <row r="113" spans="1:201" x14ac:dyDescent="0.25">
      <c r="A113">
        <v>97</v>
      </c>
      <c r="B113">
        <v>1690293359.5999999</v>
      </c>
      <c r="C113">
        <v>1089</v>
      </c>
      <c r="D113" t="s">
        <v>527</v>
      </c>
      <c r="E113" t="s">
        <v>528</v>
      </c>
      <c r="F113" t="s">
        <v>330</v>
      </c>
      <c r="H113">
        <v>1690293359.5999999</v>
      </c>
      <c r="I113">
        <f t="shared" si="30"/>
        <v>2.3422365745315245E-3</v>
      </c>
      <c r="J113">
        <f t="shared" si="31"/>
        <v>2.3422365745315243</v>
      </c>
      <c r="K113">
        <f t="shared" si="32"/>
        <v>35.653230582704012</v>
      </c>
      <c r="L113">
        <f t="shared" si="33"/>
        <v>433.50099999999998</v>
      </c>
      <c r="M113">
        <f t="shared" si="34"/>
        <v>120.49115628292162</v>
      </c>
      <c r="N113">
        <f t="shared" si="35"/>
        <v>11.981774566939514</v>
      </c>
      <c r="O113">
        <f t="shared" si="36"/>
        <v>43.107821493111999</v>
      </c>
      <c r="P113">
        <f t="shared" si="37"/>
        <v>0.19309239900614794</v>
      </c>
      <c r="Q113">
        <f t="shared" si="38"/>
        <v>2.256777201182917</v>
      </c>
      <c r="R113">
        <f t="shared" si="39"/>
        <v>0.18436109044077234</v>
      </c>
      <c r="S113">
        <f t="shared" si="40"/>
        <v>0.1159772500980551</v>
      </c>
      <c r="T113">
        <f t="shared" si="41"/>
        <v>276.11388941742558</v>
      </c>
      <c r="U113">
        <f t="shared" si="42"/>
        <v>26.727232851039741</v>
      </c>
      <c r="V113">
        <f t="shared" si="43"/>
        <v>26.727232851039741</v>
      </c>
      <c r="W113">
        <f t="shared" si="44"/>
        <v>3.5222198732220216</v>
      </c>
      <c r="X113">
        <f t="shared" si="45"/>
        <v>70.382431603125994</v>
      </c>
      <c r="Y113">
        <f t="shared" si="46"/>
        <v>2.2958168409663999</v>
      </c>
      <c r="Z113">
        <f t="shared" si="47"/>
        <v>3.2619174823514232</v>
      </c>
      <c r="AA113">
        <f t="shared" si="48"/>
        <v>1.2264030322556216</v>
      </c>
      <c r="AB113">
        <f t="shared" si="49"/>
        <v>-103.29263293684023</v>
      </c>
      <c r="AC113">
        <f t="shared" si="50"/>
        <v>-157.95257984046751</v>
      </c>
      <c r="AD113">
        <f t="shared" si="51"/>
        <v>-14.965981427544811</v>
      </c>
      <c r="AE113">
        <f t="shared" si="52"/>
        <v>-9.7304787426963912E-2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52776.821468274698</v>
      </c>
      <c r="AK113">
        <f t="shared" si="56"/>
        <v>1799.99</v>
      </c>
      <c r="AL113">
        <f t="shared" si="57"/>
        <v>1499.1015998115099</v>
      </c>
      <c r="AM113">
        <f t="shared" si="58"/>
        <v>0.83283884899999994</v>
      </c>
      <c r="AN113">
        <f t="shared" si="59"/>
        <v>0.15339745744</v>
      </c>
      <c r="AO113">
        <v>30</v>
      </c>
      <c r="AP113">
        <v>0.5</v>
      </c>
      <c r="AQ113" t="s">
        <v>331</v>
      </c>
      <c r="AR113">
        <v>2</v>
      </c>
      <c r="AS113">
        <v>1690293359.5999999</v>
      </c>
      <c r="AT113">
        <v>433.50099999999998</v>
      </c>
      <c r="AU113">
        <v>800.01099999999997</v>
      </c>
      <c r="AV113">
        <v>23.087199999999999</v>
      </c>
      <c r="AW113">
        <v>0.21656900000000001</v>
      </c>
      <c r="AX113">
        <v>433.74299999999999</v>
      </c>
      <c r="AY113">
        <v>22.9358</v>
      </c>
      <c r="AZ113">
        <v>300.14400000000001</v>
      </c>
      <c r="BA113">
        <v>99.341099999999997</v>
      </c>
      <c r="BB113">
        <v>0.100012</v>
      </c>
      <c r="BC113">
        <v>25.428999999999998</v>
      </c>
      <c r="BD113">
        <v>26.991900000000001</v>
      </c>
      <c r="BE113">
        <v>26.558599999999998</v>
      </c>
      <c r="BF113">
        <v>0</v>
      </c>
      <c r="BG113">
        <v>0</v>
      </c>
      <c r="BH113">
        <v>9994.3799999999992</v>
      </c>
      <c r="BI113">
        <v>1061.9100000000001</v>
      </c>
      <c r="BJ113">
        <v>2.2987099999999998</v>
      </c>
      <c r="BK113">
        <v>-366.51</v>
      </c>
      <c r="BL113">
        <v>443.745</v>
      </c>
      <c r="BM113">
        <v>800.18399999999997</v>
      </c>
      <c r="BN113">
        <v>22.8706</v>
      </c>
      <c r="BO113">
        <v>800.01099999999997</v>
      </c>
      <c r="BP113">
        <v>0.21656900000000001</v>
      </c>
      <c r="BQ113">
        <v>2.2935099999999999</v>
      </c>
      <c r="BR113">
        <v>2.1514200000000001E-2</v>
      </c>
      <c r="BS113">
        <v>19.6309</v>
      </c>
      <c r="BT113">
        <v>-38.720199999999998</v>
      </c>
      <c r="BU113">
        <v>1799.99</v>
      </c>
      <c r="BV113">
        <v>0.90999200000000002</v>
      </c>
      <c r="BW113">
        <v>3.4007900000000001E-2</v>
      </c>
      <c r="BX113">
        <v>2.1999700000000001E-2</v>
      </c>
      <c r="BY113">
        <v>3.40004E-2</v>
      </c>
      <c r="BZ113">
        <v>25</v>
      </c>
      <c r="CA113">
        <v>33528.199999999997</v>
      </c>
      <c r="CB113">
        <v>1690292073.5</v>
      </c>
      <c r="CC113" t="s">
        <v>332</v>
      </c>
      <c r="CD113">
        <v>1690292069.5</v>
      </c>
      <c r="CE113">
        <v>1690292073.5</v>
      </c>
      <c r="CF113">
        <v>4</v>
      </c>
      <c r="CG113">
        <v>-3.6999999999999998E-2</v>
      </c>
      <c r="CH113">
        <v>-1.6E-2</v>
      </c>
      <c r="CI113">
        <v>-0.45200000000000001</v>
      </c>
      <c r="CJ113">
        <v>0.108</v>
      </c>
      <c r="CK113">
        <v>730</v>
      </c>
      <c r="CL113">
        <v>18</v>
      </c>
      <c r="CM113">
        <v>0</v>
      </c>
      <c r="CN113">
        <v>0.01</v>
      </c>
      <c r="CO113">
        <v>-364.49594999999999</v>
      </c>
      <c r="CP113">
        <v>-11.317643527204419</v>
      </c>
      <c r="CQ113">
        <v>1.0897809630838691</v>
      </c>
      <c r="CR113">
        <v>-1</v>
      </c>
      <c r="CS113">
        <v>22.779452500000001</v>
      </c>
      <c r="CT113">
        <v>0.50244315196994216</v>
      </c>
      <c r="CU113">
        <v>4.8348433208843342E-2</v>
      </c>
      <c r="CV113">
        <v>-1</v>
      </c>
      <c r="CW113">
        <v>0</v>
      </c>
      <c r="CX113">
        <v>0</v>
      </c>
      <c r="CY113" t="s">
        <v>333</v>
      </c>
      <c r="CZ113">
        <v>2.3647900000000002</v>
      </c>
      <c r="DA113">
        <v>2.7138</v>
      </c>
      <c r="DB113">
        <v>9.5422099999999996E-2</v>
      </c>
      <c r="DC113">
        <v>0.146423</v>
      </c>
      <c r="DD113">
        <v>0.111289</v>
      </c>
      <c r="DE113">
        <v>1.8226E-3</v>
      </c>
      <c r="DF113">
        <v>33036.1</v>
      </c>
      <c r="DG113">
        <v>27509.7</v>
      </c>
      <c r="DH113">
        <v>31177.200000000001</v>
      </c>
      <c r="DI113">
        <v>28082.6</v>
      </c>
      <c r="DJ113">
        <v>37612.1</v>
      </c>
      <c r="DK113">
        <v>39861.4</v>
      </c>
      <c r="DL113">
        <v>44368</v>
      </c>
      <c r="DM113">
        <v>42556.6</v>
      </c>
      <c r="DN113">
        <v>1.4877800000000001</v>
      </c>
      <c r="DO113">
        <v>2.0389499999999998</v>
      </c>
      <c r="DP113">
        <v>0.139046</v>
      </c>
      <c r="DQ113">
        <v>0.13495199999999999</v>
      </c>
      <c r="DR113">
        <v>24.7136</v>
      </c>
      <c r="DS113">
        <v>24.346</v>
      </c>
      <c r="DT113">
        <v>32.9</v>
      </c>
      <c r="DU113">
        <v>28.4</v>
      </c>
      <c r="DV113">
        <v>12.8629</v>
      </c>
      <c r="DW113">
        <v>61.193399999999997</v>
      </c>
      <c r="DX113">
        <v>35.552900000000001</v>
      </c>
      <c r="DY113">
        <v>1</v>
      </c>
      <c r="DZ113">
        <v>-0.111494</v>
      </c>
      <c r="EA113">
        <v>8.8447700000000004E-2</v>
      </c>
      <c r="EB113">
        <v>20.1907</v>
      </c>
      <c r="EC113">
        <v>5.2413999999999996</v>
      </c>
      <c r="ED113">
        <v>12.039899999999999</v>
      </c>
      <c r="EE113">
        <v>5.0174500000000002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1.8646199999999999</v>
      </c>
      <c r="EM113">
        <v>1.8692</v>
      </c>
      <c r="EN113">
        <v>1.8672200000000001</v>
      </c>
      <c r="EO113">
        <v>1.8633999999999999</v>
      </c>
      <c r="EP113">
        <v>1.8644700000000001</v>
      </c>
      <c r="EQ113">
        <v>1.8702000000000001</v>
      </c>
      <c r="ER113">
        <v>1.8694299999999999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-0.24199999999999999</v>
      </c>
      <c r="FG113">
        <v>0.15140000000000001</v>
      </c>
      <c r="FH113">
        <v>5.0310448532705943E-2</v>
      </c>
      <c r="FI113">
        <v>-6.1462078757559423E-4</v>
      </c>
      <c r="FJ113">
        <v>-1.8861989874597051E-7</v>
      </c>
      <c r="FK113">
        <v>1.1980462299894961E-10</v>
      </c>
      <c r="FL113">
        <v>0.15140825623214971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21.5</v>
      </c>
      <c r="FU113">
        <v>21.4</v>
      </c>
      <c r="FV113">
        <v>1.7639199999999999</v>
      </c>
      <c r="FW113">
        <v>2.5842299999999998</v>
      </c>
      <c r="FX113">
        <v>1.5490699999999999</v>
      </c>
      <c r="FY113">
        <v>2.3327599999999999</v>
      </c>
      <c r="FZ113">
        <v>1.50146</v>
      </c>
      <c r="GA113">
        <v>2.35229</v>
      </c>
      <c r="GB113">
        <v>33.087499999999999</v>
      </c>
      <c r="GC113">
        <v>23.982399999999998</v>
      </c>
      <c r="GD113">
        <v>19</v>
      </c>
      <c r="GE113">
        <v>286.85000000000002</v>
      </c>
      <c r="GF113">
        <v>582.78599999999994</v>
      </c>
      <c r="GG113">
        <v>23.831199999999999</v>
      </c>
      <c r="GH113">
        <v>25.974699999999999</v>
      </c>
      <c r="GI113">
        <v>30.000299999999999</v>
      </c>
      <c r="GJ113">
        <v>26.130199999999999</v>
      </c>
      <c r="GK113">
        <v>26.1175</v>
      </c>
      <c r="GL113">
        <v>35.274700000000003</v>
      </c>
      <c r="GM113">
        <v>100</v>
      </c>
      <c r="GN113">
        <v>27.7971</v>
      </c>
      <c r="GO113">
        <v>23.831499999999998</v>
      </c>
      <c r="GP113">
        <v>800</v>
      </c>
      <c r="GQ113">
        <v>0</v>
      </c>
      <c r="GR113">
        <v>99.753699999999995</v>
      </c>
      <c r="GS113">
        <v>99.561099999999996</v>
      </c>
    </row>
    <row r="114" spans="1:201" x14ac:dyDescent="0.25">
      <c r="A114">
        <v>98</v>
      </c>
      <c r="B114">
        <v>1690293369.5999999</v>
      </c>
      <c r="C114">
        <v>1099</v>
      </c>
      <c r="D114" t="s">
        <v>529</v>
      </c>
      <c r="E114" t="s">
        <v>530</v>
      </c>
      <c r="F114" t="s">
        <v>330</v>
      </c>
      <c r="H114">
        <v>1690293369.5999999</v>
      </c>
      <c r="I114">
        <f t="shared" si="30"/>
        <v>2.351151142249876E-3</v>
      </c>
      <c r="J114">
        <f t="shared" si="31"/>
        <v>2.3511511422498761</v>
      </c>
      <c r="K114">
        <f t="shared" si="32"/>
        <v>35.846326121093995</v>
      </c>
      <c r="L114">
        <f t="shared" si="33"/>
        <v>431.59500000000003</v>
      </c>
      <c r="M114">
        <f t="shared" si="34"/>
        <v>120.15143193238485</v>
      </c>
      <c r="N114">
        <f t="shared" si="35"/>
        <v>11.948795692676857</v>
      </c>
      <c r="O114">
        <f t="shared" si="36"/>
        <v>42.92117367259501</v>
      </c>
      <c r="P114">
        <f t="shared" si="37"/>
        <v>0.19516271531660759</v>
      </c>
      <c r="Q114">
        <f t="shared" si="38"/>
        <v>2.2607318735269684</v>
      </c>
      <c r="R114">
        <f t="shared" si="39"/>
        <v>0.18626264640141021</v>
      </c>
      <c r="S114">
        <f t="shared" si="40"/>
        <v>0.11717996288819138</v>
      </c>
      <c r="T114">
        <f t="shared" si="41"/>
        <v>276.115422276</v>
      </c>
      <c r="U114">
        <f t="shared" si="42"/>
        <v>26.727214364142412</v>
      </c>
      <c r="V114">
        <f t="shared" si="43"/>
        <v>26.727214364142412</v>
      </c>
      <c r="W114">
        <f t="shared" si="44"/>
        <v>3.522216041066029</v>
      </c>
      <c r="X114">
        <f t="shared" si="45"/>
        <v>70.602463019929345</v>
      </c>
      <c r="Y114">
        <f t="shared" si="46"/>
        <v>2.3036784758247002</v>
      </c>
      <c r="Z114">
        <f t="shared" si="47"/>
        <v>3.2628868417443573</v>
      </c>
      <c r="AA114">
        <f t="shared" si="48"/>
        <v>1.2185375652413288</v>
      </c>
      <c r="AB114">
        <f t="shared" si="49"/>
        <v>-103.68576537321954</v>
      </c>
      <c r="AC114">
        <f t="shared" si="50"/>
        <v>-157.61771258321752</v>
      </c>
      <c r="AD114">
        <f t="shared" si="51"/>
        <v>-14.908500421618902</v>
      </c>
      <c r="AE114">
        <f t="shared" si="52"/>
        <v>-9.6556102055956217E-2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52931.504994131385</v>
      </c>
      <c r="AK114">
        <f t="shared" si="56"/>
        <v>1800</v>
      </c>
      <c r="AL114">
        <f t="shared" si="57"/>
        <v>1499.1109145999999</v>
      </c>
      <c r="AM114">
        <f t="shared" si="58"/>
        <v>0.83283939699999998</v>
      </c>
      <c r="AN114">
        <f t="shared" si="59"/>
        <v>0.15339745682</v>
      </c>
      <c r="AO114">
        <v>30</v>
      </c>
      <c r="AP114">
        <v>0.5</v>
      </c>
      <c r="AQ114" t="s">
        <v>331</v>
      </c>
      <c r="AR114">
        <v>2</v>
      </c>
      <c r="AS114">
        <v>1690293369.5999999</v>
      </c>
      <c r="AT114">
        <v>431.59500000000003</v>
      </c>
      <c r="AU114">
        <v>799.95399999999995</v>
      </c>
      <c r="AV114">
        <v>23.1647</v>
      </c>
      <c r="AW114">
        <v>0.213509</v>
      </c>
      <c r="AX114">
        <v>431.83600000000001</v>
      </c>
      <c r="AY114">
        <v>23.013300000000001</v>
      </c>
      <c r="AZ114">
        <v>300.20499999999998</v>
      </c>
      <c r="BA114">
        <v>99.347800000000007</v>
      </c>
      <c r="BB114">
        <v>0.10000100000000001</v>
      </c>
      <c r="BC114">
        <v>25.434000000000001</v>
      </c>
      <c r="BD114">
        <v>26.985600000000002</v>
      </c>
      <c r="BE114">
        <v>26.543399999999998</v>
      </c>
      <c r="BF114">
        <v>0</v>
      </c>
      <c r="BG114">
        <v>0</v>
      </c>
      <c r="BH114">
        <v>10024.4</v>
      </c>
      <c r="BI114">
        <v>1062.0999999999999</v>
      </c>
      <c r="BJ114">
        <v>2.3085200000000001</v>
      </c>
      <c r="BK114">
        <v>-368.35899999999998</v>
      </c>
      <c r="BL114">
        <v>441.83</v>
      </c>
      <c r="BM114">
        <v>800.125</v>
      </c>
      <c r="BN114">
        <v>22.9512</v>
      </c>
      <c r="BO114">
        <v>799.95399999999995</v>
      </c>
      <c r="BP114">
        <v>0.213509</v>
      </c>
      <c r="BQ114">
        <v>2.3013599999999999</v>
      </c>
      <c r="BR114">
        <v>2.12117E-2</v>
      </c>
      <c r="BS114">
        <v>19.6859</v>
      </c>
      <c r="BT114">
        <v>-38.857399999999998</v>
      </c>
      <c r="BU114">
        <v>1800</v>
      </c>
      <c r="BV114">
        <v>0.909995</v>
      </c>
      <c r="BW114">
        <v>3.40069E-2</v>
      </c>
      <c r="BX114">
        <v>2.1999100000000001E-2</v>
      </c>
      <c r="BY114">
        <v>3.3999399999999999E-2</v>
      </c>
      <c r="BZ114">
        <v>25</v>
      </c>
      <c r="CA114">
        <v>33528.300000000003</v>
      </c>
      <c r="CB114">
        <v>1690292073.5</v>
      </c>
      <c r="CC114" t="s">
        <v>332</v>
      </c>
      <c r="CD114">
        <v>1690292069.5</v>
      </c>
      <c r="CE114">
        <v>1690292073.5</v>
      </c>
      <c r="CF114">
        <v>4</v>
      </c>
      <c r="CG114">
        <v>-3.6999999999999998E-2</v>
      </c>
      <c r="CH114">
        <v>-1.6E-2</v>
      </c>
      <c r="CI114">
        <v>-0.45200000000000001</v>
      </c>
      <c r="CJ114">
        <v>0.108</v>
      </c>
      <c r="CK114">
        <v>730</v>
      </c>
      <c r="CL114">
        <v>18</v>
      </c>
      <c r="CM114">
        <v>0</v>
      </c>
      <c r="CN114">
        <v>0.01</v>
      </c>
      <c r="CO114">
        <v>-366.38314634146337</v>
      </c>
      <c r="CP114">
        <v>-10.888871080139211</v>
      </c>
      <c r="CQ114">
        <v>1.075013773274794</v>
      </c>
      <c r="CR114">
        <v>-1</v>
      </c>
      <c r="CS114">
        <v>22.862929268292682</v>
      </c>
      <c r="CT114">
        <v>0.47895261324042809</v>
      </c>
      <c r="CU114">
        <v>4.7232240146119417E-2</v>
      </c>
      <c r="CV114">
        <v>-1</v>
      </c>
      <c r="CW114">
        <v>0</v>
      </c>
      <c r="CX114">
        <v>0</v>
      </c>
      <c r="CY114" t="s">
        <v>333</v>
      </c>
      <c r="CZ114">
        <v>2.3650099999999998</v>
      </c>
      <c r="DA114">
        <v>2.7138100000000001</v>
      </c>
      <c r="DB114">
        <v>9.5113799999999998E-2</v>
      </c>
      <c r="DC114">
        <v>0.146427</v>
      </c>
      <c r="DD114">
        <v>0.11156199999999999</v>
      </c>
      <c r="DE114">
        <v>1.79732E-3</v>
      </c>
      <c r="DF114">
        <v>33047.300000000003</v>
      </c>
      <c r="DG114">
        <v>27509.7</v>
      </c>
      <c r="DH114">
        <v>31177.200000000001</v>
      </c>
      <c r="DI114">
        <v>28082.799999999999</v>
      </c>
      <c r="DJ114">
        <v>37600.300000000003</v>
      </c>
      <c r="DK114">
        <v>39862.699999999997</v>
      </c>
      <c r="DL114">
        <v>44367.8</v>
      </c>
      <c r="DM114">
        <v>42556.9</v>
      </c>
      <c r="DN114">
        <v>1.4875</v>
      </c>
      <c r="DO114">
        <v>2.0392000000000001</v>
      </c>
      <c r="DP114">
        <v>0.138547</v>
      </c>
      <c r="DQ114">
        <v>0.13388700000000001</v>
      </c>
      <c r="DR114">
        <v>24.715499999999999</v>
      </c>
      <c r="DS114">
        <v>24.348199999999999</v>
      </c>
      <c r="DT114">
        <v>32.5</v>
      </c>
      <c r="DU114">
        <v>28.4</v>
      </c>
      <c r="DV114">
        <v>12.708399999999999</v>
      </c>
      <c r="DW114">
        <v>61.153399999999998</v>
      </c>
      <c r="DX114">
        <v>34.959899999999998</v>
      </c>
      <c r="DY114">
        <v>1</v>
      </c>
      <c r="DZ114">
        <v>-0.111966</v>
      </c>
      <c r="EA114">
        <v>6.3883400000000007E-2</v>
      </c>
      <c r="EB114">
        <v>20.1906</v>
      </c>
      <c r="EC114">
        <v>5.24125</v>
      </c>
      <c r="ED114">
        <v>12.039899999999999</v>
      </c>
      <c r="EE114">
        <v>5.0179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</v>
      </c>
      <c r="EL114">
        <v>1.8646199999999999</v>
      </c>
      <c r="EM114">
        <v>1.8691899999999999</v>
      </c>
      <c r="EN114">
        <v>1.8672200000000001</v>
      </c>
      <c r="EO114">
        <v>1.86338</v>
      </c>
      <c r="EP114">
        <v>1.8644700000000001</v>
      </c>
      <c r="EQ114">
        <v>1.87015</v>
      </c>
      <c r="ER114">
        <v>1.8693900000000001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-0.24099999999999999</v>
      </c>
      <c r="FG114">
        <v>0.15140000000000001</v>
      </c>
      <c r="FH114">
        <v>5.0310448532705943E-2</v>
      </c>
      <c r="FI114">
        <v>-6.1462078757559423E-4</v>
      </c>
      <c r="FJ114">
        <v>-1.8861989874597051E-7</v>
      </c>
      <c r="FK114">
        <v>1.1980462299894961E-10</v>
      </c>
      <c r="FL114">
        <v>0.15140825623214971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21.7</v>
      </c>
      <c r="FU114">
        <v>21.6</v>
      </c>
      <c r="FV114">
        <v>1.7639199999999999</v>
      </c>
      <c r="FW114">
        <v>2.5817899999999998</v>
      </c>
      <c r="FX114">
        <v>1.5490699999999999</v>
      </c>
      <c r="FY114">
        <v>2.3327599999999999</v>
      </c>
      <c r="FZ114">
        <v>1.50146</v>
      </c>
      <c r="GA114">
        <v>2.2753899999999998</v>
      </c>
      <c r="GB114">
        <v>33.087499999999999</v>
      </c>
      <c r="GC114">
        <v>23.982399999999998</v>
      </c>
      <c r="GD114">
        <v>19</v>
      </c>
      <c r="GE114">
        <v>286.721</v>
      </c>
      <c r="GF114">
        <v>582.96100000000001</v>
      </c>
      <c r="GG114">
        <v>23.843800000000002</v>
      </c>
      <c r="GH114">
        <v>25.971399999999999</v>
      </c>
      <c r="GI114">
        <v>30.0001</v>
      </c>
      <c r="GJ114">
        <v>26.128</v>
      </c>
      <c r="GK114">
        <v>26.114799999999999</v>
      </c>
      <c r="GL114">
        <v>35.277000000000001</v>
      </c>
      <c r="GM114">
        <v>100</v>
      </c>
      <c r="GN114">
        <v>27.020600000000002</v>
      </c>
      <c r="GO114">
        <v>23.860199999999999</v>
      </c>
      <c r="GP114">
        <v>800</v>
      </c>
      <c r="GQ114">
        <v>0</v>
      </c>
      <c r="GR114">
        <v>99.753299999999996</v>
      </c>
      <c r="GS114">
        <v>99.561700000000002</v>
      </c>
    </row>
    <row r="115" spans="1:201" x14ac:dyDescent="0.25">
      <c r="A115">
        <v>99</v>
      </c>
      <c r="B115">
        <v>1690293379.5999999</v>
      </c>
      <c r="C115">
        <v>1109</v>
      </c>
      <c r="D115" t="s">
        <v>531</v>
      </c>
      <c r="E115" t="s">
        <v>532</v>
      </c>
      <c r="F115" t="s">
        <v>330</v>
      </c>
      <c r="H115">
        <v>1690293379.5999999</v>
      </c>
      <c r="I115">
        <f t="shared" si="30"/>
        <v>2.3589698608198978E-3</v>
      </c>
      <c r="J115">
        <f t="shared" si="31"/>
        <v>2.3589698608198977</v>
      </c>
      <c r="K115">
        <f t="shared" si="32"/>
        <v>36.029286919197496</v>
      </c>
      <c r="L115">
        <f t="shared" si="33"/>
        <v>429.71300000000002</v>
      </c>
      <c r="M115">
        <f t="shared" si="34"/>
        <v>119.37224152700442</v>
      </c>
      <c r="N115">
        <f t="shared" si="35"/>
        <v>11.870874745038247</v>
      </c>
      <c r="O115">
        <f t="shared" si="36"/>
        <v>42.732457178167799</v>
      </c>
      <c r="P115">
        <f t="shared" si="37"/>
        <v>0.19691625182370961</v>
      </c>
      <c r="Q115">
        <f t="shared" si="38"/>
        <v>2.2566548855202546</v>
      </c>
      <c r="R115">
        <f t="shared" si="39"/>
        <v>0.18784396627210717</v>
      </c>
      <c r="S115">
        <f t="shared" si="40"/>
        <v>0.11818275133293701</v>
      </c>
      <c r="T115">
        <f t="shared" si="41"/>
        <v>276.11522506800003</v>
      </c>
      <c r="U115">
        <f t="shared" si="42"/>
        <v>26.734249558028246</v>
      </c>
      <c r="V115">
        <f t="shared" si="43"/>
        <v>26.734249558028246</v>
      </c>
      <c r="W115">
        <f t="shared" si="44"/>
        <v>3.5236746319975256</v>
      </c>
      <c r="X115">
        <f t="shared" si="45"/>
        <v>70.810012927600553</v>
      </c>
      <c r="Y115">
        <f t="shared" si="46"/>
        <v>2.3114805338664</v>
      </c>
      <c r="Z115">
        <f t="shared" si="47"/>
        <v>3.2643413527261536</v>
      </c>
      <c r="AA115">
        <f t="shared" si="48"/>
        <v>1.2121940981311257</v>
      </c>
      <c r="AB115">
        <f t="shared" si="49"/>
        <v>-104.03057086215749</v>
      </c>
      <c r="AC115">
        <f t="shared" si="50"/>
        <v>-157.27691723212646</v>
      </c>
      <c r="AD115">
        <f t="shared" si="51"/>
        <v>-14.904228422601681</v>
      </c>
      <c r="AE115">
        <f t="shared" si="52"/>
        <v>-9.6491448885643649E-2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52769.87519730135</v>
      </c>
      <c r="AK115">
        <f t="shared" si="56"/>
        <v>1800</v>
      </c>
      <c r="AL115">
        <f t="shared" si="57"/>
        <v>1499.1110657999998</v>
      </c>
      <c r="AM115">
        <f t="shared" si="58"/>
        <v>0.83283948099999994</v>
      </c>
      <c r="AN115">
        <f t="shared" si="59"/>
        <v>0.15339734726000001</v>
      </c>
      <c r="AO115">
        <v>30</v>
      </c>
      <c r="AP115">
        <v>0.5</v>
      </c>
      <c r="AQ115" t="s">
        <v>331</v>
      </c>
      <c r="AR115">
        <v>2</v>
      </c>
      <c r="AS115">
        <v>1690293379.5999999</v>
      </c>
      <c r="AT115">
        <v>429.71300000000002</v>
      </c>
      <c r="AU115">
        <v>800.01800000000003</v>
      </c>
      <c r="AV115">
        <v>23.244</v>
      </c>
      <c r="AW115">
        <v>0.21037500000000001</v>
      </c>
      <c r="AX115">
        <v>429.952</v>
      </c>
      <c r="AY115">
        <v>23.092600000000001</v>
      </c>
      <c r="AZ115">
        <v>300.101</v>
      </c>
      <c r="BA115">
        <v>99.344200000000001</v>
      </c>
      <c r="BB115">
        <v>9.9980600000000003E-2</v>
      </c>
      <c r="BC115">
        <v>25.441500000000001</v>
      </c>
      <c r="BD115">
        <v>26.972799999999999</v>
      </c>
      <c r="BE115">
        <v>26.577300000000001</v>
      </c>
      <c r="BF115">
        <v>0</v>
      </c>
      <c r="BG115">
        <v>0</v>
      </c>
      <c r="BH115">
        <v>9993.1200000000008</v>
      </c>
      <c r="BI115">
        <v>1062.17</v>
      </c>
      <c r="BJ115">
        <v>2.3085200000000001</v>
      </c>
      <c r="BK115">
        <v>-370.30500000000001</v>
      </c>
      <c r="BL115">
        <v>439.93900000000002</v>
      </c>
      <c r="BM115">
        <v>800.18600000000004</v>
      </c>
      <c r="BN115">
        <v>23.0336</v>
      </c>
      <c r="BO115">
        <v>800.01800000000003</v>
      </c>
      <c r="BP115">
        <v>0.21037500000000001</v>
      </c>
      <c r="BQ115">
        <v>2.3091499999999998</v>
      </c>
      <c r="BR115">
        <v>2.0899600000000001E-2</v>
      </c>
      <c r="BS115">
        <v>19.740400000000001</v>
      </c>
      <c r="BT115">
        <v>-39.000900000000001</v>
      </c>
      <c r="BU115">
        <v>1800</v>
      </c>
      <c r="BV115">
        <v>0.90999799999999997</v>
      </c>
      <c r="BW115">
        <v>3.40057E-2</v>
      </c>
      <c r="BX115">
        <v>2.1998299999999998E-2</v>
      </c>
      <c r="BY115">
        <v>3.3998199999999999E-2</v>
      </c>
      <c r="BZ115">
        <v>25</v>
      </c>
      <c r="CA115">
        <v>33528.400000000001</v>
      </c>
      <c r="CB115">
        <v>1690292073.5</v>
      </c>
      <c r="CC115" t="s">
        <v>332</v>
      </c>
      <c r="CD115">
        <v>1690292069.5</v>
      </c>
      <c r="CE115">
        <v>1690292073.5</v>
      </c>
      <c r="CF115">
        <v>4</v>
      </c>
      <c r="CG115">
        <v>-3.6999999999999998E-2</v>
      </c>
      <c r="CH115">
        <v>-1.6E-2</v>
      </c>
      <c r="CI115">
        <v>-0.45200000000000001</v>
      </c>
      <c r="CJ115">
        <v>0.108</v>
      </c>
      <c r="CK115">
        <v>730</v>
      </c>
      <c r="CL115">
        <v>18</v>
      </c>
      <c r="CM115">
        <v>0</v>
      </c>
      <c r="CN115">
        <v>0.01</v>
      </c>
      <c r="CO115">
        <v>-368.35227500000002</v>
      </c>
      <c r="CP115">
        <v>-11.3399662288929</v>
      </c>
      <c r="CQ115">
        <v>1.091387442375531</v>
      </c>
      <c r="CR115">
        <v>-1</v>
      </c>
      <c r="CS115">
        <v>22.948654999999999</v>
      </c>
      <c r="CT115">
        <v>0.48343114446525381</v>
      </c>
      <c r="CU115">
        <v>4.6513320403944423E-2</v>
      </c>
      <c r="CV115">
        <v>-1</v>
      </c>
      <c r="CW115">
        <v>0</v>
      </c>
      <c r="CX115">
        <v>0</v>
      </c>
      <c r="CY115" t="s">
        <v>333</v>
      </c>
      <c r="CZ115">
        <v>2.3646799999999999</v>
      </c>
      <c r="DA115">
        <v>2.7137600000000002</v>
      </c>
      <c r="DB115">
        <v>9.4798800000000003E-2</v>
      </c>
      <c r="DC115">
        <v>0.14643</v>
      </c>
      <c r="DD115">
        <v>0.111828</v>
      </c>
      <c r="DE115">
        <v>1.77122E-3</v>
      </c>
      <c r="DF115">
        <v>33059.300000000003</v>
      </c>
      <c r="DG115">
        <v>27509.7</v>
      </c>
      <c r="DH115">
        <v>31177.599999999999</v>
      </c>
      <c r="DI115">
        <v>28082.9</v>
      </c>
      <c r="DJ115">
        <v>37589.5</v>
      </c>
      <c r="DK115">
        <v>39863.800000000003</v>
      </c>
      <c r="DL115">
        <v>44368.7</v>
      </c>
      <c r="DM115">
        <v>42556.9</v>
      </c>
      <c r="DN115">
        <v>1.4877</v>
      </c>
      <c r="DO115">
        <v>2.0390299999999999</v>
      </c>
      <c r="DP115">
        <v>0.13775799999999999</v>
      </c>
      <c r="DQ115">
        <v>0.13583200000000001</v>
      </c>
      <c r="DR115">
        <v>24.715699999999998</v>
      </c>
      <c r="DS115">
        <v>24.350300000000001</v>
      </c>
      <c r="DT115">
        <v>32.1</v>
      </c>
      <c r="DU115">
        <v>28.4</v>
      </c>
      <c r="DV115">
        <v>12.551399999999999</v>
      </c>
      <c r="DW115">
        <v>61.473399999999998</v>
      </c>
      <c r="DX115">
        <v>35.729199999999999</v>
      </c>
      <c r="DY115">
        <v>1</v>
      </c>
      <c r="DZ115">
        <v>-0.112205</v>
      </c>
      <c r="EA115">
        <v>5.3444999999999999E-2</v>
      </c>
      <c r="EB115">
        <v>20.1905</v>
      </c>
      <c r="EC115">
        <v>5.2411000000000003</v>
      </c>
      <c r="ED115">
        <v>12.039899999999999</v>
      </c>
      <c r="EE115">
        <v>5.0176499999999997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</v>
      </c>
      <c r="EL115">
        <v>1.8646100000000001</v>
      </c>
      <c r="EM115">
        <v>1.8692</v>
      </c>
      <c r="EN115">
        <v>1.8672200000000001</v>
      </c>
      <c r="EO115">
        <v>1.8633599999999999</v>
      </c>
      <c r="EP115">
        <v>1.8644499999999999</v>
      </c>
      <c r="EQ115">
        <v>1.8701399999999999</v>
      </c>
      <c r="ER115">
        <v>1.8693900000000001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-0.23899999999999999</v>
      </c>
      <c r="FG115">
        <v>0.15140000000000001</v>
      </c>
      <c r="FH115">
        <v>5.0310448532705943E-2</v>
      </c>
      <c r="FI115">
        <v>-6.1462078757559423E-4</v>
      </c>
      <c r="FJ115">
        <v>-1.8861989874597051E-7</v>
      </c>
      <c r="FK115">
        <v>1.1980462299894961E-10</v>
      </c>
      <c r="FL115">
        <v>0.15140825623214971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21.8</v>
      </c>
      <c r="FU115">
        <v>21.8</v>
      </c>
      <c r="FV115">
        <v>1.7639199999999999</v>
      </c>
      <c r="FW115">
        <v>2.5769000000000002</v>
      </c>
      <c r="FX115">
        <v>1.5490699999999999</v>
      </c>
      <c r="FY115">
        <v>2.3327599999999999</v>
      </c>
      <c r="FZ115">
        <v>1.50024</v>
      </c>
      <c r="GA115">
        <v>2.3730500000000001</v>
      </c>
      <c r="GB115">
        <v>33.087499999999999</v>
      </c>
      <c r="GC115">
        <v>23.991199999999999</v>
      </c>
      <c r="GD115">
        <v>19</v>
      </c>
      <c r="GE115">
        <v>286.798</v>
      </c>
      <c r="GF115">
        <v>582.79200000000003</v>
      </c>
      <c r="GG115">
        <v>23.8704</v>
      </c>
      <c r="GH115">
        <v>25.969200000000001</v>
      </c>
      <c r="GI115">
        <v>29.9999</v>
      </c>
      <c r="GJ115">
        <v>26.125800000000002</v>
      </c>
      <c r="GK115">
        <v>26.1126</v>
      </c>
      <c r="GL115">
        <v>35.275100000000002</v>
      </c>
      <c r="GM115">
        <v>100</v>
      </c>
      <c r="GN115">
        <v>26.219200000000001</v>
      </c>
      <c r="GO115">
        <v>23.884599999999999</v>
      </c>
      <c r="GP115">
        <v>800</v>
      </c>
      <c r="GQ115">
        <v>0</v>
      </c>
      <c r="GR115">
        <v>99.754999999999995</v>
      </c>
      <c r="GS115">
        <v>99.561899999999994</v>
      </c>
    </row>
    <row r="116" spans="1:201" x14ac:dyDescent="0.25">
      <c r="A116">
        <v>100</v>
      </c>
      <c r="B116">
        <v>1690293389.5999999</v>
      </c>
      <c r="C116">
        <v>1119</v>
      </c>
      <c r="D116" t="s">
        <v>533</v>
      </c>
      <c r="E116" t="s">
        <v>534</v>
      </c>
      <c r="F116" t="s">
        <v>330</v>
      </c>
      <c r="H116">
        <v>1690293389.5999999</v>
      </c>
      <c r="I116">
        <f t="shared" si="30"/>
        <v>2.3674651968930253E-3</v>
      </c>
      <c r="J116">
        <f t="shared" si="31"/>
        <v>2.3674651968930251</v>
      </c>
      <c r="K116">
        <f t="shared" si="32"/>
        <v>36.220775177692623</v>
      </c>
      <c r="L116">
        <f t="shared" si="33"/>
        <v>427.88400000000001</v>
      </c>
      <c r="M116">
        <f t="shared" si="34"/>
        <v>118.57343150899524</v>
      </c>
      <c r="N116">
        <f t="shared" si="35"/>
        <v>11.791476914004022</v>
      </c>
      <c r="O116">
        <f t="shared" si="36"/>
        <v>42.550715144723995</v>
      </c>
      <c r="P116">
        <f t="shared" si="37"/>
        <v>0.19867062176583294</v>
      </c>
      <c r="Q116">
        <f t="shared" si="38"/>
        <v>2.2563362136819025</v>
      </c>
      <c r="R116">
        <f t="shared" si="39"/>
        <v>0.1894387953257472</v>
      </c>
      <c r="S116">
        <f t="shared" si="40"/>
        <v>0.11919293554337551</v>
      </c>
      <c r="T116">
        <f t="shared" si="41"/>
        <v>276.11505944999999</v>
      </c>
      <c r="U116">
        <f t="shared" si="42"/>
        <v>26.742088662789328</v>
      </c>
      <c r="V116">
        <f t="shared" si="43"/>
        <v>26.742088662789328</v>
      </c>
      <c r="W116">
        <f t="shared" si="44"/>
        <v>3.5253005171082825</v>
      </c>
      <c r="X116">
        <f t="shared" si="45"/>
        <v>70.997159914129057</v>
      </c>
      <c r="Y116">
        <f t="shared" si="46"/>
        <v>2.3190360520689</v>
      </c>
      <c r="Z116">
        <f t="shared" si="47"/>
        <v>3.2663786197557338</v>
      </c>
      <c r="AA116">
        <f t="shared" si="48"/>
        <v>1.2062644650393826</v>
      </c>
      <c r="AB116">
        <f t="shared" si="49"/>
        <v>-104.40521518298242</v>
      </c>
      <c r="AC116">
        <f t="shared" si="50"/>
        <v>-156.93102661880229</v>
      </c>
      <c r="AD116">
        <f t="shared" si="51"/>
        <v>-14.874918466228834</v>
      </c>
      <c r="AE116">
        <f t="shared" si="52"/>
        <v>-9.6100818013582057E-2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52755.513810218523</v>
      </c>
      <c r="AK116">
        <f t="shared" si="56"/>
        <v>1800</v>
      </c>
      <c r="AL116">
        <f t="shared" si="57"/>
        <v>1499.1106769999999</v>
      </c>
      <c r="AM116">
        <f t="shared" si="58"/>
        <v>0.83283926499999994</v>
      </c>
      <c r="AN116">
        <f t="shared" si="59"/>
        <v>0.15339725525</v>
      </c>
      <c r="AO116">
        <v>30</v>
      </c>
      <c r="AP116">
        <v>0.5</v>
      </c>
      <c r="AQ116" t="s">
        <v>331</v>
      </c>
      <c r="AR116">
        <v>2</v>
      </c>
      <c r="AS116">
        <v>1690293389.5999999</v>
      </c>
      <c r="AT116">
        <v>427.88400000000001</v>
      </c>
      <c r="AU116">
        <v>800.05799999999999</v>
      </c>
      <c r="AV116">
        <v>23.319900000000001</v>
      </c>
      <c r="AW116">
        <v>0.207508</v>
      </c>
      <c r="AX116">
        <v>428.12200000000001</v>
      </c>
      <c r="AY116">
        <v>23.168500000000002</v>
      </c>
      <c r="AZ116">
        <v>300.13200000000001</v>
      </c>
      <c r="BA116">
        <v>99.344499999999996</v>
      </c>
      <c r="BB116">
        <v>0.100011</v>
      </c>
      <c r="BC116">
        <v>25.452000000000002</v>
      </c>
      <c r="BD116">
        <v>26.999500000000001</v>
      </c>
      <c r="BE116">
        <v>26.5686</v>
      </c>
      <c r="BF116">
        <v>0</v>
      </c>
      <c r="BG116">
        <v>0</v>
      </c>
      <c r="BH116">
        <v>9990.6200000000008</v>
      </c>
      <c r="BI116">
        <v>1062.3399999999999</v>
      </c>
      <c r="BJ116">
        <v>2.2987099999999998</v>
      </c>
      <c r="BK116">
        <v>-372.17500000000001</v>
      </c>
      <c r="BL116">
        <v>438.1</v>
      </c>
      <c r="BM116">
        <v>800.22400000000005</v>
      </c>
      <c r="BN116">
        <v>23.112400000000001</v>
      </c>
      <c r="BO116">
        <v>800.05799999999999</v>
      </c>
      <c r="BP116">
        <v>0.207508</v>
      </c>
      <c r="BQ116">
        <v>2.3167</v>
      </c>
      <c r="BR116">
        <v>2.0614799999999999E-2</v>
      </c>
      <c r="BS116">
        <v>19.792999999999999</v>
      </c>
      <c r="BT116">
        <v>-39.133499999999998</v>
      </c>
      <c r="BU116">
        <v>1800</v>
      </c>
      <c r="BV116">
        <v>0.909999</v>
      </c>
      <c r="BW116">
        <v>3.4005100000000003E-2</v>
      </c>
      <c r="BX116">
        <v>2.1998E-2</v>
      </c>
      <c r="BY116">
        <v>3.3997699999999999E-2</v>
      </c>
      <c r="BZ116">
        <v>25</v>
      </c>
      <c r="CA116">
        <v>33528.400000000001</v>
      </c>
      <c r="CB116">
        <v>1690292073.5</v>
      </c>
      <c r="CC116" t="s">
        <v>332</v>
      </c>
      <c r="CD116">
        <v>1690292069.5</v>
      </c>
      <c r="CE116">
        <v>1690292073.5</v>
      </c>
      <c r="CF116">
        <v>4</v>
      </c>
      <c r="CG116">
        <v>-3.6999999999999998E-2</v>
      </c>
      <c r="CH116">
        <v>-1.6E-2</v>
      </c>
      <c r="CI116">
        <v>-0.45200000000000001</v>
      </c>
      <c r="CJ116">
        <v>0.108</v>
      </c>
      <c r="CK116">
        <v>730</v>
      </c>
      <c r="CL116">
        <v>18</v>
      </c>
      <c r="CM116">
        <v>0</v>
      </c>
      <c r="CN116">
        <v>0.01</v>
      </c>
      <c r="CO116">
        <v>-370.04309999999998</v>
      </c>
      <c r="CP116">
        <v>-11.416412757973569</v>
      </c>
      <c r="CQ116">
        <v>1.0985351564697421</v>
      </c>
      <c r="CR116">
        <v>-1</v>
      </c>
      <c r="CS116">
        <v>23.021642499999999</v>
      </c>
      <c r="CT116">
        <v>0.48845966228886062</v>
      </c>
      <c r="CU116">
        <v>4.6997616362428669E-2</v>
      </c>
      <c r="CV116">
        <v>-1</v>
      </c>
      <c r="CW116">
        <v>0</v>
      </c>
      <c r="CX116">
        <v>0</v>
      </c>
      <c r="CY116" t="s">
        <v>333</v>
      </c>
      <c r="CZ116">
        <v>2.36477</v>
      </c>
      <c r="DA116">
        <v>2.7137899999999999</v>
      </c>
      <c r="DB116">
        <v>9.4495800000000005E-2</v>
      </c>
      <c r="DC116">
        <v>0.14643600000000001</v>
      </c>
      <c r="DD116">
        <v>0.11208799999999999</v>
      </c>
      <c r="DE116">
        <v>1.74741E-3</v>
      </c>
      <c r="DF116">
        <v>33070.699999999997</v>
      </c>
      <c r="DG116">
        <v>27509.599999999999</v>
      </c>
      <c r="DH116">
        <v>31177.8</v>
      </c>
      <c r="DI116">
        <v>28082.9</v>
      </c>
      <c r="DJ116">
        <v>37578.400000000001</v>
      </c>
      <c r="DK116">
        <v>39864.800000000003</v>
      </c>
      <c r="DL116">
        <v>44368.7</v>
      </c>
      <c r="DM116">
        <v>42556.9</v>
      </c>
      <c r="DN116">
        <v>1.48783</v>
      </c>
      <c r="DO116">
        <v>2.0390299999999999</v>
      </c>
      <c r="DP116">
        <v>0.139177</v>
      </c>
      <c r="DQ116">
        <v>0.13517599999999999</v>
      </c>
      <c r="DR116">
        <v>24.719200000000001</v>
      </c>
      <c r="DS116">
        <v>24.3523</v>
      </c>
      <c r="DT116">
        <v>31.7</v>
      </c>
      <c r="DU116">
        <v>28.4</v>
      </c>
      <c r="DV116">
        <v>12.394399999999999</v>
      </c>
      <c r="DW116">
        <v>61.373399999999997</v>
      </c>
      <c r="DX116">
        <v>35.568899999999999</v>
      </c>
      <c r="DY116">
        <v>1</v>
      </c>
      <c r="DZ116">
        <v>-0.112665</v>
      </c>
      <c r="EA116">
        <v>0.32067800000000002</v>
      </c>
      <c r="EB116">
        <v>20.189499999999999</v>
      </c>
      <c r="EC116">
        <v>5.24125</v>
      </c>
      <c r="ED116">
        <v>12.039899999999999</v>
      </c>
      <c r="EE116">
        <v>5.0176999999999996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</v>
      </c>
      <c r="EL116">
        <v>1.8646100000000001</v>
      </c>
      <c r="EM116">
        <v>1.8691899999999999</v>
      </c>
      <c r="EN116">
        <v>1.8672200000000001</v>
      </c>
      <c r="EO116">
        <v>1.86337</v>
      </c>
      <c r="EP116">
        <v>1.8644499999999999</v>
      </c>
      <c r="EQ116">
        <v>1.8701399999999999</v>
      </c>
      <c r="ER116">
        <v>1.8693900000000001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-0.23799999999999999</v>
      </c>
      <c r="FG116">
        <v>0.15140000000000001</v>
      </c>
      <c r="FH116">
        <v>5.0310448532705943E-2</v>
      </c>
      <c r="FI116">
        <v>-6.1462078757559423E-4</v>
      </c>
      <c r="FJ116">
        <v>-1.8861989874597051E-7</v>
      </c>
      <c r="FK116">
        <v>1.1980462299894961E-10</v>
      </c>
      <c r="FL116">
        <v>0.15140825623214971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22</v>
      </c>
      <c r="FU116">
        <v>21.9</v>
      </c>
      <c r="FV116">
        <v>1.7639199999999999</v>
      </c>
      <c r="FW116">
        <v>2.5805699999999998</v>
      </c>
      <c r="FX116">
        <v>1.5490699999999999</v>
      </c>
      <c r="FY116">
        <v>2.3315399999999999</v>
      </c>
      <c r="FZ116">
        <v>1.50146</v>
      </c>
      <c r="GA116">
        <v>2.34131</v>
      </c>
      <c r="GB116">
        <v>33.087499999999999</v>
      </c>
      <c r="GC116">
        <v>23.982399999999998</v>
      </c>
      <c r="GD116">
        <v>19</v>
      </c>
      <c r="GE116">
        <v>286.84100000000001</v>
      </c>
      <c r="GF116">
        <v>582.76099999999997</v>
      </c>
      <c r="GG116">
        <v>23.896899999999999</v>
      </c>
      <c r="GH116">
        <v>25.966999999999999</v>
      </c>
      <c r="GI116">
        <v>30</v>
      </c>
      <c r="GJ116">
        <v>26.1236</v>
      </c>
      <c r="GK116">
        <v>26.1098</v>
      </c>
      <c r="GL116">
        <v>35.271700000000003</v>
      </c>
      <c r="GM116">
        <v>100</v>
      </c>
      <c r="GN116">
        <v>25.435199999999998</v>
      </c>
      <c r="GO116">
        <v>23.757200000000001</v>
      </c>
      <c r="GP116">
        <v>800</v>
      </c>
      <c r="GQ116">
        <v>0</v>
      </c>
      <c r="GR116">
        <v>99.755399999999995</v>
      </c>
      <c r="GS116">
        <v>99.561999999999998</v>
      </c>
    </row>
    <row r="117" spans="1:201" x14ac:dyDescent="0.25">
      <c r="A117">
        <v>101</v>
      </c>
      <c r="B117">
        <v>1690293399.5999999</v>
      </c>
      <c r="C117">
        <v>1129</v>
      </c>
      <c r="D117" t="s">
        <v>535</v>
      </c>
      <c r="E117" t="s">
        <v>536</v>
      </c>
      <c r="F117" t="s">
        <v>330</v>
      </c>
      <c r="H117">
        <v>1690293399.5999999</v>
      </c>
      <c r="I117">
        <f t="shared" si="30"/>
        <v>2.3738872668806759E-3</v>
      </c>
      <c r="J117">
        <f t="shared" si="31"/>
        <v>2.3738872668806756</v>
      </c>
      <c r="K117">
        <f t="shared" si="32"/>
        <v>36.403656653366419</v>
      </c>
      <c r="L117">
        <f t="shared" si="33"/>
        <v>426.10399999999998</v>
      </c>
      <c r="M117">
        <f t="shared" si="34"/>
        <v>118.05108558095775</v>
      </c>
      <c r="N117">
        <f t="shared" si="35"/>
        <v>11.740157204962388</v>
      </c>
      <c r="O117">
        <f t="shared" si="36"/>
        <v>42.375958857511996</v>
      </c>
      <c r="P117">
        <f t="shared" si="37"/>
        <v>0.20054441090550046</v>
      </c>
      <c r="Q117">
        <f t="shared" si="38"/>
        <v>2.2555182266002829</v>
      </c>
      <c r="R117">
        <f t="shared" si="39"/>
        <v>0.19113881104337863</v>
      </c>
      <c r="S117">
        <f t="shared" si="40"/>
        <v>0.12027004561106892</v>
      </c>
      <c r="T117">
        <f t="shared" si="41"/>
        <v>276.11489122199998</v>
      </c>
      <c r="U117">
        <f t="shared" si="42"/>
        <v>26.732695025776835</v>
      </c>
      <c r="V117">
        <f t="shared" si="43"/>
        <v>26.732695025776835</v>
      </c>
      <c r="W117">
        <f t="shared" si="44"/>
        <v>3.5233522889408952</v>
      </c>
      <c r="X117">
        <f t="shared" si="45"/>
        <v>71.197916477803531</v>
      </c>
      <c r="Y117">
        <f t="shared" si="46"/>
        <v>2.3245297503417</v>
      </c>
      <c r="Z117">
        <f t="shared" si="47"/>
        <v>3.2648845153585202</v>
      </c>
      <c r="AA117">
        <f t="shared" si="48"/>
        <v>1.1988225385991953</v>
      </c>
      <c r="AB117">
        <f t="shared" si="49"/>
        <v>-104.68842846943781</v>
      </c>
      <c r="AC117">
        <f t="shared" si="50"/>
        <v>-156.66818917503727</v>
      </c>
      <c r="AD117">
        <f t="shared" si="51"/>
        <v>-14.854116936666532</v>
      </c>
      <c r="AE117">
        <f t="shared" si="52"/>
        <v>-9.5843359141611018E-2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52724.880723602662</v>
      </c>
      <c r="AK117">
        <f t="shared" si="56"/>
        <v>1800</v>
      </c>
      <c r="AL117">
        <f t="shared" si="57"/>
        <v>1499.1109542000002</v>
      </c>
      <c r="AM117">
        <f t="shared" si="58"/>
        <v>0.83283941900000003</v>
      </c>
      <c r="AN117">
        <f t="shared" si="59"/>
        <v>0.15339716178999999</v>
      </c>
      <c r="AO117">
        <v>30</v>
      </c>
      <c r="AP117">
        <v>0.5</v>
      </c>
      <c r="AQ117" t="s">
        <v>331</v>
      </c>
      <c r="AR117">
        <v>2</v>
      </c>
      <c r="AS117">
        <v>1690293399.5999999</v>
      </c>
      <c r="AT117">
        <v>426.10399999999998</v>
      </c>
      <c r="AU117">
        <v>800.01400000000001</v>
      </c>
      <c r="AV117">
        <v>23.373899999999999</v>
      </c>
      <c r="AW117">
        <v>0.20488000000000001</v>
      </c>
      <c r="AX117">
        <v>426.34100000000001</v>
      </c>
      <c r="AY117">
        <v>23.2225</v>
      </c>
      <c r="AZ117">
        <v>300.19400000000002</v>
      </c>
      <c r="BA117">
        <v>99.349800000000002</v>
      </c>
      <c r="BB117">
        <v>0.10000299999999999</v>
      </c>
      <c r="BC117">
        <v>25.444299999999998</v>
      </c>
      <c r="BD117">
        <v>26.9786</v>
      </c>
      <c r="BE117">
        <v>26.568899999999999</v>
      </c>
      <c r="BF117">
        <v>0</v>
      </c>
      <c r="BG117">
        <v>0</v>
      </c>
      <c r="BH117">
        <v>9983.75</v>
      </c>
      <c r="BI117">
        <v>1062.26</v>
      </c>
      <c r="BJ117">
        <v>2.2987099999999998</v>
      </c>
      <c r="BK117">
        <v>-373.91</v>
      </c>
      <c r="BL117">
        <v>436.30200000000002</v>
      </c>
      <c r="BM117">
        <v>800.178</v>
      </c>
      <c r="BN117">
        <v>23.169</v>
      </c>
      <c r="BO117">
        <v>800.01400000000001</v>
      </c>
      <c r="BP117">
        <v>0.20488000000000001</v>
      </c>
      <c r="BQ117">
        <v>2.32219</v>
      </c>
      <c r="BR117">
        <v>2.03547E-2</v>
      </c>
      <c r="BS117">
        <v>19.831099999999999</v>
      </c>
      <c r="BT117">
        <v>-39.256100000000004</v>
      </c>
      <c r="BU117">
        <v>1800</v>
      </c>
      <c r="BV117">
        <v>0.91000199999999998</v>
      </c>
      <c r="BW117">
        <v>3.4004E-2</v>
      </c>
      <c r="BX117">
        <v>2.1997200000000001E-2</v>
      </c>
      <c r="BY117">
        <v>3.3996499999999999E-2</v>
      </c>
      <c r="BZ117">
        <v>25</v>
      </c>
      <c r="CA117">
        <v>33528.5</v>
      </c>
      <c r="CB117">
        <v>1690292073.5</v>
      </c>
      <c r="CC117" t="s">
        <v>332</v>
      </c>
      <c r="CD117">
        <v>1690292069.5</v>
      </c>
      <c r="CE117">
        <v>1690292073.5</v>
      </c>
      <c r="CF117">
        <v>4</v>
      </c>
      <c r="CG117">
        <v>-3.6999999999999998E-2</v>
      </c>
      <c r="CH117">
        <v>-1.6E-2</v>
      </c>
      <c r="CI117">
        <v>-0.45200000000000001</v>
      </c>
      <c r="CJ117">
        <v>0.108</v>
      </c>
      <c r="CK117">
        <v>730</v>
      </c>
      <c r="CL117">
        <v>18</v>
      </c>
      <c r="CM117">
        <v>0</v>
      </c>
      <c r="CN117">
        <v>0.01</v>
      </c>
      <c r="CO117">
        <v>-371.90556097560977</v>
      </c>
      <c r="CP117">
        <v>-10.416355400697229</v>
      </c>
      <c r="CQ117">
        <v>1.0282531018207139</v>
      </c>
      <c r="CR117">
        <v>-1</v>
      </c>
      <c r="CS117">
        <v>23.101073170731709</v>
      </c>
      <c r="CT117">
        <v>0.43025853658535662</v>
      </c>
      <c r="CU117">
        <v>4.2579899210492787E-2</v>
      </c>
      <c r="CV117">
        <v>-1</v>
      </c>
      <c r="CW117">
        <v>0</v>
      </c>
      <c r="CX117">
        <v>0</v>
      </c>
      <c r="CY117" t="s">
        <v>333</v>
      </c>
      <c r="CZ117">
        <v>2.3650000000000002</v>
      </c>
      <c r="DA117">
        <v>2.7137799999999999</v>
      </c>
      <c r="DB117">
        <v>9.4204800000000005E-2</v>
      </c>
      <c r="DC117">
        <v>0.14643900000000001</v>
      </c>
      <c r="DD117">
        <v>0.112278</v>
      </c>
      <c r="DE117">
        <v>1.72566E-3</v>
      </c>
      <c r="DF117">
        <v>33081</v>
      </c>
      <c r="DG117">
        <v>27509.7</v>
      </c>
      <c r="DH117">
        <v>31177.599999999999</v>
      </c>
      <c r="DI117">
        <v>28083.1</v>
      </c>
      <c r="DJ117">
        <v>37570.300000000003</v>
      </c>
      <c r="DK117">
        <v>39866.1</v>
      </c>
      <c r="DL117">
        <v>44368.7</v>
      </c>
      <c r="DM117">
        <v>42557.4</v>
      </c>
      <c r="DN117">
        <v>1.4879</v>
      </c>
      <c r="DO117">
        <v>2.03912</v>
      </c>
      <c r="DP117">
        <v>0.13773099999999999</v>
      </c>
      <c r="DQ117">
        <v>0.135072</v>
      </c>
      <c r="DR117">
        <v>24.722000000000001</v>
      </c>
      <c r="DS117">
        <v>24.354299999999999</v>
      </c>
      <c r="DT117">
        <v>31.3</v>
      </c>
      <c r="DU117">
        <v>28.4</v>
      </c>
      <c r="DV117">
        <v>12.237500000000001</v>
      </c>
      <c r="DW117">
        <v>61.693399999999997</v>
      </c>
      <c r="DX117">
        <v>34.807699999999997</v>
      </c>
      <c r="DY117">
        <v>1</v>
      </c>
      <c r="DZ117">
        <v>-0.111344</v>
      </c>
      <c r="EA117">
        <v>0.332704</v>
      </c>
      <c r="EB117">
        <v>20.189900000000002</v>
      </c>
      <c r="EC117">
        <v>5.24125</v>
      </c>
      <c r="ED117">
        <v>12.039899999999999</v>
      </c>
      <c r="EE117">
        <v>5.0176499999999997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</v>
      </c>
      <c r="EL117">
        <v>1.8646100000000001</v>
      </c>
      <c r="EM117">
        <v>1.8692</v>
      </c>
      <c r="EN117">
        <v>1.8672200000000001</v>
      </c>
      <c r="EO117">
        <v>1.8633900000000001</v>
      </c>
      <c r="EP117">
        <v>1.86446</v>
      </c>
      <c r="EQ117">
        <v>1.87016</v>
      </c>
      <c r="ER117">
        <v>1.86938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-0.23699999999999999</v>
      </c>
      <c r="FG117">
        <v>0.15140000000000001</v>
      </c>
      <c r="FH117">
        <v>5.0310448532705943E-2</v>
      </c>
      <c r="FI117">
        <v>-6.1462078757559423E-4</v>
      </c>
      <c r="FJ117">
        <v>-1.8861989874597051E-7</v>
      </c>
      <c r="FK117">
        <v>1.1980462299894961E-10</v>
      </c>
      <c r="FL117">
        <v>0.15140825623214971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22.2</v>
      </c>
      <c r="FU117">
        <v>22.1</v>
      </c>
      <c r="FV117">
        <v>1.7639199999999999</v>
      </c>
      <c r="FW117">
        <v>2.5830099999999998</v>
      </c>
      <c r="FX117">
        <v>1.5490699999999999</v>
      </c>
      <c r="FY117">
        <v>2.3327599999999999</v>
      </c>
      <c r="FZ117">
        <v>1.50146</v>
      </c>
      <c r="GA117">
        <v>2.3034699999999999</v>
      </c>
      <c r="GB117">
        <v>33.087499999999999</v>
      </c>
      <c r="GC117">
        <v>23.982399999999998</v>
      </c>
      <c r="GD117">
        <v>19</v>
      </c>
      <c r="GE117">
        <v>286.86399999999998</v>
      </c>
      <c r="GF117">
        <v>582.81799999999998</v>
      </c>
      <c r="GG117">
        <v>23.7425</v>
      </c>
      <c r="GH117">
        <v>25.9648</v>
      </c>
      <c r="GI117">
        <v>30.0002</v>
      </c>
      <c r="GJ117">
        <v>26.121400000000001</v>
      </c>
      <c r="GK117">
        <v>26.107700000000001</v>
      </c>
      <c r="GL117">
        <v>35.274900000000002</v>
      </c>
      <c r="GM117">
        <v>100</v>
      </c>
      <c r="GN117">
        <v>24.667200000000001</v>
      </c>
      <c r="GO117">
        <v>23.752700000000001</v>
      </c>
      <c r="GP117">
        <v>800</v>
      </c>
      <c r="GQ117">
        <v>0</v>
      </c>
      <c r="GR117">
        <v>99.755099999999999</v>
      </c>
      <c r="GS117">
        <v>99.562899999999999</v>
      </c>
    </row>
    <row r="118" spans="1:201" x14ac:dyDescent="0.25">
      <c r="A118">
        <v>102</v>
      </c>
      <c r="B118">
        <v>1690293409.5999999</v>
      </c>
      <c r="C118">
        <v>1139</v>
      </c>
      <c r="D118" t="s">
        <v>537</v>
      </c>
      <c r="E118" t="s">
        <v>538</v>
      </c>
      <c r="F118" t="s">
        <v>330</v>
      </c>
      <c r="H118">
        <v>1690293409.5999999</v>
      </c>
      <c r="I118">
        <f t="shared" si="30"/>
        <v>2.3789688519094804E-3</v>
      </c>
      <c r="J118">
        <f t="shared" si="31"/>
        <v>2.3789688519094803</v>
      </c>
      <c r="K118">
        <f t="shared" si="32"/>
        <v>36.561671933056701</v>
      </c>
      <c r="L118">
        <f t="shared" si="33"/>
        <v>424.351</v>
      </c>
      <c r="M118">
        <f t="shared" si="34"/>
        <v>117.42780812860491</v>
      </c>
      <c r="N118">
        <f t="shared" si="35"/>
        <v>11.677665437521084</v>
      </c>
      <c r="O118">
        <f t="shared" si="36"/>
        <v>42.199791387150903</v>
      </c>
      <c r="P118">
        <f t="shared" si="37"/>
        <v>0.20218485261557728</v>
      </c>
      <c r="Q118">
        <f t="shared" si="38"/>
        <v>2.2596465046511769</v>
      </c>
      <c r="R118">
        <f t="shared" si="39"/>
        <v>0.19264526198377355</v>
      </c>
      <c r="S118">
        <f t="shared" si="40"/>
        <v>0.12122286739161715</v>
      </c>
      <c r="T118">
        <f t="shared" si="41"/>
        <v>276.11496941400003</v>
      </c>
      <c r="U118">
        <f t="shared" si="42"/>
        <v>26.72556629140065</v>
      </c>
      <c r="V118">
        <f t="shared" si="43"/>
        <v>26.72556629140065</v>
      </c>
      <c r="W118">
        <f t="shared" si="44"/>
        <v>3.5218744260656805</v>
      </c>
      <c r="X118">
        <f t="shared" si="45"/>
        <v>71.378173611762435</v>
      </c>
      <c r="Y118">
        <f t="shared" si="46"/>
        <v>2.3299580118940497</v>
      </c>
      <c r="Z118">
        <f t="shared" si="47"/>
        <v>3.2642443677069584</v>
      </c>
      <c r="AA118">
        <f t="shared" si="48"/>
        <v>1.1919164141716307</v>
      </c>
      <c r="AB118">
        <f t="shared" si="49"/>
        <v>-104.91252636920808</v>
      </c>
      <c r="AC118">
        <f t="shared" si="50"/>
        <v>-156.48851485496382</v>
      </c>
      <c r="AD118">
        <f t="shared" si="51"/>
        <v>-14.809199840152413</v>
      </c>
      <c r="AE118">
        <f t="shared" si="52"/>
        <v>-9.5271650324292523E-2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52887.53198239542</v>
      </c>
      <c r="AK118">
        <f t="shared" si="56"/>
        <v>1800</v>
      </c>
      <c r="AL118">
        <f t="shared" si="57"/>
        <v>1499.1119424000001</v>
      </c>
      <c r="AM118">
        <f t="shared" si="58"/>
        <v>0.83283996800000004</v>
      </c>
      <c r="AN118">
        <f t="shared" si="59"/>
        <v>0.15339720523000003</v>
      </c>
      <c r="AO118">
        <v>30</v>
      </c>
      <c r="AP118">
        <v>0.5</v>
      </c>
      <c r="AQ118" t="s">
        <v>331</v>
      </c>
      <c r="AR118">
        <v>2</v>
      </c>
      <c r="AS118">
        <v>1690293409.5999999</v>
      </c>
      <c r="AT118">
        <v>424.351</v>
      </c>
      <c r="AU118">
        <v>799.97400000000005</v>
      </c>
      <c r="AV118">
        <v>23.429500000000001</v>
      </c>
      <c r="AW118">
        <v>0.20268900000000001</v>
      </c>
      <c r="AX118">
        <v>424.58699999999999</v>
      </c>
      <c r="AY118">
        <v>23.278099999999998</v>
      </c>
      <c r="AZ118">
        <v>300.07100000000003</v>
      </c>
      <c r="BA118">
        <v>99.345500000000001</v>
      </c>
      <c r="BB118">
        <v>9.9985900000000003E-2</v>
      </c>
      <c r="BC118">
        <v>25.440999999999999</v>
      </c>
      <c r="BD118">
        <v>26.973600000000001</v>
      </c>
      <c r="BE118">
        <v>26.552</v>
      </c>
      <c r="BF118">
        <v>0</v>
      </c>
      <c r="BG118">
        <v>0</v>
      </c>
      <c r="BH118">
        <v>10016.200000000001</v>
      </c>
      <c r="BI118">
        <v>1062.3699999999999</v>
      </c>
      <c r="BJ118">
        <v>2.2987099999999998</v>
      </c>
      <c r="BK118">
        <v>-375.62200000000001</v>
      </c>
      <c r="BL118">
        <v>434.53199999999998</v>
      </c>
      <c r="BM118">
        <v>800.13599999999997</v>
      </c>
      <c r="BN118">
        <v>23.226800000000001</v>
      </c>
      <c r="BO118">
        <v>799.97400000000005</v>
      </c>
      <c r="BP118">
        <v>0.20268900000000001</v>
      </c>
      <c r="BQ118">
        <v>2.32761</v>
      </c>
      <c r="BR118">
        <v>2.0136299999999999E-2</v>
      </c>
      <c r="BS118">
        <v>19.8688</v>
      </c>
      <c r="BT118">
        <v>-39.360100000000003</v>
      </c>
      <c r="BU118">
        <v>1800</v>
      </c>
      <c r="BV118">
        <v>0.91000400000000004</v>
      </c>
      <c r="BW118">
        <v>3.4003400000000003E-2</v>
      </c>
      <c r="BX118">
        <v>2.19969E-2</v>
      </c>
      <c r="BY118">
        <v>3.3995900000000003E-2</v>
      </c>
      <c r="BZ118">
        <v>25</v>
      </c>
      <c r="CA118">
        <v>33528.5</v>
      </c>
      <c r="CB118">
        <v>1690292073.5</v>
      </c>
      <c r="CC118" t="s">
        <v>332</v>
      </c>
      <c r="CD118">
        <v>1690292069.5</v>
      </c>
      <c r="CE118">
        <v>1690292073.5</v>
      </c>
      <c r="CF118">
        <v>4</v>
      </c>
      <c r="CG118">
        <v>-3.6999999999999998E-2</v>
      </c>
      <c r="CH118">
        <v>-1.6E-2</v>
      </c>
      <c r="CI118">
        <v>-0.45200000000000001</v>
      </c>
      <c r="CJ118">
        <v>0.108</v>
      </c>
      <c r="CK118">
        <v>730</v>
      </c>
      <c r="CL118">
        <v>18</v>
      </c>
      <c r="CM118">
        <v>0</v>
      </c>
      <c r="CN118">
        <v>0.01</v>
      </c>
      <c r="CO118">
        <v>-373.68317073170732</v>
      </c>
      <c r="CP118">
        <v>-10.743700348431821</v>
      </c>
      <c r="CQ118">
        <v>1.0608932477143049</v>
      </c>
      <c r="CR118">
        <v>-1</v>
      </c>
      <c r="CS118">
        <v>23.164036585365849</v>
      </c>
      <c r="CT118">
        <v>0.32390592334494539</v>
      </c>
      <c r="CU118">
        <v>3.1999113982379958E-2</v>
      </c>
      <c r="CV118">
        <v>-1</v>
      </c>
      <c r="CW118">
        <v>0</v>
      </c>
      <c r="CX118">
        <v>0</v>
      </c>
      <c r="CY118" t="s">
        <v>333</v>
      </c>
      <c r="CZ118">
        <v>2.3645900000000002</v>
      </c>
      <c r="DA118">
        <v>2.7137899999999999</v>
      </c>
      <c r="DB118">
        <v>9.3909000000000006E-2</v>
      </c>
      <c r="DC118">
        <v>0.146429</v>
      </c>
      <c r="DD118">
        <v>0.11246200000000001</v>
      </c>
      <c r="DE118">
        <v>1.7073800000000001E-3</v>
      </c>
      <c r="DF118">
        <v>33092.5</v>
      </c>
      <c r="DG118">
        <v>27510.2</v>
      </c>
      <c r="DH118">
        <v>31178.2</v>
      </c>
      <c r="DI118">
        <v>28083.3</v>
      </c>
      <c r="DJ118">
        <v>37562.9</v>
      </c>
      <c r="DK118">
        <v>39867.199999999997</v>
      </c>
      <c r="DL118">
        <v>44369.4</v>
      </c>
      <c r="DM118">
        <v>42557.8</v>
      </c>
      <c r="DN118">
        <v>1.48752</v>
      </c>
      <c r="DO118">
        <v>2.0388999999999999</v>
      </c>
      <c r="DP118">
        <v>0.13742199999999999</v>
      </c>
      <c r="DQ118">
        <v>0.133913</v>
      </c>
      <c r="DR118">
        <v>24.722000000000001</v>
      </c>
      <c r="DS118">
        <v>24.356400000000001</v>
      </c>
      <c r="DT118">
        <v>31</v>
      </c>
      <c r="DU118">
        <v>28.5</v>
      </c>
      <c r="DV118">
        <v>12.190300000000001</v>
      </c>
      <c r="DW118">
        <v>61.1434</v>
      </c>
      <c r="DX118">
        <v>35.6571</v>
      </c>
      <c r="DY118">
        <v>1</v>
      </c>
      <c r="DZ118">
        <v>-0.112312</v>
      </c>
      <c r="EA118">
        <v>0.12612200000000001</v>
      </c>
      <c r="EB118">
        <v>20.1904</v>
      </c>
      <c r="EC118">
        <v>5.2411000000000003</v>
      </c>
      <c r="ED118">
        <v>12.039899999999999</v>
      </c>
      <c r="EE118">
        <v>5.0174000000000003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</v>
      </c>
      <c r="EL118">
        <v>1.8646100000000001</v>
      </c>
      <c r="EM118">
        <v>1.8692</v>
      </c>
      <c r="EN118">
        <v>1.8672200000000001</v>
      </c>
      <c r="EO118">
        <v>1.86338</v>
      </c>
      <c r="EP118">
        <v>1.86446</v>
      </c>
      <c r="EQ118">
        <v>1.8701399999999999</v>
      </c>
      <c r="ER118">
        <v>1.8693599999999999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-0.23599999999999999</v>
      </c>
      <c r="FG118">
        <v>0.15140000000000001</v>
      </c>
      <c r="FH118">
        <v>5.0310448532705943E-2</v>
      </c>
      <c r="FI118">
        <v>-6.1462078757559423E-4</v>
      </c>
      <c r="FJ118">
        <v>-1.8861989874597051E-7</v>
      </c>
      <c r="FK118">
        <v>1.1980462299894961E-10</v>
      </c>
      <c r="FL118">
        <v>0.15140825623214971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22.3</v>
      </c>
      <c r="FU118">
        <v>22.3</v>
      </c>
      <c r="FV118">
        <v>1.7639199999999999</v>
      </c>
      <c r="FW118">
        <v>2.5805699999999998</v>
      </c>
      <c r="FX118">
        <v>1.5490699999999999</v>
      </c>
      <c r="FY118">
        <v>2.3327599999999999</v>
      </c>
      <c r="FZ118">
        <v>1.50146</v>
      </c>
      <c r="GA118">
        <v>2.3742700000000001</v>
      </c>
      <c r="GB118">
        <v>33.087499999999999</v>
      </c>
      <c r="GC118">
        <v>23.991199999999999</v>
      </c>
      <c r="GD118">
        <v>19</v>
      </c>
      <c r="GE118">
        <v>286.69200000000001</v>
      </c>
      <c r="GF118">
        <v>582.60799999999995</v>
      </c>
      <c r="GG118">
        <v>23.754300000000001</v>
      </c>
      <c r="GH118">
        <v>25.962599999999998</v>
      </c>
      <c r="GI118">
        <v>29.9998</v>
      </c>
      <c r="GJ118">
        <v>26.1188</v>
      </c>
      <c r="GK118">
        <v>26.105499999999999</v>
      </c>
      <c r="GL118">
        <v>35.276000000000003</v>
      </c>
      <c r="GM118">
        <v>100</v>
      </c>
      <c r="GN118">
        <v>24.281600000000001</v>
      </c>
      <c r="GO118">
        <v>23.782399999999999</v>
      </c>
      <c r="GP118">
        <v>800</v>
      </c>
      <c r="GQ118">
        <v>0</v>
      </c>
      <c r="GR118">
        <v>99.756799999999998</v>
      </c>
      <c r="GS118">
        <v>99.563800000000001</v>
      </c>
    </row>
    <row r="119" spans="1:201" x14ac:dyDescent="0.25">
      <c r="A119">
        <v>103</v>
      </c>
      <c r="B119">
        <v>1690293419.5999999</v>
      </c>
      <c r="C119">
        <v>1149</v>
      </c>
      <c r="D119" t="s">
        <v>539</v>
      </c>
      <c r="E119" t="s">
        <v>540</v>
      </c>
      <c r="F119" t="s">
        <v>330</v>
      </c>
      <c r="H119">
        <v>1690293419.5999999</v>
      </c>
      <c r="I119">
        <f t="shared" si="30"/>
        <v>2.3871734797125104E-3</v>
      </c>
      <c r="J119">
        <f t="shared" si="31"/>
        <v>2.3871734797125104</v>
      </c>
      <c r="K119">
        <f t="shared" si="32"/>
        <v>36.747649572759634</v>
      </c>
      <c r="L119">
        <f t="shared" si="33"/>
        <v>422.55799999999999</v>
      </c>
      <c r="M119">
        <f t="shared" si="34"/>
        <v>117.13037686653688</v>
      </c>
      <c r="N119">
        <f t="shared" si="35"/>
        <v>11.64835543456679</v>
      </c>
      <c r="O119">
        <f t="shared" si="36"/>
        <v>42.022453161984799</v>
      </c>
      <c r="P119">
        <f t="shared" si="37"/>
        <v>0.20430509092498142</v>
      </c>
      <c r="Q119">
        <f t="shared" si="38"/>
        <v>2.2517757964247442</v>
      </c>
      <c r="R119">
        <f t="shared" si="39"/>
        <v>0.19453727009986713</v>
      </c>
      <c r="S119">
        <f t="shared" si="40"/>
        <v>0.12242446861691658</v>
      </c>
      <c r="T119">
        <f t="shared" si="41"/>
        <v>276.11477332200008</v>
      </c>
      <c r="U119">
        <f t="shared" si="42"/>
        <v>26.725246065467392</v>
      </c>
      <c r="V119">
        <f t="shared" si="43"/>
        <v>26.725246065467392</v>
      </c>
      <c r="W119">
        <f t="shared" si="44"/>
        <v>3.5218080525083155</v>
      </c>
      <c r="X119">
        <f t="shared" si="45"/>
        <v>71.614325805116536</v>
      </c>
      <c r="Y119">
        <f t="shared" si="46"/>
        <v>2.33743046247996</v>
      </c>
      <c r="Z119">
        <f t="shared" si="47"/>
        <v>3.2639146374718235</v>
      </c>
      <c r="AA119">
        <f t="shared" si="48"/>
        <v>1.1843775900283555</v>
      </c>
      <c r="AB119">
        <f t="shared" si="49"/>
        <v>-105.27435045532171</v>
      </c>
      <c r="AC119">
        <f t="shared" si="50"/>
        <v>-156.11094191339964</v>
      </c>
      <c r="AD119">
        <f t="shared" si="51"/>
        <v>-14.824956587162498</v>
      </c>
      <c r="AE119">
        <f t="shared" si="52"/>
        <v>-9.5475633883779665E-2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52578.957483591832</v>
      </c>
      <c r="AK119">
        <f t="shared" si="56"/>
        <v>1800</v>
      </c>
      <c r="AL119">
        <f t="shared" si="57"/>
        <v>1499.1111071999999</v>
      </c>
      <c r="AM119">
        <f t="shared" si="58"/>
        <v>0.83283950399999995</v>
      </c>
      <c r="AN119">
        <f t="shared" si="59"/>
        <v>0.15339709629000003</v>
      </c>
      <c r="AO119">
        <v>30</v>
      </c>
      <c r="AP119">
        <v>0.5</v>
      </c>
      <c r="AQ119" t="s">
        <v>331</v>
      </c>
      <c r="AR119">
        <v>2</v>
      </c>
      <c r="AS119">
        <v>1690293419.5999999</v>
      </c>
      <c r="AT119">
        <v>422.55799999999999</v>
      </c>
      <c r="AU119">
        <v>800.01599999999996</v>
      </c>
      <c r="AV119">
        <v>23.504100000000001</v>
      </c>
      <c r="AW119">
        <v>0.19997400000000001</v>
      </c>
      <c r="AX119">
        <v>422.79199999999997</v>
      </c>
      <c r="AY119">
        <v>23.352599999999999</v>
      </c>
      <c r="AZ119">
        <v>300.084</v>
      </c>
      <c r="BA119">
        <v>99.347800000000007</v>
      </c>
      <c r="BB119">
        <v>9.9975599999999998E-2</v>
      </c>
      <c r="BC119">
        <v>25.439299999999999</v>
      </c>
      <c r="BD119">
        <v>26.962700000000002</v>
      </c>
      <c r="BE119">
        <v>26.557200000000002</v>
      </c>
      <c r="BF119">
        <v>0</v>
      </c>
      <c r="BG119">
        <v>0</v>
      </c>
      <c r="BH119">
        <v>9955</v>
      </c>
      <c r="BI119">
        <v>1062.46</v>
      </c>
      <c r="BJ119">
        <v>2.2987099999999998</v>
      </c>
      <c r="BK119">
        <v>-377.45800000000003</v>
      </c>
      <c r="BL119">
        <v>432.72899999999998</v>
      </c>
      <c r="BM119">
        <v>800.17600000000004</v>
      </c>
      <c r="BN119">
        <v>23.304099999999998</v>
      </c>
      <c r="BO119">
        <v>800.01599999999996</v>
      </c>
      <c r="BP119">
        <v>0.19997400000000001</v>
      </c>
      <c r="BQ119">
        <v>2.33508</v>
      </c>
      <c r="BR119">
        <v>1.9866999999999999E-2</v>
      </c>
      <c r="BS119">
        <v>19.920400000000001</v>
      </c>
      <c r="BT119">
        <v>-39.489800000000002</v>
      </c>
      <c r="BU119">
        <v>1800</v>
      </c>
      <c r="BV119">
        <v>0.91000400000000004</v>
      </c>
      <c r="BW119">
        <v>3.4003199999999997E-2</v>
      </c>
      <c r="BX119">
        <v>2.1996700000000001E-2</v>
      </c>
      <c r="BY119">
        <v>3.3995699999999997E-2</v>
      </c>
      <c r="BZ119">
        <v>25</v>
      </c>
      <c r="CA119">
        <v>33528.300000000003</v>
      </c>
      <c r="CB119">
        <v>1690292073.5</v>
      </c>
      <c r="CC119" t="s">
        <v>332</v>
      </c>
      <c r="CD119">
        <v>1690292069.5</v>
      </c>
      <c r="CE119">
        <v>1690292073.5</v>
      </c>
      <c r="CF119">
        <v>4</v>
      </c>
      <c r="CG119">
        <v>-3.6999999999999998E-2</v>
      </c>
      <c r="CH119">
        <v>-1.6E-2</v>
      </c>
      <c r="CI119">
        <v>-0.45200000000000001</v>
      </c>
      <c r="CJ119">
        <v>0.108</v>
      </c>
      <c r="CK119">
        <v>730</v>
      </c>
      <c r="CL119">
        <v>18</v>
      </c>
      <c r="CM119">
        <v>0</v>
      </c>
      <c r="CN119">
        <v>0.01</v>
      </c>
      <c r="CO119">
        <v>-375.46114634146352</v>
      </c>
      <c r="CP119">
        <v>-10.431052264808899</v>
      </c>
      <c r="CQ119">
        <v>1.028903265522898</v>
      </c>
      <c r="CR119">
        <v>-1</v>
      </c>
      <c r="CS119">
        <v>23.224014634146339</v>
      </c>
      <c r="CT119">
        <v>0.39920278745645982</v>
      </c>
      <c r="CU119">
        <v>3.9475621133688923E-2</v>
      </c>
      <c r="CV119">
        <v>-1</v>
      </c>
      <c r="CW119">
        <v>0</v>
      </c>
      <c r="CX119">
        <v>0</v>
      </c>
      <c r="CY119" t="s">
        <v>333</v>
      </c>
      <c r="CZ119">
        <v>2.3646400000000001</v>
      </c>
      <c r="DA119">
        <v>2.71373</v>
      </c>
      <c r="DB119">
        <v>9.3612000000000001E-2</v>
      </c>
      <c r="DC119">
        <v>0.14643800000000001</v>
      </c>
      <c r="DD119">
        <v>0.112718</v>
      </c>
      <c r="DE119">
        <v>1.6848399999999999E-3</v>
      </c>
      <c r="DF119">
        <v>33103.800000000003</v>
      </c>
      <c r="DG119">
        <v>27511</v>
      </c>
      <c r="DH119">
        <v>31178.6</v>
      </c>
      <c r="DI119">
        <v>28084.400000000001</v>
      </c>
      <c r="DJ119">
        <v>37552.5</v>
      </c>
      <c r="DK119">
        <v>39869.300000000003</v>
      </c>
      <c r="DL119">
        <v>44370.1</v>
      </c>
      <c r="DM119">
        <v>42559.1</v>
      </c>
      <c r="DN119">
        <v>1.488</v>
      </c>
      <c r="DO119">
        <v>2.0389499999999998</v>
      </c>
      <c r="DP119">
        <v>0.13675499999999999</v>
      </c>
      <c r="DQ119">
        <v>0.13431899999999999</v>
      </c>
      <c r="DR119">
        <v>24.722000000000001</v>
      </c>
      <c r="DS119">
        <v>24.355</v>
      </c>
      <c r="DT119">
        <v>30.6</v>
      </c>
      <c r="DU119">
        <v>28.5</v>
      </c>
      <c r="DV119">
        <v>12.032999999999999</v>
      </c>
      <c r="DW119">
        <v>61.613300000000002</v>
      </c>
      <c r="DX119">
        <v>35.837299999999999</v>
      </c>
      <c r="DY119">
        <v>1</v>
      </c>
      <c r="DZ119">
        <v>-0.113041</v>
      </c>
      <c r="EA119">
        <v>2.32734E-2</v>
      </c>
      <c r="EB119">
        <v>20.1904</v>
      </c>
      <c r="EC119">
        <v>5.24125</v>
      </c>
      <c r="ED119">
        <v>12.039899999999999</v>
      </c>
      <c r="EE119">
        <v>5.0168499999999998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</v>
      </c>
      <c r="EL119">
        <v>1.8646100000000001</v>
      </c>
      <c r="EM119">
        <v>1.8692</v>
      </c>
      <c r="EN119">
        <v>1.8672200000000001</v>
      </c>
      <c r="EO119">
        <v>1.86334</v>
      </c>
      <c r="EP119">
        <v>1.8644499999999999</v>
      </c>
      <c r="EQ119">
        <v>1.87016</v>
      </c>
      <c r="ER119">
        <v>1.86938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-0.23400000000000001</v>
      </c>
      <c r="FG119">
        <v>0.1515</v>
      </c>
      <c r="FH119">
        <v>5.0310448532705943E-2</v>
      </c>
      <c r="FI119">
        <v>-6.1462078757559423E-4</v>
      </c>
      <c r="FJ119">
        <v>-1.8861989874597051E-7</v>
      </c>
      <c r="FK119">
        <v>1.1980462299894961E-10</v>
      </c>
      <c r="FL119">
        <v>0.15140825623214971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22.5</v>
      </c>
      <c r="FU119">
        <v>22.4</v>
      </c>
      <c r="FV119">
        <v>1.7639199999999999</v>
      </c>
      <c r="FW119">
        <v>2.5830099999999998</v>
      </c>
      <c r="FX119">
        <v>1.5490699999999999</v>
      </c>
      <c r="FY119">
        <v>2.3327599999999999</v>
      </c>
      <c r="FZ119">
        <v>1.50146</v>
      </c>
      <c r="GA119">
        <v>2.3950200000000001</v>
      </c>
      <c r="GB119">
        <v>33.109900000000003</v>
      </c>
      <c r="GC119">
        <v>23.991199999999999</v>
      </c>
      <c r="GD119">
        <v>19</v>
      </c>
      <c r="GE119">
        <v>286.887</v>
      </c>
      <c r="GF119">
        <v>582.61800000000005</v>
      </c>
      <c r="GG119">
        <v>23.808299999999999</v>
      </c>
      <c r="GH119">
        <v>25.9604</v>
      </c>
      <c r="GI119">
        <v>29.999700000000001</v>
      </c>
      <c r="GJ119">
        <v>26.117000000000001</v>
      </c>
      <c r="GK119">
        <v>26.102799999999998</v>
      </c>
      <c r="GL119">
        <v>35.275799999999997</v>
      </c>
      <c r="GM119">
        <v>100</v>
      </c>
      <c r="GN119">
        <v>23.479299999999999</v>
      </c>
      <c r="GO119">
        <v>23.8353</v>
      </c>
      <c r="GP119">
        <v>800</v>
      </c>
      <c r="GQ119">
        <v>0</v>
      </c>
      <c r="GR119">
        <v>99.758300000000006</v>
      </c>
      <c r="GS119">
        <v>99.567099999999996</v>
      </c>
    </row>
    <row r="120" spans="1:201" x14ac:dyDescent="0.25">
      <c r="A120">
        <v>104</v>
      </c>
      <c r="B120">
        <v>1690293429.5999999</v>
      </c>
      <c r="C120">
        <v>1159</v>
      </c>
      <c r="D120" t="s">
        <v>541</v>
      </c>
      <c r="E120" t="s">
        <v>542</v>
      </c>
      <c r="F120" t="s">
        <v>330</v>
      </c>
      <c r="H120">
        <v>1690293429.5999999</v>
      </c>
      <c r="I120">
        <f t="shared" si="30"/>
        <v>2.3962464255168187E-3</v>
      </c>
      <c r="J120">
        <f t="shared" si="31"/>
        <v>2.3962464255168188</v>
      </c>
      <c r="K120">
        <f t="shared" si="32"/>
        <v>36.927206496239243</v>
      </c>
      <c r="L120">
        <f t="shared" si="33"/>
        <v>420.89699999999999</v>
      </c>
      <c r="M120">
        <f t="shared" si="34"/>
        <v>116.91530928091333</v>
      </c>
      <c r="N120">
        <f t="shared" si="35"/>
        <v>11.627120647394149</v>
      </c>
      <c r="O120">
        <f t="shared" si="36"/>
        <v>41.857821950142004</v>
      </c>
      <c r="P120">
        <f t="shared" si="37"/>
        <v>0.20633472478716125</v>
      </c>
      <c r="Q120">
        <f t="shared" si="38"/>
        <v>2.2552663839278875</v>
      </c>
      <c r="R120">
        <f t="shared" si="39"/>
        <v>0.19639156238574376</v>
      </c>
      <c r="S120">
        <f t="shared" si="40"/>
        <v>0.12359814112230949</v>
      </c>
      <c r="T120">
        <f t="shared" si="41"/>
        <v>276.114772206</v>
      </c>
      <c r="U120">
        <f t="shared" si="42"/>
        <v>26.730907960210597</v>
      </c>
      <c r="V120">
        <f t="shared" si="43"/>
        <v>26.730907960210597</v>
      </c>
      <c r="W120">
        <f t="shared" si="44"/>
        <v>3.5229817602956932</v>
      </c>
      <c r="X120">
        <f t="shared" si="45"/>
        <v>71.812681271749398</v>
      </c>
      <c r="Y120">
        <f t="shared" si="46"/>
        <v>2.3453674645896005</v>
      </c>
      <c r="Z120">
        <f t="shared" si="47"/>
        <v>3.2659516718424655</v>
      </c>
      <c r="AA120">
        <f t="shared" si="48"/>
        <v>1.1776142957060927</v>
      </c>
      <c r="AB120">
        <f t="shared" si="49"/>
        <v>-105.6744673652917</v>
      </c>
      <c r="AC120">
        <f t="shared" si="50"/>
        <v>-155.76469161456851</v>
      </c>
      <c r="AD120">
        <f t="shared" si="51"/>
        <v>-14.770377431870219</v>
      </c>
      <c r="AE120">
        <f t="shared" si="52"/>
        <v>-9.4764205730427875E-2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52714.008694795484</v>
      </c>
      <c r="AK120">
        <f t="shared" si="56"/>
        <v>1800</v>
      </c>
      <c r="AL120">
        <f t="shared" si="57"/>
        <v>1499.1120936</v>
      </c>
      <c r="AM120">
        <f t="shared" si="58"/>
        <v>0.832840052</v>
      </c>
      <c r="AN120">
        <f t="shared" si="59"/>
        <v>0.15339709566999998</v>
      </c>
      <c r="AO120">
        <v>30</v>
      </c>
      <c r="AP120">
        <v>0.5</v>
      </c>
      <c r="AQ120" t="s">
        <v>331</v>
      </c>
      <c r="AR120">
        <v>2</v>
      </c>
      <c r="AS120">
        <v>1690293429.5999999</v>
      </c>
      <c r="AT120">
        <v>420.89699999999999</v>
      </c>
      <c r="AU120">
        <v>800.06899999999996</v>
      </c>
      <c r="AV120">
        <v>23.583600000000001</v>
      </c>
      <c r="AW120">
        <v>0.197716</v>
      </c>
      <c r="AX120">
        <v>421.13</v>
      </c>
      <c r="AY120">
        <v>23.432099999999998</v>
      </c>
      <c r="AZ120">
        <v>300.14699999999999</v>
      </c>
      <c r="BA120">
        <v>99.349000000000004</v>
      </c>
      <c r="BB120">
        <v>0.10008599999999999</v>
      </c>
      <c r="BC120">
        <v>25.4498</v>
      </c>
      <c r="BD120">
        <v>26.9819</v>
      </c>
      <c r="BE120">
        <v>26.533899999999999</v>
      </c>
      <c r="BF120">
        <v>0</v>
      </c>
      <c r="BG120">
        <v>0</v>
      </c>
      <c r="BH120">
        <v>9981.8799999999992</v>
      </c>
      <c r="BI120">
        <v>1062.54</v>
      </c>
      <c r="BJ120">
        <v>2.2608700000000002</v>
      </c>
      <c r="BK120">
        <v>-379.17200000000003</v>
      </c>
      <c r="BL120">
        <v>431.06299999999999</v>
      </c>
      <c r="BM120">
        <v>800.22799999999995</v>
      </c>
      <c r="BN120">
        <v>23.3858</v>
      </c>
      <c r="BO120">
        <v>800.06899999999996</v>
      </c>
      <c r="BP120">
        <v>0.197716</v>
      </c>
      <c r="BQ120">
        <v>2.343</v>
      </c>
      <c r="BR120">
        <v>1.9642900000000001E-2</v>
      </c>
      <c r="BS120">
        <v>19.975100000000001</v>
      </c>
      <c r="BT120">
        <v>-39.5989</v>
      </c>
      <c r="BU120">
        <v>1800</v>
      </c>
      <c r="BV120">
        <v>0.91000700000000001</v>
      </c>
      <c r="BW120">
        <v>3.4002200000000003E-2</v>
      </c>
      <c r="BX120">
        <v>2.1996100000000001E-2</v>
      </c>
      <c r="BY120">
        <v>3.3994700000000003E-2</v>
      </c>
      <c r="BZ120">
        <v>25</v>
      </c>
      <c r="CA120">
        <v>33528.400000000001</v>
      </c>
      <c r="CB120">
        <v>1690292073.5</v>
      </c>
      <c r="CC120" t="s">
        <v>332</v>
      </c>
      <c r="CD120">
        <v>1690292069.5</v>
      </c>
      <c r="CE120">
        <v>1690292073.5</v>
      </c>
      <c r="CF120">
        <v>4</v>
      </c>
      <c r="CG120">
        <v>-3.6999999999999998E-2</v>
      </c>
      <c r="CH120">
        <v>-1.6E-2</v>
      </c>
      <c r="CI120">
        <v>-0.45200000000000001</v>
      </c>
      <c r="CJ120">
        <v>0.108</v>
      </c>
      <c r="CK120">
        <v>730</v>
      </c>
      <c r="CL120">
        <v>18</v>
      </c>
      <c r="CM120">
        <v>0</v>
      </c>
      <c r="CN120">
        <v>0.01</v>
      </c>
      <c r="CO120">
        <v>-377.348525</v>
      </c>
      <c r="CP120">
        <v>-10.604814258911601</v>
      </c>
      <c r="CQ120">
        <v>1.0208785184217559</v>
      </c>
      <c r="CR120">
        <v>-1</v>
      </c>
      <c r="CS120">
        <v>23.303640000000001</v>
      </c>
      <c r="CT120">
        <v>0.4820060037522772</v>
      </c>
      <c r="CU120">
        <v>4.6386532528310438E-2</v>
      </c>
      <c r="CV120">
        <v>-1</v>
      </c>
      <c r="CW120">
        <v>0</v>
      </c>
      <c r="CX120">
        <v>0</v>
      </c>
      <c r="CY120" t="s">
        <v>333</v>
      </c>
      <c r="CZ120">
        <v>2.3648600000000002</v>
      </c>
      <c r="DA120">
        <v>2.7138599999999999</v>
      </c>
      <c r="DB120">
        <v>9.3335699999999994E-2</v>
      </c>
      <c r="DC120">
        <v>0.14644699999999999</v>
      </c>
      <c r="DD120">
        <v>0.11298999999999999</v>
      </c>
      <c r="DE120">
        <v>1.6660799999999999E-3</v>
      </c>
      <c r="DF120">
        <v>33113.9</v>
      </c>
      <c r="DG120">
        <v>27510.7</v>
      </c>
      <c r="DH120">
        <v>31178.6</v>
      </c>
      <c r="DI120">
        <v>28084.400000000001</v>
      </c>
      <c r="DJ120">
        <v>37540.9</v>
      </c>
      <c r="DK120">
        <v>39870.1</v>
      </c>
      <c r="DL120">
        <v>44370.1</v>
      </c>
      <c r="DM120">
        <v>42559.1</v>
      </c>
      <c r="DN120">
        <v>1.48813</v>
      </c>
      <c r="DO120">
        <v>2.03898</v>
      </c>
      <c r="DP120">
        <v>0.13805899999999999</v>
      </c>
      <c r="DQ120">
        <v>0.133049</v>
      </c>
      <c r="DR120">
        <v>24.719799999999999</v>
      </c>
      <c r="DS120">
        <v>24.352499999999999</v>
      </c>
      <c r="DT120">
        <v>30.3</v>
      </c>
      <c r="DU120">
        <v>28.5</v>
      </c>
      <c r="DV120">
        <v>11.916600000000001</v>
      </c>
      <c r="DW120">
        <v>61.753399999999999</v>
      </c>
      <c r="DX120">
        <v>35.188299999999998</v>
      </c>
      <c r="DY120">
        <v>1</v>
      </c>
      <c r="DZ120">
        <v>-0.113486</v>
      </c>
      <c r="EA120">
        <v>2.5130699999999999E-2</v>
      </c>
      <c r="EB120">
        <v>20.1906</v>
      </c>
      <c r="EC120">
        <v>5.24125</v>
      </c>
      <c r="ED120">
        <v>12.039899999999999</v>
      </c>
      <c r="EE120">
        <v>5.0170000000000003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</v>
      </c>
      <c r="EL120">
        <v>1.8646</v>
      </c>
      <c r="EM120">
        <v>1.8691800000000001</v>
      </c>
      <c r="EN120">
        <v>1.8672200000000001</v>
      </c>
      <c r="EO120">
        <v>1.86338</v>
      </c>
      <c r="EP120">
        <v>1.86446</v>
      </c>
      <c r="EQ120">
        <v>1.87016</v>
      </c>
      <c r="ER120">
        <v>1.86938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-0.23300000000000001</v>
      </c>
      <c r="FG120">
        <v>0.1515</v>
      </c>
      <c r="FH120">
        <v>5.0310448532705943E-2</v>
      </c>
      <c r="FI120">
        <v>-6.1462078757559423E-4</v>
      </c>
      <c r="FJ120">
        <v>-1.8861989874597051E-7</v>
      </c>
      <c r="FK120">
        <v>1.1980462299894961E-10</v>
      </c>
      <c r="FL120">
        <v>0.15140825623214971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22.7</v>
      </c>
      <c r="FU120">
        <v>22.6</v>
      </c>
      <c r="FV120">
        <v>1.7639199999999999</v>
      </c>
      <c r="FW120">
        <v>2.5817899999999998</v>
      </c>
      <c r="FX120">
        <v>1.5490699999999999</v>
      </c>
      <c r="FY120">
        <v>2.3315399999999999</v>
      </c>
      <c r="FZ120">
        <v>1.50146</v>
      </c>
      <c r="GA120">
        <v>2.3034699999999999</v>
      </c>
      <c r="GB120">
        <v>33.109900000000003</v>
      </c>
      <c r="GC120">
        <v>23.982399999999998</v>
      </c>
      <c r="GD120">
        <v>19</v>
      </c>
      <c r="GE120">
        <v>286.93099999999998</v>
      </c>
      <c r="GF120">
        <v>582.61</v>
      </c>
      <c r="GG120">
        <v>23.864899999999999</v>
      </c>
      <c r="GH120">
        <v>25.958200000000001</v>
      </c>
      <c r="GI120">
        <v>29.9999</v>
      </c>
      <c r="GJ120">
        <v>26.114899999999999</v>
      </c>
      <c r="GK120">
        <v>26.100300000000001</v>
      </c>
      <c r="GL120">
        <v>35.272500000000001</v>
      </c>
      <c r="GM120">
        <v>100</v>
      </c>
      <c r="GN120">
        <v>22.727599999999999</v>
      </c>
      <c r="GO120">
        <v>23.873000000000001</v>
      </c>
      <c r="GP120">
        <v>800</v>
      </c>
      <c r="GQ120">
        <v>0</v>
      </c>
      <c r="GR120">
        <v>99.758200000000002</v>
      </c>
      <c r="GS120">
        <v>99.567099999999996</v>
      </c>
    </row>
    <row r="121" spans="1:201" x14ac:dyDescent="0.25">
      <c r="A121">
        <v>105</v>
      </c>
      <c r="B121">
        <v>1690293439.5999999</v>
      </c>
      <c r="C121">
        <v>1169</v>
      </c>
      <c r="D121" t="s">
        <v>543</v>
      </c>
      <c r="E121" t="s">
        <v>544</v>
      </c>
      <c r="F121" t="s">
        <v>330</v>
      </c>
      <c r="H121">
        <v>1690293439.5999999</v>
      </c>
      <c r="I121">
        <f t="shared" si="30"/>
        <v>2.4053644811279687E-3</v>
      </c>
      <c r="J121">
        <f t="shared" si="31"/>
        <v>2.4053644811279686</v>
      </c>
      <c r="K121">
        <f t="shared" si="32"/>
        <v>37.103726329884921</v>
      </c>
      <c r="L121">
        <f t="shared" si="33"/>
        <v>419.18799999999999</v>
      </c>
      <c r="M121">
        <f t="shared" si="34"/>
        <v>116.87719726542784</v>
      </c>
      <c r="N121">
        <f t="shared" si="35"/>
        <v>11.622972844815745</v>
      </c>
      <c r="O121">
        <f t="shared" si="36"/>
        <v>41.686580914563201</v>
      </c>
      <c r="P121">
        <f t="shared" si="37"/>
        <v>0.20850982040186605</v>
      </c>
      <c r="Q121">
        <f t="shared" si="38"/>
        <v>2.2638462971350259</v>
      </c>
      <c r="R121">
        <f t="shared" si="39"/>
        <v>0.19839791656694628</v>
      </c>
      <c r="S121">
        <f t="shared" si="40"/>
        <v>0.12486633650191946</v>
      </c>
      <c r="T121">
        <f t="shared" si="41"/>
        <v>276.11304102813892</v>
      </c>
      <c r="U121">
        <f t="shared" si="42"/>
        <v>26.731235735541503</v>
      </c>
      <c r="V121">
        <f t="shared" si="43"/>
        <v>26.731235735541503</v>
      </c>
      <c r="W121">
        <f t="shared" si="44"/>
        <v>3.5230497184045766</v>
      </c>
      <c r="X121">
        <f t="shared" si="45"/>
        <v>72.01276790519951</v>
      </c>
      <c r="Y121">
        <f t="shared" si="46"/>
        <v>2.3529924306504002</v>
      </c>
      <c r="Z121">
        <f t="shared" si="47"/>
        <v>3.2674656163028941</v>
      </c>
      <c r="AA121">
        <f t="shared" si="48"/>
        <v>1.1700572877541764</v>
      </c>
      <c r="AB121">
        <f t="shared" si="49"/>
        <v>-106.07657361774342</v>
      </c>
      <c r="AC121">
        <f t="shared" si="50"/>
        <v>-155.44530759758703</v>
      </c>
      <c r="AD121">
        <f t="shared" si="51"/>
        <v>-14.684825120418523</v>
      </c>
      <c r="AE121">
        <f t="shared" si="52"/>
        <v>-9.3665307610024229E-2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53049.854980511584</v>
      </c>
      <c r="AK121">
        <f t="shared" si="56"/>
        <v>1799.99</v>
      </c>
      <c r="AL121">
        <f t="shared" si="57"/>
        <v>1499.10391639864</v>
      </c>
      <c r="AM121">
        <f t="shared" si="58"/>
        <v>0.83284013599999995</v>
      </c>
      <c r="AN121">
        <f t="shared" si="59"/>
        <v>0.15339698611000002</v>
      </c>
      <c r="AO121">
        <v>30</v>
      </c>
      <c r="AP121">
        <v>0.5</v>
      </c>
      <c r="AQ121" t="s">
        <v>331</v>
      </c>
      <c r="AR121">
        <v>2</v>
      </c>
      <c r="AS121">
        <v>1690293439.5999999</v>
      </c>
      <c r="AT121">
        <v>419.18799999999999</v>
      </c>
      <c r="AU121">
        <v>799.99599999999998</v>
      </c>
      <c r="AV121">
        <v>23.661000000000001</v>
      </c>
      <c r="AW121">
        <v>0.19572999999999999</v>
      </c>
      <c r="AX121">
        <v>419.41899999999998</v>
      </c>
      <c r="AY121">
        <v>23.509599999999999</v>
      </c>
      <c r="AZ121">
        <v>300.24599999999998</v>
      </c>
      <c r="BA121">
        <v>99.346100000000007</v>
      </c>
      <c r="BB121">
        <v>9.9926399999999999E-2</v>
      </c>
      <c r="BC121">
        <v>25.457599999999999</v>
      </c>
      <c r="BD121">
        <v>27.000599999999999</v>
      </c>
      <c r="BE121">
        <v>26.5671</v>
      </c>
      <c r="BF121">
        <v>0</v>
      </c>
      <c r="BG121">
        <v>0</v>
      </c>
      <c r="BH121">
        <v>10048.799999999999</v>
      </c>
      <c r="BI121">
        <v>1062.5899999999999</v>
      </c>
      <c r="BJ121">
        <v>1.9497</v>
      </c>
      <c r="BK121">
        <v>-380.80900000000003</v>
      </c>
      <c r="BL121">
        <v>429.346</v>
      </c>
      <c r="BM121">
        <v>800.15300000000002</v>
      </c>
      <c r="BN121">
        <v>23.465299999999999</v>
      </c>
      <c r="BO121">
        <v>799.99599999999998</v>
      </c>
      <c r="BP121">
        <v>0.19572999999999999</v>
      </c>
      <c r="BQ121">
        <v>2.3506300000000002</v>
      </c>
      <c r="BR121">
        <v>1.9445E-2</v>
      </c>
      <c r="BS121">
        <v>20.0276</v>
      </c>
      <c r="BT121">
        <v>-39.696199999999997</v>
      </c>
      <c r="BU121">
        <v>1799.99</v>
      </c>
      <c r="BV121">
        <v>0.91000999999999999</v>
      </c>
      <c r="BW121">
        <v>3.4001000000000003E-2</v>
      </c>
      <c r="BX121">
        <v>2.1995299999999999E-2</v>
      </c>
      <c r="BY121">
        <v>3.3993500000000003E-2</v>
      </c>
      <c r="BZ121">
        <v>25</v>
      </c>
      <c r="CA121">
        <v>33528.300000000003</v>
      </c>
      <c r="CB121">
        <v>1690292073.5</v>
      </c>
      <c r="CC121" t="s">
        <v>332</v>
      </c>
      <c r="CD121">
        <v>1690292069.5</v>
      </c>
      <c r="CE121">
        <v>1690292073.5</v>
      </c>
      <c r="CF121">
        <v>4</v>
      </c>
      <c r="CG121">
        <v>-3.6999999999999998E-2</v>
      </c>
      <c r="CH121">
        <v>-1.6E-2</v>
      </c>
      <c r="CI121">
        <v>-0.45200000000000001</v>
      </c>
      <c r="CJ121">
        <v>0.108</v>
      </c>
      <c r="CK121">
        <v>730</v>
      </c>
      <c r="CL121">
        <v>18</v>
      </c>
      <c r="CM121">
        <v>0</v>
      </c>
      <c r="CN121">
        <v>0.01</v>
      </c>
      <c r="CO121">
        <v>-378.89157499999999</v>
      </c>
      <c r="CP121">
        <v>-9.809954971856941</v>
      </c>
      <c r="CQ121">
        <v>0.94430773287895831</v>
      </c>
      <c r="CR121">
        <v>-1</v>
      </c>
      <c r="CS121">
        <v>23.376390000000001</v>
      </c>
      <c r="CT121">
        <v>0.48572983114438723</v>
      </c>
      <c r="CU121">
        <v>4.6739618098567963E-2</v>
      </c>
      <c r="CV121">
        <v>-1</v>
      </c>
      <c r="CW121">
        <v>0</v>
      </c>
      <c r="CX121">
        <v>0</v>
      </c>
      <c r="CY121" t="s">
        <v>333</v>
      </c>
      <c r="CZ121">
        <v>2.3651499999999999</v>
      </c>
      <c r="DA121">
        <v>2.7137600000000002</v>
      </c>
      <c r="DB121">
        <v>9.3047000000000005E-2</v>
      </c>
      <c r="DC121">
        <v>0.14643400000000001</v>
      </c>
      <c r="DD121">
        <v>0.113249</v>
      </c>
      <c r="DE121">
        <v>1.6495100000000001E-3</v>
      </c>
      <c r="DF121">
        <v>33124.800000000003</v>
      </c>
      <c r="DG121">
        <v>27511.1</v>
      </c>
      <c r="DH121">
        <v>31178.9</v>
      </c>
      <c r="DI121">
        <v>28084.400000000001</v>
      </c>
      <c r="DJ121">
        <v>37530</v>
      </c>
      <c r="DK121">
        <v>39870.9</v>
      </c>
      <c r="DL121">
        <v>44370.400000000001</v>
      </c>
      <c r="DM121">
        <v>42559.199999999997</v>
      </c>
      <c r="DN121">
        <v>1.4879199999999999</v>
      </c>
      <c r="DO121">
        <v>2.03877</v>
      </c>
      <c r="DP121">
        <v>0.13920299999999999</v>
      </c>
      <c r="DQ121">
        <v>0.134878</v>
      </c>
      <c r="DR121">
        <v>24.719799999999999</v>
      </c>
      <c r="DS121">
        <v>24.355799999999999</v>
      </c>
      <c r="DT121">
        <v>30</v>
      </c>
      <c r="DU121">
        <v>28.5</v>
      </c>
      <c r="DV121">
        <v>11.798299999999999</v>
      </c>
      <c r="DW121">
        <v>61.233400000000003</v>
      </c>
      <c r="DX121">
        <v>35.060099999999998</v>
      </c>
      <c r="DY121">
        <v>1</v>
      </c>
      <c r="DZ121">
        <v>-0.11348800000000001</v>
      </c>
      <c r="EA121">
        <v>8.3809900000000007E-2</v>
      </c>
      <c r="EB121">
        <v>20.1904</v>
      </c>
      <c r="EC121">
        <v>5.24125</v>
      </c>
      <c r="ED121">
        <v>12.039899999999999</v>
      </c>
      <c r="EE121">
        <v>5.0174500000000002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1.8688899999999999</v>
      </c>
      <c r="EL121">
        <v>1.8646</v>
      </c>
      <c r="EM121">
        <v>1.86917</v>
      </c>
      <c r="EN121">
        <v>1.86721</v>
      </c>
      <c r="EO121">
        <v>1.8633299999999999</v>
      </c>
      <c r="EP121">
        <v>1.8644499999999999</v>
      </c>
      <c r="EQ121">
        <v>1.8701399999999999</v>
      </c>
      <c r="ER121">
        <v>1.8693599999999999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-0.23100000000000001</v>
      </c>
      <c r="FG121">
        <v>0.15140000000000001</v>
      </c>
      <c r="FH121">
        <v>5.0310448532705943E-2</v>
      </c>
      <c r="FI121">
        <v>-6.1462078757559423E-4</v>
      </c>
      <c r="FJ121">
        <v>-1.8861989874597051E-7</v>
      </c>
      <c r="FK121">
        <v>1.1980462299894961E-10</v>
      </c>
      <c r="FL121">
        <v>0.15140825623214971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22.8</v>
      </c>
      <c r="FU121">
        <v>22.8</v>
      </c>
      <c r="FV121">
        <v>1.7639199999999999</v>
      </c>
      <c r="FW121">
        <v>2.5781200000000002</v>
      </c>
      <c r="FX121">
        <v>1.5490699999999999</v>
      </c>
      <c r="FY121">
        <v>2.3315399999999999</v>
      </c>
      <c r="FZ121">
        <v>1.50146</v>
      </c>
      <c r="GA121">
        <v>2.3278799999999999</v>
      </c>
      <c r="GB121">
        <v>33.109900000000003</v>
      </c>
      <c r="GC121">
        <v>23.991199999999999</v>
      </c>
      <c r="GD121">
        <v>19</v>
      </c>
      <c r="GE121">
        <v>286.83499999999998</v>
      </c>
      <c r="GF121">
        <v>582.42399999999998</v>
      </c>
      <c r="GG121">
        <v>23.8873</v>
      </c>
      <c r="GH121">
        <v>25.956</v>
      </c>
      <c r="GI121">
        <v>30.000299999999999</v>
      </c>
      <c r="GJ121">
        <v>26.1126</v>
      </c>
      <c r="GK121">
        <v>26.098400000000002</v>
      </c>
      <c r="GL121">
        <v>35.2714</v>
      </c>
      <c r="GM121">
        <v>100</v>
      </c>
      <c r="GN121">
        <v>21.926100000000002</v>
      </c>
      <c r="GO121">
        <v>23.882300000000001</v>
      </c>
      <c r="GP121">
        <v>800</v>
      </c>
      <c r="GQ121">
        <v>0</v>
      </c>
      <c r="GR121">
        <v>99.759100000000004</v>
      </c>
      <c r="GS121">
        <v>99.567300000000003</v>
      </c>
    </row>
    <row r="122" spans="1:201" x14ac:dyDescent="0.25">
      <c r="A122">
        <v>106</v>
      </c>
      <c r="B122">
        <v>1690293449.5999999</v>
      </c>
      <c r="C122">
        <v>1179</v>
      </c>
      <c r="D122" t="s">
        <v>545</v>
      </c>
      <c r="E122" t="s">
        <v>546</v>
      </c>
      <c r="F122" t="s">
        <v>330</v>
      </c>
      <c r="H122">
        <v>1690293449.5999999</v>
      </c>
      <c r="I122">
        <f t="shared" si="30"/>
        <v>2.4126446754977084E-3</v>
      </c>
      <c r="J122">
        <f t="shared" si="31"/>
        <v>2.4126446754977082</v>
      </c>
      <c r="K122">
        <f t="shared" si="32"/>
        <v>37.266832478031823</v>
      </c>
      <c r="L122">
        <f t="shared" si="33"/>
        <v>417.56299999999999</v>
      </c>
      <c r="M122">
        <f t="shared" si="34"/>
        <v>115.94307966769421</v>
      </c>
      <c r="N122">
        <f t="shared" si="35"/>
        <v>11.530197008981009</v>
      </c>
      <c r="O122">
        <f t="shared" si="36"/>
        <v>41.525407704023991</v>
      </c>
      <c r="P122">
        <f t="shared" si="37"/>
        <v>0.2099781451837911</v>
      </c>
      <c r="Q122">
        <f t="shared" si="38"/>
        <v>2.2555632362903433</v>
      </c>
      <c r="R122">
        <f t="shared" si="39"/>
        <v>0.19969142184411445</v>
      </c>
      <c r="S122">
        <f t="shared" si="40"/>
        <v>0.12568935346674875</v>
      </c>
      <c r="T122">
        <f t="shared" si="41"/>
        <v>276.11439652799999</v>
      </c>
      <c r="U122">
        <f t="shared" si="42"/>
        <v>26.745393887360294</v>
      </c>
      <c r="V122">
        <f t="shared" si="43"/>
        <v>26.745393887360294</v>
      </c>
      <c r="W122">
        <f t="shared" si="44"/>
        <v>3.525986240055031</v>
      </c>
      <c r="X122">
        <f t="shared" si="45"/>
        <v>72.175619889039169</v>
      </c>
      <c r="Y122">
        <f t="shared" si="46"/>
        <v>2.3600375643168001</v>
      </c>
      <c r="Z122">
        <f t="shared" si="47"/>
        <v>3.2698542360218834</v>
      </c>
      <c r="AA122">
        <f t="shared" si="48"/>
        <v>1.1659486757382309</v>
      </c>
      <c r="AB122">
        <f t="shared" si="49"/>
        <v>-106.39763018944893</v>
      </c>
      <c r="AC122">
        <f t="shared" si="50"/>
        <v>-155.10251227731962</v>
      </c>
      <c r="AD122">
        <f t="shared" si="51"/>
        <v>-14.70820099299004</v>
      </c>
      <c r="AE122">
        <f t="shared" si="52"/>
        <v>-9.3946931758608798E-2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52722.064635209143</v>
      </c>
      <c r="AK122">
        <f t="shared" si="56"/>
        <v>1800</v>
      </c>
      <c r="AL122">
        <f t="shared" si="57"/>
        <v>1499.1128117999999</v>
      </c>
      <c r="AM122">
        <f t="shared" si="58"/>
        <v>0.83284045099999993</v>
      </c>
      <c r="AN122">
        <f t="shared" si="59"/>
        <v>0.15339688696000001</v>
      </c>
      <c r="AO122">
        <v>30</v>
      </c>
      <c r="AP122">
        <v>0.5</v>
      </c>
      <c r="AQ122" t="s">
        <v>331</v>
      </c>
      <c r="AR122">
        <v>2</v>
      </c>
      <c r="AS122">
        <v>1690293449.5999999</v>
      </c>
      <c r="AT122">
        <v>417.56299999999999</v>
      </c>
      <c r="AU122">
        <v>800.04300000000001</v>
      </c>
      <c r="AV122">
        <v>23.7316</v>
      </c>
      <c r="AW122">
        <v>0.19387499999999999</v>
      </c>
      <c r="AX122">
        <v>417.79300000000001</v>
      </c>
      <c r="AY122">
        <v>23.580200000000001</v>
      </c>
      <c r="AZ122">
        <v>300.20600000000002</v>
      </c>
      <c r="BA122">
        <v>99.346999999999994</v>
      </c>
      <c r="BB122">
        <v>0.100048</v>
      </c>
      <c r="BC122">
        <v>25.469899999999999</v>
      </c>
      <c r="BD122">
        <v>26.999099999999999</v>
      </c>
      <c r="BE122">
        <v>26.5746</v>
      </c>
      <c r="BF122">
        <v>0</v>
      </c>
      <c r="BG122">
        <v>0</v>
      </c>
      <c r="BH122">
        <v>9984.3799999999992</v>
      </c>
      <c r="BI122">
        <v>1062.49</v>
      </c>
      <c r="BJ122">
        <v>2.1725599999999998</v>
      </c>
      <c r="BK122">
        <v>-382.48</v>
      </c>
      <c r="BL122">
        <v>427.71300000000002</v>
      </c>
      <c r="BM122">
        <v>800.19799999999998</v>
      </c>
      <c r="BN122">
        <v>23.537800000000001</v>
      </c>
      <c r="BO122">
        <v>800.04300000000001</v>
      </c>
      <c r="BP122">
        <v>0.19387499999999999</v>
      </c>
      <c r="BQ122">
        <v>2.3576700000000002</v>
      </c>
      <c r="BR122">
        <v>1.9260900000000001E-2</v>
      </c>
      <c r="BS122">
        <v>20.075900000000001</v>
      </c>
      <c r="BT122">
        <v>-39.787599999999998</v>
      </c>
      <c r="BU122">
        <v>1800</v>
      </c>
      <c r="BV122">
        <v>0.91001399999999999</v>
      </c>
      <c r="BW122">
        <v>3.3999500000000002E-2</v>
      </c>
      <c r="BX122">
        <v>2.1994300000000001E-2</v>
      </c>
      <c r="BY122">
        <v>3.3992000000000001E-2</v>
      </c>
      <c r="BZ122">
        <v>25</v>
      </c>
      <c r="CA122">
        <v>33528.400000000001</v>
      </c>
      <c r="CB122">
        <v>1690292073.5</v>
      </c>
      <c r="CC122" t="s">
        <v>332</v>
      </c>
      <c r="CD122">
        <v>1690292069.5</v>
      </c>
      <c r="CE122">
        <v>1690292073.5</v>
      </c>
      <c r="CF122">
        <v>4</v>
      </c>
      <c r="CG122">
        <v>-3.6999999999999998E-2</v>
      </c>
      <c r="CH122">
        <v>-1.6E-2</v>
      </c>
      <c r="CI122">
        <v>-0.45200000000000001</v>
      </c>
      <c r="CJ122">
        <v>0.108</v>
      </c>
      <c r="CK122">
        <v>730</v>
      </c>
      <c r="CL122">
        <v>18</v>
      </c>
      <c r="CM122">
        <v>0</v>
      </c>
      <c r="CN122">
        <v>0.01</v>
      </c>
      <c r="CO122">
        <v>-380.6009268292683</v>
      </c>
      <c r="CP122">
        <v>-9.8947108013944778</v>
      </c>
      <c r="CQ122">
        <v>0.97661889089894127</v>
      </c>
      <c r="CR122">
        <v>-1</v>
      </c>
      <c r="CS122">
        <v>23.45764634146342</v>
      </c>
      <c r="CT122">
        <v>0.46577979094079403</v>
      </c>
      <c r="CU122">
        <v>4.5958645767270413E-2</v>
      </c>
      <c r="CV122">
        <v>-1</v>
      </c>
      <c r="CW122">
        <v>0</v>
      </c>
      <c r="CX122">
        <v>0</v>
      </c>
      <c r="CY122" t="s">
        <v>333</v>
      </c>
      <c r="CZ122">
        <v>2.36503</v>
      </c>
      <c r="DA122">
        <v>2.7138300000000002</v>
      </c>
      <c r="DB122">
        <v>9.2775300000000005E-2</v>
      </c>
      <c r="DC122">
        <v>0.14644199999999999</v>
      </c>
      <c r="DD122">
        <v>0.11348900000000001</v>
      </c>
      <c r="DE122">
        <v>1.6340899999999999E-3</v>
      </c>
      <c r="DF122">
        <v>33134.300000000003</v>
      </c>
      <c r="DG122">
        <v>27511.3</v>
      </c>
      <c r="DH122">
        <v>31178.5</v>
      </c>
      <c r="DI122">
        <v>28084.799999999999</v>
      </c>
      <c r="DJ122">
        <v>37519.300000000003</v>
      </c>
      <c r="DK122">
        <v>39872.1</v>
      </c>
      <c r="DL122">
        <v>44369.9</v>
      </c>
      <c r="DM122">
        <v>42559.9</v>
      </c>
      <c r="DN122">
        <v>1.4881</v>
      </c>
      <c r="DO122">
        <v>2.0387</v>
      </c>
      <c r="DP122">
        <v>0.13886399999999999</v>
      </c>
      <c r="DQ122">
        <v>0.13505300000000001</v>
      </c>
      <c r="DR122">
        <v>24.7239</v>
      </c>
      <c r="DS122">
        <v>24.360399999999998</v>
      </c>
      <c r="DT122">
        <v>29.7</v>
      </c>
      <c r="DU122">
        <v>28.5</v>
      </c>
      <c r="DV122">
        <v>11.679600000000001</v>
      </c>
      <c r="DW122">
        <v>61.853400000000001</v>
      </c>
      <c r="DX122">
        <v>35.4527</v>
      </c>
      <c r="DY122">
        <v>1</v>
      </c>
      <c r="DZ122">
        <v>-0.113453</v>
      </c>
      <c r="EA122">
        <v>0.24593100000000001</v>
      </c>
      <c r="EB122">
        <v>20.190300000000001</v>
      </c>
      <c r="EC122">
        <v>5.2413999999999996</v>
      </c>
      <c r="ED122">
        <v>12.039899999999999</v>
      </c>
      <c r="EE122">
        <v>5.0172499999999998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1.8688899999999999</v>
      </c>
      <c r="EL122">
        <v>1.8646100000000001</v>
      </c>
      <c r="EM122">
        <v>1.8692</v>
      </c>
      <c r="EN122">
        <v>1.8672200000000001</v>
      </c>
      <c r="EO122">
        <v>1.86334</v>
      </c>
      <c r="EP122">
        <v>1.8644700000000001</v>
      </c>
      <c r="EQ122">
        <v>1.8701399999999999</v>
      </c>
      <c r="ER122">
        <v>1.86937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-0.23</v>
      </c>
      <c r="FG122">
        <v>0.15140000000000001</v>
      </c>
      <c r="FH122">
        <v>5.0310448532705943E-2</v>
      </c>
      <c r="FI122">
        <v>-6.1462078757559423E-4</v>
      </c>
      <c r="FJ122">
        <v>-1.8861989874597051E-7</v>
      </c>
      <c r="FK122">
        <v>1.1980462299894961E-10</v>
      </c>
      <c r="FL122">
        <v>0.15140825623214971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23</v>
      </c>
      <c r="FU122">
        <v>22.9</v>
      </c>
      <c r="FV122">
        <v>1.7639199999999999</v>
      </c>
      <c r="FW122">
        <v>2.5793499999999998</v>
      </c>
      <c r="FX122">
        <v>1.5490699999999999</v>
      </c>
      <c r="FY122">
        <v>2.3315399999999999</v>
      </c>
      <c r="FZ122">
        <v>1.50146</v>
      </c>
      <c r="GA122">
        <v>2.34009</v>
      </c>
      <c r="GB122">
        <v>33.109900000000003</v>
      </c>
      <c r="GC122">
        <v>23.991199999999999</v>
      </c>
      <c r="GD122">
        <v>19</v>
      </c>
      <c r="GE122">
        <v>286.90100000000001</v>
      </c>
      <c r="GF122">
        <v>582.33799999999997</v>
      </c>
      <c r="GG122">
        <v>23.8857</v>
      </c>
      <c r="GH122">
        <v>25.953800000000001</v>
      </c>
      <c r="GI122">
        <v>30</v>
      </c>
      <c r="GJ122">
        <v>26.110399999999998</v>
      </c>
      <c r="GK122">
        <v>26.0962</v>
      </c>
      <c r="GL122">
        <v>35.273400000000002</v>
      </c>
      <c r="GM122">
        <v>100</v>
      </c>
      <c r="GN122">
        <v>21.530999999999999</v>
      </c>
      <c r="GO122">
        <v>23.8201</v>
      </c>
      <c r="GP122">
        <v>800</v>
      </c>
      <c r="GQ122">
        <v>0</v>
      </c>
      <c r="GR122">
        <v>99.757800000000003</v>
      </c>
      <c r="GS122">
        <v>99.568899999999999</v>
      </c>
    </row>
    <row r="123" spans="1:201" x14ac:dyDescent="0.25">
      <c r="A123">
        <v>107</v>
      </c>
      <c r="B123">
        <v>1690293459.5999999</v>
      </c>
      <c r="C123">
        <v>1189</v>
      </c>
      <c r="D123" t="s">
        <v>547</v>
      </c>
      <c r="E123" t="s">
        <v>548</v>
      </c>
      <c r="F123" t="s">
        <v>330</v>
      </c>
      <c r="H123">
        <v>1690293459.5999999</v>
      </c>
      <c r="I123">
        <f t="shared" si="30"/>
        <v>2.4179976538992003E-3</v>
      </c>
      <c r="J123">
        <f t="shared" si="31"/>
        <v>2.4179976538992003</v>
      </c>
      <c r="K123">
        <f t="shared" si="32"/>
        <v>37.412479542461604</v>
      </c>
      <c r="L123">
        <f t="shared" si="33"/>
        <v>415.92200000000003</v>
      </c>
      <c r="M123">
        <f t="shared" si="34"/>
        <v>115.51035926198213</v>
      </c>
      <c r="N123">
        <f t="shared" si="35"/>
        <v>11.487279521362124</v>
      </c>
      <c r="O123">
        <f t="shared" si="36"/>
        <v>41.362630188412005</v>
      </c>
      <c r="P123">
        <f t="shared" si="37"/>
        <v>0.21169733925113438</v>
      </c>
      <c r="Q123">
        <f t="shared" si="38"/>
        <v>2.2561403081197278</v>
      </c>
      <c r="R123">
        <f t="shared" si="39"/>
        <v>0.20124851659672546</v>
      </c>
      <c r="S123">
        <f t="shared" si="40"/>
        <v>0.12667611863482772</v>
      </c>
      <c r="T123">
        <f t="shared" si="41"/>
        <v>276.11262676044038</v>
      </c>
      <c r="U123">
        <f t="shared" si="42"/>
        <v>26.742110030065355</v>
      </c>
      <c r="V123">
        <f t="shared" si="43"/>
        <v>26.742110030065355</v>
      </c>
      <c r="W123">
        <f t="shared" si="44"/>
        <v>3.5253049497255686</v>
      </c>
      <c r="X123">
        <f t="shared" si="45"/>
        <v>72.357901390382025</v>
      </c>
      <c r="Y123">
        <f t="shared" si="46"/>
        <v>2.3658292351216001</v>
      </c>
      <c r="Z123">
        <f t="shared" si="47"/>
        <v>3.2696211328153186</v>
      </c>
      <c r="AA123">
        <f t="shared" si="48"/>
        <v>1.1594757146039685</v>
      </c>
      <c r="AB123">
        <f t="shared" si="49"/>
        <v>-106.63369653695473</v>
      </c>
      <c r="AC123">
        <f t="shared" si="50"/>
        <v>-154.8887284007096</v>
      </c>
      <c r="AD123">
        <f t="shared" si="51"/>
        <v>-14.683840843448051</v>
      </c>
      <c r="AE123">
        <f t="shared" si="52"/>
        <v>-9.3639020671986373E-2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52744.947304281755</v>
      </c>
      <c r="AK123">
        <f t="shared" si="56"/>
        <v>1799.99</v>
      </c>
      <c r="AL123">
        <f t="shared" si="57"/>
        <v>1499.10478939379</v>
      </c>
      <c r="AM123">
        <f t="shared" si="58"/>
        <v>0.832840621</v>
      </c>
      <c r="AN123">
        <f t="shared" si="59"/>
        <v>0.15339675595999999</v>
      </c>
      <c r="AO123">
        <v>30</v>
      </c>
      <c r="AP123">
        <v>0.5</v>
      </c>
      <c r="AQ123" t="s">
        <v>331</v>
      </c>
      <c r="AR123">
        <v>2</v>
      </c>
      <c r="AS123">
        <v>1690293459.5999999</v>
      </c>
      <c r="AT123">
        <v>415.92200000000003</v>
      </c>
      <c r="AU123">
        <v>799.98599999999999</v>
      </c>
      <c r="AV123">
        <v>23.7896</v>
      </c>
      <c r="AW123">
        <v>0.19209200000000001</v>
      </c>
      <c r="AX123">
        <v>416.15100000000001</v>
      </c>
      <c r="AY123">
        <v>23.638200000000001</v>
      </c>
      <c r="AZ123">
        <v>300.09199999999998</v>
      </c>
      <c r="BA123">
        <v>99.347999999999999</v>
      </c>
      <c r="BB123">
        <v>0.100046</v>
      </c>
      <c r="BC123">
        <v>25.468699999999998</v>
      </c>
      <c r="BD123">
        <v>27.012899999999998</v>
      </c>
      <c r="BE123">
        <v>26.565000000000001</v>
      </c>
      <c r="BF123">
        <v>0</v>
      </c>
      <c r="BG123">
        <v>0</v>
      </c>
      <c r="BH123">
        <v>9988.75</v>
      </c>
      <c r="BI123">
        <v>1062.4100000000001</v>
      </c>
      <c r="BJ123">
        <v>2.2426400000000002</v>
      </c>
      <c r="BK123">
        <v>-384.065</v>
      </c>
      <c r="BL123">
        <v>426.05700000000002</v>
      </c>
      <c r="BM123">
        <v>800.14</v>
      </c>
      <c r="BN123">
        <v>23.5975</v>
      </c>
      <c r="BO123">
        <v>799.98599999999999</v>
      </c>
      <c r="BP123">
        <v>0.19209200000000001</v>
      </c>
      <c r="BQ123">
        <v>2.3634499999999998</v>
      </c>
      <c r="BR123">
        <v>1.9083900000000001E-2</v>
      </c>
      <c r="BS123">
        <v>20.115500000000001</v>
      </c>
      <c r="BT123">
        <v>-39.876100000000001</v>
      </c>
      <c r="BU123">
        <v>1799.99</v>
      </c>
      <c r="BV123">
        <v>0.91001799999999999</v>
      </c>
      <c r="BW123">
        <v>3.3997899999999998E-2</v>
      </c>
      <c r="BX123">
        <v>2.19933E-2</v>
      </c>
      <c r="BY123">
        <v>3.3990399999999997E-2</v>
      </c>
      <c r="BZ123">
        <v>25</v>
      </c>
      <c r="CA123">
        <v>33528.400000000001</v>
      </c>
      <c r="CB123">
        <v>1690292073.5</v>
      </c>
      <c r="CC123" t="s">
        <v>332</v>
      </c>
      <c r="CD123">
        <v>1690292069.5</v>
      </c>
      <c r="CE123">
        <v>1690292073.5</v>
      </c>
      <c r="CF123">
        <v>4</v>
      </c>
      <c r="CG123">
        <v>-3.6999999999999998E-2</v>
      </c>
      <c r="CH123">
        <v>-1.6E-2</v>
      </c>
      <c r="CI123">
        <v>-0.45200000000000001</v>
      </c>
      <c r="CJ123">
        <v>0.108</v>
      </c>
      <c r="CK123">
        <v>730</v>
      </c>
      <c r="CL123">
        <v>18</v>
      </c>
      <c r="CM123">
        <v>0</v>
      </c>
      <c r="CN123">
        <v>0.01</v>
      </c>
      <c r="CO123">
        <v>-382.2783658536585</v>
      </c>
      <c r="CP123">
        <v>-9.9482090592331662</v>
      </c>
      <c r="CQ123">
        <v>0.98145891297517374</v>
      </c>
      <c r="CR123">
        <v>-1</v>
      </c>
      <c r="CS123">
        <v>23.529675609756101</v>
      </c>
      <c r="CT123">
        <v>0.39876585365854372</v>
      </c>
      <c r="CU123">
        <v>3.940816295585272E-2</v>
      </c>
      <c r="CV123">
        <v>-1</v>
      </c>
      <c r="CW123">
        <v>0</v>
      </c>
      <c r="CX123">
        <v>0</v>
      </c>
      <c r="CY123" t="s">
        <v>333</v>
      </c>
      <c r="CZ123">
        <v>2.3646699999999998</v>
      </c>
      <c r="DA123">
        <v>2.7138300000000002</v>
      </c>
      <c r="DB123">
        <v>9.2500399999999997E-2</v>
      </c>
      <c r="DC123">
        <v>0.14643700000000001</v>
      </c>
      <c r="DD123">
        <v>0.113686</v>
      </c>
      <c r="DE123">
        <v>1.61926E-3</v>
      </c>
      <c r="DF123">
        <v>33144.699999999997</v>
      </c>
      <c r="DG123">
        <v>27511.3</v>
      </c>
      <c r="DH123">
        <v>31178.799999999999</v>
      </c>
      <c r="DI123">
        <v>28084.7</v>
      </c>
      <c r="DJ123">
        <v>37511.4</v>
      </c>
      <c r="DK123">
        <v>39872.6</v>
      </c>
      <c r="DL123">
        <v>44370.6</v>
      </c>
      <c r="DM123">
        <v>42559.7</v>
      </c>
      <c r="DN123">
        <v>1.4881500000000001</v>
      </c>
      <c r="DO123">
        <v>2.0388000000000002</v>
      </c>
      <c r="DP123">
        <v>0.13948199999999999</v>
      </c>
      <c r="DQ123">
        <v>0.13412499999999999</v>
      </c>
      <c r="DR123">
        <v>24.727599999999999</v>
      </c>
      <c r="DS123">
        <v>24.366</v>
      </c>
      <c r="DT123">
        <v>29.4</v>
      </c>
      <c r="DU123">
        <v>28.5</v>
      </c>
      <c r="DV123">
        <v>11.5611</v>
      </c>
      <c r="DW123">
        <v>62.1434</v>
      </c>
      <c r="DX123">
        <v>35.697099999999999</v>
      </c>
      <c r="DY123">
        <v>1</v>
      </c>
      <c r="DZ123">
        <v>-0.11303100000000001</v>
      </c>
      <c r="EA123">
        <v>0.20072200000000001</v>
      </c>
      <c r="EB123">
        <v>20.190300000000001</v>
      </c>
      <c r="EC123">
        <v>5.2416999999999998</v>
      </c>
      <c r="ED123">
        <v>12.039899999999999</v>
      </c>
      <c r="EE123">
        <v>5.0175000000000001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</v>
      </c>
      <c r="EL123">
        <v>1.8646100000000001</v>
      </c>
      <c r="EM123">
        <v>1.8692</v>
      </c>
      <c r="EN123">
        <v>1.8672200000000001</v>
      </c>
      <c r="EO123">
        <v>1.8633500000000001</v>
      </c>
      <c r="EP123">
        <v>1.8644499999999999</v>
      </c>
      <c r="EQ123">
        <v>1.87015</v>
      </c>
      <c r="ER123">
        <v>1.86937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-0.22900000000000001</v>
      </c>
      <c r="FG123">
        <v>0.15140000000000001</v>
      </c>
      <c r="FH123">
        <v>5.0310448532705943E-2</v>
      </c>
      <c r="FI123">
        <v>-6.1462078757559423E-4</v>
      </c>
      <c r="FJ123">
        <v>-1.8861989874597051E-7</v>
      </c>
      <c r="FK123">
        <v>1.1980462299894961E-10</v>
      </c>
      <c r="FL123">
        <v>0.15140825623214971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23.2</v>
      </c>
      <c r="FU123">
        <v>23.1</v>
      </c>
      <c r="FV123">
        <v>1.7639199999999999</v>
      </c>
      <c r="FW123">
        <v>2.5817899999999998</v>
      </c>
      <c r="FX123">
        <v>1.5490699999999999</v>
      </c>
      <c r="FY123">
        <v>2.3315399999999999</v>
      </c>
      <c r="FZ123">
        <v>1.50146</v>
      </c>
      <c r="GA123">
        <v>2.35229</v>
      </c>
      <c r="GB123">
        <v>33.109900000000003</v>
      </c>
      <c r="GC123">
        <v>23.991199999999999</v>
      </c>
      <c r="GD123">
        <v>19</v>
      </c>
      <c r="GE123">
        <v>286.91199999999998</v>
      </c>
      <c r="GF123">
        <v>582.39599999999996</v>
      </c>
      <c r="GG123">
        <v>23.824999999999999</v>
      </c>
      <c r="GH123">
        <v>25.951599999999999</v>
      </c>
      <c r="GI123">
        <v>30.0002</v>
      </c>
      <c r="GJ123">
        <v>26.1082</v>
      </c>
      <c r="GK123">
        <v>26.094000000000001</v>
      </c>
      <c r="GL123">
        <v>35.2729</v>
      </c>
      <c r="GM123">
        <v>100</v>
      </c>
      <c r="GN123">
        <v>20.7425</v>
      </c>
      <c r="GO123">
        <v>23.828800000000001</v>
      </c>
      <c r="GP123">
        <v>800</v>
      </c>
      <c r="GQ123">
        <v>0</v>
      </c>
      <c r="GR123">
        <v>99.759200000000007</v>
      </c>
      <c r="GS123">
        <v>99.568399999999997</v>
      </c>
    </row>
    <row r="124" spans="1:201" x14ac:dyDescent="0.25">
      <c r="A124">
        <v>108</v>
      </c>
      <c r="B124">
        <v>1690293469.5999999</v>
      </c>
      <c r="C124">
        <v>1199</v>
      </c>
      <c r="D124" t="s">
        <v>549</v>
      </c>
      <c r="E124" t="s">
        <v>550</v>
      </c>
      <c r="F124" t="s">
        <v>330</v>
      </c>
      <c r="H124">
        <v>1690293469.5999999</v>
      </c>
      <c r="I124">
        <f t="shared" si="30"/>
        <v>2.425784170535546E-3</v>
      </c>
      <c r="J124">
        <f t="shared" si="31"/>
        <v>2.4257841705355458</v>
      </c>
      <c r="K124">
        <f t="shared" si="32"/>
        <v>37.597673887631451</v>
      </c>
      <c r="L124">
        <f t="shared" si="33"/>
        <v>414.25900000000001</v>
      </c>
      <c r="M124">
        <f t="shared" si="34"/>
        <v>115.25925447271027</v>
      </c>
      <c r="N124">
        <f t="shared" si="35"/>
        <v>11.462208771339311</v>
      </c>
      <c r="O124">
        <f t="shared" si="36"/>
        <v>41.196892736543802</v>
      </c>
      <c r="P124">
        <f t="shared" si="37"/>
        <v>0.21380434891151043</v>
      </c>
      <c r="Q124">
        <f t="shared" si="38"/>
        <v>2.2602363332708255</v>
      </c>
      <c r="R124">
        <f t="shared" si="39"/>
        <v>0.20317039262332193</v>
      </c>
      <c r="S124">
        <f t="shared" si="40"/>
        <v>0.12789282586194059</v>
      </c>
      <c r="T124">
        <f t="shared" si="41"/>
        <v>276.11410015800004</v>
      </c>
      <c r="U124">
        <f t="shared" si="42"/>
        <v>26.738534712324576</v>
      </c>
      <c r="V124">
        <f t="shared" si="43"/>
        <v>26.738534712324576</v>
      </c>
      <c r="W124">
        <f t="shared" si="44"/>
        <v>3.5245633218045169</v>
      </c>
      <c r="X124">
        <f t="shared" si="45"/>
        <v>72.554190492429441</v>
      </c>
      <c r="Y124">
        <f t="shared" si="46"/>
        <v>2.3724021769803798</v>
      </c>
      <c r="Z124">
        <f t="shared" si="47"/>
        <v>3.2698348102001424</v>
      </c>
      <c r="AA124">
        <f t="shared" si="48"/>
        <v>1.1521611448241371</v>
      </c>
      <c r="AB124">
        <f t="shared" si="49"/>
        <v>-106.97708192061758</v>
      </c>
      <c r="AC124">
        <f t="shared" si="50"/>
        <v>-154.60022353432865</v>
      </c>
      <c r="AD124">
        <f t="shared" si="51"/>
        <v>-14.629747109869029</v>
      </c>
      <c r="AE124">
        <f t="shared" si="52"/>
        <v>-9.2952406815214772E-2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52905.657961241406</v>
      </c>
      <c r="AK124">
        <f t="shared" si="56"/>
        <v>1800</v>
      </c>
      <c r="AL124">
        <f t="shared" si="57"/>
        <v>1499.1135317999999</v>
      </c>
      <c r="AM124">
        <f t="shared" si="58"/>
        <v>0.83284085099999994</v>
      </c>
      <c r="AN124">
        <f t="shared" si="59"/>
        <v>0.15339672231000001</v>
      </c>
      <c r="AO124">
        <v>30</v>
      </c>
      <c r="AP124">
        <v>0.5</v>
      </c>
      <c r="AQ124" t="s">
        <v>331</v>
      </c>
      <c r="AR124">
        <v>2</v>
      </c>
      <c r="AS124">
        <v>1690293469.5999999</v>
      </c>
      <c r="AT124">
        <v>414.25900000000001</v>
      </c>
      <c r="AU124">
        <v>800.07</v>
      </c>
      <c r="AV124">
        <v>23.855899999999998</v>
      </c>
      <c r="AW124">
        <v>0.18992500000000001</v>
      </c>
      <c r="AX124">
        <v>414.48700000000002</v>
      </c>
      <c r="AY124">
        <v>23.704499999999999</v>
      </c>
      <c r="AZ124">
        <v>300.16699999999997</v>
      </c>
      <c r="BA124">
        <v>99.347300000000004</v>
      </c>
      <c r="BB124">
        <v>9.9888199999999996E-2</v>
      </c>
      <c r="BC124">
        <v>25.469799999999999</v>
      </c>
      <c r="BD124">
        <v>26.987100000000002</v>
      </c>
      <c r="BE124">
        <v>26.563500000000001</v>
      </c>
      <c r="BF124">
        <v>0</v>
      </c>
      <c r="BG124">
        <v>0</v>
      </c>
      <c r="BH124">
        <v>10020.6</v>
      </c>
      <c r="BI124">
        <v>1062.4100000000001</v>
      </c>
      <c r="BJ124">
        <v>2.2426400000000002</v>
      </c>
      <c r="BK124">
        <v>-385.81099999999998</v>
      </c>
      <c r="BL124">
        <v>424.38299999999998</v>
      </c>
      <c r="BM124">
        <v>800.22199999999998</v>
      </c>
      <c r="BN124">
        <v>23.666</v>
      </c>
      <c r="BO124">
        <v>800.07</v>
      </c>
      <c r="BP124">
        <v>0.18992500000000001</v>
      </c>
      <c r="BQ124">
        <v>2.3700199999999998</v>
      </c>
      <c r="BR124">
        <v>1.8868599999999999E-2</v>
      </c>
      <c r="BS124">
        <v>20.160399999999999</v>
      </c>
      <c r="BT124">
        <v>-39.984900000000003</v>
      </c>
      <c r="BU124">
        <v>1800</v>
      </c>
      <c r="BV124">
        <v>0.91002000000000005</v>
      </c>
      <c r="BW124">
        <v>3.3997199999999998E-2</v>
      </c>
      <c r="BX124">
        <v>2.19928E-2</v>
      </c>
      <c r="BY124">
        <v>3.3989699999999998E-2</v>
      </c>
      <c r="BZ124">
        <v>25</v>
      </c>
      <c r="CA124">
        <v>33528.5</v>
      </c>
      <c r="CB124">
        <v>1690292073.5</v>
      </c>
      <c r="CC124" t="s">
        <v>332</v>
      </c>
      <c r="CD124">
        <v>1690292069.5</v>
      </c>
      <c r="CE124">
        <v>1690292073.5</v>
      </c>
      <c r="CF124">
        <v>4</v>
      </c>
      <c r="CG124">
        <v>-3.6999999999999998E-2</v>
      </c>
      <c r="CH124">
        <v>-1.6E-2</v>
      </c>
      <c r="CI124">
        <v>-0.45200000000000001</v>
      </c>
      <c r="CJ124">
        <v>0.108</v>
      </c>
      <c r="CK124">
        <v>730</v>
      </c>
      <c r="CL124">
        <v>18</v>
      </c>
      <c r="CM124">
        <v>0</v>
      </c>
      <c r="CN124">
        <v>0.01</v>
      </c>
      <c r="CO124">
        <v>-383.91985365853662</v>
      </c>
      <c r="CP124">
        <v>-9.7392961672481668</v>
      </c>
      <c r="CQ124">
        <v>0.96076335405062963</v>
      </c>
      <c r="CR124">
        <v>-1</v>
      </c>
      <c r="CS124">
        <v>23.594021951219521</v>
      </c>
      <c r="CT124">
        <v>0.37589895470386758</v>
      </c>
      <c r="CU124">
        <v>3.7096666816247507E-2</v>
      </c>
      <c r="CV124">
        <v>-1</v>
      </c>
      <c r="CW124">
        <v>0</v>
      </c>
      <c r="CX124">
        <v>0</v>
      </c>
      <c r="CY124" t="s">
        <v>333</v>
      </c>
      <c r="CZ124">
        <v>2.3649200000000001</v>
      </c>
      <c r="DA124">
        <v>2.7136999999999998</v>
      </c>
      <c r="DB124">
        <v>9.2219800000000005E-2</v>
      </c>
      <c r="DC124">
        <v>0.14644699999999999</v>
      </c>
      <c r="DD124">
        <v>0.11391</v>
      </c>
      <c r="DE124">
        <v>1.60122E-3</v>
      </c>
      <c r="DF124">
        <v>33155</v>
      </c>
      <c r="DG124">
        <v>27511.200000000001</v>
      </c>
      <c r="DH124">
        <v>31178.9</v>
      </c>
      <c r="DI124">
        <v>28084.9</v>
      </c>
      <c r="DJ124">
        <v>37501.800000000003</v>
      </c>
      <c r="DK124">
        <v>39873.699999999997</v>
      </c>
      <c r="DL124">
        <v>44370.6</v>
      </c>
      <c r="DM124">
        <v>42560.1</v>
      </c>
      <c r="DN124">
        <v>1.4883200000000001</v>
      </c>
      <c r="DO124">
        <v>2.0388000000000002</v>
      </c>
      <c r="DP124">
        <v>0.13753000000000001</v>
      </c>
      <c r="DQ124">
        <v>0.13362599999999999</v>
      </c>
      <c r="DR124">
        <v>24.733799999999999</v>
      </c>
      <c r="DS124">
        <v>24.372699999999998</v>
      </c>
      <c r="DT124">
        <v>29.1</v>
      </c>
      <c r="DU124">
        <v>28.5</v>
      </c>
      <c r="DV124">
        <v>11.444599999999999</v>
      </c>
      <c r="DW124">
        <v>61.5334</v>
      </c>
      <c r="DX124">
        <v>35.176299999999998</v>
      </c>
      <c r="DY124">
        <v>1</v>
      </c>
      <c r="DZ124">
        <v>-0.113412</v>
      </c>
      <c r="EA124">
        <v>0.17447399999999999</v>
      </c>
      <c r="EB124">
        <v>20.190200000000001</v>
      </c>
      <c r="EC124">
        <v>5.2418500000000003</v>
      </c>
      <c r="ED124">
        <v>12.039899999999999</v>
      </c>
      <c r="EE124">
        <v>5.0174000000000003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</v>
      </c>
      <c r="EL124">
        <v>1.8646199999999999</v>
      </c>
      <c r="EM124">
        <v>1.8692</v>
      </c>
      <c r="EN124">
        <v>1.8672200000000001</v>
      </c>
      <c r="EO124">
        <v>1.8633500000000001</v>
      </c>
      <c r="EP124">
        <v>1.86446</v>
      </c>
      <c r="EQ124">
        <v>1.8701399999999999</v>
      </c>
      <c r="ER124">
        <v>1.86937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-0.22800000000000001</v>
      </c>
      <c r="FG124">
        <v>0.15140000000000001</v>
      </c>
      <c r="FH124">
        <v>5.0310448532705943E-2</v>
      </c>
      <c r="FI124">
        <v>-6.1462078757559423E-4</v>
      </c>
      <c r="FJ124">
        <v>-1.8861989874597051E-7</v>
      </c>
      <c r="FK124">
        <v>1.1980462299894961E-10</v>
      </c>
      <c r="FL124">
        <v>0.15140825623214971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23.3</v>
      </c>
      <c r="FU124">
        <v>23.3</v>
      </c>
      <c r="FV124">
        <v>1.7639199999999999</v>
      </c>
      <c r="FW124">
        <v>2.5842299999999998</v>
      </c>
      <c r="FX124">
        <v>1.5490699999999999</v>
      </c>
      <c r="FY124">
        <v>2.3315399999999999</v>
      </c>
      <c r="FZ124">
        <v>1.50146</v>
      </c>
      <c r="GA124">
        <v>2.3059099999999999</v>
      </c>
      <c r="GB124">
        <v>33.109900000000003</v>
      </c>
      <c r="GC124">
        <v>23.982399999999998</v>
      </c>
      <c r="GD124">
        <v>19</v>
      </c>
      <c r="GE124">
        <v>286.97699999999998</v>
      </c>
      <c r="GF124">
        <v>582.37099999999998</v>
      </c>
      <c r="GG124">
        <v>23.822800000000001</v>
      </c>
      <c r="GH124">
        <v>25.95</v>
      </c>
      <c r="GI124">
        <v>29.9999</v>
      </c>
      <c r="GJ124">
        <v>26.106100000000001</v>
      </c>
      <c r="GK124">
        <v>26.091899999999999</v>
      </c>
      <c r="GL124">
        <v>35.272500000000001</v>
      </c>
      <c r="GM124">
        <v>100</v>
      </c>
      <c r="GN124">
        <v>19.97</v>
      </c>
      <c r="GO124">
        <v>23.825700000000001</v>
      </c>
      <c r="GP124">
        <v>800</v>
      </c>
      <c r="GQ124">
        <v>0</v>
      </c>
      <c r="GR124">
        <v>99.759399999999999</v>
      </c>
      <c r="GS124">
        <v>99.569299999999998</v>
      </c>
    </row>
    <row r="125" spans="1:201" x14ac:dyDescent="0.25">
      <c r="A125">
        <v>109</v>
      </c>
      <c r="B125">
        <v>1690293479.5999999</v>
      </c>
      <c r="C125">
        <v>1209</v>
      </c>
      <c r="D125" t="s">
        <v>551</v>
      </c>
      <c r="E125" t="s">
        <v>552</v>
      </c>
      <c r="F125" t="s">
        <v>330</v>
      </c>
      <c r="H125">
        <v>1690293479.5999999</v>
      </c>
      <c r="I125">
        <f t="shared" si="30"/>
        <v>2.4334771976644615E-3</v>
      </c>
      <c r="J125">
        <f t="shared" si="31"/>
        <v>2.4334771976644616</v>
      </c>
      <c r="K125">
        <f t="shared" si="32"/>
        <v>37.752499604144951</v>
      </c>
      <c r="L125">
        <f t="shared" si="33"/>
        <v>412.69799999999998</v>
      </c>
      <c r="M125">
        <f t="shared" si="34"/>
        <v>115.21434394617218</v>
      </c>
      <c r="N125">
        <f t="shared" si="35"/>
        <v>11.457715908198196</v>
      </c>
      <c r="O125">
        <f t="shared" si="36"/>
        <v>41.041560259985999</v>
      </c>
      <c r="P125">
        <f t="shared" si="37"/>
        <v>0.21585394870263291</v>
      </c>
      <c r="Q125">
        <f t="shared" si="38"/>
        <v>2.2599994314726426</v>
      </c>
      <c r="R125">
        <f t="shared" si="39"/>
        <v>0.20501960826020402</v>
      </c>
      <c r="S125">
        <f t="shared" si="40"/>
        <v>0.12906534577105289</v>
      </c>
      <c r="T125">
        <f t="shared" si="41"/>
        <v>276.11248576722369</v>
      </c>
      <c r="U125">
        <f t="shared" si="42"/>
        <v>26.737597394442126</v>
      </c>
      <c r="V125">
        <f t="shared" si="43"/>
        <v>26.737597394442126</v>
      </c>
      <c r="W125">
        <f t="shared" si="44"/>
        <v>3.5243689165557015</v>
      </c>
      <c r="X125">
        <f t="shared" si="45"/>
        <v>72.750092119691971</v>
      </c>
      <c r="Y125">
        <f t="shared" si="46"/>
        <v>2.3790198288325</v>
      </c>
      <c r="Z125">
        <f t="shared" si="47"/>
        <v>3.2701262081131413</v>
      </c>
      <c r="AA125">
        <f t="shared" si="48"/>
        <v>1.1453490877232015</v>
      </c>
      <c r="AB125">
        <f t="shared" si="49"/>
        <v>-107.31634441700275</v>
      </c>
      <c r="AC125">
        <f t="shared" si="50"/>
        <v>-154.28705397932947</v>
      </c>
      <c r="AD125">
        <f t="shared" si="51"/>
        <v>-14.6016834117471</v>
      </c>
      <c r="AE125">
        <f t="shared" si="52"/>
        <v>-9.2596040855653428E-2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52896.068607380133</v>
      </c>
      <c r="AK125">
        <f t="shared" si="56"/>
        <v>1799.99</v>
      </c>
      <c r="AL125">
        <f t="shared" si="57"/>
        <v>1499.1061879860201</v>
      </c>
      <c r="AM125">
        <f t="shared" si="58"/>
        <v>0.83284139800000001</v>
      </c>
      <c r="AN125">
        <f t="shared" si="59"/>
        <v>0.15339667763000001</v>
      </c>
      <c r="AO125">
        <v>30</v>
      </c>
      <c r="AP125">
        <v>0.5</v>
      </c>
      <c r="AQ125" t="s">
        <v>331</v>
      </c>
      <c r="AR125">
        <v>2</v>
      </c>
      <c r="AS125">
        <v>1690293479.5999999</v>
      </c>
      <c r="AT125">
        <v>412.69799999999998</v>
      </c>
      <c r="AU125">
        <v>799.96900000000005</v>
      </c>
      <c r="AV125">
        <v>23.922499999999999</v>
      </c>
      <c r="AW125">
        <v>0.18807299999999999</v>
      </c>
      <c r="AX125">
        <v>412.92599999999999</v>
      </c>
      <c r="AY125">
        <v>23.771100000000001</v>
      </c>
      <c r="AZ125">
        <v>300.23</v>
      </c>
      <c r="BA125">
        <v>99.346900000000005</v>
      </c>
      <c r="BB125">
        <v>0.10005699999999999</v>
      </c>
      <c r="BC125">
        <v>25.471299999999999</v>
      </c>
      <c r="BD125">
        <v>26.990200000000002</v>
      </c>
      <c r="BE125">
        <v>26.559000000000001</v>
      </c>
      <c r="BF125">
        <v>0</v>
      </c>
      <c r="BG125">
        <v>0</v>
      </c>
      <c r="BH125">
        <v>10018.799999999999</v>
      </c>
      <c r="BI125">
        <v>1062.3599999999999</v>
      </c>
      <c r="BJ125">
        <v>2.2426400000000002</v>
      </c>
      <c r="BK125">
        <v>-387.27100000000002</v>
      </c>
      <c r="BL125">
        <v>422.81299999999999</v>
      </c>
      <c r="BM125">
        <v>800.11900000000003</v>
      </c>
      <c r="BN125">
        <v>23.734500000000001</v>
      </c>
      <c r="BO125">
        <v>799.96900000000005</v>
      </c>
      <c r="BP125">
        <v>0.18807299999999999</v>
      </c>
      <c r="BQ125">
        <v>2.37663</v>
      </c>
      <c r="BR125">
        <v>1.86845E-2</v>
      </c>
      <c r="BS125">
        <v>20.205400000000001</v>
      </c>
      <c r="BT125">
        <v>-40.078699999999998</v>
      </c>
      <c r="BU125">
        <v>1799.99</v>
      </c>
      <c r="BV125">
        <v>0.91002400000000006</v>
      </c>
      <c r="BW125">
        <v>3.39958E-2</v>
      </c>
      <c r="BX125">
        <v>2.1991900000000002E-2</v>
      </c>
      <c r="BY125">
        <v>3.3988299999999999E-2</v>
      </c>
      <c r="BZ125">
        <v>25</v>
      </c>
      <c r="CA125">
        <v>33528.5</v>
      </c>
      <c r="CB125">
        <v>1690292073.5</v>
      </c>
      <c r="CC125" t="s">
        <v>332</v>
      </c>
      <c r="CD125">
        <v>1690292069.5</v>
      </c>
      <c r="CE125">
        <v>1690292073.5</v>
      </c>
      <c r="CF125">
        <v>4</v>
      </c>
      <c r="CG125">
        <v>-3.6999999999999998E-2</v>
      </c>
      <c r="CH125">
        <v>-1.6E-2</v>
      </c>
      <c r="CI125">
        <v>-0.45200000000000001</v>
      </c>
      <c r="CJ125">
        <v>0.108</v>
      </c>
      <c r="CK125">
        <v>730</v>
      </c>
      <c r="CL125">
        <v>18</v>
      </c>
      <c r="CM125">
        <v>0</v>
      </c>
      <c r="CN125">
        <v>0.01</v>
      </c>
      <c r="CO125">
        <v>-385.5453658536585</v>
      </c>
      <c r="CP125">
        <v>-9.7495191637647132</v>
      </c>
      <c r="CQ125">
        <v>0.96281459239141043</v>
      </c>
      <c r="CR125">
        <v>-1</v>
      </c>
      <c r="CS125">
        <v>23.65930975609756</v>
      </c>
      <c r="CT125">
        <v>0.411171428571453</v>
      </c>
      <c r="CU125">
        <v>4.0543555650911382E-2</v>
      </c>
      <c r="CV125">
        <v>-1</v>
      </c>
      <c r="CW125">
        <v>0</v>
      </c>
      <c r="CX125">
        <v>0</v>
      </c>
      <c r="CY125" t="s">
        <v>333</v>
      </c>
      <c r="CZ125">
        <v>2.36511</v>
      </c>
      <c r="DA125">
        <v>2.71387</v>
      </c>
      <c r="DB125">
        <v>9.1956499999999997E-2</v>
      </c>
      <c r="DC125">
        <v>0.14643400000000001</v>
      </c>
      <c r="DD125">
        <v>0.114134</v>
      </c>
      <c r="DE125">
        <v>1.58578E-3</v>
      </c>
      <c r="DF125">
        <v>33165</v>
      </c>
      <c r="DG125">
        <v>27512.1</v>
      </c>
      <c r="DH125">
        <v>31179.3</v>
      </c>
      <c r="DI125">
        <v>28085.4</v>
      </c>
      <c r="DJ125">
        <v>37492.6</v>
      </c>
      <c r="DK125">
        <v>39874.9</v>
      </c>
      <c r="DL125">
        <v>44371.1</v>
      </c>
      <c r="DM125">
        <v>42560.7</v>
      </c>
      <c r="DN125">
        <v>1.4883200000000001</v>
      </c>
      <c r="DO125">
        <v>2.0388799999999998</v>
      </c>
      <c r="DP125">
        <v>0.137463</v>
      </c>
      <c r="DQ125">
        <v>0.13295899999999999</v>
      </c>
      <c r="DR125">
        <v>24.7379</v>
      </c>
      <c r="DS125">
        <v>24.379200000000001</v>
      </c>
      <c r="DT125">
        <v>28.8</v>
      </c>
      <c r="DU125">
        <v>28.5</v>
      </c>
      <c r="DV125">
        <v>11.326700000000001</v>
      </c>
      <c r="DW125">
        <v>61.823399999999999</v>
      </c>
      <c r="DX125">
        <v>34.947899999999997</v>
      </c>
      <c r="DY125">
        <v>1</v>
      </c>
      <c r="DZ125">
        <v>-0.114179</v>
      </c>
      <c r="EA125">
        <v>0.11204</v>
      </c>
      <c r="EB125">
        <v>20.1906</v>
      </c>
      <c r="EC125">
        <v>5.242</v>
      </c>
      <c r="ED125">
        <v>12.039899999999999</v>
      </c>
      <c r="EE125">
        <v>5.0175999999999998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</v>
      </c>
      <c r="EL125">
        <v>1.8646199999999999</v>
      </c>
      <c r="EM125">
        <v>1.8691899999999999</v>
      </c>
      <c r="EN125">
        <v>1.8672200000000001</v>
      </c>
      <c r="EO125">
        <v>1.86337</v>
      </c>
      <c r="EP125">
        <v>1.8644700000000001</v>
      </c>
      <c r="EQ125">
        <v>1.87016</v>
      </c>
      <c r="ER125">
        <v>1.86938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-0.22800000000000001</v>
      </c>
      <c r="FG125">
        <v>0.15140000000000001</v>
      </c>
      <c r="FH125">
        <v>5.0310448532705943E-2</v>
      </c>
      <c r="FI125">
        <v>-6.1462078757559423E-4</v>
      </c>
      <c r="FJ125">
        <v>-1.8861989874597051E-7</v>
      </c>
      <c r="FK125">
        <v>1.1980462299894961E-10</v>
      </c>
      <c r="FL125">
        <v>0.15140825623214971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23.5</v>
      </c>
      <c r="FU125">
        <v>23.4</v>
      </c>
      <c r="FV125">
        <v>1.7639199999999999</v>
      </c>
      <c r="FW125">
        <v>2.5817899999999998</v>
      </c>
      <c r="FX125">
        <v>1.5490699999999999</v>
      </c>
      <c r="FY125">
        <v>2.3315399999999999</v>
      </c>
      <c r="FZ125">
        <v>1.50146</v>
      </c>
      <c r="GA125">
        <v>2.3095699999999999</v>
      </c>
      <c r="GB125">
        <v>33.109900000000003</v>
      </c>
      <c r="GC125">
        <v>23.991199999999999</v>
      </c>
      <c r="GD125">
        <v>19</v>
      </c>
      <c r="GE125">
        <v>286.96699999999998</v>
      </c>
      <c r="GF125">
        <v>582.42999999999995</v>
      </c>
      <c r="GG125">
        <v>23.834399999999999</v>
      </c>
      <c r="GH125">
        <v>25.949400000000001</v>
      </c>
      <c r="GI125">
        <v>29.999600000000001</v>
      </c>
      <c r="GJ125">
        <v>26.103899999999999</v>
      </c>
      <c r="GK125">
        <v>26.0916</v>
      </c>
      <c r="GL125">
        <v>35.2744</v>
      </c>
      <c r="GM125">
        <v>100</v>
      </c>
      <c r="GN125">
        <v>19.591100000000001</v>
      </c>
      <c r="GO125">
        <v>23.851199999999999</v>
      </c>
      <c r="GP125">
        <v>800</v>
      </c>
      <c r="GQ125">
        <v>0</v>
      </c>
      <c r="GR125">
        <v>99.760499999999993</v>
      </c>
      <c r="GS125">
        <v>99.570800000000006</v>
      </c>
    </row>
    <row r="126" spans="1:201" x14ac:dyDescent="0.25">
      <c r="A126">
        <v>110</v>
      </c>
      <c r="B126">
        <v>1690293489.5999999</v>
      </c>
      <c r="C126">
        <v>1219</v>
      </c>
      <c r="D126" t="s">
        <v>553</v>
      </c>
      <c r="E126" t="s">
        <v>554</v>
      </c>
      <c r="F126" t="s">
        <v>330</v>
      </c>
      <c r="H126">
        <v>1690293489.5999999</v>
      </c>
      <c r="I126">
        <f t="shared" si="30"/>
        <v>2.4405809498250978E-3</v>
      </c>
      <c r="J126">
        <f t="shared" si="31"/>
        <v>2.4405809498250979</v>
      </c>
      <c r="K126">
        <f t="shared" si="32"/>
        <v>37.903694530593555</v>
      </c>
      <c r="L126">
        <f t="shared" si="33"/>
        <v>411.09300000000002</v>
      </c>
      <c r="M126">
        <f t="shared" si="34"/>
        <v>114.68184510615039</v>
      </c>
      <c r="N126">
        <f t="shared" si="35"/>
        <v>11.404744601111899</v>
      </c>
      <c r="O126">
        <f t="shared" si="36"/>
        <v>40.881890834292605</v>
      </c>
      <c r="P126">
        <f t="shared" si="37"/>
        <v>0.21757891356214765</v>
      </c>
      <c r="Q126">
        <f t="shared" si="38"/>
        <v>2.2552391371988807</v>
      </c>
      <c r="R126">
        <f t="shared" si="39"/>
        <v>0.20655349867970127</v>
      </c>
      <c r="S126">
        <f t="shared" si="40"/>
        <v>0.13003995271307855</v>
      </c>
      <c r="T126">
        <f t="shared" si="41"/>
        <v>276.11391033000001</v>
      </c>
      <c r="U126">
        <f t="shared" si="42"/>
        <v>26.747585215609497</v>
      </c>
      <c r="V126">
        <f t="shared" si="43"/>
        <v>26.747585215609497</v>
      </c>
      <c r="W126">
        <f t="shared" si="44"/>
        <v>3.5264409311670399</v>
      </c>
      <c r="X126">
        <f t="shared" si="45"/>
        <v>72.930908504716513</v>
      </c>
      <c r="Y126">
        <f t="shared" si="46"/>
        <v>2.3863357942090202</v>
      </c>
      <c r="Z126">
        <f t="shared" si="47"/>
        <v>3.2720500034010871</v>
      </c>
      <c r="AA126">
        <f t="shared" si="48"/>
        <v>1.1401051369580197</v>
      </c>
      <c r="AB126">
        <f t="shared" si="49"/>
        <v>-107.62961988728681</v>
      </c>
      <c r="AC126">
        <f t="shared" si="50"/>
        <v>-153.97275292259013</v>
      </c>
      <c r="AD126">
        <f t="shared" si="51"/>
        <v>-14.604152558063053</v>
      </c>
      <c r="AE126">
        <f t="shared" si="52"/>
        <v>-9.2615037939992817E-2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52707.349089611424</v>
      </c>
      <c r="AK126">
        <f t="shared" si="56"/>
        <v>1800</v>
      </c>
      <c r="AL126">
        <f t="shared" si="57"/>
        <v>1499.1153749999996</v>
      </c>
      <c r="AM126">
        <f t="shared" si="58"/>
        <v>0.83284187499999984</v>
      </c>
      <c r="AN126">
        <f t="shared" si="59"/>
        <v>0.15339661685</v>
      </c>
      <c r="AO126">
        <v>30</v>
      </c>
      <c r="AP126">
        <v>0.5</v>
      </c>
      <c r="AQ126" t="s">
        <v>331</v>
      </c>
      <c r="AR126">
        <v>2</v>
      </c>
      <c r="AS126">
        <v>1690293489.5999999</v>
      </c>
      <c r="AT126">
        <v>411.09300000000002</v>
      </c>
      <c r="AU126">
        <v>799.98800000000006</v>
      </c>
      <c r="AV126">
        <v>23.996099999999998</v>
      </c>
      <c r="AW126">
        <v>0.18664900000000001</v>
      </c>
      <c r="AX126">
        <v>411.31900000000002</v>
      </c>
      <c r="AY126">
        <v>23.8447</v>
      </c>
      <c r="AZ126">
        <v>300.13499999999999</v>
      </c>
      <c r="BA126">
        <v>99.346900000000005</v>
      </c>
      <c r="BB126">
        <v>9.9918199999999999E-2</v>
      </c>
      <c r="BC126">
        <v>25.481200000000001</v>
      </c>
      <c r="BD126">
        <v>27.009499999999999</v>
      </c>
      <c r="BE126">
        <v>26.5595</v>
      </c>
      <c r="BF126">
        <v>0</v>
      </c>
      <c r="BG126">
        <v>0</v>
      </c>
      <c r="BH126">
        <v>9981.8799999999992</v>
      </c>
      <c r="BI126">
        <v>1062.27</v>
      </c>
      <c r="BJ126">
        <v>2.2426400000000002</v>
      </c>
      <c r="BK126">
        <v>-388.89499999999998</v>
      </c>
      <c r="BL126">
        <v>421.2</v>
      </c>
      <c r="BM126">
        <v>800.13699999999994</v>
      </c>
      <c r="BN126">
        <v>23.8094</v>
      </c>
      <c r="BO126">
        <v>799.98800000000006</v>
      </c>
      <c r="BP126">
        <v>0.18664900000000001</v>
      </c>
      <c r="BQ126">
        <v>2.3839299999999999</v>
      </c>
      <c r="BR126">
        <v>1.8543E-2</v>
      </c>
      <c r="BS126">
        <v>20.255099999999999</v>
      </c>
      <c r="BT126">
        <v>-40.151499999999999</v>
      </c>
      <c r="BU126">
        <v>1800</v>
      </c>
      <c r="BV126">
        <v>0.91002799999999995</v>
      </c>
      <c r="BW126">
        <v>3.3994299999999998E-2</v>
      </c>
      <c r="BX126">
        <v>2.1991E-2</v>
      </c>
      <c r="BY126">
        <v>3.39869E-2</v>
      </c>
      <c r="BZ126">
        <v>25</v>
      </c>
      <c r="CA126">
        <v>33528.5</v>
      </c>
      <c r="CB126">
        <v>1690292073.5</v>
      </c>
      <c r="CC126" t="s">
        <v>332</v>
      </c>
      <c r="CD126">
        <v>1690292069.5</v>
      </c>
      <c r="CE126">
        <v>1690292073.5</v>
      </c>
      <c r="CF126">
        <v>4</v>
      </c>
      <c r="CG126">
        <v>-3.6999999999999998E-2</v>
      </c>
      <c r="CH126">
        <v>-1.6E-2</v>
      </c>
      <c r="CI126">
        <v>-0.45200000000000001</v>
      </c>
      <c r="CJ126">
        <v>0.108</v>
      </c>
      <c r="CK126">
        <v>730</v>
      </c>
      <c r="CL126">
        <v>18</v>
      </c>
      <c r="CM126">
        <v>0</v>
      </c>
      <c r="CN126">
        <v>0.01</v>
      </c>
      <c r="CO126">
        <v>-387.16792682926831</v>
      </c>
      <c r="CP126">
        <v>-9.4646550522646802</v>
      </c>
      <c r="CQ126">
        <v>0.93454416670593377</v>
      </c>
      <c r="CR126">
        <v>-1</v>
      </c>
      <c r="CS126">
        <v>23.728668292682929</v>
      </c>
      <c r="CT126">
        <v>0.42425853658541202</v>
      </c>
      <c r="CU126">
        <v>4.1847868722280968E-2</v>
      </c>
      <c r="CV126">
        <v>-1</v>
      </c>
      <c r="CW126">
        <v>0</v>
      </c>
      <c r="CX126">
        <v>0</v>
      </c>
      <c r="CY126" t="s">
        <v>333</v>
      </c>
      <c r="CZ126">
        <v>2.3648199999999999</v>
      </c>
      <c r="DA126">
        <v>2.7136900000000002</v>
      </c>
      <c r="DB126">
        <v>9.1685199999999994E-2</v>
      </c>
      <c r="DC126">
        <v>0.14643700000000001</v>
      </c>
      <c r="DD126">
        <v>0.114382</v>
      </c>
      <c r="DE126">
        <v>1.5739199999999999E-3</v>
      </c>
      <c r="DF126">
        <v>33175.199999999997</v>
      </c>
      <c r="DG126">
        <v>27512.1</v>
      </c>
      <c r="DH126">
        <v>31179.599999999999</v>
      </c>
      <c r="DI126">
        <v>28085.5</v>
      </c>
      <c r="DJ126">
        <v>37482.400000000001</v>
      </c>
      <c r="DK126">
        <v>39875.699999999997</v>
      </c>
      <c r="DL126">
        <v>44371.6</v>
      </c>
      <c r="DM126">
        <v>42561.1</v>
      </c>
      <c r="DN126">
        <v>1.48813</v>
      </c>
      <c r="DO126">
        <v>2.0386500000000001</v>
      </c>
      <c r="DP126">
        <v>0.13833899999999999</v>
      </c>
      <c r="DQ126">
        <v>0.132635</v>
      </c>
      <c r="DR126">
        <v>24.742999999999999</v>
      </c>
      <c r="DS126">
        <v>24.385000000000002</v>
      </c>
      <c r="DT126">
        <v>28.5</v>
      </c>
      <c r="DU126">
        <v>28.5</v>
      </c>
      <c r="DV126">
        <v>11.2065</v>
      </c>
      <c r="DW126">
        <v>62.023400000000002</v>
      </c>
      <c r="DX126">
        <v>35.540900000000001</v>
      </c>
      <c r="DY126">
        <v>1</v>
      </c>
      <c r="DZ126">
        <v>-0.113996</v>
      </c>
      <c r="EA126">
        <v>9.4242900000000004E-2</v>
      </c>
      <c r="EB126">
        <v>20.1904</v>
      </c>
      <c r="EC126">
        <v>5.2418500000000003</v>
      </c>
      <c r="ED126">
        <v>12.039899999999999</v>
      </c>
      <c r="EE126">
        <v>5.0171999999999999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</v>
      </c>
      <c r="EL126">
        <v>1.8646</v>
      </c>
      <c r="EM126">
        <v>1.8691899999999999</v>
      </c>
      <c r="EN126">
        <v>1.8672200000000001</v>
      </c>
      <c r="EO126">
        <v>1.8633599999999999</v>
      </c>
      <c r="EP126">
        <v>1.86446</v>
      </c>
      <c r="EQ126">
        <v>1.87015</v>
      </c>
      <c r="ER126">
        <v>1.86937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-0.22600000000000001</v>
      </c>
      <c r="FG126">
        <v>0.15140000000000001</v>
      </c>
      <c r="FH126">
        <v>5.0310448532705943E-2</v>
      </c>
      <c r="FI126">
        <v>-6.1462078757559423E-4</v>
      </c>
      <c r="FJ126">
        <v>-1.8861989874597051E-7</v>
      </c>
      <c r="FK126">
        <v>1.1980462299894961E-10</v>
      </c>
      <c r="FL126">
        <v>0.15140825623214971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23.7</v>
      </c>
      <c r="FU126">
        <v>23.6</v>
      </c>
      <c r="FV126">
        <v>1.7639199999999999</v>
      </c>
      <c r="FW126">
        <v>2.5769000000000002</v>
      </c>
      <c r="FX126">
        <v>1.5490699999999999</v>
      </c>
      <c r="FY126">
        <v>2.3315399999999999</v>
      </c>
      <c r="FZ126">
        <v>1.50146</v>
      </c>
      <c r="GA126">
        <v>2.33643</v>
      </c>
      <c r="GB126">
        <v>33.109900000000003</v>
      </c>
      <c r="GC126">
        <v>23.991199999999999</v>
      </c>
      <c r="GD126">
        <v>19</v>
      </c>
      <c r="GE126">
        <v>286.875</v>
      </c>
      <c r="GF126">
        <v>582.21900000000005</v>
      </c>
      <c r="GG126">
        <v>23.862300000000001</v>
      </c>
      <c r="GH126">
        <v>25.947199999999999</v>
      </c>
      <c r="GI126">
        <v>30</v>
      </c>
      <c r="GJ126">
        <v>26.102399999999999</v>
      </c>
      <c r="GK126">
        <v>26.089400000000001</v>
      </c>
      <c r="GL126">
        <v>35.275799999999997</v>
      </c>
      <c r="GM126">
        <v>100</v>
      </c>
      <c r="GN126">
        <v>18.840499999999999</v>
      </c>
      <c r="GO126">
        <v>23.871200000000002</v>
      </c>
      <c r="GP126">
        <v>800</v>
      </c>
      <c r="GQ126">
        <v>0</v>
      </c>
      <c r="GR126">
        <v>99.761499999999998</v>
      </c>
      <c r="GS126">
        <v>99.5715</v>
      </c>
    </row>
    <row r="127" spans="1:201" x14ac:dyDescent="0.25">
      <c r="A127">
        <v>111</v>
      </c>
      <c r="B127">
        <v>1690293499.5999999</v>
      </c>
      <c r="C127">
        <v>1229</v>
      </c>
      <c r="D127" t="s">
        <v>555</v>
      </c>
      <c r="E127" t="s">
        <v>556</v>
      </c>
      <c r="F127" t="s">
        <v>330</v>
      </c>
      <c r="H127">
        <v>1690293499.5999999</v>
      </c>
      <c r="I127">
        <f t="shared" si="30"/>
        <v>2.4471933376129951E-3</v>
      </c>
      <c r="J127">
        <f t="shared" si="31"/>
        <v>2.4471933376129953</v>
      </c>
      <c r="K127">
        <f t="shared" si="32"/>
        <v>38.056942849727555</v>
      </c>
      <c r="L127">
        <f t="shared" si="33"/>
        <v>409.48200000000003</v>
      </c>
      <c r="M127">
        <f t="shared" si="34"/>
        <v>114.39631137825118</v>
      </c>
      <c r="N127">
        <f t="shared" si="35"/>
        <v>11.376575856674531</v>
      </c>
      <c r="O127">
        <f t="shared" si="36"/>
        <v>40.722493398755404</v>
      </c>
      <c r="P127">
        <f t="shared" si="37"/>
        <v>0.21949315170697581</v>
      </c>
      <c r="Q127">
        <f t="shared" si="38"/>
        <v>2.2582465016331641</v>
      </c>
      <c r="R127">
        <f t="shared" si="39"/>
        <v>0.20829236938755047</v>
      </c>
      <c r="S127">
        <f t="shared" si="40"/>
        <v>0.13114142806157691</v>
      </c>
      <c r="T127">
        <f t="shared" si="41"/>
        <v>276.11415617400002</v>
      </c>
      <c r="U127">
        <f t="shared" si="42"/>
        <v>26.750249531599664</v>
      </c>
      <c r="V127">
        <f t="shared" si="43"/>
        <v>26.750249531599664</v>
      </c>
      <c r="W127">
        <f t="shared" si="44"/>
        <v>3.5269938341407601</v>
      </c>
      <c r="X127">
        <f t="shared" si="45"/>
        <v>73.117920526180143</v>
      </c>
      <c r="Y127">
        <f t="shared" si="46"/>
        <v>2.3933646482201096</v>
      </c>
      <c r="Z127">
        <f t="shared" si="47"/>
        <v>3.2732941951804508</v>
      </c>
      <c r="AA127">
        <f t="shared" si="48"/>
        <v>1.1336291859206504</v>
      </c>
      <c r="AB127">
        <f t="shared" si="49"/>
        <v>-107.92122618873309</v>
      </c>
      <c r="AC127">
        <f t="shared" si="50"/>
        <v>-153.72326902417734</v>
      </c>
      <c r="AD127">
        <f t="shared" si="51"/>
        <v>-14.561733573582268</v>
      </c>
      <c r="AE127">
        <f t="shared" si="52"/>
        <v>-9.2072612492700046E-2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52824.33132809298</v>
      </c>
      <c r="AK127">
        <f t="shared" si="56"/>
        <v>1800</v>
      </c>
      <c r="AL127">
        <f t="shared" si="57"/>
        <v>1499.1149124000001</v>
      </c>
      <c r="AM127">
        <f t="shared" si="58"/>
        <v>0.83284161800000001</v>
      </c>
      <c r="AN127">
        <f t="shared" si="59"/>
        <v>0.15339675343</v>
      </c>
      <c r="AO127">
        <v>30</v>
      </c>
      <c r="AP127">
        <v>0.5</v>
      </c>
      <c r="AQ127" t="s">
        <v>331</v>
      </c>
      <c r="AR127">
        <v>2</v>
      </c>
      <c r="AS127">
        <v>1690293499.5999999</v>
      </c>
      <c r="AT127">
        <v>409.48200000000003</v>
      </c>
      <c r="AU127">
        <v>800.04100000000005</v>
      </c>
      <c r="AV127">
        <v>24.066299999999998</v>
      </c>
      <c r="AW127">
        <v>0.185226</v>
      </c>
      <c r="AX127">
        <v>409.70699999999999</v>
      </c>
      <c r="AY127">
        <v>23.914899999999999</v>
      </c>
      <c r="AZ127">
        <v>300.024</v>
      </c>
      <c r="BA127">
        <v>99.348799999999997</v>
      </c>
      <c r="BB127">
        <v>9.9999699999999997E-2</v>
      </c>
      <c r="BC127">
        <v>25.4876</v>
      </c>
      <c r="BD127">
        <v>27.018899999999999</v>
      </c>
      <c r="BE127">
        <v>26.570499999999999</v>
      </c>
      <c r="BF127">
        <v>0</v>
      </c>
      <c r="BG127">
        <v>0</v>
      </c>
      <c r="BH127">
        <v>10005</v>
      </c>
      <c r="BI127">
        <v>1062.33</v>
      </c>
      <c r="BJ127">
        <v>2.2426400000000002</v>
      </c>
      <c r="BK127">
        <v>-390.55799999999999</v>
      </c>
      <c r="BL127">
        <v>419.58</v>
      </c>
      <c r="BM127">
        <v>800.18899999999996</v>
      </c>
      <c r="BN127">
        <v>23.8811</v>
      </c>
      <c r="BO127">
        <v>800.04100000000005</v>
      </c>
      <c r="BP127">
        <v>0.185226</v>
      </c>
      <c r="BQ127">
        <v>2.3909600000000002</v>
      </c>
      <c r="BR127">
        <v>1.8402000000000002E-2</v>
      </c>
      <c r="BS127">
        <v>20.302700000000002</v>
      </c>
      <c r="BT127">
        <v>-40.224400000000003</v>
      </c>
      <c r="BU127">
        <v>1800</v>
      </c>
      <c r="BV127">
        <v>0.91002499999999997</v>
      </c>
      <c r="BW127">
        <v>3.3993500000000003E-2</v>
      </c>
      <c r="BX127">
        <v>2.19939E-2</v>
      </c>
      <c r="BY127">
        <v>3.3987299999999998E-2</v>
      </c>
      <c r="BZ127">
        <v>25</v>
      </c>
      <c r="CA127">
        <v>33528.5</v>
      </c>
      <c r="CB127">
        <v>1690292073.5</v>
      </c>
      <c r="CC127" t="s">
        <v>332</v>
      </c>
      <c r="CD127">
        <v>1690292069.5</v>
      </c>
      <c r="CE127">
        <v>1690292073.5</v>
      </c>
      <c r="CF127">
        <v>4</v>
      </c>
      <c r="CG127">
        <v>-3.6999999999999998E-2</v>
      </c>
      <c r="CH127">
        <v>-1.6E-2</v>
      </c>
      <c r="CI127">
        <v>-0.45200000000000001</v>
      </c>
      <c r="CJ127">
        <v>0.108</v>
      </c>
      <c r="CK127">
        <v>730</v>
      </c>
      <c r="CL127">
        <v>18</v>
      </c>
      <c r="CM127">
        <v>0</v>
      </c>
      <c r="CN127">
        <v>0.01</v>
      </c>
      <c r="CO127">
        <v>-388.73047500000001</v>
      </c>
      <c r="CP127">
        <v>-9.8386604127579336</v>
      </c>
      <c r="CQ127">
        <v>0.94754807232931637</v>
      </c>
      <c r="CR127">
        <v>-1</v>
      </c>
      <c r="CS127">
        <v>23.799307500000001</v>
      </c>
      <c r="CT127">
        <v>0.44797260787997228</v>
      </c>
      <c r="CU127">
        <v>4.3098192464997742E-2</v>
      </c>
      <c r="CV127">
        <v>-1</v>
      </c>
      <c r="CW127">
        <v>0</v>
      </c>
      <c r="CX127">
        <v>0</v>
      </c>
      <c r="CY127" t="s">
        <v>333</v>
      </c>
      <c r="CZ127">
        <v>2.3644400000000001</v>
      </c>
      <c r="DA127">
        <v>2.7137899999999999</v>
      </c>
      <c r="DB127">
        <v>9.1414099999999998E-2</v>
      </c>
      <c r="DC127">
        <v>0.14644699999999999</v>
      </c>
      <c r="DD127">
        <v>0.11462</v>
      </c>
      <c r="DE127">
        <v>1.5620899999999999E-3</v>
      </c>
      <c r="DF127">
        <v>33185.300000000003</v>
      </c>
      <c r="DG127">
        <v>27512.2</v>
      </c>
      <c r="DH127">
        <v>31179.7</v>
      </c>
      <c r="DI127">
        <v>28085.8</v>
      </c>
      <c r="DJ127">
        <v>37472.199999999997</v>
      </c>
      <c r="DK127">
        <v>39876.699999999997</v>
      </c>
      <c r="DL127">
        <v>44371.7</v>
      </c>
      <c r="DM127">
        <v>42561.599999999999</v>
      </c>
      <c r="DN127">
        <v>1.4883200000000001</v>
      </c>
      <c r="DO127">
        <v>2.0388500000000001</v>
      </c>
      <c r="DP127">
        <v>0.13855500000000001</v>
      </c>
      <c r="DQ127">
        <v>0.132911</v>
      </c>
      <c r="DR127">
        <v>24.748899999999999</v>
      </c>
      <c r="DS127">
        <v>24.391500000000001</v>
      </c>
      <c r="DT127">
        <v>28.2</v>
      </c>
      <c r="DU127">
        <v>28.5</v>
      </c>
      <c r="DV127">
        <v>11.0906</v>
      </c>
      <c r="DW127">
        <v>61.503399999999999</v>
      </c>
      <c r="DX127">
        <v>35.945500000000003</v>
      </c>
      <c r="DY127">
        <v>1</v>
      </c>
      <c r="DZ127">
        <v>-0.113788</v>
      </c>
      <c r="EA127">
        <v>0.23405799999999999</v>
      </c>
      <c r="EB127">
        <v>20.190200000000001</v>
      </c>
      <c r="EC127">
        <v>5.2415500000000002</v>
      </c>
      <c r="ED127">
        <v>12.039899999999999</v>
      </c>
      <c r="EE127">
        <v>5.0171999999999999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</v>
      </c>
      <c r="EL127">
        <v>1.8646199999999999</v>
      </c>
      <c r="EM127">
        <v>1.8691899999999999</v>
      </c>
      <c r="EN127">
        <v>1.8672200000000001</v>
      </c>
      <c r="EO127">
        <v>1.86338</v>
      </c>
      <c r="EP127">
        <v>1.8644700000000001</v>
      </c>
      <c r="EQ127">
        <v>1.87016</v>
      </c>
      <c r="ER127">
        <v>1.86937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-0.22500000000000001</v>
      </c>
      <c r="FG127">
        <v>0.15140000000000001</v>
      </c>
      <c r="FH127">
        <v>5.0310448532705943E-2</v>
      </c>
      <c r="FI127">
        <v>-6.1462078757559423E-4</v>
      </c>
      <c r="FJ127">
        <v>-1.8861989874597051E-7</v>
      </c>
      <c r="FK127">
        <v>1.1980462299894961E-10</v>
      </c>
      <c r="FL127">
        <v>0.15140825623214971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23.8</v>
      </c>
      <c r="FU127">
        <v>23.8</v>
      </c>
      <c r="FV127">
        <v>1.7639199999999999</v>
      </c>
      <c r="FW127">
        <v>2.5793499999999998</v>
      </c>
      <c r="FX127">
        <v>1.5490699999999999</v>
      </c>
      <c r="FY127">
        <v>2.3327599999999999</v>
      </c>
      <c r="FZ127">
        <v>1.50146</v>
      </c>
      <c r="GA127">
        <v>2.3986800000000001</v>
      </c>
      <c r="GB127">
        <v>33.109900000000003</v>
      </c>
      <c r="GC127">
        <v>23.982399999999998</v>
      </c>
      <c r="GD127">
        <v>19</v>
      </c>
      <c r="GE127">
        <v>286.95699999999999</v>
      </c>
      <c r="GF127">
        <v>582.35900000000004</v>
      </c>
      <c r="GG127">
        <v>23.854900000000001</v>
      </c>
      <c r="GH127">
        <v>25.946200000000001</v>
      </c>
      <c r="GI127">
        <v>30.0002</v>
      </c>
      <c r="GJ127">
        <v>26.101700000000001</v>
      </c>
      <c r="GK127">
        <v>26.087199999999999</v>
      </c>
      <c r="GL127">
        <v>35.273499999999999</v>
      </c>
      <c r="GM127">
        <v>100</v>
      </c>
      <c r="GN127">
        <v>18.440100000000001</v>
      </c>
      <c r="GO127">
        <v>23.8307</v>
      </c>
      <c r="GP127">
        <v>800</v>
      </c>
      <c r="GQ127">
        <v>0</v>
      </c>
      <c r="GR127">
        <v>99.761799999999994</v>
      </c>
      <c r="GS127">
        <v>99.572800000000001</v>
      </c>
    </row>
    <row r="128" spans="1:201" x14ac:dyDescent="0.25">
      <c r="A128">
        <v>112</v>
      </c>
      <c r="B128">
        <v>1690293509.5999999</v>
      </c>
      <c r="C128">
        <v>1239</v>
      </c>
      <c r="D128" t="s">
        <v>557</v>
      </c>
      <c r="E128" t="s">
        <v>558</v>
      </c>
      <c r="F128" t="s">
        <v>330</v>
      </c>
      <c r="H128">
        <v>1690293509.5999999</v>
      </c>
      <c r="I128">
        <f t="shared" si="30"/>
        <v>2.4550047748348085E-3</v>
      </c>
      <c r="J128">
        <f t="shared" si="31"/>
        <v>2.4550047748348085</v>
      </c>
      <c r="K128">
        <f t="shared" si="32"/>
        <v>38.223274145477667</v>
      </c>
      <c r="L128">
        <f t="shared" si="33"/>
        <v>407.94200000000001</v>
      </c>
      <c r="M128">
        <f t="shared" si="34"/>
        <v>114.20735858989609</v>
      </c>
      <c r="N128">
        <f t="shared" si="35"/>
        <v>11.357926951096301</v>
      </c>
      <c r="O128">
        <f t="shared" si="36"/>
        <v>40.569850257389994</v>
      </c>
      <c r="P128">
        <f t="shared" si="37"/>
        <v>0.22154687311897953</v>
      </c>
      <c r="Q128">
        <f t="shared" si="38"/>
        <v>2.2568927018797176</v>
      </c>
      <c r="R128">
        <f t="shared" si="39"/>
        <v>0.2101348927687007</v>
      </c>
      <c r="S128">
        <f t="shared" si="40"/>
        <v>0.13231062411693595</v>
      </c>
      <c r="T128">
        <f t="shared" si="41"/>
        <v>276.11362348690295</v>
      </c>
      <c r="U128">
        <f t="shared" si="42"/>
        <v>26.748350223533549</v>
      </c>
      <c r="V128">
        <f t="shared" si="43"/>
        <v>26.748350223533549</v>
      </c>
      <c r="W128">
        <f t="shared" si="44"/>
        <v>3.5265996790493035</v>
      </c>
      <c r="X128">
        <f t="shared" si="45"/>
        <v>73.30052196980202</v>
      </c>
      <c r="Y128">
        <f t="shared" si="46"/>
        <v>2.3993417306745002</v>
      </c>
      <c r="Z128">
        <f t="shared" si="47"/>
        <v>3.2732941951804508</v>
      </c>
      <c r="AA128">
        <f t="shared" si="48"/>
        <v>1.1272579483748033</v>
      </c>
      <c r="AB128">
        <f t="shared" si="49"/>
        <v>-108.26571057021505</v>
      </c>
      <c r="AC128">
        <f t="shared" si="50"/>
        <v>-153.40001757075083</v>
      </c>
      <c r="AD128">
        <f t="shared" si="51"/>
        <v>-14.539690781916391</v>
      </c>
      <c r="AE128">
        <f t="shared" si="52"/>
        <v>-9.1795435979349804E-2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52771.187524563647</v>
      </c>
      <c r="AK128">
        <f t="shared" si="56"/>
        <v>1799.99</v>
      </c>
      <c r="AL128">
        <f t="shared" si="57"/>
        <v>1499.1059935871001</v>
      </c>
      <c r="AM128">
        <f t="shared" si="58"/>
        <v>0.83284129000000007</v>
      </c>
      <c r="AN128">
        <f t="shared" si="59"/>
        <v>0.15339730969999998</v>
      </c>
      <c r="AO128">
        <v>30</v>
      </c>
      <c r="AP128">
        <v>0.5</v>
      </c>
      <c r="AQ128" t="s">
        <v>331</v>
      </c>
      <c r="AR128">
        <v>2</v>
      </c>
      <c r="AS128">
        <v>1690293509.5999999</v>
      </c>
      <c r="AT128">
        <v>407.94200000000001</v>
      </c>
      <c r="AU128">
        <v>799.94799999999998</v>
      </c>
      <c r="AV128">
        <v>24.126100000000001</v>
      </c>
      <c r="AW128">
        <v>0.183114</v>
      </c>
      <c r="AX128">
        <v>408.166</v>
      </c>
      <c r="AY128">
        <v>23.974699999999999</v>
      </c>
      <c r="AZ128">
        <v>300.185</v>
      </c>
      <c r="BA128">
        <v>99.35</v>
      </c>
      <c r="BB128">
        <v>0.100045</v>
      </c>
      <c r="BC128">
        <v>25.4876</v>
      </c>
      <c r="BD128">
        <v>27.026</v>
      </c>
      <c r="BE128">
        <v>26.5747</v>
      </c>
      <c r="BF128">
        <v>0</v>
      </c>
      <c r="BG128">
        <v>0</v>
      </c>
      <c r="BH128">
        <v>9994.3799999999992</v>
      </c>
      <c r="BI128">
        <v>1062.3499999999999</v>
      </c>
      <c r="BJ128">
        <v>2.2426400000000002</v>
      </c>
      <c r="BK128">
        <v>-392.00700000000001</v>
      </c>
      <c r="BL128">
        <v>418.02699999999999</v>
      </c>
      <c r="BM128">
        <v>800.09500000000003</v>
      </c>
      <c r="BN128">
        <v>23.943000000000001</v>
      </c>
      <c r="BO128">
        <v>799.94799999999998</v>
      </c>
      <c r="BP128">
        <v>0.183114</v>
      </c>
      <c r="BQ128">
        <v>2.3969299999999998</v>
      </c>
      <c r="BR128">
        <v>1.8192400000000001E-2</v>
      </c>
      <c r="BS128">
        <v>20.343</v>
      </c>
      <c r="BT128">
        <v>-40.333799999999997</v>
      </c>
      <c r="BU128">
        <v>1799.99</v>
      </c>
      <c r="BV128">
        <v>0.91000999999999999</v>
      </c>
      <c r="BW128">
        <v>3.39922E-2</v>
      </c>
      <c r="BX128">
        <v>2.1999999999999999E-2</v>
      </c>
      <c r="BY128">
        <v>3.3997800000000002E-2</v>
      </c>
      <c r="BZ128">
        <v>25</v>
      </c>
      <c r="CA128">
        <v>33528.300000000003</v>
      </c>
      <c r="CB128">
        <v>1690292073.5</v>
      </c>
      <c r="CC128" t="s">
        <v>332</v>
      </c>
      <c r="CD128">
        <v>1690292069.5</v>
      </c>
      <c r="CE128">
        <v>1690292073.5</v>
      </c>
      <c r="CF128">
        <v>4</v>
      </c>
      <c r="CG128">
        <v>-3.6999999999999998E-2</v>
      </c>
      <c r="CH128">
        <v>-1.6E-2</v>
      </c>
      <c r="CI128">
        <v>-0.45200000000000001</v>
      </c>
      <c r="CJ128">
        <v>0.108</v>
      </c>
      <c r="CK128">
        <v>730</v>
      </c>
      <c r="CL128">
        <v>18</v>
      </c>
      <c r="CM128">
        <v>0</v>
      </c>
      <c r="CN128">
        <v>0.01</v>
      </c>
      <c r="CO128">
        <v>-390.36114634146338</v>
      </c>
      <c r="CP128">
        <v>-9.4310383275259131</v>
      </c>
      <c r="CQ128">
        <v>0.93136779984288598</v>
      </c>
      <c r="CR128">
        <v>-1</v>
      </c>
      <c r="CS128">
        <v>23.8724243902439</v>
      </c>
      <c r="CT128">
        <v>0.40816097560976461</v>
      </c>
      <c r="CU128">
        <v>4.0272448855555462E-2</v>
      </c>
      <c r="CV128">
        <v>-1</v>
      </c>
      <c r="CW128">
        <v>0</v>
      </c>
      <c r="CX128">
        <v>0</v>
      </c>
      <c r="CY128" t="s">
        <v>333</v>
      </c>
      <c r="CZ128">
        <v>2.3649800000000001</v>
      </c>
      <c r="DA128">
        <v>2.7138300000000002</v>
      </c>
      <c r="DB128">
        <v>9.1153999999999999E-2</v>
      </c>
      <c r="DC128">
        <v>0.14643800000000001</v>
      </c>
      <c r="DD128">
        <v>0.11482299999999999</v>
      </c>
      <c r="DE128">
        <v>1.54452E-3</v>
      </c>
      <c r="DF128">
        <v>33194.5</v>
      </c>
      <c r="DG128">
        <v>27512.6</v>
      </c>
      <c r="DH128">
        <v>31179.4</v>
      </c>
      <c r="DI128">
        <v>28086</v>
      </c>
      <c r="DJ128">
        <v>37463.599999999999</v>
      </c>
      <c r="DK128">
        <v>39877.5</v>
      </c>
      <c r="DL128">
        <v>44371.8</v>
      </c>
      <c r="DM128">
        <v>42561.8</v>
      </c>
      <c r="DN128">
        <v>1.48848</v>
      </c>
      <c r="DO128">
        <v>2.03898</v>
      </c>
      <c r="DP128">
        <v>0.13872999999999999</v>
      </c>
      <c r="DQ128">
        <v>0.13275100000000001</v>
      </c>
      <c r="DR128">
        <v>24.7531</v>
      </c>
      <c r="DS128">
        <v>24.398299999999999</v>
      </c>
      <c r="DT128">
        <v>28</v>
      </c>
      <c r="DU128">
        <v>28.5</v>
      </c>
      <c r="DV128">
        <v>11.010400000000001</v>
      </c>
      <c r="DW128">
        <v>61.553400000000003</v>
      </c>
      <c r="DX128">
        <v>35.264400000000002</v>
      </c>
      <c r="DY128">
        <v>1</v>
      </c>
      <c r="DZ128">
        <v>-0.113455</v>
      </c>
      <c r="EA128">
        <v>0.28125299999999998</v>
      </c>
      <c r="EB128">
        <v>20.190200000000001</v>
      </c>
      <c r="EC128">
        <v>5.242</v>
      </c>
      <c r="ED128">
        <v>12.039899999999999</v>
      </c>
      <c r="EE128">
        <v>5.0174000000000003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1.8688899999999999</v>
      </c>
      <c r="EL128">
        <v>1.8646100000000001</v>
      </c>
      <c r="EM128">
        <v>1.8691800000000001</v>
      </c>
      <c r="EN128">
        <v>1.8672200000000001</v>
      </c>
      <c r="EO128">
        <v>1.8633299999999999</v>
      </c>
      <c r="EP128">
        <v>1.8644700000000001</v>
      </c>
      <c r="EQ128">
        <v>1.8701700000000001</v>
      </c>
      <c r="ER128">
        <v>1.86937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-0.224</v>
      </c>
      <c r="FG128">
        <v>0.15140000000000001</v>
      </c>
      <c r="FH128">
        <v>5.0310448532705943E-2</v>
      </c>
      <c r="FI128">
        <v>-6.1462078757559423E-4</v>
      </c>
      <c r="FJ128">
        <v>-1.8861989874597051E-7</v>
      </c>
      <c r="FK128">
        <v>1.1980462299894961E-10</v>
      </c>
      <c r="FL128">
        <v>0.15140825623214971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24</v>
      </c>
      <c r="FU128">
        <v>23.9</v>
      </c>
      <c r="FV128">
        <v>1.7651399999999999</v>
      </c>
      <c r="FW128">
        <v>2.5866699999999998</v>
      </c>
      <c r="FX128">
        <v>1.5490699999999999</v>
      </c>
      <c r="FY128">
        <v>2.3315399999999999</v>
      </c>
      <c r="FZ128">
        <v>1.50146</v>
      </c>
      <c r="GA128">
        <v>2.3071299999999999</v>
      </c>
      <c r="GB128">
        <v>33.109900000000003</v>
      </c>
      <c r="GC128">
        <v>23.982399999999998</v>
      </c>
      <c r="GD128">
        <v>19</v>
      </c>
      <c r="GE128">
        <v>287.012</v>
      </c>
      <c r="GF128">
        <v>582.43799999999999</v>
      </c>
      <c r="GG128">
        <v>23.8124</v>
      </c>
      <c r="GH128">
        <v>25.9451</v>
      </c>
      <c r="GI128">
        <v>30.0002</v>
      </c>
      <c r="GJ128">
        <v>26.099499999999999</v>
      </c>
      <c r="GK128">
        <v>26.085100000000001</v>
      </c>
      <c r="GL128">
        <v>35.277200000000001</v>
      </c>
      <c r="GM128">
        <v>100</v>
      </c>
      <c r="GN128">
        <v>17.645199999999999</v>
      </c>
      <c r="GO128">
        <v>23.794799999999999</v>
      </c>
      <c r="GP128">
        <v>800</v>
      </c>
      <c r="GQ128">
        <v>0</v>
      </c>
      <c r="GR128">
        <v>99.761600000000001</v>
      </c>
      <c r="GS128">
        <v>99.5732</v>
      </c>
    </row>
    <row r="129" spans="1:201" x14ac:dyDescent="0.25">
      <c r="A129">
        <v>113</v>
      </c>
      <c r="B129">
        <v>1690293519.5999999</v>
      </c>
      <c r="C129">
        <v>1249</v>
      </c>
      <c r="D129" t="s">
        <v>559</v>
      </c>
      <c r="E129" t="s">
        <v>560</v>
      </c>
      <c r="F129" t="s">
        <v>330</v>
      </c>
      <c r="H129">
        <v>1690293519.5999999</v>
      </c>
      <c r="I129">
        <f t="shared" si="30"/>
        <v>2.4610490333878349E-3</v>
      </c>
      <c r="J129">
        <f t="shared" si="31"/>
        <v>2.4610490333878348</v>
      </c>
      <c r="K129">
        <f t="shared" si="32"/>
        <v>38.383656420106043</v>
      </c>
      <c r="L129">
        <f t="shared" si="33"/>
        <v>406.37400000000002</v>
      </c>
      <c r="M129">
        <f t="shared" si="34"/>
        <v>113.70157862008321</v>
      </c>
      <c r="N129">
        <f t="shared" si="35"/>
        <v>11.307617604886341</v>
      </c>
      <c r="O129">
        <f t="shared" si="36"/>
        <v>40.413878613963597</v>
      </c>
      <c r="P129">
        <f t="shared" si="37"/>
        <v>0.22333498763835291</v>
      </c>
      <c r="Q129">
        <f t="shared" si="38"/>
        <v>2.2586615715058178</v>
      </c>
      <c r="R129">
        <f t="shared" si="39"/>
        <v>0.21175179914061748</v>
      </c>
      <c r="S129">
        <f t="shared" si="40"/>
        <v>0.13333549497468855</v>
      </c>
      <c r="T129">
        <f t="shared" si="41"/>
        <v>276.11556267600002</v>
      </c>
      <c r="U129">
        <f t="shared" si="42"/>
        <v>26.746060990396561</v>
      </c>
      <c r="V129">
        <f t="shared" si="43"/>
        <v>26.746060990396561</v>
      </c>
      <c r="W129">
        <f t="shared" si="44"/>
        <v>3.5261246556236316</v>
      </c>
      <c r="X129">
        <f t="shared" si="45"/>
        <v>73.463121342240484</v>
      </c>
      <c r="Y129">
        <f t="shared" si="46"/>
        <v>2.4047497916326996</v>
      </c>
      <c r="Z129">
        <f t="shared" si="47"/>
        <v>3.27341085934773</v>
      </c>
      <c r="AA129">
        <f t="shared" si="48"/>
        <v>1.121374863990932</v>
      </c>
      <c r="AB129">
        <f t="shared" si="49"/>
        <v>-108.53226237240352</v>
      </c>
      <c r="AC129">
        <f t="shared" si="50"/>
        <v>-153.16842794971319</v>
      </c>
      <c r="AD129">
        <f t="shared" si="51"/>
        <v>-14.506247318454388</v>
      </c>
      <c r="AE129">
        <f t="shared" si="52"/>
        <v>-9.1374964571059536E-2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52840.559048615338</v>
      </c>
      <c r="AK129">
        <f t="shared" si="56"/>
        <v>1800</v>
      </c>
      <c r="AL129">
        <f t="shared" si="57"/>
        <v>1499.1132365999999</v>
      </c>
      <c r="AM129">
        <f t="shared" si="58"/>
        <v>0.83284068700000002</v>
      </c>
      <c r="AN129">
        <f t="shared" si="59"/>
        <v>0.15339753482000001</v>
      </c>
      <c r="AO129">
        <v>30</v>
      </c>
      <c r="AP129">
        <v>0.5</v>
      </c>
      <c r="AQ129" t="s">
        <v>331</v>
      </c>
      <c r="AR129">
        <v>2</v>
      </c>
      <c r="AS129">
        <v>1690293519.5999999</v>
      </c>
      <c r="AT129">
        <v>406.37400000000002</v>
      </c>
      <c r="AU129">
        <v>799.94399999999996</v>
      </c>
      <c r="AV129">
        <v>24.180499999999999</v>
      </c>
      <c r="AW129">
        <v>0.181423</v>
      </c>
      <c r="AX129">
        <v>406.59699999999998</v>
      </c>
      <c r="AY129">
        <v>24.0291</v>
      </c>
      <c r="AZ129">
        <v>300.20400000000001</v>
      </c>
      <c r="BA129">
        <v>99.35</v>
      </c>
      <c r="BB129">
        <v>9.9961400000000006E-2</v>
      </c>
      <c r="BC129">
        <v>25.488199999999999</v>
      </c>
      <c r="BD129">
        <v>27.0136</v>
      </c>
      <c r="BE129">
        <v>26.580400000000001</v>
      </c>
      <c r="BF129">
        <v>0</v>
      </c>
      <c r="BG129">
        <v>0</v>
      </c>
      <c r="BH129">
        <v>10008.1</v>
      </c>
      <c r="BI129">
        <v>1062.43</v>
      </c>
      <c r="BJ129">
        <v>2.2987099999999998</v>
      </c>
      <c r="BK129">
        <v>-393.57</v>
      </c>
      <c r="BL129">
        <v>416.44400000000002</v>
      </c>
      <c r="BM129">
        <v>800.08900000000006</v>
      </c>
      <c r="BN129">
        <v>23.999099999999999</v>
      </c>
      <c r="BO129">
        <v>799.94399999999996</v>
      </c>
      <c r="BP129">
        <v>0.181423</v>
      </c>
      <c r="BQ129">
        <v>2.4023400000000001</v>
      </c>
      <c r="BR129">
        <v>1.8024399999999999E-2</v>
      </c>
      <c r="BS129">
        <v>20.3795</v>
      </c>
      <c r="BT129">
        <v>-40.4223</v>
      </c>
      <c r="BU129">
        <v>1800</v>
      </c>
      <c r="BV129">
        <v>0.91000199999999998</v>
      </c>
      <c r="BW129">
        <v>3.3996400000000003E-2</v>
      </c>
      <c r="BX129">
        <v>2.20021E-2</v>
      </c>
      <c r="BY129">
        <v>3.3999599999999998E-2</v>
      </c>
      <c r="BZ129">
        <v>25</v>
      </c>
      <c r="CA129">
        <v>33528.400000000001</v>
      </c>
      <c r="CB129">
        <v>1690292073.5</v>
      </c>
      <c r="CC129" t="s">
        <v>332</v>
      </c>
      <c r="CD129">
        <v>1690292069.5</v>
      </c>
      <c r="CE129">
        <v>1690292073.5</v>
      </c>
      <c r="CF129">
        <v>4</v>
      </c>
      <c r="CG129">
        <v>-3.6999999999999998E-2</v>
      </c>
      <c r="CH129">
        <v>-1.6E-2</v>
      </c>
      <c r="CI129">
        <v>-0.45200000000000001</v>
      </c>
      <c r="CJ129">
        <v>0.108</v>
      </c>
      <c r="CK129">
        <v>730</v>
      </c>
      <c r="CL129">
        <v>18</v>
      </c>
      <c r="CM129">
        <v>0</v>
      </c>
      <c r="CN129">
        <v>0.01</v>
      </c>
      <c r="CO129">
        <v>-391.88900000000001</v>
      </c>
      <c r="CP129">
        <v>-9.0215121951222059</v>
      </c>
      <c r="CQ129">
        <v>0.89024671833834546</v>
      </c>
      <c r="CR129">
        <v>-1</v>
      </c>
      <c r="CS129">
        <v>23.935863414634149</v>
      </c>
      <c r="CT129">
        <v>0.35477351916373229</v>
      </c>
      <c r="CU129">
        <v>3.5012867015326819E-2</v>
      </c>
      <c r="CV129">
        <v>-1</v>
      </c>
      <c r="CW129">
        <v>0</v>
      </c>
      <c r="CX129">
        <v>0</v>
      </c>
      <c r="CY129" t="s">
        <v>333</v>
      </c>
      <c r="CZ129">
        <v>2.3650500000000001</v>
      </c>
      <c r="DA129">
        <v>2.7137600000000002</v>
      </c>
      <c r="DB129">
        <v>9.0887800000000005E-2</v>
      </c>
      <c r="DC129">
        <v>0.14643800000000001</v>
      </c>
      <c r="DD129">
        <v>0.115006</v>
      </c>
      <c r="DE129">
        <v>1.53042E-3</v>
      </c>
      <c r="DF129">
        <v>33204.199999999997</v>
      </c>
      <c r="DG129">
        <v>27512.5</v>
      </c>
      <c r="DH129">
        <v>31179.4</v>
      </c>
      <c r="DI129">
        <v>28085.9</v>
      </c>
      <c r="DJ129">
        <v>37455.4</v>
      </c>
      <c r="DK129">
        <v>39877.699999999997</v>
      </c>
      <c r="DL129">
        <v>44371.4</v>
      </c>
      <c r="DM129">
        <v>42561.4</v>
      </c>
      <c r="DN129">
        <v>1.48848</v>
      </c>
      <c r="DO129">
        <v>2.03898</v>
      </c>
      <c r="DP129">
        <v>0.13772400000000001</v>
      </c>
      <c r="DQ129">
        <v>0.13277700000000001</v>
      </c>
      <c r="DR129">
        <v>24.757200000000001</v>
      </c>
      <c r="DS129">
        <v>24.403600000000001</v>
      </c>
      <c r="DT129">
        <v>27.7</v>
      </c>
      <c r="DU129">
        <v>28.5</v>
      </c>
      <c r="DV129">
        <v>10.891400000000001</v>
      </c>
      <c r="DW129">
        <v>61.543399999999998</v>
      </c>
      <c r="DX129">
        <v>34.911900000000003</v>
      </c>
      <c r="DY129">
        <v>1</v>
      </c>
      <c r="DZ129">
        <v>-0.113163</v>
      </c>
      <c r="EA129">
        <v>0.33100499999999999</v>
      </c>
      <c r="EB129">
        <v>20.189900000000002</v>
      </c>
      <c r="EC129">
        <v>5.2415500000000002</v>
      </c>
      <c r="ED129">
        <v>12.039899999999999</v>
      </c>
      <c r="EE129">
        <v>5.0171999999999999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</v>
      </c>
      <c r="EL129">
        <v>1.8646199999999999</v>
      </c>
      <c r="EM129">
        <v>1.8692</v>
      </c>
      <c r="EN129">
        <v>1.86721</v>
      </c>
      <c r="EO129">
        <v>1.86337</v>
      </c>
      <c r="EP129">
        <v>1.8644700000000001</v>
      </c>
      <c r="EQ129">
        <v>1.87015</v>
      </c>
      <c r="ER129">
        <v>1.86937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-0.223</v>
      </c>
      <c r="FG129">
        <v>0.15140000000000001</v>
      </c>
      <c r="FH129">
        <v>5.0310448532705943E-2</v>
      </c>
      <c r="FI129">
        <v>-6.1462078757559423E-4</v>
      </c>
      <c r="FJ129">
        <v>-1.8861989874597051E-7</v>
      </c>
      <c r="FK129">
        <v>1.1980462299894961E-10</v>
      </c>
      <c r="FL129">
        <v>0.15140825623214971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24.2</v>
      </c>
      <c r="FU129">
        <v>24.1</v>
      </c>
      <c r="FV129">
        <v>1.7639199999999999</v>
      </c>
      <c r="FW129">
        <v>2.5830099999999998</v>
      </c>
      <c r="FX129">
        <v>1.5490699999999999</v>
      </c>
      <c r="FY129">
        <v>2.3315399999999999</v>
      </c>
      <c r="FZ129">
        <v>1.50146</v>
      </c>
      <c r="GA129">
        <v>2.2949199999999998</v>
      </c>
      <c r="GB129">
        <v>33.109900000000003</v>
      </c>
      <c r="GC129">
        <v>23.982399999999998</v>
      </c>
      <c r="GD129">
        <v>19</v>
      </c>
      <c r="GE129">
        <v>287.00200000000001</v>
      </c>
      <c r="GF129">
        <v>582.42899999999997</v>
      </c>
      <c r="GG129">
        <v>23.769600000000001</v>
      </c>
      <c r="GH129">
        <v>25.9435</v>
      </c>
      <c r="GI129">
        <v>30.0002</v>
      </c>
      <c r="GJ129">
        <v>26.097300000000001</v>
      </c>
      <c r="GK129">
        <v>26.084199999999999</v>
      </c>
      <c r="GL129">
        <v>35.277500000000003</v>
      </c>
      <c r="GM129">
        <v>100</v>
      </c>
      <c r="GN129">
        <v>17.252300000000002</v>
      </c>
      <c r="GO129">
        <v>23.746300000000002</v>
      </c>
      <c r="GP129">
        <v>800</v>
      </c>
      <c r="GQ129">
        <v>0</v>
      </c>
      <c r="GR129">
        <v>99.760999999999996</v>
      </c>
      <c r="GS129">
        <v>99.572599999999994</v>
      </c>
    </row>
    <row r="130" spans="1:201" x14ac:dyDescent="0.25">
      <c r="A130">
        <v>114</v>
      </c>
      <c r="B130">
        <v>1690293529.5999999</v>
      </c>
      <c r="C130">
        <v>1259</v>
      </c>
      <c r="D130" t="s">
        <v>561</v>
      </c>
      <c r="E130" t="s">
        <v>562</v>
      </c>
      <c r="F130" t="s">
        <v>330</v>
      </c>
      <c r="H130">
        <v>1690293529.5999999</v>
      </c>
      <c r="I130">
        <f t="shared" si="30"/>
        <v>2.4663160843645757E-3</v>
      </c>
      <c r="J130">
        <f t="shared" si="31"/>
        <v>2.4663160843645757</v>
      </c>
      <c r="K130">
        <f t="shared" si="32"/>
        <v>38.529214045854758</v>
      </c>
      <c r="L130">
        <f t="shared" si="33"/>
        <v>404.92399999999998</v>
      </c>
      <c r="M130">
        <f t="shared" si="34"/>
        <v>113.25838941504655</v>
      </c>
      <c r="N130">
        <f t="shared" si="35"/>
        <v>11.263087711793208</v>
      </c>
      <c r="O130">
        <f t="shared" si="36"/>
        <v>40.268050359581196</v>
      </c>
      <c r="P130">
        <f t="shared" si="37"/>
        <v>0.22501561629949327</v>
      </c>
      <c r="Q130">
        <f t="shared" si="38"/>
        <v>2.2578105632096479</v>
      </c>
      <c r="R130">
        <f t="shared" si="39"/>
        <v>0.21325818671583807</v>
      </c>
      <c r="S130">
        <f t="shared" si="40"/>
        <v>0.13429150851252186</v>
      </c>
      <c r="T130">
        <f t="shared" si="41"/>
        <v>276.11672369399997</v>
      </c>
      <c r="U130">
        <f t="shared" si="42"/>
        <v>26.744659086525331</v>
      </c>
      <c r="V130">
        <f t="shared" si="43"/>
        <v>26.744659086525331</v>
      </c>
      <c r="W130">
        <f t="shared" si="44"/>
        <v>3.525833783526771</v>
      </c>
      <c r="X130">
        <f t="shared" si="45"/>
        <v>73.626163296170873</v>
      </c>
      <c r="Y130">
        <f t="shared" si="46"/>
        <v>2.4100725085805004</v>
      </c>
      <c r="Z130">
        <f t="shared" si="47"/>
        <v>3.2733914150675871</v>
      </c>
      <c r="AA130">
        <f t="shared" si="48"/>
        <v>1.1157612749462706</v>
      </c>
      <c r="AB130">
        <f t="shared" si="49"/>
        <v>-108.76453932047779</v>
      </c>
      <c r="AC130">
        <f t="shared" si="50"/>
        <v>-152.95224608877473</v>
      </c>
      <c r="AD130">
        <f t="shared" si="51"/>
        <v>-14.491123872475361</v>
      </c>
      <c r="AE130">
        <f t="shared" si="52"/>
        <v>-9.1185587727949269E-2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52807.057415697011</v>
      </c>
      <c r="AK130">
        <f t="shared" si="56"/>
        <v>1800</v>
      </c>
      <c r="AL130">
        <f t="shared" si="57"/>
        <v>1499.1132834</v>
      </c>
      <c r="AM130">
        <f t="shared" si="58"/>
        <v>0.83284071299999995</v>
      </c>
      <c r="AN130">
        <f t="shared" si="59"/>
        <v>0.15339817982999998</v>
      </c>
      <c r="AO130">
        <v>30</v>
      </c>
      <c r="AP130">
        <v>0.5</v>
      </c>
      <c r="AQ130" t="s">
        <v>331</v>
      </c>
      <c r="AR130">
        <v>2</v>
      </c>
      <c r="AS130">
        <v>1690293529.5999999</v>
      </c>
      <c r="AT130">
        <v>404.92399999999998</v>
      </c>
      <c r="AU130">
        <v>800.029</v>
      </c>
      <c r="AV130">
        <v>24.234999999999999</v>
      </c>
      <c r="AW130">
        <v>0.18013499999999999</v>
      </c>
      <c r="AX130">
        <v>405.14499999999998</v>
      </c>
      <c r="AY130">
        <v>24.083600000000001</v>
      </c>
      <c r="AZ130">
        <v>300.13200000000001</v>
      </c>
      <c r="BA130">
        <v>99.346000000000004</v>
      </c>
      <c r="BB130">
        <v>9.9946300000000002E-2</v>
      </c>
      <c r="BC130">
        <v>25.488099999999999</v>
      </c>
      <c r="BD130">
        <v>26.978400000000001</v>
      </c>
      <c r="BE130">
        <v>26.576499999999999</v>
      </c>
      <c r="BF130">
        <v>0</v>
      </c>
      <c r="BG130">
        <v>0</v>
      </c>
      <c r="BH130">
        <v>10001.9</v>
      </c>
      <c r="BI130">
        <v>1062.44</v>
      </c>
      <c r="BJ130">
        <v>2.2987099999999998</v>
      </c>
      <c r="BK130">
        <v>-395.10500000000002</v>
      </c>
      <c r="BL130">
        <v>414.98099999999999</v>
      </c>
      <c r="BM130">
        <v>800.173</v>
      </c>
      <c r="BN130">
        <v>24.0549</v>
      </c>
      <c r="BO130">
        <v>800.029</v>
      </c>
      <c r="BP130">
        <v>0.18013499999999999</v>
      </c>
      <c r="BQ130">
        <v>2.4076499999999998</v>
      </c>
      <c r="BR130">
        <v>1.78957E-2</v>
      </c>
      <c r="BS130">
        <v>20.415299999999998</v>
      </c>
      <c r="BT130">
        <v>-40.490600000000001</v>
      </c>
      <c r="BU130">
        <v>1800</v>
      </c>
      <c r="BV130">
        <v>0.90998599999999996</v>
      </c>
      <c r="BW130">
        <v>3.3990600000000003E-2</v>
      </c>
      <c r="BX130">
        <v>2.2009399999999998E-2</v>
      </c>
      <c r="BY130">
        <v>3.4014500000000003E-2</v>
      </c>
      <c r="BZ130">
        <v>25</v>
      </c>
      <c r="CA130">
        <v>33528.199999999997</v>
      </c>
      <c r="CB130">
        <v>1690292073.5</v>
      </c>
      <c r="CC130" t="s">
        <v>332</v>
      </c>
      <c r="CD130">
        <v>1690292069.5</v>
      </c>
      <c r="CE130">
        <v>1690292073.5</v>
      </c>
      <c r="CF130">
        <v>4</v>
      </c>
      <c r="CG130">
        <v>-3.6999999999999998E-2</v>
      </c>
      <c r="CH130">
        <v>-1.6E-2</v>
      </c>
      <c r="CI130">
        <v>-0.45200000000000001</v>
      </c>
      <c r="CJ130">
        <v>0.108</v>
      </c>
      <c r="CK130">
        <v>730</v>
      </c>
      <c r="CL130">
        <v>18</v>
      </c>
      <c r="CM130">
        <v>0</v>
      </c>
      <c r="CN130">
        <v>0.01</v>
      </c>
      <c r="CO130">
        <v>-393.39821951219523</v>
      </c>
      <c r="CP130">
        <v>-9.188634146341915</v>
      </c>
      <c r="CQ130">
        <v>0.90710331011910006</v>
      </c>
      <c r="CR130">
        <v>-1</v>
      </c>
      <c r="CS130">
        <v>23.99309024390244</v>
      </c>
      <c r="CT130">
        <v>0.33091986062716511</v>
      </c>
      <c r="CU130">
        <v>3.2635150919679258E-2</v>
      </c>
      <c r="CV130">
        <v>-1</v>
      </c>
      <c r="CW130">
        <v>0</v>
      </c>
      <c r="CX130">
        <v>0</v>
      </c>
      <c r="CY130" t="s">
        <v>333</v>
      </c>
      <c r="CZ130">
        <v>2.3648099999999999</v>
      </c>
      <c r="DA130">
        <v>2.71374</v>
      </c>
      <c r="DB130">
        <v>9.0637400000000007E-2</v>
      </c>
      <c r="DC130">
        <v>0.14644299999999999</v>
      </c>
      <c r="DD130">
        <v>0.11518399999999999</v>
      </c>
      <c r="DE130">
        <v>1.51962E-3</v>
      </c>
      <c r="DF130">
        <v>33213.199999999997</v>
      </c>
      <c r="DG130">
        <v>27512.3</v>
      </c>
      <c r="DH130">
        <v>31179.3</v>
      </c>
      <c r="DI130">
        <v>28085.9</v>
      </c>
      <c r="DJ130">
        <v>37447.699999999997</v>
      </c>
      <c r="DK130">
        <v>39878.199999999997</v>
      </c>
      <c r="DL130">
        <v>44371.4</v>
      </c>
      <c r="DM130">
        <v>42561.5</v>
      </c>
      <c r="DN130">
        <v>1.48837</v>
      </c>
      <c r="DO130">
        <v>2.0389200000000001</v>
      </c>
      <c r="DP130">
        <v>0.13525400000000001</v>
      </c>
      <c r="DQ130">
        <v>0.13226599999999999</v>
      </c>
      <c r="DR130">
        <v>24.7624</v>
      </c>
      <c r="DS130">
        <v>24.408100000000001</v>
      </c>
      <c r="DT130">
        <v>27.4</v>
      </c>
      <c r="DU130">
        <v>28.5</v>
      </c>
      <c r="DV130">
        <v>10.7766</v>
      </c>
      <c r="DW130">
        <v>61.683399999999999</v>
      </c>
      <c r="DX130">
        <v>35.464700000000001</v>
      </c>
      <c r="DY130">
        <v>1</v>
      </c>
      <c r="DZ130">
        <v>-0.114111</v>
      </c>
      <c r="EA130">
        <v>8.9134000000000005E-2</v>
      </c>
      <c r="EB130">
        <v>20.1907</v>
      </c>
      <c r="EC130">
        <v>5.2415500000000002</v>
      </c>
      <c r="ED130">
        <v>12.039899999999999</v>
      </c>
      <c r="EE130">
        <v>5.0170500000000002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</v>
      </c>
      <c r="EL130">
        <v>1.8646100000000001</v>
      </c>
      <c r="EM130">
        <v>1.8692</v>
      </c>
      <c r="EN130">
        <v>1.8672200000000001</v>
      </c>
      <c r="EO130">
        <v>1.8633500000000001</v>
      </c>
      <c r="EP130">
        <v>1.8644700000000001</v>
      </c>
      <c r="EQ130">
        <v>1.87015</v>
      </c>
      <c r="ER130">
        <v>1.86937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-0.221</v>
      </c>
      <c r="FG130">
        <v>0.15140000000000001</v>
      </c>
      <c r="FH130">
        <v>5.0310448532705943E-2</v>
      </c>
      <c r="FI130">
        <v>-6.1462078757559423E-4</v>
      </c>
      <c r="FJ130">
        <v>-1.8861989874597051E-7</v>
      </c>
      <c r="FK130">
        <v>1.1980462299894961E-10</v>
      </c>
      <c r="FL130">
        <v>0.15140825623214971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24.3</v>
      </c>
      <c r="FU130">
        <v>24.3</v>
      </c>
      <c r="FV130">
        <v>1.7639199999999999</v>
      </c>
      <c r="FW130">
        <v>2.5793499999999998</v>
      </c>
      <c r="FX130">
        <v>1.5490699999999999</v>
      </c>
      <c r="FY130">
        <v>2.3327599999999999</v>
      </c>
      <c r="FZ130">
        <v>1.50146</v>
      </c>
      <c r="GA130">
        <v>2.3596200000000001</v>
      </c>
      <c r="GB130">
        <v>33.109900000000003</v>
      </c>
      <c r="GC130">
        <v>23.991199999999999</v>
      </c>
      <c r="GD130">
        <v>19</v>
      </c>
      <c r="GE130">
        <v>286.95299999999997</v>
      </c>
      <c r="GF130">
        <v>582.37199999999996</v>
      </c>
      <c r="GG130">
        <v>23.7849</v>
      </c>
      <c r="GH130">
        <v>25.942900000000002</v>
      </c>
      <c r="GI130">
        <v>29.999600000000001</v>
      </c>
      <c r="GJ130">
        <v>26.095800000000001</v>
      </c>
      <c r="GK130">
        <v>26.082899999999999</v>
      </c>
      <c r="GL130">
        <v>35.2774</v>
      </c>
      <c r="GM130">
        <v>100</v>
      </c>
      <c r="GN130">
        <v>16.484100000000002</v>
      </c>
      <c r="GO130">
        <v>23.810199999999998</v>
      </c>
      <c r="GP130">
        <v>800</v>
      </c>
      <c r="GQ130">
        <v>0</v>
      </c>
      <c r="GR130">
        <v>99.760900000000007</v>
      </c>
      <c r="GS130">
        <v>99.572599999999994</v>
      </c>
    </row>
    <row r="131" spans="1:201" x14ac:dyDescent="0.25">
      <c r="A131">
        <v>115</v>
      </c>
      <c r="B131">
        <v>1690293539.5999999</v>
      </c>
      <c r="C131">
        <v>1269</v>
      </c>
      <c r="D131" t="s">
        <v>563</v>
      </c>
      <c r="E131" t="s">
        <v>564</v>
      </c>
      <c r="F131" t="s">
        <v>330</v>
      </c>
      <c r="H131">
        <v>1690293539.5999999</v>
      </c>
      <c r="I131">
        <f t="shared" si="30"/>
        <v>2.4737347545170808E-3</v>
      </c>
      <c r="J131">
        <f t="shared" si="31"/>
        <v>2.4737347545170807</v>
      </c>
      <c r="K131">
        <f t="shared" si="32"/>
        <v>38.678024117575475</v>
      </c>
      <c r="L131">
        <f t="shared" si="33"/>
        <v>403.34300000000002</v>
      </c>
      <c r="M131">
        <f t="shared" si="34"/>
        <v>113.38565023852171</v>
      </c>
      <c r="N131">
        <f t="shared" si="35"/>
        <v>11.275837304191789</v>
      </c>
      <c r="O131">
        <f t="shared" si="36"/>
        <v>40.111160770496497</v>
      </c>
      <c r="P131">
        <f t="shared" si="37"/>
        <v>0.22729392093459333</v>
      </c>
      <c r="Q131">
        <f t="shared" si="38"/>
        <v>2.2603070701943078</v>
      </c>
      <c r="R131">
        <f t="shared" si="39"/>
        <v>0.21531650163787211</v>
      </c>
      <c r="S131">
        <f t="shared" si="40"/>
        <v>0.13559631773532554</v>
      </c>
      <c r="T131">
        <f t="shared" si="41"/>
        <v>276.11670745800001</v>
      </c>
      <c r="U131">
        <f t="shared" si="42"/>
        <v>26.744632374456703</v>
      </c>
      <c r="V131">
        <f t="shared" si="43"/>
        <v>26.744632374456703</v>
      </c>
      <c r="W131">
        <f t="shared" si="44"/>
        <v>3.5258282414133282</v>
      </c>
      <c r="X131">
        <f t="shared" si="45"/>
        <v>73.83505872426241</v>
      </c>
      <c r="Y131">
        <f t="shared" si="46"/>
        <v>2.4174417209519503</v>
      </c>
      <c r="Z131">
        <f t="shared" si="47"/>
        <v>3.2741109206398886</v>
      </c>
      <c r="AA131">
        <f t="shared" si="48"/>
        <v>1.1083865204613779</v>
      </c>
      <c r="AB131">
        <f t="shared" si="49"/>
        <v>-109.09170267420326</v>
      </c>
      <c r="AC131">
        <f t="shared" si="50"/>
        <v>-152.66724002576126</v>
      </c>
      <c r="AD131">
        <f t="shared" si="51"/>
        <v>-14.448411760219178</v>
      </c>
      <c r="AE131">
        <f t="shared" si="52"/>
        <v>-9.0647002183686709E-2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52904.528864714783</v>
      </c>
      <c r="AK131">
        <f t="shared" si="56"/>
        <v>1800</v>
      </c>
      <c r="AL131">
        <f t="shared" si="57"/>
        <v>1499.1112458</v>
      </c>
      <c r="AM131">
        <f t="shared" si="58"/>
        <v>0.832839581</v>
      </c>
      <c r="AN131">
        <f t="shared" si="59"/>
        <v>0.15339817081000001</v>
      </c>
      <c r="AO131">
        <v>30</v>
      </c>
      <c r="AP131">
        <v>0.5</v>
      </c>
      <c r="AQ131" t="s">
        <v>331</v>
      </c>
      <c r="AR131">
        <v>2</v>
      </c>
      <c r="AS131">
        <v>1690293539.5999999</v>
      </c>
      <c r="AT131">
        <v>403.34300000000002</v>
      </c>
      <c r="AU131">
        <v>800.00699999999995</v>
      </c>
      <c r="AV131">
        <v>24.308900000000001</v>
      </c>
      <c r="AW131">
        <v>0.17860100000000001</v>
      </c>
      <c r="AX131">
        <v>403.56400000000002</v>
      </c>
      <c r="AY131">
        <v>24.157499999999999</v>
      </c>
      <c r="AZ131">
        <v>300.07100000000003</v>
      </c>
      <c r="BA131">
        <v>99.346800000000002</v>
      </c>
      <c r="BB131">
        <v>9.9975499999999995E-2</v>
      </c>
      <c r="BC131">
        <v>25.491800000000001</v>
      </c>
      <c r="BD131">
        <v>26.978000000000002</v>
      </c>
      <c r="BE131">
        <v>26.567699999999999</v>
      </c>
      <c r="BF131">
        <v>0</v>
      </c>
      <c r="BG131">
        <v>0</v>
      </c>
      <c r="BH131">
        <v>10021.200000000001</v>
      </c>
      <c r="BI131">
        <v>1062.5899999999999</v>
      </c>
      <c r="BJ131">
        <v>2.2987099999999998</v>
      </c>
      <c r="BK131">
        <v>-396.66300000000001</v>
      </c>
      <c r="BL131">
        <v>413.392</v>
      </c>
      <c r="BM131">
        <v>800.149</v>
      </c>
      <c r="BN131">
        <v>24.130299999999998</v>
      </c>
      <c r="BO131">
        <v>800.00699999999995</v>
      </c>
      <c r="BP131">
        <v>0.17860100000000001</v>
      </c>
      <c r="BQ131">
        <v>2.4150100000000001</v>
      </c>
      <c r="BR131">
        <v>1.7743499999999999E-2</v>
      </c>
      <c r="BS131">
        <v>20.4648</v>
      </c>
      <c r="BT131">
        <v>-40.572000000000003</v>
      </c>
      <c r="BU131">
        <v>1800</v>
      </c>
      <c r="BV131">
        <v>0.90998000000000001</v>
      </c>
      <c r="BW131">
        <v>3.3998E-2</v>
      </c>
      <c r="BX131">
        <v>2.2008799999999999E-2</v>
      </c>
      <c r="BY131">
        <v>3.4013500000000002E-2</v>
      </c>
      <c r="BZ131">
        <v>25</v>
      </c>
      <c r="CA131">
        <v>33528.199999999997</v>
      </c>
      <c r="CB131">
        <v>1690292073.5</v>
      </c>
      <c r="CC131" t="s">
        <v>332</v>
      </c>
      <c r="CD131">
        <v>1690292069.5</v>
      </c>
      <c r="CE131">
        <v>1690292073.5</v>
      </c>
      <c r="CF131">
        <v>4</v>
      </c>
      <c r="CG131">
        <v>-3.6999999999999998E-2</v>
      </c>
      <c r="CH131">
        <v>-1.6E-2</v>
      </c>
      <c r="CI131">
        <v>-0.45200000000000001</v>
      </c>
      <c r="CJ131">
        <v>0.108</v>
      </c>
      <c r="CK131">
        <v>730</v>
      </c>
      <c r="CL131">
        <v>18</v>
      </c>
      <c r="CM131">
        <v>0</v>
      </c>
      <c r="CN131">
        <v>0.01</v>
      </c>
      <c r="CO131">
        <v>-394.89699999999999</v>
      </c>
      <c r="CP131">
        <v>-8.7331358885013444</v>
      </c>
      <c r="CQ131">
        <v>0.86197317597333722</v>
      </c>
      <c r="CR131">
        <v>-1</v>
      </c>
      <c r="CS131">
        <v>24.052368292682932</v>
      </c>
      <c r="CT131">
        <v>0.37884878048782522</v>
      </c>
      <c r="CU131">
        <v>3.7466670971283769E-2</v>
      </c>
      <c r="CV131">
        <v>-1</v>
      </c>
      <c r="CW131">
        <v>0</v>
      </c>
      <c r="CX131">
        <v>0</v>
      </c>
      <c r="CY131" t="s">
        <v>333</v>
      </c>
      <c r="CZ131">
        <v>2.3646199999999999</v>
      </c>
      <c r="DA131">
        <v>2.7137799999999999</v>
      </c>
      <c r="DB131">
        <v>9.0368500000000004E-2</v>
      </c>
      <c r="DC131">
        <v>0.14644199999999999</v>
      </c>
      <c r="DD131">
        <v>0.11543200000000001</v>
      </c>
      <c r="DE131">
        <v>1.5068499999999999E-3</v>
      </c>
      <c r="DF131">
        <v>33223.599999999999</v>
      </c>
      <c r="DG131">
        <v>27513.1</v>
      </c>
      <c r="DH131">
        <v>31179.8</v>
      </c>
      <c r="DI131">
        <v>28086.6</v>
      </c>
      <c r="DJ131">
        <v>37437.599999999999</v>
      </c>
      <c r="DK131">
        <v>39879.699999999997</v>
      </c>
      <c r="DL131">
        <v>44372</v>
      </c>
      <c r="DM131">
        <v>42562.5</v>
      </c>
      <c r="DN131">
        <v>1.48872</v>
      </c>
      <c r="DO131">
        <v>2.0387300000000002</v>
      </c>
      <c r="DP131">
        <v>0.134848</v>
      </c>
      <c r="DQ131">
        <v>0.13150300000000001</v>
      </c>
      <c r="DR131">
        <v>24.768699999999999</v>
      </c>
      <c r="DS131">
        <v>24.411799999999999</v>
      </c>
      <c r="DT131">
        <v>27.2</v>
      </c>
      <c r="DU131">
        <v>28.5</v>
      </c>
      <c r="DV131">
        <v>10.6972</v>
      </c>
      <c r="DW131">
        <v>61.403399999999998</v>
      </c>
      <c r="DX131">
        <v>35.965499999999999</v>
      </c>
      <c r="DY131">
        <v>1</v>
      </c>
      <c r="DZ131">
        <v>-0.115036</v>
      </c>
      <c r="EA131">
        <v>0.115929</v>
      </c>
      <c r="EB131">
        <v>20.1906</v>
      </c>
      <c r="EC131">
        <v>5.2416999999999998</v>
      </c>
      <c r="ED131">
        <v>12.039899999999999</v>
      </c>
      <c r="EE131">
        <v>5.0171999999999999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</v>
      </c>
      <c r="EL131">
        <v>1.8646100000000001</v>
      </c>
      <c r="EM131">
        <v>1.8692</v>
      </c>
      <c r="EN131">
        <v>1.8672200000000001</v>
      </c>
      <c r="EO131">
        <v>1.8633900000000001</v>
      </c>
      <c r="EP131">
        <v>1.8644700000000001</v>
      </c>
      <c r="EQ131">
        <v>1.87018</v>
      </c>
      <c r="ER131">
        <v>1.8693900000000001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-0.221</v>
      </c>
      <c r="FG131">
        <v>0.15140000000000001</v>
      </c>
      <c r="FH131">
        <v>5.0310448532705943E-2</v>
      </c>
      <c r="FI131">
        <v>-6.1462078757559423E-4</v>
      </c>
      <c r="FJ131">
        <v>-1.8861989874597051E-7</v>
      </c>
      <c r="FK131">
        <v>1.1980462299894961E-10</v>
      </c>
      <c r="FL131">
        <v>0.15140825623214971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24.5</v>
      </c>
      <c r="FU131">
        <v>24.4</v>
      </c>
      <c r="FV131">
        <v>1.7639199999999999</v>
      </c>
      <c r="FW131">
        <v>2.5817899999999998</v>
      </c>
      <c r="FX131">
        <v>1.5490699999999999</v>
      </c>
      <c r="FY131">
        <v>2.3315399999999999</v>
      </c>
      <c r="FZ131">
        <v>1.50146</v>
      </c>
      <c r="GA131">
        <v>2.3828100000000001</v>
      </c>
      <c r="GB131">
        <v>33.109900000000003</v>
      </c>
      <c r="GC131">
        <v>23.991199999999999</v>
      </c>
      <c r="GD131">
        <v>19</v>
      </c>
      <c r="GE131">
        <v>287.10000000000002</v>
      </c>
      <c r="GF131">
        <v>582.18200000000002</v>
      </c>
      <c r="GG131">
        <v>23.825500000000002</v>
      </c>
      <c r="GH131">
        <v>25.9419</v>
      </c>
      <c r="GI131">
        <v>29.999700000000001</v>
      </c>
      <c r="GJ131">
        <v>26.095099999999999</v>
      </c>
      <c r="GK131">
        <v>26.0807</v>
      </c>
      <c r="GL131">
        <v>35.277700000000003</v>
      </c>
      <c r="GM131">
        <v>100</v>
      </c>
      <c r="GN131">
        <v>15.723000000000001</v>
      </c>
      <c r="GO131">
        <v>23.8324</v>
      </c>
      <c r="GP131">
        <v>800</v>
      </c>
      <c r="GQ131">
        <v>0</v>
      </c>
      <c r="GR131">
        <v>99.7624</v>
      </c>
      <c r="GS131">
        <v>99.575100000000006</v>
      </c>
    </row>
    <row r="132" spans="1:201" x14ac:dyDescent="0.25">
      <c r="A132">
        <v>116</v>
      </c>
      <c r="B132">
        <v>1690293549.5999999</v>
      </c>
      <c r="C132">
        <v>1279</v>
      </c>
      <c r="D132" t="s">
        <v>565</v>
      </c>
      <c r="E132" t="s">
        <v>566</v>
      </c>
      <c r="F132" t="s">
        <v>330</v>
      </c>
      <c r="H132">
        <v>1690293549.5999999</v>
      </c>
      <c r="I132">
        <f t="shared" si="30"/>
        <v>2.4816781296706234E-3</v>
      </c>
      <c r="J132">
        <f t="shared" si="31"/>
        <v>2.4816781296706232</v>
      </c>
      <c r="K132">
        <f t="shared" si="32"/>
        <v>38.817421704724303</v>
      </c>
      <c r="L132">
        <f t="shared" si="33"/>
        <v>402.04199999999997</v>
      </c>
      <c r="M132">
        <f t="shared" si="34"/>
        <v>113.57395038167051</v>
      </c>
      <c r="N132">
        <f t="shared" si="35"/>
        <v>11.295036817771589</v>
      </c>
      <c r="O132">
        <f t="shared" si="36"/>
        <v>39.983457271936196</v>
      </c>
      <c r="P132">
        <f t="shared" si="37"/>
        <v>0.22937465120336376</v>
      </c>
      <c r="Q132">
        <f t="shared" si="38"/>
        <v>2.2606962126269798</v>
      </c>
      <c r="R132">
        <f t="shared" si="39"/>
        <v>0.21718523148697075</v>
      </c>
      <c r="S132">
        <f t="shared" si="40"/>
        <v>0.13678193536724675</v>
      </c>
      <c r="T132">
        <f t="shared" si="41"/>
        <v>276.11509062275223</v>
      </c>
      <c r="U132">
        <f t="shared" si="42"/>
        <v>26.74848873263392</v>
      </c>
      <c r="V132">
        <f t="shared" si="43"/>
        <v>26.74848873263392</v>
      </c>
      <c r="W132">
        <f t="shared" si="44"/>
        <v>3.5266284219367545</v>
      </c>
      <c r="X132">
        <f t="shared" si="45"/>
        <v>74.013421767461125</v>
      </c>
      <c r="Y132">
        <f t="shared" si="46"/>
        <v>2.4242460974174302</v>
      </c>
      <c r="Z132">
        <f t="shared" si="47"/>
        <v>3.27541416073701</v>
      </c>
      <c r="AA132">
        <f t="shared" si="48"/>
        <v>1.1023823245193243</v>
      </c>
      <c r="AB132">
        <f t="shared" si="49"/>
        <v>-109.44200551847449</v>
      </c>
      <c r="AC132">
        <f t="shared" si="50"/>
        <v>-152.34694451751778</v>
      </c>
      <c r="AD132">
        <f t="shared" si="51"/>
        <v>-14.416380032757871</v>
      </c>
      <c r="AE132">
        <f t="shared" si="52"/>
        <v>-9.0239445997951862E-2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52918.735756756942</v>
      </c>
      <c r="AK132">
        <f t="shared" si="56"/>
        <v>1799.99</v>
      </c>
      <c r="AL132">
        <f t="shared" si="57"/>
        <v>1499.1022280080199</v>
      </c>
      <c r="AM132">
        <f t="shared" si="58"/>
        <v>0.83283919799999995</v>
      </c>
      <c r="AN132">
        <f t="shared" si="59"/>
        <v>0.15339812478000001</v>
      </c>
      <c r="AO132">
        <v>30</v>
      </c>
      <c r="AP132">
        <v>0.5</v>
      </c>
      <c r="AQ132" t="s">
        <v>331</v>
      </c>
      <c r="AR132">
        <v>2</v>
      </c>
      <c r="AS132">
        <v>1690293549.5999999</v>
      </c>
      <c r="AT132">
        <v>402.04199999999997</v>
      </c>
      <c r="AU132">
        <v>799.98800000000006</v>
      </c>
      <c r="AV132">
        <v>24.376300000000001</v>
      </c>
      <c r="AW132">
        <v>0.17696300000000001</v>
      </c>
      <c r="AX132">
        <v>402.262</v>
      </c>
      <c r="AY132">
        <v>24.224900000000002</v>
      </c>
      <c r="AZ132">
        <v>300.15499999999997</v>
      </c>
      <c r="BA132">
        <v>99.350999999999999</v>
      </c>
      <c r="BB132">
        <v>9.9946099999999996E-2</v>
      </c>
      <c r="BC132">
        <v>25.4985</v>
      </c>
      <c r="BD132">
        <v>27.011900000000001</v>
      </c>
      <c r="BE132">
        <v>26.593</v>
      </c>
      <c r="BF132">
        <v>0</v>
      </c>
      <c r="BG132">
        <v>0</v>
      </c>
      <c r="BH132">
        <v>10023.799999999999</v>
      </c>
      <c r="BI132">
        <v>1062.67</v>
      </c>
      <c r="BJ132">
        <v>2.2987099999999998</v>
      </c>
      <c r="BK132">
        <v>-397.94600000000003</v>
      </c>
      <c r="BL132">
        <v>412.08699999999999</v>
      </c>
      <c r="BM132">
        <v>800.12900000000002</v>
      </c>
      <c r="BN132">
        <v>24.199400000000001</v>
      </c>
      <c r="BO132">
        <v>799.98800000000006</v>
      </c>
      <c r="BP132">
        <v>0.17696300000000001</v>
      </c>
      <c r="BQ132">
        <v>2.4218099999999998</v>
      </c>
      <c r="BR132">
        <v>1.75815E-2</v>
      </c>
      <c r="BS132">
        <v>20.510400000000001</v>
      </c>
      <c r="BT132">
        <v>-40.659300000000002</v>
      </c>
      <c r="BU132">
        <v>1799.99</v>
      </c>
      <c r="BV132">
        <v>0.90997899999999998</v>
      </c>
      <c r="BW132">
        <v>3.39999E-2</v>
      </c>
      <c r="BX132">
        <v>2.2008400000000001E-2</v>
      </c>
      <c r="BY132">
        <v>3.4012800000000003E-2</v>
      </c>
      <c r="BZ132">
        <v>25</v>
      </c>
      <c r="CA132">
        <v>33528</v>
      </c>
      <c r="CB132">
        <v>1690292073.5</v>
      </c>
      <c r="CC132" t="s">
        <v>332</v>
      </c>
      <c r="CD132">
        <v>1690292069.5</v>
      </c>
      <c r="CE132">
        <v>1690292073.5</v>
      </c>
      <c r="CF132">
        <v>4</v>
      </c>
      <c r="CG132">
        <v>-3.6999999999999998E-2</v>
      </c>
      <c r="CH132">
        <v>-1.6E-2</v>
      </c>
      <c r="CI132">
        <v>-0.45200000000000001</v>
      </c>
      <c r="CJ132">
        <v>0.108</v>
      </c>
      <c r="CK132">
        <v>730</v>
      </c>
      <c r="CL132">
        <v>18</v>
      </c>
      <c r="CM132">
        <v>0</v>
      </c>
      <c r="CN132">
        <v>0.01</v>
      </c>
      <c r="CO132">
        <v>-396.39246341463422</v>
      </c>
      <c r="CP132">
        <v>-8.871679442509123</v>
      </c>
      <c r="CQ132">
        <v>0.87692559123562541</v>
      </c>
      <c r="CR132">
        <v>-1</v>
      </c>
      <c r="CS132">
        <v>24.121724390243909</v>
      </c>
      <c r="CT132">
        <v>0.44896724738671562</v>
      </c>
      <c r="CU132">
        <v>4.4292981222805471E-2</v>
      </c>
      <c r="CV132">
        <v>-1</v>
      </c>
      <c r="CW132">
        <v>0</v>
      </c>
      <c r="CX132">
        <v>0</v>
      </c>
      <c r="CY132" t="s">
        <v>333</v>
      </c>
      <c r="CZ132">
        <v>2.3648799999999999</v>
      </c>
      <c r="DA132">
        <v>2.7137600000000002</v>
      </c>
      <c r="DB132">
        <v>9.0150499999999995E-2</v>
      </c>
      <c r="DC132">
        <v>0.14644699999999999</v>
      </c>
      <c r="DD132">
        <v>0.115663</v>
      </c>
      <c r="DE132">
        <v>1.49325E-3</v>
      </c>
      <c r="DF132">
        <v>33231.599999999999</v>
      </c>
      <c r="DG132">
        <v>27512.6</v>
      </c>
      <c r="DH132">
        <v>31179.8</v>
      </c>
      <c r="DI132">
        <v>28086.3</v>
      </c>
      <c r="DJ132">
        <v>37427.9</v>
      </c>
      <c r="DK132">
        <v>39879.800000000003</v>
      </c>
      <c r="DL132">
        <v>44372.3</v>
      </c>
      <c r="DM132">
        <v>42562.1</v>
      </c>
      <c r="DN132">
        <v>1.4884299999999999</v>
      </c>
      <c r="DO132">
        <v>2.0387300000000002</v>
      </c>
      <c r="DP132">
        <v>0.13669999999999999</v>
      </c>
      <c r="DQ132">
        <v>0.132795</v>
      </c>
      <c r="DR132">
        <v>24.772300000000001</v>
      </c>
      <c r="DS132">
        <v>24.415900000000001</v>
      </c>
      <c r="DT132">
        <v>26.9</v>
      </c>
      <c r="DU132">
        <v>28.5</v>
      </c>
      <c r="DV132">
        <v>10.577299999999999</v>
      </c>
      <c r="DW132">
        <v>61.603400000000001</v>
      </c>
      <c r="DX132">
        <v>35.392600000000002</v>
      </c>
      <c r="DY132">
        <v>1</v>
      </c>
      <c r="DZ132">
        <v>-0.114527</v>
      </c>
      <c r="EA132">
        <v>0.18156900000000001</v>
      </c>
      <c r="EB132">
        <v>20.1905</v>
      </c>
      <c r="EC132">
        <v>5.2413999999999996</v>
      </c>
      <c r="ED132">
        <v>12.039899999999999</v>
      </c>
      <c r="EE132">
        <v>5.0171999999999999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1.8646199999999999</v>
      </c>
      <c r="EM132">
        <v>1.8692</v>
      </c>
      <c r="EN132">
        <v>1.8672200000000001</v>
      </c>
      <c r="EO132">
        <v>1.8633999999999999</v>
      </c>
      <c r="EP132">
        <v>1.8644700000000001</v>
      </c>
      <c r="EQ132">
        <v>1.87018</v>
      </c>
      <c r="ER132">
        <v>1.8693900000000001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-0.22</v>
      </c>
      <c r="FG132">
        <v>0.15140000000000001</v>
      </c>
      <c r="FH132">
        <v>5.0310448532705943E-2</v>
      </c>
      <c r="FI132">
        <v>-6.1462078757559423E-4</v>
      </c>
      <c r="FJ132">
        <v>-1.8861989874597051E-7</v>
      </c>
      <c r="FK132">
        <v>1.1980462299894961E-10</v>
      </c>
      <c r="FL132">
        <v>0.15140825623214971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24.7</v>
      </c>
      <c r="FU132">
        <v>24.6</v>
      </c>
      <c r="FV132">
        <v>1.7651399999999999</v>
      </c>
      <c r="FW132">
        <v>2.5842299999999998</v>
      </c>
      <c r="FX132">
        <v>1.5490699999999999</v>
      </c>
      <c r="FY132">
        <v>2.3327599999999999</v>
      </c>
      <c r="FZ132">
        <v>1.50146</v>
      </c>
      <c r="GA132">
        <v>2.33643</v>
      </c>
      <c r="GB132">
        <v>33.132199999999997</v>
      </c>
      <c r="GC132">
        <v>23.982399999999998</v>
      </c>
      <c r="GD132">
        <v>19</v>
      </c>
      <c r="GE132">
        <v>286.96100000000001</v>
      </c>
      <c r="GF132">
        <v>582.15700000000004</v>
      </c>
      <c r="GG132">
        <v>23.8443</v>
      </c>
      <c r="GH132">
        <v>25.9407</v>
      </c>
      <c r="GI132">
        <v>30.0001</v>
      </c>
      <c r="GJ132">
        <v>26.093</v>
      </c>
      <c r="GK132">
        <v>26.078499999999998</v>
      </c>
      <c r="GL132">
        <v>35.2791</v>
      </c>
      <c r="GM132">
        <v>100</v>
      </c>
      <c r="GN132">
        <v>15.352</v>
      </c>
      <c r="GO132">
        <v>23.821100000000001</v>
      </c>
      <c r="GP132">
        <v>800</v>
      </c>
      <c r="GQ132">
        <v>0</v>
      </c>
      <c r="GR132">
        <v>99.762699999999995</v>
      </c>
      <c r="GS132">
        <v>99.573999999999998</v>
      </c>
    </row>
    <row r="133" spans="1:201" x14ac:dyDescent="0.25">
      <c r="A133">
        <v>117</v>
      </c>
      <c r="B133">
        <v>1690293559.5999999</v>
      </c>
      <c r="C133">
        <v>1289</v>
      </c>
      <c r="D133" t="s">
        <v>567</v>
      </c>
      <c r="E133" t="s">
        <v>568</v>
      </c>
      <c r="F133" t="s">
        <v>330</v>
      </c>
      <c r="H133">
        <v>1690293559.5999999</v>
      </c>
      <c r="I133">
        <f t="shared" si="30"/>
        <v>2.4893683314725244E-3</v>
      </c>
      <c r="J133">
        <f t="shared" si="31"/>
        <v>2.4893683314725243</v>
      </c>
      <c r="K133">
        <f t="shared" si="32"/>
        <v>38.99420968677363</v>
      </c>
      <c r="L133">
        <f t="shared" si="33"/>
        <v>400.52300000000002</v>
      </c>
      <c r="M133">
        <f t="shared" si="34"/>
        <v>113.0103906503189</v>
      </c>
      <c r="N133">
        <f t="shared" si="35"/>
        <v>11.238640490844707</v>
      </c>
      <c r="O133">
        <f t="shared" si="36"/>
        <v>39.831151626073009</v>
      </c>
      <c r="P133">
        <f t="shared" si="37"/>
        <v>0.23128228564684844</v>
      </c>
      <c r="Q133">
        <f t="shared" si="38"/>
        <v>2.2543621158541209</v>
      </c>
      <c r="R133">
        <f t="shared" si="39"/>
        <v>0.21886235371538376</v>
      </c>
      <c r="S133">
        <f t="shared" si="40"/>
        <v>0.13784924652987882</v>
      </c>
      <c r="T133">
        <f t="shared" si="41"/>
        <v>276.11513848448635</v>
      </c>
      <c r="U133">
        <f t="shared" si="42"/>
        <v>26.753244157002385</v>
      </c>
      <c r="V133">
        <f t="shared" si="43"/>
        <v>26.753244157002385</v>
      </c>
      <c r="W133">
        <f t="shared" si="44"/>
        <v>3.527615373771547</v>
      </c>
      <c r="X133">
        <f t="shared" si="45"/>
        <v>74.182205959699616</v>
      </c>
      <c r="Y133">
        <f t="shared" si="46"/>
        <v>2.4303662514486</v>
      </c>
      <c r="Z133">
        <f t="shared" si="47"/>
        <v>3.2762118893699741</v>
      </c>
      <c r="AA133">
        <f t="shared" si="48"/>
        <v>1.097249122322947</v>
      </c>
      <c r="AB133">
        <f t="shared" si="49"/>
        <v>-109.78114341793832</v>
      </c>
      <c r="AC133">
        <f t="shared" si="50"/>
        <v>-151.99975200676582</v>
      </c>
      <c r="AD133">
        <f t="shared" si="51"/>
        <v>-14.424579773904659</v>
      </c>
      <c r="AE133">
        <f t="shared" si="52"/>
        <v>-9.0336714122457806E-2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52669.187063518766</v>
      </c>
      <c r="AK133">
        <f t="shared" si="56"/>
        <v>1799.99</v>
      </c>
      <c r="AL133">
        <f t="shared" si="57"/>
        <v>1499.10049821763</v>
      </c>
      <c r="AM133">
        <f t="shared" si="58"/>
        <v>0.83283823700000004</v>
      </c>
      <c r="AN133">
        <f t="shared" si="59"/>
        <v>0.15339815137000001</v>
      </c>
      <c r="AO133">
        <v>30</v>
      </c>
      <c r="AP133">
        <v>0.5</v>
      </c>
      <c r="AQ133" t="s">
        <v>331</v>
      </c>
      <c r="AR133">
        <v>2</v>
      </c>
      <c r="AS133">
        <v>1690293559.5999999</v>
      </c>
      <c r="AT133">
        <v>400.52300000000002</v>
      </c>
      <c r="AU133">
        <v>800.072</v>
      </c>
      <c r="AV133">
        <v>24.438600000000001</v>
      </c>
      <c r="AW133">
        <v>0.17536299999999999</v>
      </c>
      <c r="AX133">
        <v>400.74099999999999</v>
      </c>
      <c r="AY133">
        <v>24.287199999999999</v>
      </c>
      <c r="AZ133">
        <v>300.27300000000002</v>
      </c>
      <c r="BA133">
        <v>99.347800000000007</v>
      </c>
      <c r="BB133">
        <v>0.100051</v>
      </c>
      <c r="BC133">
        <v>25.502600000000001</v>
      </c>
      <c r="BD133">
        <v>26.997900000000001</v>
      </c>
      <c r="BE133">
        <v>26.580400000000001</v>
      </c>
      <c r="BF133">
        <v>0</v>
      </c>
      <c r="BG133">
        <v>0</v>
      </c>
      <c r="BH133">
        <v>9975</v>
      </c>
      <c r="BI133">
        <v>1062.73</v>
      </c>
      <c r="BJ133">
        <v>2.2987099999999998</v>
      </c>
      <c r="BK133">
        <v>-399.54899999999998</v>
      </c>
      <c r="BL133">
        <v>410.55599999999998</v>
      </c>
      <c r="BM133">
        <v>800.21199999999999</v>
      </c>
      <c r="BN133">
        <v>24.263300000000001</v>
      </c>
      <c r="BO133">
        <v>800.072</v>
      </c>
      <c r="BP133">
        <v>0.17536299999999999</v>
      </c>
      <c r="BQ133">
        <v>2.4279299999999999</v>
      </c>
      <c r="BR133">
        <v>1.7421900000000001E-2</v>
      </c>
      <c r="BS133">
        <v>20.551200000000001</v>
      </c>
      <c r="BT133">
        <v>-40.746000000000002</v>
      </c>
      <c r="BU133">
        <v>1799.99</v>
      </c>
      <c r="BV133">
        <v>0.90997300000000003</v>
      </c>
      <c r="BW133">
        <v>3.4007900000000001E-2</v>
      </c>
      <c r="BX133">
        <v>2.2007599999999999E-2</v>
      </c>
      <c r="BY133">
        <v>3.4011699999999999E-2</v>
      </c>
      <c r="BZ133">
        <v>25</v>
      </c>
      <c r="CA133">
        <v>33528</v>
      </c>
      <c r="CB133">
        <v>1690292073.5</v>
      </c>
      <c r="CC133" t="s">
        <v>332</v>
      </c>
      <c r="CD133">
        <v>1690292069.5</v>
      </c>
      <c r="CE133">
        <v>1690292073.5</v>
      </c>
      <c r="CF133">
        <v>4</v>
      </c>
      <c r="CG133">
        <v>-3.6999999999999998E-2</v>
      </c>
      <c r="CH133">
        <v>-1.6E-2</v>
      </c>
      <c r="CI133">
        <v>-0.45200000000000001</v>
      </c>
      <c r="CJ133">
        <v>0.108</v>
      </c>
      <c r="CK133">
        <v>730</v>
      </c>
      <c r="CL133">
        <v>18</v>
      </c>
      <c r="CM133">
        <v>0</v>
      </c>
      <c r="CN133">
        <v>0.01</v>
      </c>
      <c r="CO133">
        <v>-397.80792500000001</v>
      </c>
      <c r="CP133">
        <v>-8.292574108817373</v>
      </c>
      <c r="CQ133">
        <v>0.79935787941009084</v>
      </c>
      <c r="CR133">
        <v>-1</v>
      </c>
      <c r="CS133">
        <v>24.190507499999999</v>
      </c>
      <c r="CT133">
        <v>0.39402439024387831</v>
      </c>
      <c r="CU133">
        <v>3.793468325622365E-2</v>
      </c>
      <c r="CV133">
        <v>-1</v>
      </c>
      <c r="CW133">
        <v>0</v>
      </c>
      <c r="CX133">
        <v>0</v>
      </c>
      <c r="CY133" t="s">
        <v>333</v>
      </c>
      <c r="CZ133">
        <v>2.3652600000000001</v>
      </c>
      <c r="DA133">
        <v>2.7138200000000001</v>
      </c>
      <c r="DB133">
        <v>8.9887499999999995E-2</v>
      </c>
      <c r="DC133">
        <v>0.146452</v>
      </c>
      <c r="DD133">
        <v>0.115867</v>
      </c>
      <c r="DE133">
        <v>1.4798400000000001E-3</v>
      </c>
      <c r="DF133">
        <v>33240.9</v>
      </c>
      <c r="DG133">
        <v>27512.2</v>
      </c>
      <c r="DH133">
        <v>31179.5</v>
      </c>
      <c r="DI133">
        <v>28086.1</v>
      </c>
      <c r="DJ133">
        <v>37418.5</v>
      </c>
      <c r="DK133">
        <v>39880.1</v>
      </c>
      <c r="DL133">
        <v>44371.6</v>
      </c>
      <c r="DM133">
        <v>42561.8</v>
      </c>
      <c r="DN133">
        <v>1.4885999999999999</v>
      </c>
      <c r="DO133">
        <v>2.0388000000000002</v>
      </c>
      <c r="DP133">
        <v>0.13558600000000001</v>
      </c>
      <c r="DQ133">
        <v>0.13176399999999999</v>
      </c>
      <c r="DR133">
        <v>24.776499999999999</v>
      </c>
      <c r="DS133">
        <v>24.420300000000001</v>
      </c>
      <c r="DT133">
        <v>26.6</v>
      </c>
      <c r="DU133">
        <v>28.6</v>
      </c>
      <c r="DV133">
        <v>10.520200000000001</v>
      </c>
      <c r="DW133">
        <v>61.683399999999999</v>
      </c>
      <c r="DX133">
        <v>34.811700000000002</v>
      </c>
      <c r="DY133">
        <v>1</v>
      </c>
      <c r="DZ133">
        <v>-0.11339399999999999</v>
      </c>
      <c r="EA133">
        <v>0.27133400000000002</v>
      </c>
      <c r="EB133">
        <v>20.190100000000001</v>
      </c>
      <c r="EC133">
        <v>5.24125</v>
      </c>
      <c r="ED133">
        <v>12.039899999999999</v>
      </c>
      <c r="EE133">
        <v>5.0170500000000002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</v>
      </c>
      <c r="EL133">
        <v>1.8646199999999999</v>
      </c>
      <c r="EM133">
        <v>1.8691899999999999</v>
      </c>
      <c r="EN133">
        <v>1.8672200000000001</v>
      </c>
      <c r="EO133">
        <v>1.8633599999999999</v>
      </c>
      <c r="EP133">
        <v>1.8644700000000001</v>
      </c>
      <c r="EQ133">
        <v>1.87018</v>
      </c>
      <c r="ER133">
        <v>1.8694200000000001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-0.218</v>
      </c>
      <c r="FG133">
        <v>0.15140000000000001</v>
      </c>
      <c r="FH133">
        <v>5.0310448532705943E-2</v>
      </c>
      <c r="FI133">
        <v>-6.1462078757559423E-4</v>
      </c>
      <c r="FJ133">
        <v>-1.8861989874597051E-7</v>
      </c>
      <c r="FK133">
        <v>1.1980462299894961E-10</v>
      </c>
      <c r="FL133">
        <v>0.15140825623214971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24.8</v>
      </c>
      <c r="FU133">
        <v>24.8</v>
      </c>
      <c r="FV133">
        <v>1.7639199999999999</v>
      </c>
      <c r="FW133">
        <v>2.5830099999999998</v>
      </c>
      <c r="FX133">
        <v>1.5490699999999999</v>
      </c>
      <c r="FY133">
        <v>2.3327599999999999</v>
      </c>
      <c r="FZ133">
        <v>1.50146</v>
      </c>
      <c r="GA133">
        <v>2.3120099999999999</v>
      </c>
      <c r="GB133">
        <v>33.132199999999997</v>
      </c>
      <c r="GC133">
        <v>23.982399999999998</v>
      </c>
      <c r="GD133">
        <v>19</v>
      </c>
      <c r="GE133">
        <v>287.03500000000003</v>
      </c>
      <c r="GF133">
        <v>582.21699999999998</v>
      </c>
      <c r="GG133">
        <v>23.808299999999999</v>
      </c>
      <c r="GH133">
        <v>25.9407</v>
      </c>
      <c r="GI133">
        <v>30.000599999999999</v>
      </c>
      <c r="GJ133">
        <v>26.092600000000001</v>
      </c>
      <c r="GK133">
        <v>26.078199999999999</v>
      </c>
      <c r="GL133">
        <v>35.279299999999999</v>
      </c>
      <c r="GM133">
        <v>100</v>
      </c>
      <c r="GN133">
        <v>14.573499999999999</v>
      </c>
      <c r="GO133">
        <v>23.794599999999999</v>
      </c>
      <c r="GP133">
        <v>800</v>
      </c>
      <c r="GQ133">
        <v>0</v>
      </c>
      <c r="GR133">
        <v>99.761399999999995</v>
      </c>
      <c r="GS133">
        <v>99.5732</v>
      </c>
    </row>
    <row r="134" spans="1:201" x14ac:dyDescent="0.25">
      <c r="A134">
        <v>118</v>
      </c>
      <c r="B134">
        <v>1690293569.5999999</v>
      </c>
      <c r="C134">
        <v>1299</v>
      </c>
      <c r="D134" t="s">
        <v>569</v>
      </c>
      <c r="E134" t="s">
        <v>570</v>
      </c>
      <c r="F134" t="s">
        <v>330</v>
      </c>
      <c r="H134">
        <v>1690293569.5999999</v>
      </c>
      <c r="I134">
        <f t="shared" si="30"/>
        <v>2.4931571777553553E-3</v>
      </c>
      <c r="J134">
        <f t="shared" si="31"/>
        <v>2.4931571777553554</v>
      </c>
      <c r="K134">
        <f t="shared" si="32"/>
        <v>39.100706971545172</v>
      </c>
      <c r="L134">
        <f t="shared" si="33"/>
        <v>399.19</v>
      </c>
      <c r="M134">
        <f t="shared" si="34"/>
        <v>113.1899345340219</v>
      </c>
      <c r="N134">
        <f t="shared" si="35"/>
        <v>11.256181619532846</v>
      </c>
      <c r="O134">
        <f t="shared" si="36"/>
        <v>39.697479808602004</v>
      </c>
      <c r="P134">
        <f t="shared" si="37"/>
        <v>0.23319784866798809</v>
      </c>
      <c r="Q134">
        <f t="shared" si="38"/>
        <v>2.2582771035970337</v>
      </c>
      <c r="R134">
        <f t="shared" si="39"/>
        <v>0.22059796918523611</v>
      </c>
      <c r="S134">
        <f t="shared" si="40"/>
        <v>0.13894902003801513</v>
      </c>
      <c r="T134">
        <f t="shared" si="41"/>
        <v>276.11642817000001</v>
      </c>
      <c r="U134">
        <f t="shared" si="42"/>
        <v>26.744124289486731</v>
      </c>
      <c r="V134">
        <f t="shared" si="43"/>
        <v>26.744124289486731</v>
      </c>
      <c r="W134">
        <f t="shared" si="44"/>
        <v>3.5257228274186421</v>
      </c>
      <c r="X134">
        <f t="shared" si="45"/>
        <v>74.364941046841949</v>
      </c>
      <c r="Y134">
        <f t="shared" si="46"/>
        <v>2.4354994069102203</v>
      </c>
      <c r="Z134">
        <f t="shared" si="47"/>
        <v>3.2750639920175777</v>
      </c>
      <c r="AA134">
        <f t="shared" si="48"/>
        <v>1.0902234205084218</v>
      </c>
      <c r="AB134">
        <f t="shared" si="49"/>
        <v>-109.94823153901118</v>
      </c>
      <c r="AC134">
        <f t="shared" si="50"/>
        <v>-151.87170580200393</v>
      </c>
      <c r="AD134">
        <f t="shared" si="51"/>
        <v>-14.386358792470764</v>
      </c>
      <c r="AE134">
        <f t="shared" si="52"/>
        <v>-8.9867963485886548E-2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52823.844623507866</v>
      </c>
      <c r="AK134">
        <f t="shared" si="56"/>
        <v>1800</v>
      </c>
      <c r="AL134">
        <f t="shared" si="57"/>
        <v>1499.1084269999999</v>
      </c>
      <c r="AM134">
        <f t="shared" si="58"/>
        <v>0.83283801499999999</v>
      </c>
      <c r="AN134">
        <f t="shared" si="59"/>
        <v>0.15339801565</v>
      </c>
      <c r="AO134">
        <v>30</v>
      </c>
      <c r="AP134">
        <v>0.5</v>
      </c>
      <c r="AQ134" t="s">
        <v>331</v>
      </c>
      <c r="AR134">
        <v>2</v>
      </c>
      <c r="AS134">
        <v>1690293569.5999999</v>
      </c>
      <c r="AT134">
        <v>399.19</v>
      </c>
      <c r="AU134">
        <v>800.072</v>
      </c>
      <c r="AV134">
        <v>24.4909</v>
      </c>
      <c r="AW134">
        <v>0.174626</v>
      </c>
      <c r="AX134">
        <v>399.40800000000002</v>
      </c>
      <c r="AY134">
        <v>24.339500000000001</v>
      </c>
      <c r="AZ134">
        <v>300.05799999999999</v>
      </c>
      <c r="BA134">
        <v>99.345200000000006</v>
      </c>
      <c r="BB134">
        <v>9.9875800000000001E-2</v>
      </c>
      <c r="BC134">
        <v>25.496700000000001</v>
      </c>
      <c r="BD134">
        <v>26.9709</v>
      </c>
      <c r="BE134">
        <v>26.581499999999998</v>
      </c>
      <c r="BF134">
        <v>0</v>
      </c>
      <c r="BG134">
        <v>0</v>
      </c>
      <c r="BH134">
        <v>10005.6</v>
      </c>
      <c r="BI134">
        <v>1062.78</v>
      </c>
      <c r="BJ134">
        <v>2.2987099999999998</v>
      </c>
      <c r="BK134">
        <v>-400.88200000000001</v>
      </c>
      <c r="BL134">
        <v>409.21199999999999</v>
      </c>
      <c r="BM134">
        <v>800.21199999999999</v>
      </c>
      <c r="BN134">
        <v>24.316299999999998</v>
      </c>
      <c r="BO134">
        <v>800.072</v>
      </c>
      <c r="BP134">
        <v>0.174626</v>
      </c>
      <c r="BQ134">
        <v>2.4330599999999998</v>
      </c>
      <c r="BR134">
        <v>1.7348300000000001E-2</v>
      </c>
      <c r="BS134">
        <v>20.5855</v>
      </c>
      <c r="BT134">
        <v>-40.786299999999997</v>
      </c>
      <c r="BU134">
        <v>1800</v>
      </c>
      <c r="BV134">
        <v>0.90997499999999998</v>
      </c>
      <c r="BW134">
        <v>3.4007000000000003E-2</v>
      </c>
      <c r="BX134">
        <v>2.2006999999999999E-2</v>
      </c>
      <c r="BY134">
        <v>3.4010699999999998E-2</v>
      </c>
      <c r="BZ134">
        <v>25</v>
      </c>
      <c r="CA134">
        <v>33528.199999999997</v>
      </c>
      <c r="CB134">
        <v>1690292073.5</v>
      </c>
      <c r="CC134" t="s">
        <v>332</v>
      </c>
      <c r="CD134">
        <v>1690292069.5</v>
      </c>
      <c r="CE134">
        <v>1690292073.5</v>
      </c>
      <c r="CF134">
        <v>4</v>
      </c>
      <c r="CG134">
        <v>-3.6999999999999998E-2</v>
      </c>
      <c r="CH134">
        <v>-1.6E-2</v>
      </c>
      <c r="CI134">
        <v>-0.45200000000000001</v>
      </c>
      <c r="CJ134">
        <v>0.108</v>
      </c>
      <c r="CK134">
        <v>730</v>
      </c>
      <c r="CL134">
        <v>18</v>
      </c>
      <c r="CM134">
        <v>0</v>
      </c>
      <c r="CN134">
        <v>0.01</v>
      </c>
      <c r="CO134">
        <v>-399.2312</v>
      </c>
      <c r="CP134">
        <v>-8.6967579737325948</v>
      </c>
      <c r="CQ134">
        <v>0.83969599260684735</v>
      </c>
      <c r="CR134">
        <v>-1</v>
      </c>
      <c r="CS134">
        <v>24.252555000000001</v>
      </c>
      <c r="CT134">
        <v>0.35152120075045978</v>
      </c>
      <c r="CU134">
        <v>3.3873403652423112E-2</v>
      </c>
      <c r="CV134">
        <v>-1</v>
      </c>
      <c r="CW134">
        <v>0</v>
      </c>
      <c r="CX134">
        <v>0</v>
      </c>
      <c r="CY134" t="s">
        <v>333</v>
      </c>
      <c r="CZ134">
        <v>2.3645700000000001</v>
      </c>
      <c r="DA134">
        <v>2.71367</v>
      </c>
      <c r="DB134">
        <v>8.9657100000000003E-2</v>
      </c>
      <c r="DC134">
        <v>0.146449</v>
      </c>
      <c r="DD134">
        <v>0.116039</v>
      </c>
      <c r="DE134">
        <v>1.4736700000000001E-3</v>
      </c>
      <c r="DF134">
        <v>33249.599999999999</v>
      </c>
      <c r="DG134">
        <v>27512.6</v>
      </c>
      <c r="DH134">
        <v>31179.8</v>
      </c>
      <c r="DI134">
        <v>28086.400000000001</v>
      </c>
      <c r="DJ134">
        <v>37411.5</v>
      </c>
      <c r="DK134">
        <v>39881</v>
      </c>
      <c r="DL134">
        <v>44372</v>
      </c>
      <c r="DM134">
        <v>42562.5</v>
      </c>
      <c r="DN134">
        <v>1.4885999999999999</v>
      </c>
      <c r="DO134">
        <v>2.0389200000000001</v>
      </c>
      <c r="DP134">
        <v>0.13364899999999999</v>
      </c>
      <c r="DQ134">
        <v>0.13150999999999999</v>
      </c>
      <c r="DR134">
        <v>24.781199999999998</v>
      </c>
      <c r="DS134">
        <v>24.4255</v>
      </c>
      <c r="DT134">
        <v>26.4</v>
      </c>
      <c r="DU134">
        <v>28.6</v>
      </c>
      <c r="DV134">
        <v>10.4411</v>
      </c>
      <c r="DW134">
        <v>61.6434</v>
      </c>
      <c r="DX134">
        <v>35.528799999999997</v>
      </c>
      <c r="DY134">
        <v>1</v>
      </c>
      <c r="DZ134">
        <v>-0.115178</v>
      </c>
      <c r="EA134">
        <v>0.146236</v>
      </c>
      <c r="EB134">
        <v>20.1904</v>
      </c>
      <c r="EC134">
        <v>5.2413999999999996</v>
      </c>
      <c r="ED134">
        <v>12.039899999999999</v>
      </c>
      <c r="EE134">
        <v>5.0164999999999997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</v>
      </c>
      <c r="EL134">
        <v>1.8646199999999999</v>
      </c>
      <c r="EM134">
        <v>1.8692</v>
      </c>
      <c r="EN134">
        <v>1.8672200000000001</v>
      </c>
      <c r="EO134">
        <v>1.86337</v>
      </c>
      <c r="EP134">
        <v>1.8644700000000001</v>
      </c>
      <c r="EQ134">
        <v>1.87016</v>
      </c>
      <c r="ER134">
        <v>1.8694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-0.218</v>
      </c>
      <c r="FG134">
        <v>0.15140000000000001</v>
      </c>
      <c r="FH134">
        <v>5.0310448532705943E-2</v>
      </c>
      <c r="FI134">
        <v>-6.1462078757559423E-4</v>
      </c>
      <c r="FJ134">
        <v>-1.8861989874597051E-7</v>
      </c>
      <c r="FK134">
        <v>1.1980462299894961E-10</v>
      </c>
      <c r="FL134">
        <v>0.15140825623214971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25</v>
      </c>
      <c r="FU134">
        <v>24.9</v>
      </c>
      <c r="FV134">
        <v>1.7639199999999999</v>
      </c>
      <c r="FW134">
        <v>2.5756800000000002</v>
      </c>
      <c r="FX134">
        <v>1.5490699999999999</v>
      </c>
      <c r="FY134">
        <v>2.3315399999999999</v>
      </c>
      <c r="FZ134">
        <v>1.50146</v>
      </c>
      <c r="GA134">
        <v>2.35229</v>
      </c>
      <c r="GB134">
        <v>33.132199999999997</v>
      </c>
      <c r="GC134">
        <v>23.991199999999999</v>
      </c>
      <c r="GD134">
        <v>19</v>
      </c>
      <c r="GE134">
        <v>287.02600000000001</v>
      </c>
      <c r="GF134">
        <v>582.298</v>
      </c>
      <c r="GG134">
        <v>23.802800000000001</v>
      </c>
      <c r="GH134">
        <v>25.938500000000001</v>
      </c>
      <c r="GI134">
        <v>29.999300000000002</v>
      </c>
      <c r="GJ134">
        <v>26.090800000000002</v>
      </c>
      <c r="GK134">
        <v>26.0764</v>
      </c>
      <c r="GL134">
        <v>35.278399999999998</v>
      </c>
      <c r="GM134">
        <v>100</v>
      </c>
      <c r="GN134">
        <v>14.1774</v>
      </c>
      <c r="GO134">
        <v>23.826699999999999</v>
      </c>
      <c r="GP134">
        <v>800</v>
      </c>
      <c r="GQ134">
        <v>0</v>
      </c>
      <c r="GR134">
        <v>99.762299999999996</v>
      </c>
      <c r="GS134">
        <v>99.574700000000007</v>
      </c>
    </row>
    <row r="135" spans="1:201" x14ac:dyDescent="0.25">
      <c r="A135">
        <v>119</v>
      </c>
      <c r="B135">
        <v>1690293579.5999999</v>
      </c>
      <c r="C135">
        <v>1309</v>
      </c>
      <c r="D135" t="s">
        <v>571</v>
      </c>
      <c r="E135" t="s">
        <v>572</v>
      </c>
      <c r="F135" t="s">
        <v>330</v>
      </c>
      <c r="H135">
        <v>1690293579.5999999</v>
      </c>
      <c r="I135">
        <f t="shared" si="30"/>
        <v>2.5001470915667788E-3</v>
      </c>
      <c r="J135">
        <f t="shared" si="31"/>
        <v>2.5001470915667787</v>
      </c>
      <c r="K135">
        <f t="shared" si="32"/>
        <v>39.235446963542984</v>
      </c>
      <c r="L135">
        <f t="shared" si="33"/>
        <v>397.81200000000001</v>
      </c>
      <c r="M135">
        <f t="shared" si="34"/>
        <v>112.85628725497509</v>
      </c>
      <c r="N135">
        <f t="shared" si="35"/>
        <v>11.223444369509838</v>
      </c>
      <c r="O135">
        <f t="shared" si="36"/>
        <v>39.5620036785024</v>
      </c>
      <c r="P135">
        <f t="shared" si="37"/>
        <v>0.23492995741856046</v>
      </c>
      <c r="Q135">
        <f t="shared" si="38"/>
        <v>2.2572821522680213</v>
      </c>
      <c r="R135">
        <f t="shared" si="39"/>
        <v>0.22214241151618577</v>
      </c>
      <c r="S135">
        <f t="shared" si="40"/>
        <v>0.13992988417743907</v>
      </c>
      <c r="T135">
        <f t="shared" si="41"/>
        <v>276.11653471199998</v>
      </c>
      <c r="U135">
        <f t="shared" si="42"/>
        <v>26.75230181860946</v>
      </c>
      <c r="V135">
        <f t="shared" si="43"/>
        <v>26.75230181860946</v>
      </c>
      <c r="W135">
        <f t="shared" si="44"/>
        <v>3.5274197795141924</v>
      </c>
      <c r="X135">
        <f t="shared" si="45"/>
        <v>74.511261870103681</v>
      </c>
      <c r="Y135">
        <f t="shared" si="46"/>
        <v>2.4417413444470402</v>
      </c>
      <c r="Z135">
        <f t="shared" si="47"/>
        <v>3.2770097877335043</v>
      </c>
      <c r="AA135">
        <f t="shared" si="48"/>
        <v>1.0856784350671522</v>
      </c>
      <c r="AB135">
        <f t="shared" si="49"/>
        <v>-110.25648673809495</v>
      </c>
      <c r="AC135">
        <f t="shared" si="50"/>
        <v>-151.58300933655505</v>
      </c>
      <c r="AD135">
        <f t="shared" si="51"/>
        <v>-14.36664983182477</v>
      </c>
      <c r="AE135">
        <f t="shared" si="52"/>
        <v>-8.9611194474798594E-2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52783.08069823352</v>
      </c>
      <c r="AK135">
        <f t="shared" si="56"/>
        <v>1800</v>
      </c>
      <c r="AL135">
        <f t="shared" si="57"/>
        <v>1499.1095502000001</v>
      </c>
      <c r="AM135">
        <f t="shared" si="58"/>
        <v>0.83283863899999999</v>
      </c>
      <c r="AN135">
        <f t="shared" si="59"/>
        <v>0.15339807483999998</v>
      </c>
      <c r="AO135">
        <v>30</v>
      </c>
      <c r="AP135">
        <v>0.5</v>
      </c>
      <c r="AQ135" t="s">
        <v>331</v>
      </c>
      <c r="AR135">
        <v>2</v>
      </c>
      <c r="AS135">
        <v>1690293579.5999999</v>
      </c>
      <c r="AT135">
        <v>397.81200000000001</v>
      </c>
      <c r="AU135">
        <v>799.98500000000001</v>
      </c>
      <c r="AV135">
        <v>24.552700000000002</v>
      </c>
      <c r="AW135">
        <v>0.17280300000000001</v>
      </c>
      <c r="AX135">
        <v>398.029</v>
      </c>
      <c r="AY135">
        <v>24.401299999999999</v>
      </c>
      <c r="AZ135">
        <v>300.09500000000003</v>
      </c>
      <c r="BA135">
        <v>99.349000000000004</v>
      </c>
      <c r="BB135">
        <v>9.9995200000000006E-2</v>
      </c>
      <c r="BC135">
        <v>25.506699999999999</v>
      </c>
      <c r="BD135">
        <v>26.990500000000001</v>
      </c>
      <c r="BE135">
        <v>26.583200000000001</v>
      </c>
      <c r="BF135">
        <v>0</v>
      </c>
      <c r="BG135">
        <v>0</v>
      </c>
      <c r="BH135">
        <v>9997.5</v>
      </c>
      <c r="BI135">
        <v>1062.79</v>
      </c>
      <c r="BJ135">
        <v>2.2987099999999998</v>
      </c>
      <c r="BK135">
        <v>-402.173</v>
      </c>
      <c r="BL135">
        <v>407.82499999999999</v>
      </c>
      <c r="BM135">
        <v>800.12300000000005</v>
      </c>
      <c r="BN135">
        <v>24.379899999999999</v>
      </c>
      <c r="BO135">
        <v>799.98500000000001</v>
      </c>
      <c r="BP135">
        <v>0.17280300000000001</v>
      </c>
      <c r="BQ135">
        <v>2.4392900000000002</v>
      </c>
      <c r="BR135">
        <v>1.71678E-2</v>
      </c>
      <c r="BS135">
        <v>20.626999999999999</v>
      </c>
      <c r="BT135">
        <v>-40.885599999999997</v>
      </c>
      <c r="BU135">
        <v>1800</v>
      </c>
      <c r="BV135">
        <v>0.90997700000000004</v>
      </c>
      <c r="BW135">
        <v>3.4006399999999999E-2</v>
      </c>
      <c r="BX135">
        <v>2.2006700000000001E-2</v>
      </c>
      <c r="BY135">
        <v>3.4010199999999997E-2</v>
      </c>
      <c r="BZ135">
        <v>25</v>
      </c>
      <c r="CA135">
        <v>33528.199999999997</v>
      </c>
      <c r="CB135">
        <v>1690292073.5</v>
      </c>
      <c r="CC135" t="s">
        <v>332</v>
      </c>
      <c r="CD135">
        <v>1690292069.5</v>
      </c>
      <c r="CE135">
        <v>1690292073.5</v>
      </c>
      <c r="CF135">
        <v>4</v>
      </c>
      <c r="CG135">
        <v>-3.6999999999999998E-2</v>
      </c>
      <c r="CH135">
        <v>-1.6E-2</v>
      </c>
      <c r="CI135">
        <v>-0.45200000000000001</v>
      </c>
      <c r="CJ135">
        <v>0.108</v>
      </c>
      <c r="CK135">
        <v>730</v>
      </c>
      <c r="CL135">
        <v>18</v>
      </c>
      <c r="CM135">
        <v>0</v>
      </c>
      <c r="CN135">
        <v>0.01</v>
      </c>
      <c r="CO135">
        <v>-400.65445</v>
      </c>
      <c r="CP135">
        <v>-8.0692908067536724</v>
      </c>
      <c r="CQ135">
        <v>0.77865948751685188</v>
      </c>
      <c r="CR135">
        <v>-1</v>
      </c>
      <c r="CS135">
        <v>24.310802500000001</v>
      </c>
      <c r="CT135">
        <v>0.34447767354593839</v>
      </c>
      <c r="CU135">
        <v>3.3196065184747187E-2</v>
      </c>
      <c r="CV135">
        <v>-1</v>
      </c>
      <c r="CW135">
        <v>0</v>
      </c>
      <c r="CX135">
        <v>0</v>
      </c>
      <c r="CY135" t="s">
        <v>333</v>
      </c>
      <c r="CZ135">
        <v>2.3646699999999998</v>
      </c>
      <c r="DA135">
        <v>2.7137799999999999</v>
      </c>
      <c r="DB135">
        <v>8.9424100000000006E-2</v>
      </c>
      <c r="DC135">
        <v>0.14644499999999999</v>
      </c>
      <c r="DD135">
        <v>0.11625000000000001</v>
      </c>
      <c r="DE135">
        <v>1.4585100000000001E-3</v>
      </c>
      <c r="DF135">
        <v>33257.599999999999</v>
      </c>
      <c r="DG135">
        <v>27513.200000000001</v>
      </c>
      <c r="DH135">
        <v>31179.3</v>
      </c>
      <c r="DI135">
        <v>28086.7</v>
      </c>
      <c r="DJ135">
        <v>37402.1</v>
      </c>
      <c r="DK135">
        <v>39882</v>
      </c>
      <c r="DL135">
        <v>44371.6</v>
      </c>
      <c r="DM135">
        <v>42562.9</v>
      </c>
      <c r="DN135">
        <v>1.48892</v>
      </c>
      <c r="DO135">
        <v>2.03877</v>
      </c>
      <c r="DP135">
        <v>0.134628</v>
      </c>
      <c r="DQ135">
        <v>0.13136100000000001</v>
      </c>
      <c r="DR135">
        <v>24.784800000000001</v>
      </c>
      <c r="DS135">
        <v>24.429600000000001</v>
      </c>
      <c r="DT135">
        <v>26.2</v>
      </c>
      <c r="DU135">
        <v>28.6</v>
      </c>
      <c r="DV135">
        <v>10.364100000000001</v>
      </c>
      <c r="DW135">
        <v>61.693399999999997</v>
      </c>
      <c r="DX135">
        <v>35.957500000000003</v>
      </c>
      <c r="DY135">
        <v>1</v>
      </c>
      <c r="DZ135">
        <v>-0.115346</v>
      </c>
      <c r="EA135">
        <v>7.1538699999999997E-2</v>
      </c>
      <c r="EB135">
        <v>20.1907</v>
      </c>
      <c r="EC135">
        <v>5.2411000000000003</v>
      </c>
      <c r="ED135">
        <v>12.039899999999999</v>
      </c>
      <c r="EE135">
        <v>5.0168999999999997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1.8689100000000001</v>
      </c>
      <c r="EL135">
        <v>1.8646199999999999</v>
      </c>
      <c r="EM135">
        <v>1.8692</v>
      </c>
      <c r="EN135">
        <v>1.8672200000000001</v>
      </c>
      <c r="EO135">
        <v>1.86338</v>
      </c>
      <c r="EP135">
        <v>1.8644700000000001</v>
      </c>
      <c r="EQ135">
        <v>1.87018</v>
      </c>
      <c r="ER135">
        <v>1.86941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-0.217</v>
      </c>
      <c r="FG135">
        <v>0.15140000000000001</v>
      </c>
      <c r="FH135">
        <v>5.0310448532705943E-2</v>
      </c>
      <c r="FI135">
        <v>-6.1462078757559423E-4</v>
      </c>
      <c r="FJ135">
        <v>-1.8861989874597051E-7</v>
      </c>
      <c r="FK135">
        <v>1.1980462299894961E-10</v>
      </c>
      <c r="FL135">
        <v>0.15140825623214971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25.2</v>
      </c>
      <c r="FU135">
        <v>25.1</v>
      </c>
      <c r="FV135">
        <v>1.7651399999999999</v>
      </c>
      <c r="FW135">
        <v>2.5769000000000002</v>
      </c>
      <c r="FX135">
        <v>1.5490699999999999</v>
      </c>
      <c r="FY135">
        <v>2.3315399999999999</v>
      </c>
      <c r="FZ135">
        <v>1.50146</v>
      </c>
      <c r="GA135">
        <v>2.36572</v>
      </c>
      <c r="GB135">
        <v>33.109900000000003</v>
      </c>
      <c r="GC135">
        <v>23.991199999999999</v>
      </c>
      <c r="GD135">
        <v>19</v>
      </c>
      <c r="GE135">
        <v>287.15800000000002</v>
      </c>
      <c r="GF135">
        <v>582.15300000000002</v>
      </c>
      <c r="GG135">
        <v>23.845800000000001</v>
      </c>
      <c r="GH135">
        <v>25.938500000000001</v>
      </c>
      <c r="GI135">
        <v>29.9998</v>
      </c>
      <c r="GJ135">
        <v>26.089099999999998</v>
      </c>
      <c r="GK135">
        <v>26.0745</v>
      </c>
      <c r="GL135">
        <v>35.280500000000004</v>
      </c>
      <c r="GM135">
        <v>100</v>
      </c>
      <c r="GN135">
        <v>13.787599999999999</v>
      </c>
      <c r="GO135">
        <v>23.865200000000002</v>
      </c>
      <c r="GP135">
        <v>800</v>
      </c>
      <c r="GQ135">
        <v>0</v>
      </c>
      <c r="GR135">
        <v>99.761099999999999</v>
      </c>
      <c r="GS135">
        <v>99.575800000000001</v>
      </c>
    </row>
    <row r="136" spans="1:201" x14ac:dyDescent="0.25">
      <c r="A136">
        <v>120</v>
      </c>
      <c r="B136">
        <v>1690293589.5999999</v>
      </c>
      <c r="C136">
        <v>1319</v>
      </c>
      <c r="D136" t="s">
        <v>573</v>
      </c>
      <c r="E136" t="s">
        <v>574</v>
      </c>
      <c r="F136" t="s">
        <v>330</v>
      </c>
      <c r="H136">
        <v>1690293589.5999999</v>
      </c>
      <c r="I136">
        <f t="shared" si="30"/>
        <v>2.5072135542264715E-3</v>
      </c>
      <c r="J136">
        <f t="shared" si="31"/>
        <v>2.5072135542264715</v>
      </c>
      <c r="K136">
        <f t="shared" si="32"/>
        <v>39.381031774657039</v>
      </c>
      <c r="L136">
        <f t="shared" si="33"/>
        <v>396.37400000000002</v>
      </c>
      <c r="M136">
        <f t="shared" si="34"/>
        <v>112.79406412732742</v>
      </c>
      <c r="N136">
        <f t="shared" si="35"/>
        <v>11.217353344882225</v>
      </c>
      <c r="O136">
        <f t="shared" si="36"/>
        <v>39.419336905044801</v>
      </c>
      <c r="P136">
        <f t="shared" si="37"/>
        <v>0.23702608999690178</v>
      </c>
      <c r="Q136">
        <f t="shared" si="38"/>
        <v>2.2581061082649598</v>
      </c>
      <c r="R136">
        <f t="shared" si="39"/>
        <v>0.22402058719841225</v>
      </c>
      <c r="S136">
        <f t="shared" si="40"/>
        <v>0.14112186106320779</v>
      </c>
      <c r="T136">
        <f t="shared" si="41"/>
        <v>276.11485124208207</v>
      </c>
      <c r="U136">
        <f t="shared" si="42"/>
        <v>26.75762552393962</v>
      </c>
      <c r="V136">
        <f t="shared" si="43"/>
        <v>26.75762552393962</v>
      </c>
      <c r="W136">
        <f t="shared" si="44"/>
        <v>3.5285249062811426</v>
      </c>
      <c r="X136">
        <f t="shared" si="45"/>
        <v>74.69507508146468</v>
      </c>
      <c r="Y136">
        <f t="shared" si="46"/>
        <v>2.44894273931448</v>
      </c>
      <c r="Z136">
        <f t="shared" si="47"/>
        <v>3.278586622536479</v>
      </c>
      <c r="AA136">
        <f t="shared" si="48"/>
        <v>1.0795821669666625</v>
      </c>
      <c r="AB136">
        <f t="shared" si="49"/>
        <v>-110.5681177413874</v>
      </c>
      <c r="AC136">
        <f t="shared" si="50"/>
        <v>-151.30035697641904</v>
      </c>
      <c r="AD136">
        <f t="shared" si="51"/>
        <v>-14.335592981177705</v>
      </c>
      <c r="AE136">
        <f t="shared" si="52"/>
        <v>-8.9216456902050822E-2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52814.027266404592</v>
      </c>
      <c r="AK136">
        <f t="shared" si="56"/>
        <v>1799.99</v>
      </c>
      <c r="AL136">
        <f t="shared" si="57"/>
        <v>1499.1019148097603</v>
      </c>
      <c r="AM136">
        <f t="shared" si="58"/>
        <v>0.83283902400000009</v>
      </c>
      <c r="AN136">
        <f t="shared" si="59"/>
        <v>0.15339799178999999</v>
      </c>
      <c r="AO136">
        <v>30</v>
      </c>
      <c r="AP136">
        <v>0.5</v>
      </c>
      <c r="AQ136" t="s">
        <v>331</v>
      </c>
      <c r="AR136">
        <v>2</v>
      </c>
      <c r="AS136">
        <v>1690293589.5999999</v>
      </c>
      <c r="AT136">
        <v>396.37400000000002</v>
      </c>
      <c r="AU136">
        <v>800.09400000000005</v>
      </c>
      <c r="AV136">
        <v>24.6249</v>
      </c>
      <c r="AW136">
        <v>0.171875</v>
      </c>
      <c r="AX136">
        <v>396.59</v>
      </c>
      <c r="AY136">
        <v>24.473500000000001</v>
      </c>
      <c r="AZ136">
        <v>300.02100000000002</v>
      </c>
      <c r="BA136">
        <v>99.349900000000005</v>
      </c>
      <c r="BB136">
        <v>9.9955199999999994E-2</v>
      </c>
      <c r="BC136">
        <v>25.514800000000001</v>
      </c>
      <c r="BD136">
        <v>26.988800000000001</v>
      </c>
      <c r="BE136">
        <v>26.592600000000001</v>
      </c>
      <c r="BF136">
        <v>0</v>
      </c>
      <c r="BG136">
        <v>0</v>
      </c>
      <c r="BH136">
        <v>10003.799999999999</v>
      </c>
      <c r="BI136">
        <v>1062.75</v>
      </c>
      <c r="BJ136">
        <v>2.2987099999999998</v>
      </c>
      <c r="BK136">
        <v>-403.72</v>
      </c>
      <c r="BL136">
        <v>406.38099999999997</v>
      </c>
      <c r="BM136">
        <v>800.23199999999997</v>
      </c>
      <c r="BN136">
        <v>24.453099999999999</v>
      </c>
      <c r="BO136">
        <v>800.09400000000005</v>
      </c>
      <c r="BP136">
        <v>0.171875</v>
      </c>
      <c r="BQ136">
        <v>2.4464899999999998</v>
      </c>
      <c r="BR136">
        <v>1.7075799999999999E-2</v>
      </c>
      <c r="BS136">
        <v>20.674800000000001</v>
      </c>
      <c r="BT136">
        <v>-40.936599999999999</v>
      </c>
      <c r="BU136">
        <v>1799.99</v>
      </c>
      <c r="BV136">
        <v>0.90998100000000004</v>
      </c>
      <c r="BW136">
        <v>3.4005000000000001E-2</v>
      </c>
      <c r="BX136">
        <v>2.20057E-2</v>
      </c>
      <c r="BY136">
        <v>3.4008700000000003E-2</v>
      </c>
      <c r="BZ136">
        <v>25</v>
      </c>
      <c r="CA136">
        <v>33528.1</v>
      </c>
      <c r="CB136">
        <v>1690292073.5</v>
      </c>
      <c r="CC136" t="s">
        <v>332</v>
      </c>
      <c r="CD136">
        <v>1690292069.5</v>
      </c>
      <c r="CE136">
        <v>1690292073.5</v>
      </c>
      <c r="CF136">
        <v>4</v>
      </c>
      <c r="CG136">
        <v>-3.6999999999999998E-2</v>
      </c>
      <c r="CH136">
        <v>-1.6E-2</v>
      </c>
      <c r="CI136">
        <v>-0.45200000000000001</v>
      </c>
      <c r="CJ136">
        <v>0.108</v>
      </c>
      <c r="CK136">
        <v>730</v>
      </c>
      <c r="CL136">
        <v>18</v>
      </c>
      <c r="CM136">
        <v>0</v>
      </c>
      <c r="CN136">
        <v>0.01</v>
      </c>
      <c r="CO136">
        <v>-402.08656097560981</v>
      </c>
      <c r="CP136">
        <v>-8.5714912891987574</v>
      </c>
      <c r="CQ136">
        <v>0.84708196535994529</v>
      </c>
      <c r="CR136">
        <v>-1</v>
      </c>
      <c r="CS136">
        <v>24.375029268292689</v>
      </c>
      <c r="CT136">
        <v>0.40728710801394391</v>
      </c>
      <c r="CU136">
        <v>4.0186699922786617E-2</v>
      </c>
      <c r="CV136">
        <v>-1</v>
      </c>
      <c r="CW136">
        <v>0</v>
      </c>
      <c r="CX136">
        <v>0</v>
      </c>
      <c r="CY136" t="s">
        <v>333</v>
      </c>
      <c r="CZ136">
        <v>2.3644500000000002</v>
      </c>
      <c r="DA136">
        <v>2.7137500000000001</v>
      </c>
      <c r="DB136">
        <v>8.9177699999999999E-2</v>
      </c>
      <c r="DC136">
        <v>0.14645900000000001</v>
      </c>
      <c r="DD136">
        <v>0.116491</v>
      </c>
      <c r="DE136">
        <v>1.45078E-3</v>
      </c>
      <c r="DF136">
        <v>33266.6</v>
      </c>
      <c r="DG136">
        <v>27512.1</v>
      </c>
      <c r="DH136">
        <v>31179.3</v>
      </c>
      <c r="DI136">
        <v>28086.1</v>
      </c>
      <c r="DJ136">
        <v>37391.5</v>
      </c>
      <c r="DK136">
        <v>39881.4</v>
      </c>
      <c r="DL136">
        <v>44371.3</v>
      </c>
      <c r="DM136">
        <v>42562</v>
      </c>
      <c r="DN136">
        <v>1.4884500000000001</v>
      </c>
      <c r="DO136">
        <v>2.0386500000000001</v>
      </c>
      <c r="DP136">
        <v>0.13420399999999999</v>
      </c>
      <c r="DQ136">
        <v>0.13162599999999999</v>
      </c>
      <c r="DR136">
        <v>24.790099999999999</v>
      </c>
      <c r="DS136">
        <v>24.434799999999999</v>
      </c>
      <c r="DT136">
        <v>26</v>
      </c>
      <c r="DU136">
        <v>28.6</v>
      </c>
      <c r="DV136">
        <v>10.2844</v>
      </c>
      <c r="DW136">
        <v>61.353400000000001</v>
      </c>
      <c r="DX136">
        <v>35.897399999999998</v>
      </c>
      <c r="DY136">
        <v>1</v>
      </c>
      <c r="DZ136">
        <v>-0.115175</v>
      </c>
      <c r="EA136">
        <v>0.119801</v>
      </c>
      <c r="EB136">
        <v>20.1907</v>
      </c>
      <c r="EC136">
        <v>5.2416999999999998</v>
      </c>
      <c r="ED136">
        <v>12.039899999999999</v>
      </c>
      <c r="EE136">
        <v>5.0172499999999998</v>
      </c>
      <c r="EF136">
        <v>3.2879700000000001</v>
      </c>
      <c r="EG136">
        <v>9999</v>
      </c>
      <c r="EH136">
        <v>9999</v>
      </c>
      <c r="EI136">
        <v>9999</v>
      </c>
      <c r="EJ136">
        <v>999.9</v>
      </c>
      <c r="EK136">
        <v>1.8689</v>
      </c>
      <c r="EL136">
        <v>1.8646199999999999</v>
      </c>
      <c r="EM136">
        <v>1.8692</v>
      </c>
      <c r="EN136">
        <v>1.8672200000000001</v>
      </c>
      <c r="EO136">
        <v>1.8633900000000001</v>
      </c>
      <c r="EP136">
        <v>1.8644700000000001</v>
      </c>
      <c r="EQ136">
        <v>1.87018</v>
      </c>
      <c r="ER136">
        <v>1.8694200000000001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-0.216</v>
      </c>
      <c r="FG136">
        <v>0.15140000000000001</v>
      </c>
      <c r="FH136">
        <v>5.0310448532705943E-2</v>
      </c>
      <c r="FI136">
        <v>-6.1462078757559423E-4</v>
      </c>
      <c r="FJ136">
        <v>-1.8861989874597051E-7</v>
      </c>
      <c r="FK136">
        <v>1.1980462299894961E-10</v>
      </c>
      <c r="FL136">
        <v>0.15140825623214971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25.3</v>
      </c>
      <c r="FU136">
        <v>25.3</v>
      </c>
      <c r="FV136">
        <v>1.7651399999999999</v>
      </c>
      <c r="FW136">
        <v>2.5817899999999998</v>
      </c>
      <c r="FX136">
        <v>1.5490699999999999</v>
      </c>
      <c r="FY136">
        <v>2.3315399999999999</v>
      </c>
      <c r="FZ136">
        <v>1.50146</v>
      </c>
      <c r="GA136">
        <v>2.36572</v>
      </c>
      <c r="GB136">
        <v>33.109900000000003</v>
      </c>
      <c r="GC136">
        <v>23.982399999999998</v>
      </c>
      <c r="GD136">
        <v>19</v>
      </c>
      <c r="GE136">
        <v>286.952</v>
      </c>
      <c r="GF136">
        <v>582.04700000000003</v>
      </c>
      <c r="GG136">
        <v>23.875</v>
      </c>
      <c r="GH136">
        <v>25.936299999999999</v>
      </c>
      <c r="GI136">
        <v>30.000299999999999</v>
      </c>
      <c r="GJ136">
        <v>26.0886</v>
      </c>
      <c r="GK136">
        <v>26.074200000000001</v>
      </c>
      <c r="GL136">
        <v>35.278100000000002</v>
      </c>
      <c r="GM136">
        <v>100</v>
      </c>
      <c r="GN136">
        <v>13.010300000000001</v>
      </c>
      <c r="GO136">
        <v>23.8765</v>
      </c>
      <c r="GP136">
        <v>800</v>
      </c>
      <c r="GQ136">
        <v>0</v>
      </c>
      <c r="GR136">
        <v>99.7607</v>
      </c>
      <c r="GS136">
        <v>99.573599999999999</v>
      </c>
    </row>
    <row r="137" spans="1:201" x14ac:dyDescent="0.25">
      <c r="A137">
        <v>121</v>
      </c>
      <c r="B137">
        <v>1690293599.5999999</v>
      </c>
      <c r="C137">
        <v>1329</v>
      </c>
      <c r="D137" t="s">
        <v>575</v>
      </c>
      <c r="E137" t="s">
        <v>576</v>
      </c>
      <c r="F137" t="s">
        <v>330</v>
      </c>
      <c r="H137">
        <v>1690293599.5999999</v>
      </c>
      <c r="I137">
        <f t="shared" si="30"/>
        <v>2.5160736136648652E-3</v>
      </c>
      <c r="J137">
        <f t="shared" si="31"/>
        <v>2.5160736136648651</v>
      </c>
      <c r="K137">
        <f t="shared" si="32"/>
        <v>39.526735719780191</v>
      </c>
      <c r="L137">
        <f t="shared" si="33"/>
        <v>394.98399999999998</v>
      </c>
      <c r="M137">
        <f t="shared" si="34"/>
        <v>113.07592108272851</v>
      </c>
      <c r="N137">
        <f t="shared" si="35"/>
        <v>11.245357156675496</v>
      </c>
      <c r="O137">
        <f t="shared" si="36"/>
        <v>39.281007916112003</v>
      </c>
      <c r="P137">
        <f t="shared" si="37"/>
        <v>0.23943152448096258</v>
      </c>
      <c r="Q137">
        <f t="shared" si="38"/>
        <v>2.2557570569990149</v>
      </c>
      <c r="R137">
        <f t="shared" si="39"/>
        <v>0.22615565226327439</v>
      </c>
      <c r="S137">
        <f t="shared" si="40"/>
        <v>0.14247869005685962</v>
      </c>
      <c r="T137">
        <f t="shared" si="41"/>
        <v>276.11628606000005</v>
      </c>
      <c r="U137">
        <f t="shared" si="42"/>
        <v>26.759079464389838</v>
      </c>
      <c r="V137">
        <f t="shared" si="43"/>
        <v>26.759079464389838</v>
      </c>
      <c r="W137">
        <f t="shared" si="44"/>
        <v>3.5288267765275654</v>
      </c>
      <c r="X137">
        <f t="shared" si="45"/>
        <v>74.886928798063195</v>
      </c>
      <c r="Y137">
        <f t="shared" si="46"/>
        <v>2.4556994723122001</v>
      </c>
      <c r="Z137">
        <f t="shared" si="47"/>
        <v>3.2792097522574752</v>
      </c>
      <c r="AA137">
        <f t="shared" si="48"/>
        <v>1.0731273042153653</v>
      </c>
      <c r="AB137">
        <f t="shared" si="49"/>
        <v>-110.95884636262056</v>
      </c>
      <c r="AC137">
        <f t="shared" si="50"/>
        <v>-150.9306205541842</v>
      </c>
      <c r="AD137">
        <f t="shared" si="51"/>
        <v>-14.31578665185263</v>
      </c>
      <c r="AE137">
        <f t="shared" si="52"/>
        <v>-8.8967508657361805E-2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52721.230768570284</v>
      </c>
      <c r="AK137">
        <f t="shared" si="56"/>
        <v>1800</v>
      </c>
      <c r="AL137">
        <f t="shared" si="57"/>
        <v>1499.1108119999999</v>
      </c>
      <c r="AM137">
        <f t="shared" si="58"/>
        <v>0.83283933999999993</v>
      </c>
      <c r="AN137">
        <f t="shared" si="59"/>
        <v>0.15339793670000001</v>
      </c>
      <c r="AO137">
        <v>30</v>
      </c>
      <c r="AP137">
        <v>0.5</v>
      </c>
      <c r="AQ137" t="s">
        <v>331</v>
      </c>
      <c r="AR137">
        <v>2</v>
      </c>
      <c r="AS137">
        <v>1690293599.5999999</v>
      </c>
      <c r="AT137">
        <v>394.98399999999998</v>
      </c>
      <c r="AU137">
        <v>799.90599999999995</v>
      </c>
      <c r="AV137">
        <v>24.692900000000002</v>
      </c>
      <c r="AW137">
        <v>0.17062099999999999</v>
      </c>
      <c r="AX137">
        <v>395.19799999999998</v>
      </c>
      <c r="AY137">
        <v>24.541499999999999</v>
      </c>
      <c r="AZ137">
        <v>300.20999999999998</v>
      </c>
      <c r="BA137">
        <v>99.349599999999995</v>
      </c>
      <c r="BB137">
        <v>0.100018</v>
      </c>
      <c r="BC137">
        <v>25.518000000000001</v>
      </c>
      <c r="BD137">
        <v>27.024100000000001</v>
      </c>
      <c r="BE137">
        <v>26.584700000000002</v>
      </c>
      <c r="BF137">
        <v>0</v>
      </c>
      <c r="BG137">
        <v>0</v>
      </c>
      <c r="BH137">
        <v>9985.6200000000008</v>
      </c>
      <c r="BI137">
        <v>1062.75</v>
      </c>
      <c r="BJ137">
        <v>2.2987099999999998</v>
      </c>
      <c r="BK137">
        <v>-404.92200000000003</v>
      </c>
      <c r="BL137">
        <v>404.98399999999998</v>
      </c>
      <c r="BM137">
        <v>800.04200000000003</v>
      </c>
      <c r="BN137">
        <v>24.522300000000001</v>
      </c>
      <c r="BO137">
        <v>799.90599999999995</v>
      </c>
      <c r="BP137">
        <v>0.17062099999999999</v>
      </c>
      <c r="BQ137">
        <v>2.45323</v>
      </c>
      <c r="BR137">
        <v>1.69511E-2</v>
      </c>
      <c r="BS137">
        <v>20.7195</v>
      </c>
      <c r="BT137">
        <v>-41.006100000000004</v>
      </c>
      <c r="BU137">
        <v>1800</v>
      </c>
      <c r="BV137">
        <v>0.90998400000000002</v>
      </c>
      <c r="BW137">
        <v>3.4003899999999997E-2</v>
      </c>
      <c r="BX137">
        <v>2.2005E-2</v>
      </c>
      <c r="BY137">
        <v>3.4007599999999999E-2</v>
      </c>
      <c r="BZ137">
        <v>25</v>
      </c>
      <c r="CA137">
        <v>33528.199999999997</v>
      </c>
      <c r="CB137">
        <v>1690292073.5</v>
      </c>
      <c r="CC137" t="s">
        <v>332</v>
      </c>
      <c r="CD137">
        <v>1690292069.5</v>
      </c>
      <c r="CE137">
        <v>1690292073.5</v>
      </c>
      <c r="CF137">
        <v>4</v>
      </c>
      <c r="CG137">
        <v>-3.6999999999999998E-2</v>
      </c>
      <c r="CH137">
        <v>-1.6E-2</v>
      </c>
      <c r="CI137">
        <v>-0.45200000000000001</v>
      </c>
      <c r="CJ137">
        <v>0.108</v>
      </c>
      <c r="CK137">
        <v>730</v>
      </c>
      <c r="CL137">
        <v>18</v>
      </c>
      <c r="CM137">
        <v>0</v>
      </c>
      <c r="CN137">
        <v>0.01</v>
      </c>
      <c r="CO137">
        <v>-403.45142499999997</v>
      </c>
      <c r="CP137">
        <v>-8.330442776734472</v>
      </c>
      <c r="CQ137">
        <v>0.80406852591990408</v>
      </c>
      <c r="CR137">
        <v>-1</v>
      </c>
      <c r="CS137">
        <v>24.443194999999999</v>
      </c>
      <c r="CT137">
        <v>0.43261013133212661</v>
      </c>
      <c r="CU137">
        <v>4.1621394438437827E-2</v>
      </c>
      <c r="CV137">
        <v>-1</v>
      </c>
      <c r="CW137">
        <v>0</v>
      </c>
      <c r="CX137">
        <v>0</v>
      </c>
      <c r="CY137" t="s">
        <v>333</v>
      </c>
      <c r="CZ137">
        <v>2.3650600000000002</v>
      </c>
      <c r="DA137">
        <v>2.7138</v>
      </c>
      <c r="DB137">
        <v>8.89379E-2</v>
      </c>
      <c r="DC137">
        <v>0.14643600000000001</v>
      </c>
      <c r="DD137">
        <v>0.116717</v>
      </c>
      <c r="DE137">
        <v>1.4403E-3</v>
      </c>
      <c r="DF137">
        <v>33275.300000000003</v>
      </c>
      <c r="DG137">
        <v>27512.799999999999</v>
      </c>
      <c r="DH137">
        <v>31179.200000000001</v>
      </c>
      <c r="DI137">
        <v>28086.2</v>
      </c>
      <c r="DJ137">
        <v>37381.800000000003</v>
      </c>
      <c r="DK137">
        <v>39882</v>
      </c>
      <c r="DL137">
        <v>44371.3</v>
      </c>
      <c r="DM137">
        <v>42562.1</v>
      </c>
      <c r="DN137">
        <v>1.48892</v>
      </c>
      <c r="DO137">
        <v>2.0389499999999998</v>
      </c>
      <c r="DP137">
        <v>0.13595099999999999</v>
      </c>
      <c r="DQ137">
        <v>0.13076499999999999</v>
      </c>
      <c r="DR137">
        <v>24.796800000000001</v>
      </c>
      <c r="DS137">
        <v>24.440999999999999</v>
      </c>
      <c r="DT137">
        <v>25.8</v>
      </c>
      <c r="DU137">
        <v>28.6</v>
      </c>
      <c r="DV137">
        <v>10.206</v>
      </c>
      <c r="DW137">
        <v>61.553400000000003</v>
      </c>
      <c r="DX137">
        <v>35.024000000000001</v>
      </c>
      <c r="DY137">
        <v>1</v>
      </c>
      <c r="DZ137">
        <v>-0.115137</v>
      </c>
      <c r="EA137">
        <v>0.19892699999999999</v>
      </c>
      <c r="EB137">
        <v>20.1906</v>
      </c>
      <c r="EC137">
        <v>5.2411000000000003</v>
      </c>
      <c r="ED137">
        <v>12.039899999999999</v>
      </c>
      <c r="EE137">
        <v>5.0169499999999996</v>
      </c>
      <c r="EF137">
        <v>3.2879299999999998</v>
      </c>
      <c r="EG137">
        <v>9999</v>
      </c>
      <c r="EH137">
        <v>9999</v>
      </c>
      <c r="EI137">
        <v>9999</v>
      </c>
      <c r="EJ137">
        <v>999.9</v>
      </c>
      <c r="EK137">
        <v>1.8689</v>
      </c>
      <c r="EL137">
        <v>1.8646199999999999</v>
      </c>
      <c r="EM137">
        <v>1.8691899999999999</v>
      </c>
      <c r="EN137">
        <v>1.8672200000000001</v>
      </c>
      <c r="EO137">
        <v>1.86337</v>
      </c>
      <c r="EP137">
        <v>1.8644700000000001</v>
      </c>
      <c r="EQ137">
        <v>1.87018</v>
      </c>
      <c r="ER137">
        <v>1.86941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-0.214</v>
      </c>
      <c r="FG137">
        <v>0.15140000000000001</v>
      </c>
      <c r="FH137">
        <v>5.0310448532705943E-2</v>
      </c>
      <c r="FI137">
        <v>-6.1462078757559423E-4</v>
      </c>
      <c r="FJ137">
        <v>-1.8861989874597051E-7</v>
      </c>
      <c r="FK137">
        <v>1.1980462299894961E-10</v>
      </c>
      <c r="FL137">
        <v>0.15140825623214971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25.5</v>
      </c>
      <c r="FU137">
        <v>25.4</v>
      </c>
      <c r="FV137">
        <v>1.7651399999999999</v>
      </c>
      <c r="FW137">
        <v>2.5866699999999998</v>
      </c>
      <c r="FX137">
        <v>1.5490699999999999</v>
      </c>
      <c r="FY137">
        <v>2.3315399999999999</v>
      </c>
      <c r="FZ137">
        <v>1.50146</v>
      </c>
      <c r="GA137">
        <v>2.2753899999999998</v>
      </c>
      <c r="GB137">
        <v>33.132199999999997</v>
      </c>
      <c r="GC137">
        <v>23.982399999999998</v>
      </c>
      <c r="GD137">
        <v>19</v>
      </c>
      <c r="GE137">
        <v>287.15600000000001</v>
      </c>
      <c r="GF137">
        <v>582.26900000000001</v>
      </c>
      <c r="GG137">
        <v>23.886299999999999</v>
      </c>
      <c r="GH137">
        <v>25.936299999999999</v>
      </c>
      <c r="GI137">
        <v>30.0002</v>
      </c>
      <c r="GJ137">
        <v>26.0886</v>
      </c>
      <c r="GK137">
        <v>26.071999999999999</v>
      </c>
      <c r="GL137">
        <v>35.282899999999998</v>
      </c>
      <c r="GM137">
        <v>100</v>
      </c>
      <c r="GN137">
        <v>12.6227</v>
      </c>
      <c r="GO137">
        <v>23.847300000000001</v>
      </c>
      <c r="GP137">
        <v>800</v>
      </c>
      <c r="GQ137">
        <v>0</v>
      </c>
      <c r="GR137">
        <v>99.760599999999997</v>
      </c>
      <c r="GS137">
        <v>99.573899999999995</v>
      </c>
    </row>
    <row r="138" spans="1:201" x14ac:dyDescent="0.25">
      <c r="A138">
        <v>122</v>
      </c>
      <c r="B138">
        <v>1690293609.5999999</v>
      </c>
      <c r="C138">
        <v>1339</v>
      </c>
      <c r="D138" t="s">
        <v>577</v>
      </c>
      <c r="E138" t="s">
        <v>578</v>
      </c>
      <c r="F138" t="s">
        <v>330</v>
      </c>
      <c r="H138">
        <v>1690293609.5999999</v>
      </c>
      <c r="I138">
        <f t="shared" si="30"/>
        <v>2.5213717063444214E-3</v>
      </c>
      <c r="J138">
        <f t="shared" si="31"/>
        <v>2.5213717063444214</v>
      </c>
      <c r="K138">
        <f t="shared" si="32"/>
        <v>39.665316242751722</v>
      </c>
      <c r="L138">
        <f t="shared" si="33"/>
        <v>393.71199999999999</v>
      </c>
      <c r="M138">
        <f t="shared" si="34"/>
        <v>112.46107027832768</v>
      </c>
      <c r="N138">
        <f t="shared" si="35"/>
        <v>11.184084545144344</v>
      </c>
      <c r="O138">
        <f t="shared" si="36"/>
        <v>39.154067123318399</v>
      </c>
      <c r="P138">
        <f t="shared" si="37"/>
        <v>0.24086823285960965</v>
      </c>
      <c r="Q138">
        <f t="shared" si="38"/>
        <v>2.2583972626953761</v>
      </c>
      <c r="R138">
        <f t="shared" si="39"/>
        <v>0.2274521190553925</v>
      </c>
      <c r="S138">
        <f t="shared" si="40"/>
        <v>0.14330065152706478</v>
      </c>
      <c r="T138">
        <f t="shared" si="41"/>
        <v>276.11460520144897</v>
      </c>
      <c r="U138">
        <f t="shared" si="42"/>
        <v>26.764178156462929</v>
      </c>
      <c r="V138">
        <f t="shared" si="43"/>
        <v>26.764178156462929</v>
      </c>
      <c r="W138">
        <f t="shared" si="44"/>
        <v>3.5298855561289111</v>
      </c>
      <c r="X138">
        <f t="shared" si="45"/>
        <v>75.002098106394897</v>
      </c>
      <c r="Y138">
        <f t="shared" si="46"/>
        <v>2.46067408066224</v>
      </c>
      <c r="Z138">
        <f t="shared" si="47"/>
        <v>3.2808069944545135</v>
      </c>
      <c r="AA138">
        <f t="shared" si="48"/>
        <v>1.0692114754666711</v>
      </c>
      <c r="AB138">
        <f t="shared" si="49"/>
        <v>-111.19249224978898</v>
      </c>
      <c r="AC138">
        <f t="shared" si="50"/>
        <v>-150.72967542073238</v>
      </c>
      <c r="AD138">
        <f t="shared" si="51"/>
        <v>-14.280965200914478</v>
      </c>
      <c r="AE138">
        <f t="shared" si="52"/>
        <v>-8.8527669986859792E-2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52823.416671007333</v>
      </c>
      <c r="AK138">
        <f t="shared" si="56"/>
        <v>1799.99</v>
      </c>
      <c r="AL138">
        <f t="shared" si="57"/>
        <v>1499.1025106064499</v>
      </c>
      <c r="AM138">
        <f t="shared" si="58"/>
        <v>0.83283935499999995</v>
      </c>
      <c r="AN138">
        <f t="shared" si="59"/>
        <v>0.15339785509999998</v>
      </c>
      <c r="AO138">
        <v>30</v>
      </c>
      <c r="AP138">
        <v>0.5</v>
      </c>
      <c r="AQ138" t="s">
        <v>331</v>
      </c>
      <c r="AR138">
        <v>2</v>
      </c>
      <c r="AS138">
        <v>1690293609.5999999</v>
      </c>
      <c r="AT138">
        <v>393.71199999999999</v>
      </c>
      <c r="AU138">
        <v>800.02800000000002</v>
      </c>
      <c r="AV138">
        <v>24.743200000000002</v>
      </c>
      <c r="AW138">
        <v>0.169324</v>
      </c>
      <c r="AX138">
        <v>393.92599999999999</v>
      </c>
      <c r="AY138">
        <v>24.591799999999999</v>
      </c>
      <c r="AZ138">
        <v>300.19499999999999</v>
      </c>
      <c r="BA138">
        <v>99.348500000000001</v>
      </c>
      <c r="BB138">
        <v>9.9998199999999995E-2</v>
      </c>
      <c r="BC138">
        <v>25.526199999999999</v>
      </c>
      <c r="BD138">
        <v>27.020199999999999</v>
      </c>
      <c r="BE138">
        <v>26.6158</v>
      </c>
      <c r="BF138">
        <v>0</v>
      </c>
      <c r="BG138">
        <v>0</v>
      </c>
      <c r="BH138">
        <v>10006.200000000001</v>
      </c>
      <c r="BI138">
        <v>1062.78</v>
      </c>
      <c r="BJ138">
        <v>2.2987099999999998</v>
      </c>
      <c r="BK138">
        <v>-406.31599999999997</v>
      </c>
      <c r="BL138">
        <v>403.70100000000002</v>
      </c>
      <c r="BM138">
        <v>800.16399999999999</v>
      </c>
      <c r="BN138">
        <v>24.573899999999998</v>
      </c>
      <c r="BO138">
        <v>800.02800000000002</v>
      </c>
      <c r="BP138">
        <v>0.169324</v>
      </c>
      <c r="BQ138">
        <v>2.4582000000000002</v>
      </c>
      <c r="BR138">
        <v>1.68221E-2</v>
      </c>
      <c r="BS138">
        <v>20.752300000000002</v>
      </c>
      <c r="BT138">
        <v>-41.078499999999998</v>
      </c>
      <c r="BU138">
        <v>1799.99</v>
      </c>
      <c r="BV138">
        <v>0.90998599999999996</v>
      </c>
      <c r="BW138">
        <v>3.4002999999999999E-2</v>
      </c>
      <c r="BX138">
        <v>2.20045E-2</v>
      </c>
      <c r="BY138">
        <v>3.4006799999999997E-2</v>
      </c>
      <c r="BZ138">
        <v>25</v>
      </c>
      <c r="CA138">
        <v>33528.199999999997</v>
      </c>
      <c r="CB138">
        <v>1690292073.5</v>
      </c>
      <c r="CC138" t="s">
        <v>332</v>
      </c>
      <c r="CD138">
        <v>1690292069.5</v>
      </c>
      <c r="CE138">
        <v>1690292073.5</v>
      </c>
      <c r="CF138">
        <v>4</v>
      </c>
      <c r="CG138">
        <v>-3.6999999999999998E-2</v>
      </c>
      <c r="CH138">
        <v>-1.6E-2</v>
      </c>
      <c r="CI138">
        <v>-0.45200000000000001</v>
      </c>
      <c r="CJ138">
        <v>0.108</v>
      </c>
      <c r="CK138">
        <v>730</v>
      </c>
      <c r="CL138">
        <v>18</v>
      </c>
      <c r="CM138">
        <v>0</v>
      </c>
      <c r="CN138">
        <v>0.01</v>
      </c>
      <c r="CO138">
        <v>-404.84360975609758</v>
      </c>
      <c r="CP138">
        <v>-7.8982787456454382</v>
      </c>
      <c r="CQ138">
        <v>0.78019793855113884</v>
      </c>
      <c r="CR138">
        <v>-1</v>
      </c>
      <c r="CS138">
        <v>24.513231707317079</v>
      </c>
      <c r="CT138">
        <v>0.38278327526132622</v>
      </c>
      <c r="CU138">
        <v>3.7827235245962099E-2</v>
      </c>
      <c r="CV138">
        <v>-1</v>
      </c>
      <c r="CW138">
        <v>0</v>
      </c>
      <c r="CX138">
        <v>0</v>
      </c>
      <c r="CY138" t="s">
        <v>333</v>
      </c>
      <c r="CZ138">
        <v>2.3650199999999999</v>
      </c>
      <c r="DA138">
        <v>2.7138</v>
      </c>
      <c r="DB138">
        <v>8.8718000000000005E-2</v>
      </c>
      <c r="DC138">
        <v>0.14645</v>
      </c>
      <c r="DD138">
        <v>0.116883</v>
      </c>
      <c r="DE138">
        <v>1.42946E-3</v>
      </c>
      <c r="DF138">
        <v>33283</v>
      </c>
      <c r="DG138">
        <v>27512.400000000001</v>
      </c>
      <c r="DH138">
        <v>31178.9</v>
      </c>
      <c r="DI138">
        <v>28086.1</v>
      </c>
      <c r="DJ138">
        <v>37374.199999999997</v>
      </c>
      <c r="DK138">
        <v>39882.400000000001</v>
      </c>
      <c r="DL138">
        <v>44370.8</v>
      </c>
      <c r="DM138">
        <v>42562</v>
      </c>
      <c r="DN138">
        <v>1.4885699999999999</v>
      </c>
      <c r="DO138">
        <v>2.0388299999999999</v>
      </c>
      <c r="DP138">
        <v>0.13545499999999999</v>
      </c>
      <c r="DQ138">
        <v>0.132386</v>
      </c>
      <c r="DR138">
        <v>24.800999999999998</v>
      </c>
      <c r="DS138">
        <v>24.445599999999999</v>
      </c>
      <c r="DT138">
        <v>25.6</v>
      </c>
      <c r="DU138">
        <v>28.6</v>
      </c>
      <c r="DV138">
        <v>10.124000000000001</v>
      </c>
      <c r="DW138">
        <v>61.453400000000002</v>
      </c>
      <c r="DX138">
        <v>35.0441</v>
      </c>
      <c r="DY138">
        <v>1</v>
      </c>
      <c r="DZ138">
        <v>-0.1142</v>
      </c>
      <c r="EA138">
        <v>0.33301500000000001</v>
      </c>
      <c r="EB138">
        <v>20.190100000000001</v>
      </c>
      <c r="EC138">
        <v>5.2416999999999998</v>
      </c>
      <c r="ED138">
        <v>12.039899999999999</v>
      </c>
      <c r="EE138">
        <v>5.0168499999999998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</v>
      </c>
      <c r="EL138">
        <v>1.8646199999999999</v>
      </c>
      <c r="EM138">
        <v>1.8692</v>
      </c>
      <c r="EN138">
        <v>1.8672200000000001</v>
      </c>
      <c r="EO138">
        <v>1.86337</v>
      </c>
      <c r="EP138">
        <v>1.8644700000000001</v>
      </c>
      <c r="EQ138">
        <v>1.87018</v>
      </c>
      <c r="ER138">
        <v>1.86941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-0.214</v>
      </c>
      <c r="FG138">
        <v>0.15140000000000001</v>
      </c>
      <c r="FH138">
        <v>5.0310448532705943E-2</v>
      </c>
      <c r="FI138">
        <v>-6.1462078757559423E-4</v>
      </c>
      <c r="FJ138">
        <v>-1.8861989874597051E-7</v>
      </c>
      <c r="FK138">
        <v>1.1980462299894961E-10</v>
      </c>
      <c r="FL138">
        <v>0.15140825623214971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25.7</v>
      </c>
      <c r="FU138">
        <v>25.6</v>
      </c>
      <c r="FV138">
        <v>1.7639199999999999</v>
      </c>
      <c r="FW138">
        <v>2.5854499999999998</v>
      </c>
      <c r="FX138">
        <v>1.5490699999999999</v>
      </c>
      <c r="FY138">
        <v>2.3315399999999999</v>
      </c>
      <c r="FZ138">
        <v>1.50146</v>
      </c>
      <c r="GA138">
        <v>2.2900399999999999</v>
      </c>
      <c r="GB138">
        <v>33.132199999999997</v>
      </c>
      <c r="GC138">
        <v>23.991199999999999</v>
      </c>
      <c r="GD138">
        <v>19</v>
      </c>
      <c r="GE138">
        <v>286.99599999999998</v>
      </c>
      <c r="GF138">
        <v>582.16600000000005</v>
      </c>
      <c r="GG138">
        <v>23.825600000000001</v>
      </c>
      <c r="GH138">
        <v>25.936299999999999</v>
      </c>
      <c r="GI138">
        <v>30.000299999999999</v>
      </c>
      <c r="GJ138">
        <v>26.086400000000001</v>
      </c>
      <c r="GK138">
        <v>26.071999999999999</v>
      </c>
      <c r="GL138">
        <v>35.283900000000003</v>
      </c>
      <c r="GM138">
        <v>100</v>
      </c>
      <c r="GN138">
        <v>11.8651</v>
      </c>
      <c r="GO138">
        <v>23.7973</v>
      </c>
      <c r="GP138">
        <v>800</v>
      </c>
      <c r="GQ138">
        <v>0</v>
      </c>
      <c r="GR138">
        <v>99.759500000000003</v>
      </c>
      <c r="GS138">
        <v>99.573700000000002</v>
      </c>
    </row>
    <row r="139" spans="1:201" x14ac:dyDescent="0.25">
      <c r="A139">
        <v>123</v>
      </c>
      <c r="B139">
        <v>1690293619.5999999</v>
      </c>
      <c r="C139">
        <v>1349</v>
      </c>
      <c r="D139" t="s">
        <v>579</v>
      </c>
      <c r="E139" t="s">
        <v>580</v>
      </c>
      <c r="F139" t="s">
        <v>330</v>
      </c>
      <c r="H139">
        <v>1690293619.5999999</v>
      </c>
      <c r="I139">
        <f t="shared" si="30"/>
        <v>2.5259751826363593E-3</v>
      </c>
      <c r="J139">
        <f t="shared" si="31"/>
        <v>2.5259751826363592</v>
      </c>
      <c r="K139">
        <f t="shared" si="32"/>
        <v>39.793016651454685</v>
      </c>
      <c r="L139">
        <f t="shared" si="33"/>
        <v>392.28399999999999</v>
      </c>
      <c r="M139">
        <f t="shared" si="34"/>
        <v>112.21899360923101</v>
      </c>
      <c r="N139">
        <f t="shared" si="35"/>
        <v>11.15962937802632</v>
      </c>
      <c r="O139">
        <f t="shared" si="36"/>
        <v>39.010722785252</v>
      </c>
      <c r="P139">
        <f t="shared" si="37"/>
        <v>0.24273113983701253</v>
      </c>
      <c r="Q139">
        <f t="shared" si="38"/>
        <v>2.2598872427270735</v>
      </c>
      <c r="R139">
        <f t="shared" si="39"/>
        <v>0.22912143574488245</v>
      </c>
      <c r="S139">
        <f t="shared" si="40"/>
        <v>0.14436004766605717</v>
      </c>
      <c r="T139">
        <f t="shared" si="41"/>
        <v>276.11606899800006</v>
      </c>
      <c r="U139">
        <f t="shared" si="42"/>
        <v>26.759822370220608</v>
      </c>
      <c r="V139">
        <f t="shared" si="43"/>
        <v>26.759822370220608</v>
      </c>
      <c r="W139">
        <f t="shared" si="44"/>
        <v>3.5289810289387784</v>
      </c>
      <c r="X139">
        <f t="shared" si="45"/>
        <v>75.164103627028908</v>
      </c>
      <c r="Y139">
        <f t="shared" si="46"/>
        <v>2.4656816618232003</v>
      </c>
      <c r="Z139">
        <f t="shared" si="47"/>
        <v>3.2803978798950837</v>
      </c>
      <c r="AA139">
        <f t="shared" si="48"/>
        <v>1.0632993671155782</v>
      </c>
      <c r="AB139">
        <f t="shared" si="49"/>
        <v>-111.39550555426345</v>
      </c>
      <c r="AC139">
        <f t="shared" si="50"/>
        <v>-150.5542856773954</v>
      </c>
      <c r="AD139">
        <f t="shared" si="51"/>
        <v>-14.254481424967931</v>
      </c>
      <c r="AE139">
        <f t="shared" si="52"/>
        <v>-8.8203658626724746E-2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52882.265489463738</v>
      </c>
      <c r="AK139">
        <f t="shared" si="56"/>
        <v>1800</v>
      </c>
      <c r="AL139">
        <f t="shared" si="57"/>
        <v>1499.1115338</v>
      </c>
      <c r="AM139">
        <f t="shared" si="58"/>
        <v>0.83283974100000002</v>
      </c>
      <c r="AN139">
        <f t="shared" si="59"/>
        <v>0.15339781611000003</v>
      </c>
      <c r="AO139">
        <v>30</v>
      </c>
      <c r="AP139">
        <v>0.5</v>
      </c>
      <c r="AQ139" t="s">
        <v>331</v>
      </c>
      <c r="AR139">
        <v>2</v>
      </c>
      <c r="AS139">
        <v>1690293619.5999999</v>
      </c>
      <c r="AT139">
        <v>392.28399999999999</v>
      </c>
      <c r="AU139">
        <v>800.00900000000001</v>
      </c>
      <c r="AV139">
        <v>24.7944</v>
      </c>
      <c r="AW139">
        <v>0.16784399999999999</v>
      </c>
      <c r="AX139">
        <v>392.49700000000001</v>
      </c>
      <c r="AY139">
        <v>24.643000000000001</v>
      </c>
      <c r="AZ139">
        <v>300.084</v>
      </c>
      <c r="BA139">
        <v>99.345200000000006</v>
      </c>
      <c r="BB139">
        <v>9.9903000000000006E-2</v>
      </c>
      <c r="BC139">
        <v>25.524100000000001</v>
      </c>
      <c r="BD139">
        <v>26.985499999999998</v>
      </c>
      <c r="BE139">
        <v>26.6023</v>
      </c>
      <c r="BF139">
        <v>0</v>
      </c>
      <c r="BG139">
        <v>0</v>
      </c>
      <c r="BH139">
        <v>10018.1</v>
      </c>
      <c r="BI139">
        <v>1062.73</v>
      </c>
      <c r="BJ139">
        <v>2.2987099999999998</v>
      </c>
      <c r="BK139">
        <v>-407.72500000000002</v>
      </c>
      <c r="BL139">
        <v>402.25799999999998</v>
      </c>
      <c r="BM139">
        <v>800.14300000000003</v>
      </c>
      <c r="BN139">
        <v>24.6266</v>
      </c>
      <c r="BO139">
        <v>800.00900000000001</v>
      </c>
      <c r="BP139">
        <v>0.16784399999999999</v>
      </c>
      <c r="BQ139">
        <v>2.4632100000000001</v>
      </c>
      <c r="BR139">
        <v>1.6674399999999999E-2</v>
      </c>
      <c r="BS139">
        <v>20.785399999999999</v>
      </c>
      <c r="BT139">
        <v>-41.161999999999999</v>
      </c>
      <c r="BU139">
        <v>1800</v>
      </c>
      <c r="BV139">
        <v>0.90998900000000005</v>
      </c>
      <c r="BW139">
        <v>3.4001999999999998E-2</v>
      </c>
      <c r="BX139">
        <v>2.20038E-2</v>
      </c>
      <c r="BY139">
        <v>3.40057E-2</v>
      </c>
      <c r="BZ139">
        <v>25</v>
      </c>
      <c r="CA139">
        <v>33528.199999999997</v>
      </c>
      <c r="CB139">
        <v>1690292073.5</v>
      </c>
      <c r="CC139" t="s">
        <v>332</v>
      </c>
      <c r="CD139">
        <v>1690292069.5</v>
      </c>
      <c r="CE139">
        <v>1690292073.5</v>
      </c>
      <c r="CF139">
        <v>4</v>
      </c>
      <c r="CG139">
        <v>-3.6999999999999998E-2</v>
      </c>
      <c r="CH139">
        <v>-1.6E-2</v>
      </c>
      <c r="CI139">
        <v>-0.45200000000000001</v>
      </c>
      <c r="CJ139">
        <v>0.108</v>
      </c>
      <c r="CK139">
        <v>730</v>
      </c>
      <c r="CL139">
        <v>18</v>
      </c>
      <c r="CM139">
        <v>0</v>
      </c>
      <c r="CN139">
        <v>0.01</v>
      </c>
      <c r="CO139">
        <v>-406.15667500000001</v>
      </c>
      <c r="CP139">
        <v>-8.236851782363857</v>
      </c>
      <c r="CQ139">
        <v>0.79349679859152566</v>
      </c>
      <c r="CR139">
        <v>-1</v>
      </c>
      <c r="CS139">
        <v>24.568562499999999</v>
      </c>
      <c r="CT139">
        <v>0.29973095684802331</v>
      </c>
      <c r="CU139">
        <v>2.8886646460778612E-2</v>
      </c>
      <c r="CV139">
        <v>-1</v>
      </c>
      <c r="CW139">
        <v>0</v>
      </c>
      <c r="CX139">
        <v>0</v>
      </c>
      <c r="CY139" t="s">
        <v>333</v>
      </c>
      <c r="CZ139">
        <v>2.3646600000000002</v>
      </c>
      <c r="DA139">
        <v>2.7137099999999998</v>
      </c>
      <c r="DB139">
        <v>8.84683E-2</v>
      </c>
      <c r="DC139">
        <v>0.14644299999999999</v>
      </c>
      <c r="DD139">
        <v>0.117049</v>
      </c>
      <c r="DE139">
        <v>1.41705E-3</v>
      </c>
      <c r="DF139">
        <v>33291.9</v>
      </c>
      <c r="DG139">
        <v>27512.1</v>
      </c>
      <c r="DH139">
        <v>31178.7</v>
      </c>
      <c r="DI139">
        <v>28085.7</v>
      </c>
      <c r="DJ139">
        <v>37367</v>
      </c>
      <c r="DK139">
        <v>39882.199999999997</v>
      </c>
      <c r="DL139">
        <v>44370.6</v>
      </c>
      <c r="DM139">
        <v>42561.3</v>
      </c>
      <c r="DN139">
        <v>1.4885999999999999</v>
      </c>
      <c r="DO139">
        <v>2.0390299999999999</v>
      </c>
      <c r="DP139">
        <v>0.13298499999999999</v>
      </c>
      <c r="DQ139">
        <v>0.13114899999999999</v>
      </c>
      <c r="DR139">
        <v>24.806799999999999</v>
      </c>
      <c r="DS139">
        <v>24.452300000000001</v>
      </c>
      <c r="DT139">
        <v>25.4</v>
      </c>
      <c r="DU139">
        <v>28.6</v>
      </c>
      <c r="DV139">
        <v>10.046099999999999</v>
      </c>
      <c r="DW139">
        <v>61.623399999999997</v>
      </c>
      <c r="DX139">
        <v>35.640999999999998</v>
      </c>
      <c r="DY139">
        <v>1</v>
      </c>
      <c r="DZ139">
        <v>-0.114019</v>
      </c>
      <c r="EA139">
        <v>0.22658</v>
      </c>
      <c r="EB139">
        <v>20.190200000000001</v>
      </c>
      <c r="EC139">
        <v>5.2415500000000002</v>
      </c>
      <c r="ED139">
        <v>12.039899999999999</v>
      </c>
      <c r="EE139">
        <v>5.0168999999999997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</v>
      </c>
      <c r="EL139">
        <v>1.8646199999999999</v>
      </c>
      <c r="EM139">
        <v>1.8692</v>
      </c>
      <c r="EN139">
        <v>1.8672200000000001</v>
      </c>
      <c r="EO139">
        <v>1.8633599999999999</v>
      </c>
      <c r="EP139">
        <v>1.8644700000000001</v>
      </c>
      <c r="EQ139">
        <v>1.87015</v>
      </c>
      <c r="ER139">
        <v>1.8694200000000001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-0.21299999999999999</v>
      </c>
      <c r="FG139">
        <v>0.15140000000000001</v>
      </c>
      <c r="FH139">
        <v>5.0310448532705943E-2</v>
      </c>
      <c r="FI139">
        <v>-6.1462078757559423E-4</v>
      </c>
      <c r="FJ139">
        <v>-1.8861989874597051E-7</v>
      </c>
      <c r="FK139">
        <v>1.1980462299894961E-10</v>
      </c>
      <c r="FL139">
        <v>0.15140825623214971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25.8</v>
      </c>
      <c r="FU139">
        <v>25.8</v>
      </c>
      <c r="FV139">
        <v>1.7639199999999999</v>
      </c>
      <c r="FW139">
        <v>2.5805699999999998</v>
      </c>
      <c r="FX139">
        <v>1.5490699999999999</v>
      </c>
      <c r="FY139">
        <v>2.3327599999999999</v>
      </c>
      <c r="FZ139">
        <v>1.50146</v>
      </c>
      <c r="GA139">
        <v>2.3730500000000001</v>
      </c>
      <c r="GB139">
        <v>33.132199999999997</v>
      </c>
      <c r="GC139">
        <v>23.991199999999999</v>
      </c>
      <c r="GD139">
        <v>19</v>
      </c>
      <c r="GE139">
        <v>287.00599999999997</v>
      </c>
      <c r="GF139">
        <v>582.30600000000004</v>
      </c>
      <c r="GG139">
        <v>23.7773</v>
      </c>
      <c r="GH139">
        <v>25.936299999999999</v>
      </c>
      <c r="GI139">
        <v>30</v>
      </c>
      <c r="GJ139">
        <v>26.086400000000001</v>
      </c>
      <c r="GK139">
        <v>26.069800000000001</v>
      </c>
      <c r="GL139">
        <v>35.282299999999999</v>
      </c>
      <c r="GM139">
        <v>100</v>
      </c>
      <c r="GN139">
        <v>11.494999999999999</v>
      </c>
      <c r="GO139">
        <v>23.813800000000001</v>
      </c>
      <c r="GP139">
        <v>800</v>
      </c>
      <c r="GQ139">
        <v>0</v>
      </c>
      <c r="GR139">
        <v>99.759100000000004</v>
      </c>
      <c r="GS139">
        <v>99.572100000000006</v>
      </c>
    </row>
    <row r="140" spans="1:201" x14ac:dyDescent="0.25">
      <c r="A140">
        <v>124</v>
      </c>
      <c r="B140">
        <v>1690293629.5999999</v>
      </c>
      <c r="C140">
        <v>1359</v>
      </c>
      <c r="D140" t="s">
        <v>581</v>
      </c>
      <c r="E140" t="s">
        <v>582</v>
      </c>
      <c r="F140" t="s">
        <v>330</v>
      </c>
      <c r="H140">
        <v>1690293629.5999999</v>
      </c>
      <c r="I140">
        <f t="shared" si="30"/>
        <v>2.5309440303358669E-3</v>
      </c>
      <c r="J140">
        <f t="shared" si="31"/>
        <v>2.530944030335867</v>
      </c>
      <c r="K140">
        <f t="shared" si="32"/>
        <v>39.913517055720732</v>
      </c>
      <c r="L140">
        <f t="shared" si="33"/>
        <v>391.06400000000002</v>
      </c>
      <c r="M140">
        <f t="shared" si="34"/>
        <v>112.13986945894619</v>
      </c>
      <c r="N140">
        <f t="shared" si="35"/>
        <v>11.152347696688338</v>
      </c>
      <c r="O140">
        <f t="shared" si="36"/>
        <v>38.891446197504003</v>
      </c>
      <c r="P140">
        <f t="shared" si="37"/>
        <v>0.24455538466869825</v>
      </c>
      <c r="Q140">
        <f t="shared" si="38"/>
        <v>2.2563314705907795</v>
      </c>
      <c r="R140">
        <f t="shared" si="39"/>
        <v>0.23072615079226919</v>
      </c>
      <c r="S140">
        <f t="shared" si="40"/>
        <v>0.1453811378448549</v>
      </c>
      <c r="T140">
        <f t="shared" si="41"/>
        <v>276.11422952553613</v>
      </c>
      <c r="U140">
        <f t="shared" si="42"/>
        <v>26.757744332356605</v>
      </c>
      <c r="V140">
        <f t="shared" si="43"/>
        <v>26.757744332356605</v>
      </c>
      <c r="W140">
        <f t="shared" si="44"/>
        <v>3.528549572694581</v>
      </c>
      <c r="X140">
        <f t="shared" si="45"/>
        <v>75.321902499414165</v>
      </c>
      <c r="Y140">
        <f t="shared" si="46"/>
        <v>2.4705353018784</v>
      </c>
      <c r="Z140">
        <f t="shared" si="47"/>
        <v>3.2799693314937381</v>
      </c>
      <c r="AA140">
        <f t="shared" si="48"/>
        <v>1.058014270816181</v>
      </c>
      <c r="AB140">
        <f t="shared" si="49"/>
        <v>-111.61463173781173</v>
      </c>
      <c r="AC140">
        <f t="shared" si="50"/>
        <v>-150.33223507929637</v>
      </c>
      <c r="AD140">
        <f t="shared" si="51"/>
        <v>-14.25558250429585</v>
      </c>
      <c r="AE140">
        <f t="shared" si="52"/>
        <v>-8.821979586781481E-2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52743.099885623174</v>
      </c>
      <c r="AK140">
        <f t="shared" si="56"/>
        <v>1799.99</v>
      </c>
      <c r="AL140">
        <f t="shared" si="57"/>
        <v>1499.1032288024601</v>
      </c>
      <c r="AM140">
        <f t="shared" si="58"/>
        <v>0.8328397540000001</v>
      </c>
      <c r="AN140">
        <f t="shared" si="59"/>
        <v>0.15339764639000003</v>
      </c>
      <c r="AO140">
        <v>30</v>
      </c>
      <c r="AP140">
        <v>0.5</v>
      </c>
      <c r="AQ140" t="s">
        <v>331</v>
      </c>
      <c r="AR140">
        <v>2</v>
      </c>
      <c r="AS140">
        <v>1690293629.5999999</v>
      </c>
      <c r="AT140">
        <v>391.06400000000002</v>
      </c>
      <c r="AU140">
        <v>800</v>
      </c>
      <c r="AV140">
        <v>24.841899999999999</v>
      </c>
      <c r="AW140">
        <v>0.16703399999999999</v>
      </c>
      <c r="AX140">
        <v>391.27499999999998</v>
      </c>
      <c r="AY140">
        <v>24.6905</v>
      </c>
      <c r="AZ140">
        <v>300.07100000000003</v>
      </c>
      <c r="BA140">
        <v>99.350300000000004</v>
      </c>
      <c r="BB140">
        <v>0.100036</v>
      </c>
      <c r="BC140">
        <v>25.521899999999999</v>
      </c>
      <c r="BD140">
        <v>27.0105</v>
      </c>
      <c r="BE140">
        <v>26.585899999999999</v>
      </c>
      <c r="BF140">
        <v>0</v>
      </c>
      <c r="BG140">
        <v>0</v>
      </c>
      <c r="BH140">
        <v>9990</v>
      </c>
      <c r="BI140">
        <v>1062.5999999999999</v>
      </c>
      <c r="BJ140">
        <v>2.2987099999999998</v>
      </c>
      <c r="BK140">
        <v>-408.93599999999998</v>
      </c>
      <c r="BL140">
        <v>401.02600000000001</v>
      </c>
      <c r="BM140">
        <v>800.13300000000004</v>
      </c>
      <c r="BN140">
        <v>24.674900000000001</v>
      </c>
      <c r="BO140">
        <v>800</v>
      </c>
      <c r="BP140">
        <v>0.16703399999999999</v>
      </c>
      <c r="BQ140">
        <v>2.4680499999999999</v>
      </c>
      <c r="BR140">
        <v>1.6594899999999999E-2</v>
      </c>
      <c r="BS140">
        <v>20.817299999999999</v>
      </c>
      <c r="BT140">
        <v>-41.2072</v>
      </c>
      <c r="BU140">
        <v>1799.99</v>
      </c>
      <c r="BV140">
        <v>0.90999300000000005</v>
      </c>
      <c r="BW140">
        <v>3.4000299999999997E-2</v>
      </c>
      <c r="BX140">
        <v>2.20027E-2</v>
      </c>
      <c r="BY140">
        <v>3.4004100000000002E-2</v>
      </c>
      <c r="BZ140">
        <v>25</v>
      </c>
      <c r="CA140">
        <v>33528.199999999997</v>
      </c>
      <c r="CB140">
        <v>1690292073.5</v>
      </c>
      <c r="CC140" t="s">
        <v>332</v>
      </c>
      <c r="CD140">
        <v>1690292069.5</v>
      </c>
      <c r="CE140">
        <v>1690292073.5</v>
      </c>
      <c r="CF140">
        <v>4</v>
      </c>
      <c r="CG140">
        <v>-3.6999999999999998E-2</v>
      </c>
      <c r="CH140">
        <v>-1.6E-2</v>
      </c>
      <c r="CI140">
        <v>-0.45200000000000001</v>
      </c>
      <c r="CJ140">
        <v>0.108</v>
      </c>
      <c r="CK140">
        <v>730</v>
      </c>
      <c r="CL140">
        <v>18</v>
      </c>
      <c r="CM140">
        <v>0</v>
      </c>
      <c r="CN140">
        <v>0.01</v>
      </c>
      <c r="CO140">
        <v>-407.60717499999998</v>
      </c>
      <c r="CP140">
        <v>-7.6502701688559176</v>
      </c>
      <c r="CQ140">
        <v>0.73770227353248996</v>
      </c>
      <c r="CR140">
        <v>-1</v>
      </c>
      <c r="CS140">
        <v>24.623024999999998</v>
      </c>
      <c r="CT140">
        <v>0.29933583489678472</v>
      </c>
      <c r="CU140">
        <v>2.882725923496687E-2</v>
      </c>
      <c r="CV140">
        <v>-1</v>
      </c>
      <c r="CW140">
        <v>0</v>
      </c>
      <c r="CX140">
        <v>0</v>
      </c>
      <c r="CY140" t="s">
        <v>333</v>
      </c>
      <c r="CZ140">
        <v>2.3646199999999999</v>
      </c>
      <c r="DA140">
        <v>2.7138200000000001</v>
      </c>
      <c r="DB140">
        <v>8.8261900000000004E-2</v>
      </c>
      <c r="DC140">
        <v>0.14645</v>
      </c>
      <c r="DD140">
        <v>0.117213</v>
      </c>
      <c r="DE140">
        <v>1.41036E-3</v>
      </c>
      <c r="DF140">
        <v>33299.4</v>
      </c>
      <c r="DG140">
        <v>27511.8</v>
      </c>
      <c r="DH140">
        <v>31178.7</v>
      </c>
      <c r="DI140">
        <v>28085.5</v>
      </c>
      <c r="DJ140">
        <v>37359.800000000003</v>
      </c>
      <c r="DK140">
        <v>39882.300000000003</v>
      </c>
      <c r="DL140">
        <v>44370.5</v>
      </c>
      <c r="DM140">
        <v>42561.1</v>
      </c>
      <c r="DN140">
        <v>1.48888</v>
      </c>
      <c r="DO140">
        <v>2.0386000000000002</v>
      </c>
      <c r="DP140">
        <v>0.13422200000000001</v>
      </c>
      <c r="DQ140">
        <v>0.129722</v>
      </c>
      <c r="DR140">
        <v>24.811499999999999</v>
      </c>
      <c r="DS140">
        <v>24.459299999999999</v>
      </c>
      <c r="DT140">
        <v>25.2</v>
      </c>
      <c r="DU140">
        <v>28.6</v>
      </c>
      <c r="DV140">
        <v>9.9668500000000009</v>
      </c>
      <c r="DW140">
        <v>61.733400000000003</v>
      </c>
      <c r="DX140">
        <v>36.0777</v>
      </c>
      <c r="DY140">
        <v>1</v>
      </c>
      <c r="DZ140">
        <v>-0.114652</v>
      </c>
      <c r="EA140">
        <v>0.16789999999999999</v>
      </c>
      <c r="EB140">
        <v>20.1905</v>
      </c>
      <c r="EC140">
        <v>5.2413999999999996</v>
      </c>
      <c r="ED140">
        <v>12.039899999999999</v>
      </c>
      <c r="EE140">
        <v>5.0171999999999999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</v>
      </c>
      <c r="EL140">
        <v>1.8646100000000001</v>
      </c>
      <c r="EM140">
        <v>1.8691899999999999</v>
      </c>
      <c r="EN140">
        <v>1.8672200000000001</v>
      </c>
      <c r="EO140">
        <v>1.86337</v>
      </c>
      <c r="EP140">
        <v>1.8644700000000001</v>
      </c>
      <c r="EQ140">
        <v>1.87016</v>
      </c>
      <c r="ER140">
        <v>1.8694500000000001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-0.21099999999999999</v>
      </c>
      <c r="FG140">
        <v>0.15140000000000001</v>
      </c>
      <c r="FH140">
        <v>5.0310448532705943E-2</v>
      </c>
      <c r="FI140">
        <v>-6.1462078757559423E-4</v>
      </c>
      <c r="FJ140">
        <v>-1.8861989874597051E-7</v>
      </c>
      <c r="FK140">
        <v>1.1980462299894961E-10</v>
      </c>
      <c r="FL140">
        <v>0.15140825623214971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26</v>
      </c>
      <c r="FU140">
        <v>25.9</v>
      </c>
      <c r="FV140">
        <v>1.7651399999999999</v>
      </c>
      <c r="FW140">
        <v>2.5793499999999998</v>
      </c>
      <c r="FX140">
        <v>1.5490699999999999</v>
      </c>
      <c r="FY140">
        <v>2.3315399999999999</v>
      </c>
      <c r="FZ140">
        <v>1.50146</v>
      </c>
      <c r="GA140">
        <v>2.3303199999999999</v>
      </c>
      <c r="GB140">
        <v>33.132199999999997</v>
      </c>
      <c r="GC140">
        <v>23.991199999999999</v>
      </c>
      <c r="GD140">
        <v>19</v>
      </c>
      <c r="GE140">
        <v>287.11500000000001</v>
      </c>
      <c r="GF140">
        <v>581.95500000000004</v>
      </c>
      <c r="GG140">
        <v>23.819199999999999</v>
      </c>
      <c r="GH140">
        <v>25.934100000000001</v>
      </c>
      <c r="GI140">
        <v>29.9999</v>
      </c>
      <c r="GJ140">
        <v>26.084199999999999</v>
      </c>
      <c r="GK140">
        <v>26.069800000000001</v>
      </c>
      <c r="GL140">
        <v>35.282899999999998</v>
      </c>
      <c r="GM140">
        <v>100</v>
      </c>
      <c r="GN140">
        <v>10.748100000000001</v>
      </c>
      <c r="GO140">
        <v>23.814599999999999</v>
      </c>
      <c r="GP140">
        <v>800</v>
      </c>
      <c r="GQ140">
        <v>0</v>
      </c>
      <c r="GR140">
        <v>99.758799999999994</v>
      </c>
      <c r="GS140">
        <v>99.571600000000004</v>
      </c>
    </row>
    <row r="141" spans="1:201" x14ac:dyDescent="0.25">
      <c r="A141">
        <v>125</v>
      </c>
      <c r="B141">
        <v>1690293639.5999999</v>
      </c>
      <c r="C141">
        <v>1369</v>
      </c>
      <c r="D141" t="s">
        <v>583</v>
      </c>
      <c r="E141" t="s">
        <v>584</v>
      </c>
      <c r="F141" t="s">
        <v>330</v>
      </c>
      <c r="H141">
        <v>1690293639.5999999</v>
      </c>
      <c r="I141">
        <f t="shared" si="30"/>
        <v>2.5379009998834304E-3</v>
      </c>
      <c r="J141">
        <f t="shared" si="31"/>
        <v>2.5379009998834303</v>
      </c>
      <c r="K141">
        <f t="shared" si="32"/>
        <v>40.042907359664113</v>
      </c>
      <c r="L141">
        <f t="shared" si="33"/>
        <v>389.84800000000001</v>
      </c>
      <c r="M141">
        <f t="shared" si="34"/>
        <v>112.54326242408398</v>
      </c>
      <c r="N141">
        <f t="shared" si="35"/>
        <v>11.192310425590884</v>
      </c>
      <c r="O141">
        <f t="shared" si="36"/>
        <v>38.769978236049603</v>
      </c>
      <c r="P141">
        <f t="shared" si="37"/>
        <v>0.24687689676620292</v>
      </c>
      <c r="Q141">
        <f t="shared" si="38"/>
        <v>2.258171764197292</v>
      </c>
      <c r="R141">
        <f t="shared" si="39"/>
        <v>0.23280275306270462</v>
      </c>
      <c r="S141">
        <f t="shared" si="40"/>
        <v>0.14669932204871428</v>
      </c>
      <c r="T141">
        <f t="shared" si="41"/>
        <v>276.11570293200003</v>
      </c>
      <c r="U141">
        <f t="shared" si="42"/>
        <v>26.755530640456328</v>
      </c>
      <c r="V141">
        <f t="shared" si="43"/>
        <v>26.755530640456328</v>
      </c>
      <c r="W141">
        <f t="shared" si="44"/>
        <v>3.5280900017052237</v>
      </c>
      <c r="X141">
        <f t="shared" si="45"/>
        <v>75.504664220932199</v>
      </c>
      <c r="Y141">
        <f t="shared" si="46"/>
        <v>2.4766769048208004</v>
      </c>
      <c r="Z141">
        <f t="shared" si="47"/>
        <v>3.2801641201580103</v>
      </c>
      <c r="AA141">
        <f t="shared" si="48"/>
        <v>1.0514130968844233</v>
      </c>
      <c r="AB141">
        <f t="shared" si="49"/>
        <v>-111.92143409485928</v>
      </c>
      <c r="AC141">
        <f t="shared" si="50"/>
        <v>-150.06360495969614</v>
      </c>
      <c r="AD141">
        <f t="shared" si="51"/>
        <v>-14.218425413763688</v>
      </c>
      <c r="AE141">
        <f t="shared" si="52"/>
        <v>-8.7761536319050037E-2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52815.153549956245</v>
      </c>
      <c r="AK141">
        <f t="shared" si="56"/>
        <v>1800</v>
      </c>
      <c r="AL141">
        <f t="shared" si="57"/>
        <v>1499.1119712</v>
      </c>
      <c r="AM141">
        <f t="shared" si="58"/>
        <v>0.83283998399999992</v>
      </c>
      <c r="AN141">
        <f t="shared" si="59"/>
        <v>0.15339761274000002</v>
      </c>
      <c r="AO141">
        <v>30</v>
      </c>
      <c r="AP141">
        <v>0.5</v>
      </c>
      <c r="AQ141" t="s">
        <v>331</v>
      </c>
      <c r="AR141">
        <v>2</v>
      </c>
      <c r="AS141">
        <v>1690293639.5999999</v>
      </c>
      <c r="AT141">
        <v>389.84800000000001</v>
      </c>
      <c r="AU141">
        <v>800.02200000000005</v>
      </c>
      <c r="AV141">
        <v>24.904</v>
      </c>
      <c r="AW141">
        <v>0.166017</v>
      </c>
      <c r="AX141">
        <v>390.05900000000003</v>
      </c>
      <c r="AY141">
        <v>24.752600000000001</v>
      </c>
      <c r="AZ141">
        <v>300.10899999999998</v>
      </c>
      <c r="BA141">
        <v>99.349000000000004</v>
      </c>
      <c r="BB141">
        <v>9.9960199999999999E-2</v>
      </c>
      <c r="BC141">
        <v>25.5229</v>
      </c>
      <c r="BD141">
        <v>26.990500000000001</v>
      </c>
      <c r="BE141">
        <v>26.599399999999999</v>
      </c>
      <c r="BF141">
        <v>0</v>
      </c>
      <c r="BG141">
        <v>0</v>
      </c>
      <c r="BH141">
        <v>10004.4</v>
      </c>
      <c r="BI141">
        <v>1062.6199999999999</v>
      </c>
      <c r="BJ141">
        <v>2.2987099999999998</v>
      </c>
      <c r="BK141">
        <v>-410.17399999999998</v>
      </c>
      <c r="BL141">
        <v>399.80500000000001</v>
      </c>
      <c r="BM141">
        <v>800.15499999999997</v>
      </c>
      <c r="BN141">
        <v>24.738</v>
      </c>
      <c r="BO141">
        <v>800.02200000000005</v>
      </c>
      <c r="BP141">
        <v>0.166017</v>
      </c>
      <c r="BQ141">
        <v>2.4741900000000001</v>
      </c>
      <c r="BR141">
        <v>1.6493600000000001E-2</v>
      </c>
      <c r="BS141">
        <v>20.857700000000001</v>
      </c>
      <c r="BT141">
        <v>-41.2652</v>
      </c>
      <c r="BU141">
        <v>1800</v>
      </c>
      <c r="BV141">
        <v>0.909995</v>
      </c>
      <c r="BW141">
        <v>3.3999599999999998E-2</v>
      </c>
      <c r="BX141">
        <v>2.20022E-2</v>
      </c>
      <c r="BY141">
        <v>3.4003400000000003E-2</v>
      </c>
      <c r="BZ141">
        <v>25</v>
      </c>
      <c r="CA141">
        <v>33528.300000000003</v>
      </c>
      <c r="CB141">
        <v>1690292073.5</v>
      </c>
      <c r="CC141" t="s">
        <v>332</v>
      </c>
      <c r="CD141">
        <v>1690292069.5</v>
      </c>
      <c r="CE141">
        <v>1690292073.5</v>
      </c>
      <c r="CF141">
        <v>4</v>
      </c>
      <c r="CG141">
        <v>-3.6999999999999998E-2</v>
      </c>
      <c r="CH141">
        <v>-1.6E-2</v>
      </c>
      <c r="CI141">
        <v>-0.45200000000000001</v>
      </c>
      <c r="CJ141">
        <v>0.108</v>
      </c>
      <c r="CK141">
        <v>730</v>
      </c>
      <c r="CL141">
        <v>18</v>
      </c>
      <c r="CM141">
        <v>0</v>
      </c>
      <c r="CN141">
        <v>0.01</v>
      </c>
      <c r="CO141">
        <v>-408.87394999999998</v>
      </c>
      <c r="CP141">
        <v>-7.5100637898677203</v>
      </c>
      <c r="CQ141">
        <v>0.72339601706119194</v>
      </c>
      <c r="CR141">
        <v>-1</v>
      </c>
      <c r="CS141">
        <v>24.6774725</v>
      </c>
      <c r="CT141">
        <v>0.3462968105065381</v>
      </c>
      <c r="CU141">
        <v>3.3448310775732841E-2</v>
      </c>
      <c r="CV141">
        <v>-1</v>
      </c>
      <c r="CW141">
        <v>0</v>
      </c>
      <c r="CX141">
        <v>0</v>
      </c>
      <c r="CY141" t="s">
        <v>333</v>
      </c>
      <c r="CZ141">
        <v>2.3647399999999998</v>
      </c>
      <c r="DA141">
        <v>2.7137500000000001</v>
      </c>
      <c r="DB141">
        <v>8.8050100000000006E-2</v>
      </c>
      <c r="DC141">
        <v>0.146451</v>
      </c>
      <c r="DD141">
        <v>0.11741699999999999</v>
      </c>
      <c r="DE141">
        <v>1.4018500000000001E-3</v>
      </c>
      <c r="DF141">
        <v>33307.599999999999</v>
      </c>
      <c r="DG141">
        <v>27512.1</v>
      </c>
      <c r="DH141">
        <v>31179.1</v>
      </c>
      <c r="DI141">
        <v>28085.9</v>
      </c>
      <c r="DJ141">
        <v>37351.599999999999</v>
      </c>
      <c r="DK141">
        <v>39883.199999999997</v>
      </c>
      <c r="DL141">
        <v>44371.1</v>
      </c>
      <c r="DM141">
        <v>42561.8</v>
      </c>
      <c r="DN141">
        <v>1.4888300000000001</v>
      </c>
      <c r="DO141">
        <v>2.0388299999999999</v>
      </c>
      <c r="DP141">
        <v>0.13262399999999999</v>
      </c>
      <c r="DQ141">
        <v>0.13022500000000001</v>
      </c>
      <c r="DR141">
        <v>24.817699999999999</v>
      </c>
      <c r="DS141">
        <v>24.464600000000001</v>
      </c>
      <c r="DT141">
        <v>25</v>
      </c>
      <c r="DU141">
        <v>28.6</v>
      </c>
      <c r="DV141">
        <v>9.8887900000000002</v>
      </c>
      <c r="DW141">
        <v>61.273400000000002</v>
      </c>
      <c r="DX141">
        <v>35.492800000000003</v>
      </c>
      <c r="DY141">
        <v>1</v>
      </c>
      <c r="DZ141">
        <v>-0.114479</v>
      </c>
      <c r="EA141">
        <v>0.21305299999999999</v>
      </c>
      <c r="EB141">
        <v>20.1905</v>
      </c>
      <c r="EC141">
        <v>5.24125</v>
      </c>
      <c r="ED141">
        <v>12.039899999999999</v>
      </c>
      <c r="EE141">
        <v>5.0175000000000001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</v>
      </c>
      <c r="EL141">
        <v>1.8646199999999999</v>
      </c>
      <c r="EM141">
        <v>1.8692</v>
      </c>
      <c r="EN141">
        <v>1.8672200000000001</v>
      </c>
      <c r="EO141">
        <v>1.86338</v>
      </c>
      <c r="EP141">
        <v>1.8644700000000001</v>
      </c>
      <c r="EQ141">
        <v>1.8701700000000001</v>
      </c>
      <c r="ER141">
        <v>1.86944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-0.21099999999999999</v>
      </c>
      <c r="FG141">
        <v>0.15140000000000001</v>
      </c>
      <c r="FH141">
        <v>5.0310448532705943E-2</v>
      </c>
      <c r="FI141">
        <v>-6.1462078757559423E-4</v>
      </c>
      <c r="FJ141">
        <v>-1.8861989874597051E-7</v>
      </c>
      <c r="FK141">
        <v>1.1980462299894961E-10</v>
      </c>
      <c r="FL141">
        <v>0.15140825623214971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26.2</v>
      </c>
      <c r="FU141">
        <v>26.1</v>
      </c>
      <c r="FV141">
        <v>1.7651399999999999</v>
      </c>
      <c r="FW141">
        <v>2.5830099999999998</v>
      </c>
      <c r="FX141">
        <v>1.5490699999999999</v>
      </c>
      <c r="FY141">
        <v>2.3327599999999999</v>
      </c>
      <c r="FZ141">
        <v>1.50146</v>
      </c>
      <c r="GA141">
        <v>2.3083499999999999</v>
      </c>
      <c r="GB141">
        <v>33.154499999999999</v>
      </c>
      <c r="GC141">
        <v>23.982399999999998</v>
      </c>
      <c r="GD141">
        <v>19</v>
      </c>
      <c r="GE141">
        <v>287.09300000000002</v>
      </c>
      <c r="GF141">
        <v>582.12</v>
      </c>
      <c r="GG141">
        <v>23.812000000000001</v>
      </c>
      <c r="GH141">
        <v>25.934100000000001</v>
      </c>
      <c r="GI141">
        <v>30.0002</v>
      </c>
      <c r="GJ141">
        <v>26.084199999999999</v>
      </c>
      <c r="GK141">
        <v>26.067900000000002</v>
      </c>
      <c r="GL141">
        <v>35.2836</v>
      </c>
      <c r="GM141">
        <v>100</v>
      </c>
      <c r="GN141">
        <v>10.3604</v>
      </c>
      <c r="GO141">
        <v>23.8141</v>
      </c>
      <c r="GP141">
        <v>800</v>
      </c>
      <c r="GQ141">
        <v>0</v>
      </c>
      <c r="GR141">
        <v>99.760199999999998</v>
      </c>
      <c r="GS141">
        <v>99.573099999999997</v>
      </c>
    </row>
    <row r="142" spans="1:201" x14ac:dyDescent="0.25">
      <c r="A142">
        <v>126</v>
      </c>
      <c r="B142">
        <v>1690293649.5999999</v>
      </c>
      <c r="C142">
        <v>1379</v>
      </c>
      <c r="D142" t="s">
        <v>585</v>
      </c>
      <c r="E142" t="s">
        <v>586</v>
      </c>
      <c r="F142" t="s">
        <v>330</v>
      </c>
      <c r="H142">
        <v>1690293649.5999999</v>
      </c>
      <c r="I142">
        <f t="shared" si="30"/>
        <v>2.5452009973202148E-3</v>
      </c>
      <c r="J142">
        <f t="shared" si="31"/>
        <v>2.5452009973202148</v>
      </c>
      <c r="K142">
        <f t="shared" si="32"/>
        <v>40.184806366295227</v>
      </c>
      <c r="L142">
        <f t="shared" si="33"/>
        <v>388.54599999999999</v>
      </c>
      <c r="M142">
        <f t="shared" si="34"/>
        <v>112.52824230322193</v>
      </c>
      <c r="N142">
        <f t="shared" si="35"/>
        <v>11.190577882753258</v>
      </c>
      <c r="O142">
        <f t="shared" si="36"/>
        <v>38.639671117547998</v>
      </c>
      <c r="P142">
        <f t="shared" si="37"/>
        <v>0.24899141049557891</v>
      </c>
      <c r="Q142">
        <f t="shared" si="38"/>
        <v>2.2595088561780545</v>
      </c>
      <c r="R142">
        <f t="shared" si="39"/>
        <v>0.2346905877357407</v>
      </c>
      <c r="S142">
        <f t="shared" si="40"/>
        <v>0.14789799771419762</v>
      </c>
      <c r="T142">
        <f t="shared" si="41"/>
        <v>276.11381525783759</v>
      </c>
      <c r="U142">
        <f t="shared" si="42"/>
        <v>26.755131455903182</v>
      </c>
      <c r="V142">
        <f t="shared" si="43"/>
        <v>26.755131455903182</v>
      </c>
      <c r="W142">
        <f t="shared" si="44"/>
        <v>3.5280071350115252</v>
      </c>
      <c r="X142">
        <f t="shared" si="45"/>
        <v>75.657971300045233</v>
      </c>
      <c r="Y142">
        <f t="shared" si="46"/>
        <v>2.4821035743257998</v>
      </c>
      <c r="Z142">
        <f t="shared" si="47"/>
        <v>3.2806901000322166</v>
      </c>
      <c r="AA142">
        <f t="shared" si="48"/>
        <v>1.0459035606857254</v>
      </c>
      <c r="AB142">
        <f t="shared" si="49"/>
        <v>-112.24336398182147</v>
      </c>
      <c r="AC142">
        <f t="shared" si="50"/>
        <v>-149.77493345759422</v>
      </c>
      <c r="AD142">
        <f t="shared" si="51"/>
        <v>-14.182839567971449</v>
      </c>
      <c r="AE142">
        <f t="shared" si="52"/>
        <v>-8.7321749549516881E-2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52867.162654009779</v>
      </c>
      <c r="AK142">
        <f t="shared" si="56"/>
        <v>1799.99</v>
      </c>
      <c r="AL142">
        <f t="shared" si="57"/>
        <v>1499.1041017976099</v>
      </c>
      <c r="AM142">
        <f t="shared" si="58"/>
        <v>0.83284023899999993</v>
      </c>
      <c r="AN142">
        <f t="shared" si="59"/>
        <v>0.15339741624</v>
      </c>
      <c r="AO142">
        <v>30</v>
      </c>
      <c r="AP142">
        <v>0.5</v>
      </c>
      <c r="AQ142" t="s">
        <v>331</v>
      </c>
      <c r="AR142">
        <v>2</v>
      </c>
      <c r="AS142">
        <v>1690293649.5999999</v>
      </c>
      <c r="AT142">
        <v>388.54599999999999</v>
      </c>
      <c r="AU142">
        <v>799.90899999999999</v>
      </c>
      <c r="AV142">
        <v>24.959099999999999</v>
      </c>
      <c r="AW142">
        <v>0.164912</v>
      </c>
      <c r="AX142">
        <v>388.75599999999997</v>
      </c>
      <c r="AY142">
        <v>24.807700000000001</v>
      </c>
      <c r="AZ142">
        <v>300.27300000000002</v>
      </c>
      <c r="BA142">
        <v>99.346800000000002</v>
      </c>
      <c r="BB142">
        <v>0.100038</v>
      </c>
      <c r="BC142">
        <v>25.525600000000001</v>
      </c>
      <c r="BD142">
        <v>26.991599999999998</v>
      </c>
      <c r="BE142">
        <v>26.600899999999999</v>
      </c>
      <c r="BF142">
        <v>0</v>
      </c>
      <c r="BG142">
        <v>0</v>
      </c>
      <c r="BH142">
        <v>10015</v>
      </c>
      <c r="BI142">
        <v>1062.48</v>
      </c>
      <c r="BJ142">
        <v>2.2987099999999998</v>
      </c>
      <c r="BK142">
        <v>-411.36399999999998</v>
      </c>
      <c r="BL142">
        <v>398.49200000000002</v>
      </c>
      <c r="BM142">
        <v>800.04100000000005</v>
      </c>
      <c r="BN142">
        <v>24.7942</v>
      </c>
      <c r="BO142">
        <v>799.90899999999999</v>
      </c>
      <c r="BP142">
        <v>0.164912</v>
      </c>
      <c r="BQ142">
        <v>2.4796100000000001</v>
      </c>
      <c r="BR142">
        <v>1.6383399999999999E-2</v>
      </c>
      <c r="BS142">
        <v>20.8933</v>
      </c>
      <c r="BT142">
        <v>-41.328499999999998</v>
      </c>
      <c r="BU142">
        <v>1799.99</v>
      </c>
      <c r="BV142">
        <v>0.91000099999999995</v>
      </c>
      <c r="BW142">
        <v>3.3997199999999998E-2</v>
      </c>
      <c r="BX142">
        <v>2.2000700000000002E-2</v>
      </c>
      <c r="BY142">
        <v>3.4001000000000003E-2</v>
      </c>
      <c r="BZ142">
        <v>25</v>
      </c>
      <c r="CA142">
        <v>33528.199999999997</v>
      </c>
      <c r="CB142">
        <v>1690292073.5</v>
      </c>
      <c r="CC142" t="s">
        <v>332</v>
      </c>
      <c r="CD142">
        <v>1690292069.5</v>
      </c>
      <c r="CE142">
        <v>1690292073.5</v>
      </c>
      <c r="CF142">
        <v>4</v>
      </c>
      <c r="CG142">
        <v>-3.6999999999999998E-2</v>
      </c>
      <c r="CH142">
        <v>-1.6E-2</v>
      </c>
      <c r="CI142">
        <v>-0.45200000000000001</v>
      </c>
      <c r="CJ142">
        <v>0.108</v>
      </c>
      <c r="CK142">
        <v>730</v>
      </c>
      <c r="CL142">
        <v>18</v>
      </c>
      <c r="CM142">
        <v>0</v>
      </c>
      <c r="CN142">
        <v>0.01</v>
      </c>
      <c r="CO142">
        <v>-410.01792499999999</v>
      </c>
      <c r="CP142">
        <v>-7.5414821763606676</v>
      </c>
      <c r="CQ142">
        <v>0.7259302785908569</v>
      </c>
      <c r="CR142">
        <v>-1</v>
      </c>
      <c r="CS142">
        <v>24.729015</v>
      </c>
      <c r="CT142">
        <v>0.34599849906188912</v>
      </c>
      <c r="CU142">
        <v>3.3345243663826921E-2</v>
      </c>
      <c r="CV142">
        <v>-1</v>
      </c>
      <c r="CW142">
        <v>0</v>
      </c>
      <c r="CX142">
        <v>0</v>
      </c>
      <c r="CY142" t="s">
        <v>333</v>
      </c>
      <c r="CZ142">
        <v>2.3652799999999998</v>
      </c>
      <c r="DA142">
        <v>2.7138399999999998</v>
      </c>
      <c r="DB142">
        <v>8.7822300000000006E-2</v>
      </c>
      <c r="DC142">
        <v>0.14643400000000001</v>
      </c>
      <c r="DD142">
        <v>0.11759699999999999</v>
      </c>
      <c r="DE142">
        <v>1.39258E-3</v>
      </c>
      <c r="DF142">
        <v>33315.699999999997</v>
      </c>
      <c r="DG142">
        <v>27512.6</v>
      </c>
      <c r="DH142">
        <v>31178.9</v>
      </c>
      <c r="DI142">
        <v>28085.8</v>
      </c>
      <c r="DJ142">
        <v>37343.800000000003</v>
      </c>
      <c r="DK142">
        <v>39883.5</v>
      </c>
      <c r="DL142">
        <v>44371</v>
      </c>
      <c r="DM142">
        <v>42561.7</v>
      </c>
      <c r="DN142">
        <v>1.4894000000000001</v>
      </c>
      <c r="DO142">
        <v>2.03912</v>
      </c>
      <c r="DP142">
        <v>0.13255</v>
      </c>
      <c r="DQ142">
        <v>0.13014700000000001</v>
      </c>
      <c r="DR142">
        <v>24.82</v>
      </c>
      <c r="DS142">
        <v>24.467400000000001</v>
      </c>
      <c r="DT142">
        <v>24.8</v>
      </c>
      <c r="DU142">
        <v>28.6</v>
      </c>
      <c r="DV142">
        <v>9.8101000000000003</v>
      </c>
      <c r="DW142">
        <v>61.383400000000002</v>
      </c>
      <c r="DX142">
        <v>34.907899999999998</v>
      </c>
      <c r="DY142">
        <v>1</v>
      </c>
      <c r="DZ142">
        <v>-0.11461399999999999</v>
      </c>
      <c r="EA142">
        <v>0.18233099999999999</v>
      </c>
      <c r="EB142">
        <v>20.1906</v>
      </c>
      <c r="EC142">
        <v>5.2409499999999998</v>
      </c>
      <c r="ED142">
        <v>12.039899999999999</v>
      </c>
      <c r="EE142">
        <v>5.0172999999999996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</v>
      </c>
      <c r="EL142">
        <v>1.8646199999999999</v>
      </c>
      <c r="EM142">
        <v>1.8692</v>
      </c>
      <c r="EN142">
        <v>1.8672200000000001</v>
      </c>
      <c r="EO142">
        <v>1.86338</v>
      </c>
      <c r="EP142">
        <v>1.8644700000000001</v>
      </c>
      <c r="EQ142">
        <v>1.87015</v>
      </c>
      <c r="ER142">
        <v>1.8694500000000001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-0.21</v>
      </c>
      <c r="FG142">
        <v>0.15140000000000001</v>
      </c>
      <c r="FH142">
        <v>5.0310448532705943E-2</v>
      </c>
      <c r="FI142">
        <v>-6.1462078757559423E-4</v>
      </c>
      <c r="FJ142">
        <v>-1.8861989874597051E-7</v>
      </c>
      <c r="FK142">
        <v>1.1980462299894961E-10</v>
      </c>
      <c r="FL142">
        <v>0.15140825623214971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26.3</v>
      </c>
      <c r="FU142">
        <v>26.3</v>
      </c>
      <c r="FV142">
        <v>1.7651399999999999</v>
      </c>
      <c r="FW142">
        <v>2.5842299999999998</v>
      </c>
      <c r="FX142">
        <v>1.5490699999999999</v>
      </c>
      <c r="FY142">
        <v>2.3327599999999999</v>
      </c>
      <c r="FZ142">
        <v>1.50146</v>
      </c>
      <c r="GA142">
        <v>2.3144499999999999</v>
      </c>
      <c r="GB142">
        <v>33.132199999999997</v>
      </c>
      <c r="GC142">
        <v>23.982399999999998</v>
      </c>
      <c r="GD142">
        <v>19</v>
      </c>
      <c r="GE142">
        <v>287.33600000000001</v>
      </c>
      <c r="GF142">
        <v>582.36300000000006</v>
      </c>
      <c r="GG142">
        <v>23.821300000000001</v>
      </c>
      <c r="GH142">
        <v>25.934100000000001</v>
      </c>
      <c r="GI142">
        <v>30.0001</v>
      </c>
      <c r="GJ142">
        <v>26.083200000000001</v>
      </c>
      <c r="GK142">
        <v>26.067599999999999</v>
      </c>
      <c r="GL142">
        <v>35.287599999999998</v>
      </c>
      <c r="GM142">
        <v>100</v>
      </c>
      <c r="GN142">
        <v>9.9679000000000002</v>
      </c>
      <c r="GO142">
        <v>23.823899999999998</v>
      </c>
      <c r="GP142">
        <v>800</v>
      </c>
      <c r="GQ142">
        <v>0</v>
      </c>
      <c r="GR142">
        <v>99.759799999999998</v>
      </c>
      <c r="GS142">
        <v>99.572800000000001</v>
      </c>
    </row>
    <row r="143" spans="1:201" x14ac:dyDescent="0.25">
      <c r="A143">
        <v>127</v>
      </c>
      <c r="B143">
        <v>1690293659.5999999</v>
      </c>
      <c r="C143">
        <v>1389</v>
      </c>
      <c r="D143" t="s">
        <v>587</v>
      </c>
      <c r="E143" t="s">
        <v>588</v>
      </c>
      <c r="F143" t="s">
        <v>330</v>
      </c>
      <c r="H143">
        <v>1690293659.5999999</v>
      </c>
      <c r="I143">
        <f t="shared" si="30"/>
        <v>2.550075750224584E-3</v>
      </c>
      <c r="J143">
        <f t="shared" si="31"/>
        <v>2.5500757502245839</v>
      </c>
      <c r="K143">
        <f t="shared" si="32"/>
        <v>40.30652432502901</v>
      </c>
      <c r="L143">
        <f t="shared" si="33"/>
        <v>387.31200000000001</v>
      </c>
      <c r="M143">
        <f t="shared" si="34"/>
        <v>112.24678448250818</v>
      </c>
      <c r="N143">
        <f t="shared" si="35"/>
        <v>11.162699814743819</v>
      </c>
      <c r="O143">
        <f t="shared" si="36"/>
        <v>38.517340256832</v>
      </c>
      <c r="P143">
        <f t="shared" si="37"/>
        <v>0.25068417518474678</v>
      </c>
      <c r="Q143">
        <f t="shared" si="38"/>
        <v>2.2584783849068817</v>
      </c>
      <c r="R143">
        <f t="shared" si="39"/>
        <v>0.23618811560872674</v>
      </c>
      <c r="S143">
        <f t="shared" si="40"/>
        <v>0.14885008494825697</v>
      </c>
      <c r="T143">
        <f t="shared" si="41"/>
        <v>276.11366900865011</v>
      </c>
      <c r="U143">
        <f t="shared" si="42"/>
        <v>26.758324853952725</v>
      </c>
      <c r="V143">
        <f t="shared" si="43"/>
        <v>26.758324853952725</v>
      </c>
      <c r="W143">
        <f t="shared" si="44"/>
        <v>3.5286700998699061</v>
      </c>
      <c r="X143">
        <f t="shared" si="45"/>
        <v>75.800941236107079</v>
      </c>
      <c r="Y143">
        <f t="shared" si="46"/>
        <v>2.4874290531664003</v>
      </c>
      <c r="Z143">
        <f t="shared" si="47"/>
        <v>3.2815279238004189</v>
      </c>
      <c r="AA143">
        <f t="shared" si="48"/>
        <v>1.0412410467035058</v>
      </c>
      <c r="AB143">
        <f t="shared" si="49"/>
        <v>-112.45834058490415</v>
      </c>
      <c r="AC143">
        <f t="shared" si="50"/>
        <v>-149.57188828101766</v>
      </c>
      <c r="AD143">
        <f t="shared" si="51"/>
        <v>-14.170607072876638</v>
      </c>
      <c r="AE143">
        <f t="shared" si="52"/>
        <v>-8.7166930148327992E-2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52825.933442448557</v>
      </c>
      <c r="AK143">
        <f t="shared" si="56"/>
        <v>1799.99</v>
      </c>
      <c r="AL143">
        <f t="shared" si="57"/>
        <v>1499.1041197975101</v>
      </c>
      <c r="AM143">
        <f t="shared" si="58"/>
        <v>0.83284024899999998</v>
      </c>
      <c r="AN143">
        <f t="shared" si="59"/>
        <v>0.15339733498999999</v>
      </c>
      <c r="AO143">
        <v>30</v>
      </c>
      <c r="AP143">
        <v>0.5</v>
      </c>
      <c r="AQ143" t="s">
        <v>331</v>
      </c>
      <c r="AR143">
        <v>2</v>
      </c>
      <c r="AS143">
        <v>1690293659.5999999</v>
      </c>
      <c r="AT143">
        <v>387.31200000000001</v>
      </c>
      <c r="AU143">
        <v>800.01599999999996</v>
      </c>
      <c r="AV143">
        <v>25.0124</v>
      </c>
      <c r="AW143">
        <v>0.16380700000000001</v>
      </c>
      <c r="AX143">
        <v>387.52100000000002</v>
      </c>
      <c r="AY143">
        <v>24.861000000000001</v>
      </c>
      <c r="AZ143">
        <v>300.173</v>
      </c>
      <c r="BA143">
        <v>99.347800000000007</v>
      </c>
      <c r="BB143">
        <v>0.100036</v>
      </c>
      <c r="BC143">
        <v>25.529900000000001</v>
      </c>
      <c r="BD143">
        <v>26.992999999999999</v>
      </c>
      <c r="BE143">
        <v>26.603000000000002</v>
      </c>
      <c r="BF143">
        <v>0</v>
      </c>
      <c r="BG143">
        <v>0</v>
      </c>
      <c r="BH143">
        <v>10006.9</v>
      </c>
      <c r="BI143">
        <v>1062.43</v>
      </c>
      <c r="BJ143">
        <v>2.2987099999999998</v>
      </c>
      <c r="BK143">
        <v>-412.70499999999998</v>
      </c>
      <c r="BL143">
        <v>397.24799999999999</v>
      </c>
      <c r="BM143">
        <v>800.14700000000005</v>
      </c>
      <c r="BN143">
        <v>24.848600000000001</v>
      </c>
      <c r="BO143">
        <v>800.01599999999996</v>
      </c>
      <c r="BP143">
        <v>0.16380700000000001</v>
      </c>
      <c r="BQ143">
        <v>2.4849199999999998</v>
      </c>
      <c r="BR143">
        <v>1.6273800000000001E-2</v>
      </c>
      <c r="BS143">
        <v>20.928100000000001</v>
      </c>
      <c r="BT143">
        <v>-41.3919</v>
      </c>
      <c r="BU143">
        <v>1799.99</v>
      </c>
      <c r="BV143">
        <v>0.91000300000000001</v>
      </c>
      <c r="BW143">
        <v>3.3996400000000003E-2</v>
      </c>
      <c r="BX143">
        <v>2.2000200000000001E-2</v>
      </c>
      <c r="BY143">
        <v>3.4000099999999998E-2</v>
      </c>
      <c r="BZ143">
        <v>25</v>
      </c>
      <c r="CA143">
        <v>33528.199999999997</v>
      </c>
      <c r="CB143">
        <v>1690292073.5</v>
      </c>
      <c r="CC143" t="s">
        <v>332</v>
      </c>
      <c r="CD143">
        <v>1690292069.5</v>
      </c>
      <c r="CE143">
        <v>1690292073.5</v>
      </c>
      <c r="CF143">
        <v>4</v>
      </c>
      <c r="CG143">
        <v>-3.6999999999999998E-2</v>
      </c>
      <c r="CH143">
        <v>-1.6E-2</v>
      </c>
      <c r="CI143">
        <v>-0.45200000000000001</v>
      </c>
      <c r="CJ143">
        <v>0.108</v>
      </c>
      <c r="CK143">
        <v>730</v>
      </c>
      <c r="CL143">
        <v>18</v>
      </c>
      <c r="CM143">
        <v>0</v>
      </c>
      <c r="CN143">
        <v>0.01</v>
      </c>
      <c r="CO143">
        <v>-411.29278048780492</v>
      </c>
      <c r="CP143">
        <v>-7.4295470383274793</v>
      </c>
      <c r="CQ143">
        <v>0.7330281834063761</v>
      </c>
      <c r="CR143">
        <v>-1</v>
      </c>
      <c r="CS143">
        <v>24.787653658536581</v>
      </c>
      <c r="CT143">
        <v>0.34038815331018057</v>
      </c>
      <c r="CU143">
        <v>3.3575303769295607E-2</v>
      </c>
      <c r="CV143">
        <v>-1</v>
      </c>
      <c r="CW143">
        <v>0</v>
      </c>
      <c r="CX143">
        <v>0</v>
      </c>
      <c r="CY143" t="s">
        <v>333</v>
      </c>
      <c r="CZ143">
        <v>2.3649499999999999</v>
      </c>
      <c r="DA143">
        <v>2.7138300000000002</v>
      </c>
      <c r="DB143">
        <v>8.7608900000000003E-2</v>
      </c>
      <c r="DC143">
        <v>0.146449</v>
      </c>
      <c r="DD143">
        <v>0.117775</v>
      </c>
      <c r="DE143">
        <v>1.3833599999999999E-3</v>
      </c>
      <c r="DF143">
        <v>33322.699999999997</v>
      </c>
      <c r="DG143">
        <v>27512.1</v>
      </c>
      <c r="DH143">
        <v>31178.2</v>
      </c>
      <c r="DI143">
        <v>28085.8</v>
      </c>
      <c r="DJ143">
        <v>37335.300000000003</v>
      </c>
      <c r="DK143">
        <v>39883.599999999999</v>
      </c>
      <c r="DL143">
        <v>44370</v>
      </c>
      <c r="DM143">
        <v>42561.4</v>
      </c>
      <c r="DN143">
        <v>1.4893700000000001</v>
      </c>
      <c r="DO143">
        <v>2.0388299999999999</v>
      </c>
      <c r="DP143">
        <v>0.13245599999999999</v>
      </c>
      <c r="DQ143">
        <v>0.130024</v>
      </c>
      <c r="DR143">
        <v>24.822900000000001</v>
      </c>
      <c r="DS143">
        <v>24.471499999999999</v>
      </c>
      <c r="DT143">
        <v>24.6</v>
      </c>
      <c r="DU143">
        <v>28.6</v>
      </c>
      <c r="DV143">
        <v>9.7307199999999998</v>
      </c>
      <c r="DW143">
        <v>61.433399999999999</v>
      </c>
      <c r="DX143">
        <v>35.288499999999999</v>
      </c>
      <c r="DY143">
        <v>1</v>
      </c>
      <c r="DZ143">
        <v>-0.114769</v>
      </c>
      <c r="EA143">
        <v>0.18099699999999999</v>
      </c>
      <c r="EB143">
        <v>20.1904</v>
      </c>
      <c r="EC143">
        <v>5.2413999999999996</v>
      </c>
      <c r="ED143">
        <v>12.039899999999999</v>
      </c>
      <c r="EE143">
        <v>5.01715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</v>
      </c>
      <c r="EL143">
        <v>1.8646199999999999</v>
      </c>
      <c r="EM143">
        <v>1.8691899999999999</v>
      </c>
      <c r="EN143">
        <v>1.8672200000000001</v>
      </c>
      <c r="EO143">
        <v>1.86338</v>
      </c>
      <c r="EP143">
        <v>1.86446</v>
      </c>
      <c r="EQ143">
        <v>1.8701700000000001</v>
      </c>
      <c r="ER143">
        <v>1.86941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-0.20899999999999999</v>
      </c>
      <c r="FG143">
        <v>0.15140000000000001</v>
      </c>
      <c r="FH143">
        <v>5.0310448532705943E-2</v>
      </c>
      <c r="FI143">
        <v>-6.1462078757559423E-4</v>
      </c>
      <c r="FJ143">
        <v>-1.8861989874597051E-7</v>
      </c>
      <c r="FK143">
        <v>1.1980462299894961E-10</v>
      </c>
      <c r="FL143">
        <v>0.15140825623214971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26.5</v>
      </c>
      <c r="FU143">
        <v>26.4</v>
      </c>
      <c r="FV143">
        <v>1.7651399999999999</v>
      </c>
      <c r="FW143">
        <v>2.5756800000000002</v>
      </c>
      <c r="FX143">
        <v>1.5490699999999999</v>
      </c>
      <c r="FY143">
        <v>2.3327599999999999</v>
      </c>
      <c r="FZ143">
        <v>1.50146</v>
      </c>
      <c r="GA143">
        <v>2.36084</v>
      </c>
      <c r="GB143">
        <v>33.154499999999999</v>
      </c>
      <c r="GC143">
        <v>23.991199999999999</v>
      </c>
      <c r="GD143">
        <v>19</v>
      </c>
      <c r="GE143">
        <v>287.32</v>
      </c>
      <c r="GF143">
        <v>582.10799999999995</v>
      </c>
      <c r="GG143">
        <v>23.830200000000001</v>
      </c>
      <c r="GH143">
        <v>25.934100000000001</v>
      </c>
      <c r="GI143">
        <v>30</v>
      </c>
      <c r="GJ143">
        <v>26.082000000000001</v>
      </c>
      <c r="GK143">
        <v>26.066800000000001</v>
      </c>
      <c r="GL143">
        <v>35.289000000000001</v>
      </c>
      <c r="GM143">
        <v>100</v>
      </c>
      <c r="GN143">
        <v>9.2004699999999993</v>
      </c>
      <c r="GO143">
        <v>23.831399999999999</v>
      </c>
      <c r="GP143">
        <v>800</v>
      </c>
      <c r="GQ143">
        <v>0</v>
      </c>
      <c r="GR143">
        <v>99.757499999999993</v>
      </c>
      <c r="GS143">
        <v>99.572400000000002</v>
      </c>
    </row>
    <row r="144" spans="1:201" x14ac:dyDescent="0.25">
      <c r="A144">
        <v>128</v>
      </c>
      <c r="B144">
        <v>1690293669.5999999</v>
      </c>
      <c r="C144">
        <v>1399</v>
      </c>
      <c r="D144" t="s">
        <v>589</v>
      </c>
      <c r="E144" t="s">
        <v>590</v>
      </c>
      <c r="F144" t="s">
        <v>330</v>
      </c>
      <c r="H144">
        <v>1690293669.5999999</v>
      </c>
      <c r="I144">
        <f t="shared" si="30"/>
        <v>2.5560889383310203E-3</v>
      </c>
      <c r="J144">
        <f t="shared" si="31"/>
        <v>2.5560889383310204</v>
      </c>
      <c r="K144">
        <f t="shared" si="32"/>
        <v>40.427901473888717</v>
      </c>
      <c r="L144">
        <f t="shared" si="33"/>
        <v>386.089</v>
      </c>
      <c r="M144">
        <f t="shared" si="34"/>
        <v>112.22751622921804</v>
      </c>
      <c r="N144">
        <f t="shared" si="35"/>
        <v>11.16078733215865</v>
      </c>
      <c r="O144">
        <f t="shared" si="36"/>
        <v>38.395728294341005</v>
      </c>
      <c r="P144">
        <f t="shared" si="37"/>
        <v>0.2526638474094971</v>
      </c>
      <c r="Q144">
        <f t="shared" si="38"/>
        <v>2.2526659761148595</v>
      </c>
      <c r="R144">
        <f t="shared" si="39"/>
        <v>0.23790954750968712</v>
      </c>
      <c r="S144">
        <f t="shared" si="40"/>
        <v>0.14994723455058728</v>
      </c>
      <c r="T144">
        <f t="shared" si="41"/>
        <v>276.11511343200004</v>
      </c>
      <c r="U144">
        <f t="shared" si="42"/>
        <v>26.760735150545507</v>
      </c>
      <c r="V144">
        <f t="shared" si="43"/>
        <v>26.760735150545507</v>
      </c>
      <c r="W144">
        <f t="shared" si="44"/>
        <v>3.5291705611078572</v>
      </c>
      <c r="X144">
        <f t="shared" si="45"/>
        <v>75.965727913563924</v>
      </c>
      <c r="Y144">
        <f t="shared" si="46"/>
        <v>2.4930586279610001</v>
      </c>
      <c r="Z144">
        <f t="shared" si="47"/>
        <v>3.2818202318783505</v>
      </c>
      <c r="AA144">
        <f t="shared" si="48"/>
        <v>1.0361119331468571</v>
      </c>
      <c r="AB144">
        <f t="shared" si="49"/>
        <v>-112.72352218039799</v>
      </c>
      <c r="AC144">
        <f t="shared" si="50"/>
        <v>-149.2975024422135</v>
      </c>
      <c r="AD144">
        <f t="shared" si="51"/>
        <v>-14.181386026983926</v>
      </c>
      <c r="AE144">
        <f t="shared" si="52"/>
        <v>-8.7297217595391885E-2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52597.614163623315</v>
      </c>
      <c r="AK144">
        <f t="shared" si="56"/>
        <v>1800</v>
      </c>
      <c r="AL144">
        <f t="shared" si="57"/>
        <v>1499.1127362</v>
      </c>
      <c r="AM144">
        <f t="shared" si="58"/>
        <v>0.832840409</v>
      </c>
      <c r="AN144">
        <f t="shared" si="59"/>
        <v>0.15339728524000001</v>
      </c>
      <c r="AO144">
        <v>30</v>
      </c>
      <c r="AP144">
        <v>0.5</v>
      </c>
      <c r="AQ144" t="s">
        <v>331</v>
      </c>
      <c r="AR144">
        <v>2</v>
      </c>
      <c r="AS144">
        <v>1690293669.5999999</v>
      </c>
      <c r="AT144">
        <v>386.089</v>
      </c>
      <c r="AU144">
        <v>800.005</v>
      </c>
      <c r="AV144">
        <v>25.068999999999999</v>
      </c>
      <c r="AW144">
        <v>0.16284399999999999</v>
      </c>
      <c r="AX144">
        <v>386.298</v>
      </c>
      <c r="AY144">
        <v>24.9176</v>
      </c>
      <c r="AZ144">
        <v>300.16800000000001</v>
      </c>
      <c r="BA144">
        <v>99.347800000000007</v>
      </c>
      <c r="BB144">
        <v>0.10006900000000001</v>
      </c>
      <c r="BC144">
        <v>25.531400000000001</v>
      </c>
      <c r="BD144">
        <v>26.9984</v>
      </c>
      <c r="BE144">
        <v>26.589600000000001</v>
      </c>
      <c r="BF144">
        <v>0</v>
      </c>
      <c r="BG144">
        <v>0</v>
      </c>
      <c r="BH144">
        <v>9961.8799999999992</v>
      </c>
      <c r="BI144">
        <v>1062.55</v>
      </c>
      <c r="BJ144">
        <v>2.2987099999999998</v>
      </c>
      <c r="BK144">
        <v>-413.916</v>
      </c>
      <c r="BL144">
        <v>396.017</v>
      </c>
      <c r="BM144">
        <v>800.13599999999997</v>
      </c>
      <c r="BN144">
        <v>24.906199999999998</v>
      </c>
      <c r="BO144">
        <v>800.005</v>
      </c>
      <c r="BP144">
        <v>0.16284399999999999</v>
      </c>
      <c r="BQ144">
        <v>2.4905599999999999</v>
      </c>
      <c r="BR144">
        <v>1.61782E-2</v>
      </c>
      <c r="BS144">
        <v>20.9649</v>
      </c>
      <c r="BT144">
        <v>-41.447600000000001</v>
      </c>
      <c r="BU144">
        <v>1800</v>
      </c>
      <c r="BV144">
        <v>0.91000499999999995</v>
      </c>
      <c r="BW144">
        <v>3.3995600000000001E-2</v>
      </c>
      <c r="BX144">
        <v>2.1999700000000001E-2</v>
      </c>
      <c r="BY144">
        <v>3.3999399999999999E-2</v>
      </c>
      <c r="BZ144">
        <v>25</v>
      </c>
      <c r="CA144">
        <v>33528.400000000001</v>
      </c>
      <c r="CB144">
        <v>1690292073.5</v>
      </c>
      <c r="CC144" t="s">
        <v>332</v>
      </c>
      <c r="CD144">
        <v>1690292069.5</v>
      </c>
      <c r="CE144">
        <v>1690292073.5</v>
      </c>
      <c r="CF144">
        <v>4</v>
      </c>
      <c r="CG144">
        <v>-3.6999999999999998E-2</v>
      </c>
      <c r="CH144">
        <v>-1.6E-2</v>
      </c>
      <c r="CI144">
        <v>-0.45200000000000001</v>
      </c>
      <c r="CJ144">
        <v>0.108</v>
      </c>
      <c r="CK144">
        <v>730</v>
      </c>
      <c r="CL144">
        <v>18</v>
      </c>
      <c r="CM144">
        <v>0</v>
      </c>
      <c r="CN144">
        <v>0.01</v>
      </c>
      <c r="CO144">
        <v>-412.51427499999988</v>
      </c>
      <c r="CP144">
        <v>-7.7794108817999943</v>
      </c>
      <c r="CQ144">
        <v>0.7488049474829882</v>
      </c>
      <c r="CR144">
        <v>-1</v>
      </c>
      <c r="CS144">
        <v>24.842702500000001</v>
      </c>
      <c r="CT144">
        <v>0.33328592870535051</v>
      </c>
      <c r="CU144">
        <v>3.2066536198192608E-2</v>
      </c>
      <c r="CV144">
        <v>-1</v>
      </c>
      <c r="CW144">
        <v>0</v>
      </c>
      <c r="CX144">
        <v>0</v>
      </c>
      <c r="CY144" t="s">
        <v>333</v>
      </c>
      <c r="CZ144">
        <v>2.3649399999999998</v>
      </c>
      <c r="DA144">
        <v>2.7138300000000002</v>
      </c>
      <c r="DB144">
        <v>8.7396199999999993E-2</v>
      </c>
      <c r="DC144">
        <v>0.14644799999999999</v>
      </c>
      <c r="DD144">
        <v>0.117962</v>
      </c>
      <c r="DE144">
        <v>1.37532E-3</v>
      </c>
      <c r="DF144">
        <v>33331.1</v>
      </c>
      <c r="DG144">
        <v>27512.1</v>
      </c>
      <c r="DH144">
        <v>31178.799999999999</v>
      </c>
      <c r="DI144">
        <v>28085.8</v>
      </c>
      <c r="DJ144">
        <v>37327.9</v>
      </c>
      <c r="DK144">
        <v>39884</v>
      </c>
      <c r="DL144">
        <v>44370.7</v>
      </c>
      <c r="DM144">
        <v>42561.5</v>
      </c>
      <c r="DN144">
        <v>1.48935</v>
      </c>
      <c r="DO144">
        <v>2.0388999999999999</v>
      </c>
      <c r="DP144">
        <v>0.132497</v>
      </c>
      <c r="DQ144">
        <v>0.128966</v>
      </c>
      <c r="DR144">
        <v>24.8276</v>
      </c>
      <c r="DS144">
        <v>24.4754</v>
      </c>
      <c r="DT144">
        <v>24.5</v>
      </c>
      <c r="DU144">
        <v>28.6</v>
      </c>
      <c r="DV144">
        <v>9.6906800000000004</v>
      </c>
      <c r="DW144">
        <v>61.993400000000001</v>
      </c>
      <c r="DX144">
        <v>36.021599999999999</v>
      </c>
      <c r="DY144">
        <v>1</v>
      </c>
      <c r="DZ144">
        <v>-0.115</v>
      </c>
      <c r="EA144">
        <v>0.16206200000000001</v>
      </c>
      <c r="EB144">
        <v>20.1907</v>
      </c>
      <c r="EC144">
        <v>5.24125</v>
      </c>
      <c r="ED144">
        <v>12.039899999999999</v>
      </c>
      <c r="EE144">
        <v>5.0171999999999999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1.8646199999999999</v>
      </c>
      <c r="EM144">
        <v>1.8692</v>
      </c>
      <c r="EN144">
        <v>1.8672200000000001</v>
      </c>
      <c r="EO144">
        <v>1.86338</v>
      </c>
      <c r="EP144">
        <v>1.8644700000000001</v>
      </c>
      <c r="EQ144">
        <v>1.87015</v>
      </c>
      <c r="ER144">
        <v>1.8694299999999999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-0.20899999999999999</v>
      </c>
      <c r="FG144">
        <v>0.15140000000000001</v>
      </c>
      <c r="FH144">
        <v>5.0310448532705943E-2</v>
      </c>
      <c r="FI144">
        <v>-6.1462078757559423E-4</v>
      </c>
      <c r="FJ144">
        <v>-1.8861989874597051E-7</v>
      </c>
      <c r="FK144">
        <v>1.1980462299894961E-10</v>
      </c>
      <c r="FL144">
        <v>0.15140825623214971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26.7</v>
      </c>
      <c r="FU144">
        <v>26.6</v>
      </c>
      <c r="FV144">
        <v>1.7651399999999999</v>
      </c>
      <c r="FW144">
        <v>2.5781200000000002</v>
      </c>
      <c r="FX144">
        <v>1.5490699999999999</v>
      </c>
      <c r="FY144">
        <v>2.3327599999999999</v>
      </c>
      <c r="FZ144">
        <v>1.50146</v>
      </c>
      <c r="GA144">
        <v>2.3925800000000002</v>
      </c>
      <c r="GB144">
        <v>33.132199999999997</v>
      </c>
      <c r="GC144">
        <v>23.982399999999998</v>
      </c>
      <c r="GD144">
        <v>19</v>
      </c>
      <c r="GE144">
        <v>287.30900000000003</v>
      </c>
      <c r="GF144">
        <v>582.154</v>
      </c>
      <c r="GG144">
        <v>23.838000000000001</v>
      </c>
      <c r="GH144">
        <v>25.934100000000001</v>
      </c>
      <c r="GI144">
        <v>30.0001</v>
      </c>
      <c r="GJ144">
        <v>26.082000000000001</v>
      </c>
      <c r="GK144">
        <v>26.0655</v>
      </c>
      <c r="GL144">
        <v>35.289299999999997</v>
      </c>
      <c r="GM144">
        <v>100</v>
      </c>
      <c r="GN144">
        <v>8.8174399999999995</v>
      </c>
      <c r="GO144">
        <v>23.847100000000001</v>
      </c>
      <c r="GP144">
        <v>800</v>
      </c>
      <c r="GQ144">
        <v>0</v>
      </c>
      <c r="GR144">
        <v>99.759299999999996</v>
      </c>
      <c r="GS144">
        <v>99.572500000000005</v>
      </c>
    </row>
    <row r="145" spans="1:201" x14ac:dyDescent="0.25">
      <c r="A145">
        <v>129</v>
      </c>
      <c r="B145">
        <v>1690293679.5999999</v>
      </c>
      <c r="C145">
        <v>1409</v>
      </c>
      <c r="D145" t="s">
        <v>591</v>
      </c>
      <c r="E145" t="s">
        <v>592</v>
      </c>
      <c r="F145" t="s">
        <v>330</v>
      </c>
      <c r="H145">
        <v>1690293679.5999999</v>
      </c>
      <c r="I145">
        <f t="shared" ref="I145:I208" si="60">(J145)/1000</f>
        <v>2.561166545843368E-3</v>
      </c>
      <c r="J145">
        <f t="shared" ref="J145:J208" si="61">1000*AZ145*AH145*(AV145-AW145)/(100*AO145*(1000-AH145*AV145))</f>
        <v>2.5611665458433679</v>
      </c>
      <c r="K145">
        <f t="shared" ref="K145:K208" si="62">AZ145*AH145*(AU145-AT145*(1000-AH145*AW145)/(1000-AH145*AV145))/(100*AO145)</f>
        <v>40.532049137008151</v>
      </c>
      <c r="L145">
        <f t="shared" ref="L145:L208" si="63">AT145 - IF(AH145&gt;1, K145*AO145*100/(AJ145*BH145), 0)</f>
        <v>384.92700000000002</v>
      </c>
      <c r="M145">
        <f t="shared" ref="M145:M208" si="64">((S145-I145/2)*L145-K145)/(S145+I145/2)</f>
        <v>112.47567405132219</v>
      </c>
      <c r="N145">
        <f t="shared" ref="N145:N208" si="65">M145*(BA145+BB145)/1000</f>
        <v>11.185528972644383</v>
      </c>
      <c r="O145">
        <f t="shared" ref="O145:O208" si="66">(AT145 - IF(AH145&gt;1, K145*AO145*100/(AJ145*BH145), 0))*(BA145+BB145)/1000</f>
        <v>38.280385044755995</v>
      </c>
      <c r="P145">
        <f t="shared" ref="P145:P208" si="67">2/((1/R145-1/Q145)+SIGN(R145)*SQRT((1/R145-1/Q145)*(1/R145-1/Q145) + 4*AP145/((AP145+1)*(AP145+1))*(2*1/R145*1/Q145-1/Q145*1/Q145)))</f>
        <v>0.25468450758458494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2.2586408032719025</v>
      </c>
      <c r="R145">
        <f t="shared" ref="R145:R208" si="69">I145*(1000-(1000*0.61365*EXP(17.502*V145/(240.97+V145))/(BA145+BB145)+AV145)/2)/(1000*0.61365*EXP(17.502*V145/(240.97+V145))/(BA145+BB145)-AV145)</f>
        <v>0.23973792157214641</v>
      </c>
      <c r="S145">
        <f t="shared" ref="S145:S208" si="70">1/((AP145+1)/(P145/1.6)+1/(Q145/1.37)) + AP145/((AP145+1)/(P145/1.6) + AP145/(Q145/1.37))</f>
        <v>0.15110594355874002</v>
      </c>
      <c r="T145">
        <f t="shared" ref="T145:T208" si="71">(AK145*AN145)</f>
        <v>276.11514129600005</v>
      </c>
      <c r="U145">
        <f t="shared" ref="U145:U208" si="72">(BC145+(T145+2*0.95*0.0000000567*(((BC145+$B$7)+273)^4-(BC145+273)^4)-44100*I145)/(1.84*29.3*Q145+8*0.95*0.0000000567*(BC145+273)^3))</f>
        <v>26.757780723516575</v>
      </c>
      <c r="V145">
        <f t="shared" ref="V145:V208" si="73">($C$7*BD145+$D$7*BE145+$E$7*U145)</f>
        <v>26.757780723516575</v>
      </c>
      <c r="W145">
        <f t="shared" ref="W145:W208" si="74">0.61365*EXP(17.502*V145/(240.97+V145))</f>
        <v>3.5285571280765851</v>
      </c>
      <c r="X145">
        <f t="shared" ref="X145:X208" si="75">(Y145/Z145*100)</f>
        <v>76.118469444910943</v>
      </c>
      <c r="Y145">
        <f t="shared" ref="Y145:Y208" si="76">AV145*(BA145+BB145)/1000</f>
        <v>2.4983235185303996</v>
      </c>
      <c r="Z145">
        <f t="shared" ref="Z145:Z208" si="77">0.61365*EXP(17.502*BC145/(240.97+BC145))</f>
        <v>3.282151541865284</v>
      </c>
      <c r="AA145">
        <f t="shared" ref="AA145:AA208" si="78">(W145-AV145*(BA145+BB145)/1000)</f>
        <v>1.0302336095461855</v>
      </c>
      <c r="AB145">
        <f t="shared" ref="AB145:AB208" si="79">(-I145*44100)</f>
        <v>-112.94744467169254</v>
      </c>
      <c r="AC145">
        <f t="shared" ref="AC145:AC208" si="80">2*29.3*Q145*0.92*(BC145-V145)</f>
        <v>-149.12673004914072</v>
      </c>
      <c r="AD145">
        <f t="shared" ref="AD145:AD208" si="81">2*0.95*0.0000000567*(((BC145+$B$7)+273)^4-(V145+273)^4)</f>
        <v>-14.127604091780961</v>
      </c>
      <c r="AE145">
        <f t="shared" ref="AE145:AE208" si="82">T145+AD145+AB145+AC145</f>
        <v>-8.6637516614160859E-2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52831.760866154866</v>
      </c>
      <c r="AK145">
        <f t="shared" ref="AK145:AK208" si="86">$B$11*BI145+$C$11*BJ145+$D$11*BU145</f>
        <v>1800</v>
      </c>
      <c r="AL145">
        <f t="shared" ref="AL145:AL208" si="87">AK145*AM145</f>
        <v>1499.1138486000002</v>
      </c>
      <c r="AM145">
        <f t="shared" ref="AM145:AM208" si="88">($B$11*$D$9+$C$11*$D$9+$D$11*(BV145*$E$9+BW145*$F$9+BX145*$G$9+BY145*$H$9))/($B$11+$C$11+$D$11)</f>
        <v>0.83284102700000007</v>
      </c>
      <c r="AN145">
        <f t="shared" ref="AN145:AN208" si="89">($B$11*$K$9+$C$11*$K$9+$D$11*(BV145*$L$9+BW145*$M$9+BX145*$N$9+BY145*$O$9))/($B$11+$C$11+$D$11)</f>
        <v>0.15339730072000002</v>
      </c>
      <c r="AO145">
        <v>30</v>
      </c>
      <c r="AP145">
        <v>0.5</v>
      </c>
      <c r="AQ145" t="s">
        <v>331</v>
      </c>
      <c r="AR145">
        <v>2</v>
      </c>
      <c r="AS145">
        <v>1690293679.5999999</v>
      </c>
      <c r="AT145">
        <v>384.92700000000002</v>
      </c>
      <c r="AU145">
        <v>799.96500000000003</v>
      </c>
      <c r="AV145">
        <v>25.1218</v>
      </c>
      <c r="AW145">
        <v>0.16203200000000001</v>
      </c>
      <c r="AX145">
        <v>385.13499999999999</v>
      </c>
      <c r="AY145">
        <v>24.970400000000001</v>
      </c>
      <c r="AZ145">
        <v>300.10199999999998</v>
      </c>
      <c r="BA145">
        <v>99.348399999999998</v>
      </c>
      <c r="BB145">
        <v>0.10002800000000001</v>
      </c>
      <c r="BC145">
        <v>25.533100000000001</v>
      </c>
      <c r="BD145">
        <v>27.011600000000001</v>
      </c>
      <c r="BE145">
        <v>26.598199999999999</v>
      </c>
      <c r="BF145">
        <v>0</v>
      </c>
      <c r="BG145">
        <v>0</v>
      </c>
      <c r="BH145">
        <v>10008.1</v>
      </c>
      <c r="BI145">
        <v>1062.6400000000001</v>
      </c>
      <c r="BJ145">
        <v>2.2987099999999998</v>
      </c>
      <c r="BK145">
        <v>-415.03800000000001</v>
      </c>
      <c r="BL145">
        <v>394.84699999999998</v>
      </c>
      <c r="BM145">
        <v>800.09500000000003</v>
      </c>
      <c r="BN145">
        <v>24.959800000000001</v>
      </c>
      <c r="BO145">
        <v>799.96500000000003</v>
      </c>
      <c r="BP145">
        <v>0.16203200000000001</v>
      </c>
      <c r="BQ145">
        <v>2.4958100000000001</v>
      </c>
      <c r="BR145">
        <v>1.60977E-2</v>
      </c>
      <c r="BS145">
        <v>20.999199999999998</v>
      </c>
      <c r="BT145">
        <v>-41.494700000000002</v>
      </c>
      <c r="BU145">
        <v>1800</v>
      </c>
      <c r="BV145">
        <v>0.91000800000000004</v>
      </c>
      <c r="BW145">
        <v>3.3994700000000003E-2</v>
      </c>
      <c r="BX145">
        <v>2.1999100000000001E-2</v>
      </c>
      <c r="BY145">
        <v>3.3998399999999998E-2</v>
      </c>
      <c r="BZ145">
        <v>25</v>
      </c>
      <c r="CA145">
        <v>33528.400000000001</v>
      </c>
      <c r="CB145">
        <v>1690292073.5</v>
      </c>
      <c r="CC145" t="s">
        <v>332</v>
      </c>
      <c r="CD145">
        <v>1690292069.5</v>
      </c>
      <c r="CE145">
        <v>1690292073.5</v>
      </c>
      <c r="CF145">
        <v>4</v>
      </c>
      <c r="CG145">
        <v>-3.6999999999999998E-2</v>
      </c>
      <c r="CH145">
        <v>-1.6E-2</v>
      </c>
      <c r="CI145">
        <v>-0.45200000000000001</v>
      </c>
      <c r="CJ145">
        <v>0.108</v>
      </c>
      <c r="CK145">
        <v>730</v>
      </c>
      <c r="CL145">
        <v>18</v>
      </c>
      <c r="CM145">
        <v>0</v>
      </c>
      <c r="CN145">
        <v>0.01</v>
      </c>
      <c r="CO145">
        <v>-413.77960975609761</v>
      </c>
      <c r="CP145">
        <v>-7.1695609756096301</v>
      </c>
      <c r="CQ145">
        <v>0.70796499424445125</v>
      </c>
      <c r="CR145">
        <v>-1</v>
      </c>
      <c r="CS145">
        <v>24.899821951219511</v>
      </c>
      <c r="CT145">
        <v>0.33503414634146478</v>
      </c>
      <c r="CU145">
        <v>3.3046438221381043E-2</v>
      </c>
      <c r="CV145">
        <v>-1</v>
      </c>
      <c r="CW145">
        <v>0</v>
      </c>
      <c r="CX145">
        <v>0</v>
      </c>
      <c r="CY145" t="s">
        <v>333</v>
      </c>
      <c r="CZ145">
        <v>2.3647200000000002</v>
      </c>
      <c r="DA145">
        <v>2.7138300000000002</v>
      </c>
      <c r="DB145">
        <v>8.7194599999999997E-2</v>
      </c>
      <c r="DC145">
        <v>0.14644399999999999</v>
      </c>
      <c r="DD145">
        <v>0.11813700000000001</v>
      </c>
      <c r="DE145">
        <v>1.3685399999999999E-3</v>
      </c>
      <c r="DF145">
        <v>33338.300000000003</v>
      </c>
      <c r="DG145">
        <v>27512.6</v>
      </c>
      <c r="DH145">
        <v>31178.6</v>
      </c>
      <c r="DI145">
        <v>28086.2</v>
      </c>
      <c r="DJ145">
        <v>37320</v>
      </c>
      <c r="DK145">
        <v>39884.699999999997</v>
      </c>
      <c r="DL145">
        <v>44370.3</v>
      </c>
      <c r="DM145">
        <v>42561.9</v>
      </c>
      <c r="DN145">
        <v>1.4892300000000001</v>
      </c>
      <c r="DO145">
        <v>2.0387499999999998</v>
      </c>
      <c r="DP145">
        <v>0.133019</v>
      </c>
      <c r="DQ145">
        <v>0.12923000000000001</v>
      </c>
      <c r="DR145">
        <v>24.8323</v>
      </c>
      <c r="DS145">
        <v>24.479700000000001</v>
      </c>
      <c r="DT145">
        <v>24.3</v>
      </c>
      <c r="DU145">
        <v>28.6</v>
      </c>
      <c r="DV145">
        <v>9.61266</v>
      </c>
      <c r="DW145">
        <v>61.323399999999999</v>
      </c>
      <c r="DX145">
        <v>35.508800000000001</v>
      </c>
      <c r="DY145">
        <v>1</v>
      </c>
      <c r="DZ145">
        <v>-0.114439</v>
      </c>
      <c r="EA145">
        <v>0.24310699999999999</v>
      </c>
      <c r="EB145">
        <v>20.190300000000001</v>
      </c>
      <c r="EC145">
        <v>5.24125</v>
      </c>
      <c r="ED145">
        <v>12.039899999999999</v>
      </c>
      <c r="EE145">
        <v>5.0173500000000004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</v>
      </c>
      <c r="EL145">
        <v>1.8646100000000001</v>
      </c>
      <c r="EM145">
        <v>1.8691899999999999</v>
      </c>
      <c r="EN145">
        <v>1.8672200000000001</v>
      </c>
      <c r="EO145">
        <v>1.86338</v>
      </c>
      <c r="EP145">
        <v>1.8644700000000001</v>
      </c>
      <c r="EQ145">
        <v>1.87018</v>
      </c>
      <c r="ER145">
        <v>1.8694200000000001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-0.20799999999999999</v>
      </c>
      <c r="FG145">
        <v>0.15140000000000001</v>
      </c>
      <c r="FH145">
        <v>5.0310448532705943E-2</v>
      </c>
      <c r="FI145">
        <v>-6.1462078757559423E-4</v>
      </c>
      <c r="FJ145">
        <v>-1.8861989874597051E-7</v>
      </c>
      <c r="FK145">
        <v>1.1980462299894961E-10</v>
      </c>
      <c r="FL145">
        <v>0.15140825623214971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26.8</v>
      </c>
      <c r="FU145">
        <v>26.8</v>
      </c>
      <c r="FV145">
        <v>1.7651399999999999</v>
      </c>
      <c r="FW145">
        <v>2.5878899999999998</v>
      </c>
      <c r="FX145">
        <v>1.5490699999999999</v>
      </c>
      <c r="FY145">
        <v>2.3327599999999999</v>
      </c>
      <c r="FZ145">
        <v>1.50146</v>
      </c>
      <c r="GA145">
        <v>2.3095699999999999</v>
      </c>
      <c r="GB145">
        <v>33.154499999999999</v>
      </c>
      <c r="GC145">
        <v>23.982399999999998</v>
      </c>
      <c r="GD145">
        <v>19</v>
      </c>
      <c r="GE145">
        <v>287.24700000000001</v>
      </c>
      <c r="GF145">
        <v>582.03</v>
      </c>
      <c r="GG145">
        <v>23.834</v>
      </c>
      <c r="GH145">
        <v>25.932500000000001</v>
      </c>
      <c r="GI145">
        <v>30.0002</v>
      </c>
      <c r="GJ145">
        <v>26.08</v>
      </c>
      <c r="GK145">
        <v>26.0655</v>
      </c>
      <c r="GL145">
        <v>35.290399999999998</v>
      </c>
      <c r="GM145">
        <v>100</v>
      </c>
      <c r="GN145">
        <v>8.4368599999999994</v>
      </c>
      <c r="GO145">
        <v>23.823599999999999</v>
      </c>
      <c r="GP145">
        <v>800</v>
      </c>
      <c r="GQ145">
        <v>0</v>
      </c>
      <c r="GR145">
        <v>99.758499999999998</v>
      </c>
      <c r="GS145">
        <v>99.573499999999996</v>
      </c>
    </row>
    <row r="146" spans="1:201" x14ac:dyDescent="0.25">
      <c r="A146">
        <v>130</v>
      </c>
      <c r="B146">
        <v>1690293689.5999999</v>
      </c>
      <c r="C146">
        <v>1419</v>
      </c>
      <c r="D146" t="s">
        <v>593</v>
      </c>
      <c r="E146" t="s">
        <v>594</v>
      </c>
      <c r="F146" t="s">
        <v>330</v>
      </c>
      <c r="H146">
        <v>1690293689.5999999</v>
      </c>
      <c r="I146">
        <f t="shared" si="60"/>
        <v>2.5667074532291947E-3</v>
      </c>
      <c r="J146">
        <f t="shared" si="61"/>
        <v>2.5667074532291947</v>
      </c>
      <c r="K146">
        <f t="shared" si="62"/>
        <v>40.659510938129927</v>
      </c>
      <c r="L146">
        <f t="shared" si="63"/>
        <v>383.767</v>
      </c>
      <c r="M146">
        <f t="shared" si="64"/>
        <v>111.99087046216971</v>
      </c>
      <c r="N146">
        <f t="shared" si="65"/>
        <v>11.137320407856532</v>
      </c>
      <c r="O146">
        <f t="shared" si="66"/>
        <v>38.165039911942394</v>
      </c>
      <c r="P146">
        <f t="shared" si="67"/>
        <v>0.25622428619464321</v>
      </c>
      <c r="Q146">
        <f t="shared" si="68"/>
        <v>2.2512178951361586</v>
      </c>
      <c r="R146">
        <f t="shared" si="69"/>
        <v>0.24105548930063836</v>
      </c>
      <c r="S146">
        <f t="shared" si="70"/>
        <v>0.15194764793696808</v>
      </c>
      <c r="T146">
        <f t="shared" si="71"/>
        <v>276.11498268000003</v>
      </c>
      <c r="U146">
        <f t="shared" si="72"/>
        <v>26.765123700621412</v>
      </c>
      <c r="V146">
        <f t="shared" si="73"/>
        <v>26.765123700621412</v>
      </c>
      <c r="W146">
        <f t="shared" si="74"/>
        <v>3.5300819355673902</v>
      </c>
      <c r="X146">
        <f t="shared" si="75"/>
        <v>76.245093567115504</v>
      </c>
      <c r="Y146">
        <f t="shared" si="76"/>
        <v>2.5032969266649601</v>
      </c>
      <c r="Z146">
        <f t="shared" si="77"/>
        <v>3.2832236273163047</v>
      </c>
      <c r="AA146">
        <f t="shared" si="78"/>
        <v>1.0267850089024302</v>
      </c>
      <c r="AB146">
        <f t="shared" si="79"/>
        <v>-113.19179868740748</v>
      </c>
      <c r="AC146">
        <f t="shared" si="80"/>
        <v>-148.86031045184674</v>
      </c>
      <c r="AD146">
        <f t="shared" si="81"/>
        <v>-14.149775563794384</v>
      </c>
      <c r="AE146">
        <f t="shared" si="82"/>
        <v>-8.6902023048565979E-2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52539.631529155871</v>
      </c>
      <c r="AK146">
        <f t="shared" si="86"/>
        <v>1800</v>
      </c>
      <c r="AL146">
        <f t="shared" si="87"/>
        <v>1499.1138450000001</v>
      </c>
      <c r="AM146">
        <f t="shared" si="88"/>
        <v>0.83284102500000001</v>
      </c>
      <c r="AN146">
        <f t="shared" si="89"/>
        <v>0.1533972126</v>
      </c>
      <c r="AO146">
        <v>30</v>
      </c>
      <c r="AP146">
        <v>0.5</v>
      </c>
      <c r="AQ146" t="s">
        <v>331</v>
      </c>
      <c r="AR146">
        <v>2</v>
      </c>
      <c r="AS146">
        <v>1690293689.5999999</v>
      </c>
      <c r="AT146">
        <v>383.767</v>
      </c>
      <c r="AU146">
        <v>800.04300000000001</v>
      </c>
      <c r="AV146">
        <v>25.171800000000001</v>
      </c>
      <c r="AW146">
        <v>0.16098299999999999</v>
      </c>
      <c r="AX146">
        <v>383.97399999999999</v>
      </c>
      <c r="AY146">
        <v>25.020399999999999</v>
      </c>
      <c r="AZ146">
        <v>300.12200000000001</v>
      </c>
      <c r="BA146">
        <v>99.348500000000001</v>
      </c>
      <c r="BB146">
        <v>9.9967200000000006E-2</v>
      </c>
      <c r="BC146">
        <v>25.538599999999999</v>
      </c>
      <c r="BD146">
        <v>26.990200000000002</v>
      </c>
      <c r="BE146">
        <v>26.599499999999999</v>
      </c>
      <c r="BF146">
        <v>0</v>
      </c>
      <c r="BG146">
        <v>0</v>
      </c>
      <c r="BH146">
        <v>9950.6200000000008</v>
      </c>
      <c r="BI146">
        <v>1062.6300000000001</v>
      </c>
      <c r="BJ146">
        <v>2.2987099999999998</v>
      </c>
      <c r="BK146">
        <v>-416.27600000000001</v>
      </c>
      <c r="BL146">
        <v>393.67700000000002</v>
      </c>
      <c r="BM146">
        <v>800.17200000000003</v>
      </c>
      <c r="BN146">
        <v>25.0108</v>
      </c>
      <c r="BO146">
        <v>800.04300000000001</v>
      </c>
      <c r="BP146">
        <v>0.16098299999999999</v>
      </c>
      <c r="BQ146">
        <v>2.5007799999999998</v>
      </c>
      <c r="BR146">
        <v>1.5993500000000001E-2</v>
      </c>
      <c r="BS146">
        <v>21.031600000000001</v>
      </c>
      <c r="BT146">
        <v>-41.555900000000001</v>
      </c>
      <c r="BU146">
        <v>1800</v>
      </c>
      <c r="BV146">
        <v>0.91000999999999999</v>
      </c>
      <c r="BW146">
        <v>3.3993900000000001E-2</v>
      </c>
      <c r="BX146">
        <v>2.1998500000000001E-2</v>
      </c>
      <c r="BY146">
        <v>3.3997600000000003E-2</v>
      </c>
      <c r="BZ146">
        <v>25</v>
      </c>
      <c r="CA146">
        <v>33528.400000000001</v>
      </c>
      <c r="CB146">
        <v>1690292073.5</v>
      </c>
      <c r="CC146" t="s">
        <v>332</v>
      </c>
      <c r="CD146">
        <v>1690292069.5</v>
      </c>
      <c r="CE146">
        <v>1690292073.5</v>
      </c>
      <c r="CF146">
        <v>4</v>
      </c>
      <c r="CG146">
        <v>-3.6999999999999998E-2</v>
      </c>
      <c r="CH146">
        <v>-1.6E-2</v>
      </c>
      <c r="CI146">
        <v>-0.45200000000000001</v>
      </c>
      <c r="CJ146">
        <v>0.108</v>
      </c>
      <c r="CK146">
        <v>730</v>
      </c>
      <c r="CL146">
        <v>18</v>
      </c>
      <c r="CM146">
        <v>0</v>
      </c>
      <c r="CN146">
        <v>0.01</v>
      </c>
      <c r="CO146">
        <v>-414.91880487804877</v>
      </c>
      <c r="CP146">
        <v>-6.6670871080144227</v>
      </c>
      <c r="CQ146">
        <v>0.65835849895550358</v>
      </c>
      <c r="CR146">
        <v>-1</v>
      </c>
      <c r="CS146">
        <v>24.954499999999999</v>
      </c>
      <c r="CT146">
        <v>0.31769059233448432</v>
      </c>
      <c r="CU146">
        <v>3.1334022652857112E-2</v>
      </c>
      <c r="CV146">
        <v>-1</v>
      </c>
      <c r="CW146">
        <v>0</v>
      </c>
      <c r="CX146">
        <v>0</v>
      </c>
      <c r="CY146" t="s">
        <v>333</v>
      </c>
      <c r="CZ146">
        <v>2.3647999999999998</v>
      </c>
      <c r="DA146">
        <v>2.7137099999999998</v>
      </c>
      <c r="DB146">
        <v>8.6992600000000003E-2</v>
      </c>
      <c r="DC146">
        <v>0.146455</v>
      </c>
      <c r="DD146">
        <v>0.11830300000000001</v>
      </c>
      <c r="DE146">
        <v>1.35979E-3</v>
      </c>
      <c r="DF146">
        <v>33345.1</v>
      </c>
      <c r="DG146">
        <v>27512</v>
      </c>
      <c r="DH146">
        <v>31178.1</v>
      </c>
      <c r="DI146">
        <v>28085.9</v>
      </c>
      <c r="DJ146">
        <v>37312.5</v>
      </c>
      <c r="DK146">
        <v>39885</v>
      </c>
      <c r="DL146">
        <v>44369.9</v>
      </c>
      <c r="DM146">
        <v>42561.8</v>
      </c>
      <c r="DN146">
        <v>1.48885</v>
      </c>
      <c r="DO146">
        <v>2.0389499999999998</v>
      </c>
      <c r="DP146">
        <v>0.13145799999999999</v>
      </c>
      <c r="DQ146">
        <v>0.12906599999999999</v>
      </c>
      <c r="DR146">
        <v>24.836500000000001</v>
      </c>
      <c r="DS146">
        <v>24.483699999999999</v>
      </c>
      <c r="DT146">
        <v>24.2</v>
      </c>
      <c r="DU146">
        <v>28.6</v>
      </c>
      <c r="DV146">
        <v>9.5718499999999995</v>
      </c>
      <c r="DW146">
        <v>61.853400000000001</v>
      </c>
      <c r="DX146">
        <v>35.015999999999998</v>
      </c>
      <c r="DY146">
        <v>1</v>
      </c>
      <c r="DZ146">
        <v>-0.114477</v>
      </c>
      <c r="EA146">
        <v>0.23008999999999999</v>
      </c>
      <c r="EB146">
        <v>20.189900000000002</v>
      </c>
      <c r="EC146">
        <v>5.24125</v>
      </c>
      <c r="ED146">
        <v>12.039899999999999</v>
      </c>
      <c r="EE146">
        <v>5.0170500000000002</v>
      </c>
      <c r="EF146">
        <v>3.2879299999999998</v>
      </c>
      <c r="EG146">
        <v>9999</v>
      </c>
      <c r="EH146">
        <v>9999</v>
      </c>
      <c r="EI146">
        <v>9999</v>
      </c>
      <c r="EJ146">
        <v>999.9</v>
      </c>
      <c r="EK146">
        <v>1.8689</v>
      </c>
      <c r="EL146">
        <v>1.8646199999999999</v>
      </c>
      <c r="EM146">
        <v>1.8692</v>
      </c>
      <c r="EN146">
        <v>1.8672200000000001</v>
      </c>
      <c r="EO146">
        <v>1.8633999999999999</v>
      </c>
      <c r="EP146">
        <v>1.8644700000000001</v>
      </c>
      <c r="EQ146">
        <v>1.87015</v>
      </c>
      <c r="ER146">
        <v>1.86941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-0.20699999999999999</v>
      </c>
      <c r="FG146">
        <v>0.15140000000000001</v>
      </c>
      <c r="FH146">
        <v>5.0310448532705943E-2</v>
      </c>
      <c r="FI146">
        <v>-6.1462078757559423E-4</v>
      </c>
      <c r="FJ146">
        <v>-1.8861989874597051E-7</v>
      </c>
      <c r="FK146">
        <v>1.1980462299894961E-10</v>
      </c>
      <c r="FL146">
        <v>0.15140825623214971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27</v>
      </c>
      <c r="FU146">
        <v>26.9</v>
      </c>
      <c r="FV146">
        <v>1.7651399999999999</v>
      </c>
      <c r="FW146">
        <v>2.5817899999999998</v>
      </c>
      <c r="FX146">
        <v>1.5490699999999999</v>
      </c>
      <c r="FY146">
        <v>2.3327599999999999</v>
      </c>
      <c r="FZ146">
        <v>1.50146</v>
      </c>
      <c r="GA146">
        <v>2.2851599999999999</v>
      </c>
      <c r="GB146">
        <v>33.154499999999999</v>
      </c>
      <c r="GC146">
        <v>23.982399999999998</v>
      </c>
      <c r="GD146">
        <v>19</v>
      </c>
      <c r="GE146">
        <v>287.08499999999998</v>
      </c>
      <c r="GF146">
        <v>582.17399999999998</v>
      </c>
      <c r="GG146">
        <v>23.808599999999998</v>
      </c>
      <c r="GH146">
        <v>25.931899999999999</v>
      </c>
      <c r="GI146">
        <v>30.0001</v>
      </c>
      <c r="GJ146">
        <v>26.079799999999999</v>
      </c>
      <c r="GK146">
        <v>26.063500000000001</v>
      </c>
      <c r="GL146">
        <v>35.291800000000002</v>
      </c>
      <c r="GM146">
        <v>100</v>
      </c>
      <c r="GN146">
        <v>7.6831899999999997</v>
      </c>
      <c r="GO146">
        <v>23.820699999999999</v>
      </c>
      <c r="GP146">
        <v>800</v>
      </c>
      <c r="GQ146">
        <v>0</v>
      </c>
      <c r="GR146">
        <v>99.757300000000001</v>
      </c>
      <c r="GS146">
        <v>99.573099999999997</v>
      </c>
    </row>
    <row r="147" spans="1:201" x14ac:dyDescent="0.25">
      <c r="A147">
        <v>131</v>
      </c>
      <c r="B147">
        <v>1690293699.5999999</v>
      </c>
      <c r="C147">
        <v>1429</v>
      </c>
      <c r="D147" t="s">
        <v>595</v>
      </c>
      <c r="E147" t="s">
        <v>596</v>
      </c>
      <c r="F147" t="s">
        <v>330</v>
      </c>
      <c r="H147">
        <v>1690293699.5999999</v>
      </c>
      <c r="I147">
        <f t="shared" si="60"/>
        <v>2.5721580195971479E-3</v>
      </c>
      <c r="J147">
        <f t="shared" si="61"/>
        <v>2.5721580195971478</v>
      </c>
      <c r="K147">
        <f t="shared" si="62"/>
        <v>40.773270892500037</v>
      </c>
      <c r="L147">
        <f t="shared" si="63"/>
        <v>382.673</v>
      </c>
      <c r="M147">
        <f t="shared" si="64"/>
        <v>112.12294237714643</v>
      </c>
      <c r="N147">
        <f t="shared" si="65"/>
        <v>11.150880577871696</v>
      </c>
      <c r="O147">
        <f t="shared" si="66"/>
        <v>38.057696604345004</v>
      </c>
      <c r="P147">
        <f t="shared" si="67"/>
        <v>0.25814718242299084</v>
      </c>
      <c r="Q147">
        <f t="shared" si="68"/>
        <v>2.2591796909776778</v>
      </c>
      <c r="R147">
        <f t="shared" si="69"/>
        <v>0.24280797217850525</v>
      </c>
      <c r="S147">
        <f t="shared" si="70"/>
        <v>0.15305713823151257</v>
      </c>
      <c r="T147">
        <f t="shared" si="71"/>
        <v>276.11509946399997</v>
      </c>
      <c r="U147">
        <f t="shared" si="72"/>
        <v>26.762866538252887</v>
      </c>
      <c r="V147">
        <f t="shared" si="73"/>
        <v>26.762866538252887</v>
      </c>
      <c r="W147">
        <f t="shared" si="74"/>
        <v>3.5296131628049663</v>
      </c>
      <c r="X147">
        <f t="shared" si="75"/>
        <v>76.374196397594218</v>
      </c>
      <c r="Y147">
        <f t="shared" si="76"/>
        <v>2.5080568353555002</v>
      </c>
      <c r="Z147">
        <f t="shared" si="77"/>
        <v>3.2839060227866486</v>
      </c>
      <c r="AA147">
        <f t="shared" si="78"/>
        <v>1.0215563274494661</v>
      </c>
      <c r="AB147">
        <f t="shared" si="79"/>
        <v>-113.43216866423423</v>
      </c>
      <c r="AC147">
        <f t="shared" si="80"/>
        <v>-148.68557448946945</v>
      </c>
      <c r="AD147">
        <f t="shared" si="81"/>
        <v>-14.083445341428115</v>
      </c>
      <c r="AE147">
        <f t="shared" si="82"/>
        <v>-8.6089031131791671E-2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52851.423986769696</v>
      </c>
      <c r="AK147">
        <f t="shared" si="86"/>
        <v>1800</v>
      </c>
      <c r="AL147">
        <f t="shared" si="87"/>
        <v>1499.1146784</v>
      </c>
      <c r="AM147">
        <f t="shared" si="88"/>
        <v>0.83284148800000002</v>
      </c>
      <c r="AN147">
        <f t="shared" si="89"/>
        <v>0.15339727747999998</v>
      </c>
      <c r="AO147">
        <v>30</v>
      </c>
      <c r="AP147">
        <v>0.5</v>
      </c>
      <c r="AQ147" t="s">
        <v>331</v>
      </c>
      <c r="AR147">
        <v>2</v>
      </c>
      <c r="AS147">
        <v>1690293699.5999999</v>
      </c>
      <c r="AT147">
        <v>382.673</v>
      </c>
      <c r="AU147">
        <v>800.00800000000004</v>
      </c>
      <c r="AV147">
        <v>25.218699999999998</v>
      </c>
      <c r="AW147">
        <v>0.16023499999999999</v>
      </c>
      <c r="AX147">
        <v>382.87900000000002</v>
      </c>
      <c r="AY147">
        <v>25.067299999999999</v>
      </c>
      <c r="AZ147">
        <v>300.173</v>
      </c>
      <c r="BA147">
        <v>99.352199999999996</v>
      </c>
      <c r="BB147">
        <v>0.100065</v>
      </c>
      <c r="BC147">
        <v>25.542100000000001</v>
      </c>
      <c r="BD147">
        <v>27.017199999999999</v>
      </c>
      <c r="BE147">
        <v>26.592099999999999</v>
      </c>
      <c r="BF147">
        <v>0</v>
      </c>
      <c r="BG147">
        <v>0</v>
      </c>
      <c r="BH147">
        <v>10011.9</v>
      </c>
      <c r="BI147">
        <v>1062.75</v>
      </c>
      <c r="BJ147">
        <v>2.2987099999999998</v>
      </c>
      <c r="BK147">
        <v>-417.334</v>
      </c>
      <c r="BL147">
        <v>392.57299999999998</v>
      </c>
      <c r="BM147">
        <v>800.13599999999997</v>
      </c>
      <c r="BN147">
        <v>25.058399999999999</v>
      </c>
      <c r="BO147">
        <v>800.00800000000004</v>
      </c>
      <c r="BP147">
        <v>0.16023499999999999</v>
      </c>
      <c r="BQ147">
        <v>2.5055299999999998</v>
      </c>
      <c r="BR147">
        <v>1.5919699999999998E-2</v>
      </c>
      <c r="BS147">
        <v>21.0625</v>
      </c>
      <c r="BT147">
        <v>-41.599499999999999</v>
      </c>
      <c r="BU147">
        <v>1800</v>
      </c>
      <c r="BV147">
        <v>0.91001100000000001</v>
      </c>
      <c r="BW147">
        <v>3.3993700000000002E-2</v>
      </c>
      <c r="BX147">
        <v>2.1998400000000001E-2</v>
      </c>
      <c r="BY147">
        <v>3.3997399999999997E-2</v>
      </c>
      <c r="BZ147">
        <v>25</v>
      </c>
      <c r="CA147">
        <v>33528.400000000001</v>
      </c>
      <c r="CB147">
        <v>1690292073.5</v>
      </c>
      <c r="CC147" t="s">
        <v>332</v>
      </c>
      <c r="CD147">
        <v>1690292069.5</v>
      </c>
      <c r="CE147">
        <v>1690292073.5</v>
      </c>
      <c r="CF147">
        <v>4</v>
      </c>
      <c r="CG147">
        <v>-3.6999999999999998E-2</v>
      </c>
      <c r="CH147">
        <v>-1.6E-2</v>
      </c>
      <c r="CI147">
        <v>-0.45200000000000001</v>
      </c>
      <c r="CJ147">
        <v>0.108</v>
      </c>
      <c r="CK147">
        <v>730</v>
      </c>
      <c r="CL147">
        <v>18</v>
      </c>
      <c r="CM147">
        <v>0</v>
      </c>
      <c r="CN147">
        <v>0.01</v>
      </c>
      <c r="CO147">
        <v>-416.06853658536591</v>
      </c>
      <c r="CP147">
        <v>-7.1033101045302462</v>
      </c>
      <c r="CQ147">
        <v>0.70192356256639743</v>
      </c>
      <c r="CR147">
        <v>-1</v>
      </c>
      <c r="CS147">
        <v>25.005002439024391</v>
      </c>
      <c r="CT147">
        <v>0.28856864111500241</v>
      </c>
      <c r="CU147">
        <v>2.8472455562498711E-2</v>
      </c>
      <c r="CV147">
        <v>-1</v>
      </c>
      <c r="CW147">
        <v>0</v>
      </c>
      <c r="CX147">
        <v>0</v>
      </c>
      <c r="CY147" t="s">
        <v>333</v>
      </c>
      <c r="CZ147">
        <v>2.3649499999999999</v>
      </c>
      <c r="DA147">
        <v>2.71387</v>
      </c>
      <c r="DB147">
        <v>8.6804099999999995E-2</v>
      </c>
      <c r="DC147">
        <v>0.146455</v>
      </c>
      <c r="DD147">
        <v>0.118461</v>
      </c>
      <c r="DE147">
        <v>1.3535800000000001E-3</v>
      </c>
      <c r="DF147">
        <v>33352.300000000003</v>
      </c>
      <c r="DG147">
        <v>27512.6</v>
      </c>
      <c r="DH147">
        <v>31178.3</v>
      </c>
      <c r="DI147">
        <v>28086.5</v>
      </c>
      <c r="DJ147">
        <v>37305.800000000003</v>
      </c>
      <c r="DK147">
        <v>39885.800000000003</v>
      </c>
      <c r="DL147">
        <v>44370</v>
      </c>
      <c r="DM147">
        <v>42562.400000000001</v>
      </c>
      <c r="DN147">
        <v>1.4897199999999999</v>
      </c>
      <c r="DO147">
        <v>2.03932</v>
      </c>
      <c r="DP147">
        <v>0.13283300000000001</v>
      </c>
      <c r="DQ147">
        <v>0.12842899999999999</v>
      </c>
      <c r="DR147">
        <v>24.841100000000001</v>
      </c>
      <c r="DS147">
        <v>24.486799999999999</v>
      </c>
      <c r="DT147">
        <v>24</v>
      </c>
      <c r="DU147">
        <v>28.7</v>
      </c>
      <c r="DV147">
        <v>9.5473199999999991</v>
      </c>
      <c r="DW147">
        <v>61.753399999999999</v>
      </c>
      <c r="DX147">
        <v>35.4848</v>
      </c>
      <c r="DY147">
        <v>1</v>
      </c>
      <c r="DZ147">
        <v>-0.114901</v>
      </c>
      <c r="EA147">
        <v>0.19670799999999999</v>
      </c>
      <c r="EB147">
        <v>20.190300000000001</v>
      </c>
      <c r="EC147">
        <v>5.2418500000000003</v>
      </c>
      <c r="ED147">
        <v>12.039899999999999</v>
      </c>
      <c r="EE147">
        <v>5.0173500000000004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</v>
      </c>
      <c r="EL147">
        <v>1.8646199999999999</v>
      </c>
      <c r="EM147">
        <v>1.8692</v>
      </c>
      <c r="EN147">
        <v>1.8672200000000001</v>
      </c>
      <c r="EO147">
        <v>1.86337</v>
      </c>
      <c r="EP147">
        <v>1.86446</v>
      </c>
      <c r="EQ147">
        <v>1.8701399999999999</v>
      </c>
      <c r="ER147">
        <v>1.8694200000000001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-0.20599999999999999</v>
      </c>
      <c r="FG147">
        <v>0.15140000000000001</v>
      </c>
      <c r="FH147">
        <v>5.0310448532705943E-2</v>
      </c>
      <c r="FI147">
        <v>-6.1462078757559423E-4</v>
      </c>
      <c r="FJ147">
        <v>-1.8861989874597051E-7</v>
      </c>
      <c r="FK147">
        <v>1.1980462299894961E-10</v>
      </c>
      <c r="FL147">
        <v>0.15140825623214971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27.2</v>
      </c>
      <c r="FU147">
        <v>27.1</v>
      </c>
      <c r="FV147">
        <v>1.7651399999999999</v>
      </c>
      <c r="FW147">
        <v>2.5830099999999998</v>
      </c>
      <c r="FX147">
        <v>1.5490699999999999</v>
      </c>
      <c r="FY147">
        <v>2.3327599999999999</v>
      </c>
      <c r="FZ147">
        <v>1.50146</v>
      </c>
      <c r="GA147">
        <v>2.34619</v>
      </c>
      <c r="GB147">
        <v>33.132199999999997</v>
      </c>
      <c r="GC147">
        <v>23.982399999999998</v>
      </c>
      <c r="GD147">
        <v>19</v>
      </c>
      <c r="GE147">
        <v>287.46100000000001</v>
      </c>
      <c r="GF147">
        <v>582.47900000000004</v>
      </c>
      <c r="GG147">
        <v>23.821400000000001</v>
      </c>
      <c r="GH147">
        <v>25.931899999999999</v>
      </c>
      <c r="GI147">
        <v>30.0002</v>
      </c>
      <c r="GJ147">
        <v>26.079799999999999</v>
      </c>
      <c r="GK147">
        <v>26.063300000000002</v>
      </c>
      <c r="GL147">
        <v>35.294800000000002</v>
      </c>
      <c r="GM147">
        <v>100</v>
      </c>
      <c r="GN147">
        <v>7.3066599999999999</v>
      </c>
      <c r="GO147">
        <v>23.820399999999999</v>
      </c>
      <c r="GP147">
        <v>800</v>
      </c>
      <c r="GQ147">
        <v>0</v>
      </c>
      <c r="GR147">
        <v>99.757800000000003</v>
      </c>
      <c r="GS147">
        <v>99.574799999999996</v>
      </c>
    </row>
    <row r="148" spans="1:201" x14ac:dyDescent="0.25">
      <c r="A148">
        <v>132</v>
      </c>
      <c r="B148">
        <v>1690293709.5999999</v>
      </c>
      <c r="C148">
        <v>1439</v>
      </c>
      <c r="D148" t="s">
        <v>597</v>
      </c>
      <c r="E148" t="s">
        <v>598</v>
      </c>
      <c r="F148" t="s">
        <v>330</v>
      </c>
      <c r="H148">
        <v>1690293709.5999999</v>
      </c>
      <c r="I148">
        <f t="shared" si="60"/>
        <v>2.5757991538605538E-3</v>
      </c>
      <c r="J148">
        <f t="shared" si="61"/>
        <v>2.5757991538605536</v>
      </c>
      <c r="K148">
        <f t="shared" si="62"/>
        <v>40.846782524066498</v>
      </c>
      <c r="L148">
        <f t="shared" si="63"/>
        <v>381.57600000000002</v>
      </c>
      <c r="M148">
        <f t="shared" si="64"/>
        <v>112.70877561270827</v>
      </c>
      <c r="N148">
        <f t="shared" si="65"/>
        <v>11.208783174752702</v>
      </c>
      <c r="O148">
        <f t="shared" si="66"/>
        <v>37.947379211944806</v>
      </c>
      <c r="P148">
        <f t="shared" si="67"/>
        <v>0.26032374548146758</v>
      </c>
      <c r="Q148">
        <f t="shared" si="68"/>
        <v>2.2615463419708766</v>
      </c>
      <c r="R148">
        <f t="shared" si="69"/>
        <v>0.24474843004197869</v>
      </c>
      <c r="S148">
        <f t="shared" si="70"/>
        <v>0.15428943327694775</v>
      </c>
      <c r="T148">
        <f t="shared" si="71"/>
        <v>276.11495258399998</v>
      </c>
      <c r="U148">
        <f t="shared" si="72"/>
        <v>26.754799957777841</v>
      </c>
      <c r="V148">
        <f t="shared" si="73"/>
        <v>26.754799957777841</v>
      </c>
      <c r="W148">
        <f t="shared" si="74"/>
        <v>3.5279383206301604</v>
      </c>
      <c r="X148">
        <f t="shared" si="75"/>
        <v>76.553611580895719</v>
      </c>
      <c r="Y148">
        <f t="shared" si="76"/>
        <v>2.5130979468354604</v>
      </c>
      <c r="Z148">
        <f t="shared" si="77"/>
        <v>3.2827947564300346</v>
      </c>
      <c r="AA148">
        <f t="shared" si="78"/>
        <v>1.0148403737947</v>
      </c>
      <c r="AB148">
        <f t="shared" si="79"/>
        <v>-113.59274268525043</v>
      </c>
      <c r="AC148">
        <f t="shared" si="80"/>
        <v>-148.55278906763095</v>
      </c>
      <c r="AD148">
        <f t="shared" si="81"/>
        <v>-14.055172678037815</v>
      </c>
      <c r="AE148">
        <f t="shared" si="82"/>
        <v>-8.5751846919208674E-2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52945.408700742657</v>
      </c>
      <c r="AK148">
        <f t="shared" si="86"/>
        <v>1800</v>
      </c>
      <c r="AL148">
        <f t="shared" si="87"/>
        <v>1499.1147054</v>
      </c>
      <c r="AM148">
        <f t="shared" si="88"/>
        <v>0.83284150300000004</v>
      </c>
      <c r="AN148">
        <f t="shared" si="89"/>
        <v>0.15339719587999998</v>
      </c>
      <c r="AO148">
        <v>30</v>
      </c>
      <c r="AP148">
        <v>0.5</v>
      </c>
      <c r="AQ148" t="s">
        <v>331</v>
      </c>
      <c r="AR148">
        <v>2</v>
      </c>
      <c r="AS148">
        <v>1690293709.5999999</v>
      </c>
      <c r="AT148">
        <v>381.57600000000002</v>
      </c>
      <c r="AU148">
        <v>799.93799999999999</v>
      </c>
      <c r="AV148">
        <v>25.270199999999999</v>
      </c>
      <c r="AW148">
        <v>0.15918399999999999</v>
      </c>
      <c r="AX148">
        <v>381.78100000000001</v>
      </c>
      <c r="AY148">
        <v>25.1187</v>
      </c>
      <c r="AZ148">
        <v>299.95299999999997</v>
      </c>
      <c r="BA148">
        <v>99.349100000000007</v>
      </c>
      <c r="BB148">
        <v>9.99723E-2</v>
      </c>
      <c r="BC148">
        <v>25.5364</v>
      </c>
      <c r="BD148">
        <v>27.025700000000001</v>
      </c>
      <c r="BE148">
        <v>26.597100000000001</v>
      </c>
      <c r="BF148">
        <v>0</v>
      </c>
      <c r="BG148">
        <v>0</v>
      </c>
      <c r="BH148">
        <v>10030.6</v>
      </c>
      <c r="BI148">
        <v>1062.74</v>
      </c>
      <c r="BJ148">
        <v>2.2987099999999998</v>
      </c>
      <c r="BK148">
        <v>-418.36099999999999</v>
      </c>
      <c r="BL148">
        <v>391.46899999999999</v>
      </c>
      <c r="BM148">
        <v>800.06500000000005</v>
      </c>
      <c r="BN148">
        <v>25.111000000000001</v>
      </c>
      <c r="BO148">
        <v>799.93799999999999</v>
      </c>
      <c r="BP148">
        <v>0.15918399999999999</v>
      </c>
      <c r="BQ148">
        <v>2.51057</v>
      </c>
      <c r="BR148">
        <v>1.58148E-2</v>
      </c>
      <c r="BS148">
        <v>21.095199999999998</v>
      </c>
      <c r="BT148">
        <v>-41.661799999999999</v>
      </c>
      <c r="BU148">
        <v>1800</v>
      </c>
      <c r="BV148">
        <v>0.91001299999999996</v>
      </c>
      <c r="BW148">
        <v>3.3992799999999997E-2</v>
      </c>
      <c r="BX148">
        <v>2.1997900000000001E-2</v>
      </c>
      <c r="BY148">
        <v>3.3996600000000002E-2</v>
      </c>
      <c r="BZ148">
        <v>25</v>
      </c>
      <c r="CA148">
        <v>33528.5</v>
      </c>
      <c r="CB148">
        <v>1690292073.5</v>
      </c>
      <c r="CC148" t="s">
        <v>332</v>
      </c>
      <c r="CD148">
        <v>1690292069.5</v>
      </c>
      <c r="CE148">
        <v>1690292073.5</v>
      </c>
      <c r="CF148">
        <v>4</v>
      </c>
      <c r="CG148">
        <v>-3.6999999999999998E-2</v>
      </c>
      <c r="CH148">
        <v>-1.6E-2</v>
      </c>
      <c r="CI148">
        <v>-0.45200000000000001</v>
      </c>
      <c r="CJ148">
        <v>0.108</v>
      </c>
      <c r="CK148">
        <v>730</v>
      </c>
      <c r="CL148">
        <v>18</v>
      </c>
      <c r="CM148">
        <v>0</v>
      </c>
      <c r="CN148">
        <v>0.01</v>
      </c>
      <c r="CO148">
        <v>-417.15910000000002</v>
      </c>
      <c r="CP148">
        <v>-6.1930356472777932</v>
      </c>
      <c r="CQ148">
        <v>0.59768297616713129</v>
      </c>
      <c r="CR148">
        <v>-1</v>
      </c>
      <c r="CS148">
        <v>25.053319999999999</v>
      </c>
      <c r="CT148">
        <v>0.30643001876164749</v>
      </c>
      <c r="CU148">
        <v>2.950972890421066E-2</v>
      </c>
      <c r="CV148">
        <v>-1</v>
      </c>
      <c r="CW148">
        <v>0</v>
      </c>
      <c r="CX148">
        <v>0</v>
      </c>
      <c r="CY148" t="s">
        <v>333</v>
      </c>
      <c r="CZ148">
        <v>2.3642400000000001</v>
      </c>
      <c r="DA148">
        <v>2.7137899999999999</v>
      </c>
      <c r="DB148">
        <v>8.6610500000000007E-2</v>
      </c>
      <c r="DC148">
        <v>0.14644299999999999</v>
      </c>
      <c r="DD148">
        <v>0.118628</v>
      </c>
      <c r="DE148">
        <v>1.34475E-3</v>
      </c>
      <c r="DF148">
        <v>33359.699999999997</v>
      </c>
      <c r="DG148">
        <v>27512.7</v>
      </c>
      <c r="DH148">
        <v>31178.6</v>
      </c>
      <c r="DI148">
        <v>28086.2</v>
      </c>
      <c r="DJ148">
        <v>37299.199999999997</v>
      </c>
      <c r="DK148">
        <v>39885.800000000003</v>
      </c>
      <c r="DL148">
        <v>44370.6</v>
      </c>
      <c r="DM148">
        <v>42562.1</v>
      </c>
      <c r="DN148">
        <v>1.48895</v>
      </c>
      <c r="DO148">
        <v>2.0392299999999999</v>
      </c>
      <c r="DP148">
        <v>0.13311600000000001</v>
      </c>
      <c r="DQ148">
        <v>0.12854499999999999</v>
      </c>
      <c r="DR148">
        <v>24.844899999999999</v>
      </c>
      <c r="DS148">
        <v>24.489899999999999</v>
      </c>
      <c r="DT148">
        <v>23.8</v>
      </c>
      <c r="DU148">
        <v>28.7</v>
      </c>
      <c r="DV148">
        <v>9.4683299999999999</v>
      </c>
      <c r="DW148">
        <v>61.803400000000003</v>
      </c>
      <c r="DX148">
        <v>36.0657</v>
      </c>
      <c r="DY148">
        <v>1</v>
      </c>
      <c r="DZ148">
        <v>-0.114832</v>
      </c>
      <c r="EA148">
        <v>0.270953</v>
      </c>
      <c r="EB148">
        <v>20.190200000000001</v>
      </c>
      <c r="EC148">
        <v>5.2415500000000002</v>
      </c>
      <c r="ED148">
        <v>12.039899999999999</v>
      </c>
      <c r="EE148">
        <v>5.0173500000000004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1.8646199999999999</v>
      </c>
      <c r="EM148">
        <v>1.8692</v>
      </c>
      <c r="EN148">
        <v>1.8672200000000001</v>
      </c>
      <c r="EO148">
        <v>1.86338</v>
      </c>
      <c r="EP148">
        <v>1.86446</v>
      </c>
      <c r="EQ148">
        <v>1.87015</v>
      </c>
      <c r="ER148">
        <v>1.8694200000000001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-0.20499999999999999</v>
      </c>
      <c r="FG148">
        <v>0.1515</v>
      </c>
      <c r="FH148">
        <v>5.0310448532705943E-2</v>
      </c>
      <c r="FI148">
        <v>-6.1462078757559423E-4</v>
      </c>
      <c r="FJ148">
        <v>-1.8861989874597051E-7</v>
      </c>
      <c r="FK148">
        <v>1.1980462299894961E-10</v>
      </c>
      <c r="FL148">
        <v>0.15140825623214971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27.3</v>
      </c>
      <c r="FU148">
        <v>27.3</v>
      </c>
      <c r="FV148">
        <v>1.7651399999999999</v>
      </c>
      <c r="FW148">
        <v>2.5805699999999998</v>
      </c>
      <c r="FX148">
        <v>1.5490699999999999</v>
      </c>
      <c r="FY148">
        <v>2.3327599999999999</v>
      </c>
      <c r="FZ148">
        <v>1.50146</v>
      </c>
      <c r="GA148">
        <v>2.3571800000000001</v>
      </c>
      <c r="GB148">
        <v>33.154499999999999</v>
      </c>
      <c r="GC148">
        <v>23.982399999999998</v>
      </c>
      <c r="GD148">
        <v>19</v>
      </c>
      <c r="GE148">
        <v>287.11700000000002</v>
      </c>
      <c r="GF148">
        <v>582.39599999999996</v>
      </c>
      <c r="GG148">
        <v>23.8079</v>
      </c>
      <c r="GH148">
        <v>25.931899999999999</v>
      </c>
      <c r="GI148">
        <v>30</v>
      </c>
      <c r="GJ148">
        <v>26.0776</v>
      </c>
      <c r="GK148">
        <v>26.063300000000002</v>
      </c>
      <c r="GL148">
        <v>35.296799999999998</v>
      </c>
      <c r="GM148">
        <v>100</v>
      </c>
      <c r="GN148">
        <v>6.9183599999999998</v>
      </c>
      <c r="GO148">
        <v>23.792899999999999</v>
      </c>
      <c r="GP148">
        <v>800</v>
      </c>
      <c r="GQ148">
        <v>0</v>
      </c>
      <c r="GR148">
        <v>99.759</v>
      </c>
      <c r="GS148">
        <v>99.573899999999995</v>
      </c>
    </row>
    <row r="149" spans="1:201" x14ac:dyDescent="0.25">
      <c r="A149">
        <v>133</v>
      </c>
      <c r="B149">
        <v>1690293719.5999999</v>
      </c>
      <c r="C149">
        <v>1449</v>
      </c>
      <c r="D149" t="s">
        <v>599</v>
      </c>
      <c r="E149" t="s">
        <v>600</v>
      </c>
      <c r="F149" t="s">
        <v>330</v>
      </c>
      <c r="H149">
        <v>1690293719.5999999</v>
      </c>
      <c r="I149">
        <f t="shared" si="60"/>
        <v>2.5816371493667862E-3</v>
      </c>
      <c r="J149">
        <f t="shared" si="61"/>
        <v>2.5816371493667862</v>
      </c>
      <c r="K149">
        <f t="shared" si="62"/>
        <v>40.97579612350971</v>
      </c>
      <c r="L149">
        <f t="shared" si="63"/>
        <v>380.50599999999997</v>
      </c>
      <c r="M149">
        <f t="shared" si="64"/>
        <v>112.22019588171355</v>
      </c>
      <c r="N149">
        <f t="shared" si="65"/>
        <v>11.160044593465251</v>
      </c>
      <c r="O149">
        <f t="shared" si="66"/>
        <v>37.8404608432256</v>
      </c>
      <c r="P149">
        <f t="shared" si="67"/>
        <v>0.261764045212175</v>
      </c>
      <c r="Q149">
        <f t="shared" si="68"/>
        <v>2.2625837004743508</v>
      </c>
      <c r="R149">
        <f t="shared" si="69"/>
        <v>0.24602824933122672</v>
      </c>
      <c r="S149">
        <f t="shared" si="70"/>
        <v>0.15510256454359539</v>
      </c>
      <c r="T149">
        <f t="shared" si="71"/>
        <v>276.11476561799998</v>
      </c>
      <c r="U149">
        <f t="shared" si="72"/>
        <v>26.761049511363524</v>
      </c>
      <c r="V149">
        <f t="shared" si="73"/>
        <v>26.761049511363524</v>
      </c>
      <c r="W149">
        <f t="shared" si="74"/>
        <v>3.5292358378934892</v>
      </c>
      <c r="X149">
        <f t="shared" si="75"/>
        <v>76.64596888840876</v>
      </c>
      <c r="Y149">
        <f t="shared" si="76"/>
        <v>2.5174299743801605</v>
      </c>
      <c r="Z149">
        <f t="shared" si="77"/>
        <v>3.2844910318054228</v>
      </c>
      <c r="AA149">
        <f t="shared" si="78"/>
        <v>1.0118058635133287</v>
      </c>
      <c r="AB149">
        <f t="shared" si="79"/>
        <v>-113.85019828707527</v>
      </c>
      <c r="AC149">
        <f t="shared" si="80"/>
        <v>-148.32202292662535</v>
      </c>
      <c r="AD149">
        <f t="shared" si="81"/>
        <v>-14.027956173948537</v>
      </c>
      <c r="AE149">
        <f t="shared" si="82"/>
        <v>-8.5411769649198277E-2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52984.648182153156</v>
      </c>
      <c r="AK149">
        <f t="shared" si="86"/>
        <v>1800</v>
      </c>
      <c r="AL149">
        <f t="shared" si="87"/>
        <v>1499.1145667999999</v>
      </c>
      <c r="AM149">
        <f t="shared" si="88"/>
        <v>0.832841426</v>
      </c>
      <c r="AN149">
        <f t="shared" si="89"/>
        <v>0.15339709200999999</v>
      </c>
      <c r="AO149">
        <v>30</v>
      </c>
      <c r="AP149">
        <v>0.5</v>
      </c>
      <c r="AQ149" t="s">
        <v>331</v>
      </c>
      <c r="AR149">
        <v>2</v>
      </c>
      <c r="AS149">
        <v>1690293719.5999999</v>
      </c>
      <c r="AT149">
        <v>380.50599999999997</v>
      </c>
      <c r="AU149">
        <v>799.96699999999998</v>
      </c>
      <c r="AV149">
        <v>25.3141</v>
      </c>
      <c r="AW149">
        <v>0.15845799999999999</v>
      </c>
      <c r="AX149">
        <v>380.71100000000001</v>
      </c>
      <c r="AY149">
        <v>25.162700000000001</v>
      </c>
      <c r="AZ149">
        <v>300.08600000000001</v>
      </c>
      <c r="BA149">
        <v>99.347800000000007</v>
      </c>
      <c r="BB149">
        <v>9.9937600000000001E-2</v>
      </c>
      <c r="BC149">
        <v>25.545100000000001</v>
      </c>
      <c r="BD149">
        <v>26.999600000000001</v>
      </c>
      <c r="BE149">
        <v>26.6037</v>
      </c>
      <c r="BF149">
        <v>0</v>
      </c>
      <c r="BG149">
        <v>0</v>
      </c>
      <c r="BH149">
        <v>10038.799999999999</v>
      </c>
      <c r="BI149">
        <v>1062.75</v>
      </c>
      <c r="BJ149">
        <v>2.2987099999999998</v>
      </c>
      <c r="BK149">
        <v>-419.46100000000001</v>
      </c>
      <c r="BL149">
        <v>390.38799999999998</v>
      </c>
      <c r="BM149">
        <v>800.09400000000005</v>
      </c>
      <c r="BN149">
        <v>25.1557</v>
      </c>
      <c r="BO149">
        <v>799.96699999999998</v>
      </c>
      <c r="BP149">
        <v>0.15845799999999999</v>
      </c>
      <c r="BQ149">
        <v>2.5148999999999999</v>
      </c>
      <c r="BR149">
        <v>1.57424E-2</v>
      </c>
      <c r="BS149">
        <v>21.1233</v>
      </c>
      <c r="BT149">
        <v>-41.704999999999998</v>
      </c>
      <c r="BU149">
        <v>1800</v>
      </c>
      <c r="BV149">
        <v>0.91001500000000002</v>
      </c>
      <c r="BW149">
        <v>3.3992000000000001E-2</v>
      </c>
      <c r="BX149">
        <v>2.1997300000000001E-2</v>
      </c>
      <c r="BY149">
        <v>3.3995699999999997E-2</v>
      </c>
      <c r="BZ149">
        <v>25</v>
      </c>
      <c r="CA149">
        <v>33528.5</v>
      </c>
      <c r="CB149">
        <v>1690292073.5</v>
      </c>
      <c r="CC149" t="s">
        <v>332</v>
      </c>
      <c r="CD149">
        <v>1690292069.5</v>
      </c>
      <c r="CE149">
        <v>1690292073.5</v>
      </c>
      <c r="CF149">
        <v>4</v>
      </c>
      <c r="CG149">
        <v>-3.6999999999999998E-2</v>
      </c>
      <c r="CH149">
        <v>-1.6E-2</v>
      </c>
      <c r="CI149">
        <v>-0.45200000000000001</v>
      </c>
      <c r="CJ149">
        <v>0.108</v>
      </c>
      <c r="CK149">
        <v>730</v>
      </c>
      <c r="CL149">
        <v>18</v>
      </c>
      <c r="CM149">
        <v>0</v>
      </c>
      <c r="CN149">
        <v>0.01</v>
      </c>
      <c r="CO149">
        <v>-418.25375000000003</v>
      </c>
      <c r="CP149">
        <v>-6.6840450281415116</v>
      </c>
      <c r="CQ149">
        <v>0.64766753624062356</v>
      </c>
      <c r="CR149">
        <v>-1</v>
      </c>
      <c r="CS149">
        <v>25.103854999999999</v>
      </c>
      <c r="CT149">
        <v>0.29835872420257142</v>
      </c>
      <c r="CU149">
        <v>2.8760980077180979E-2</v>
      </c>
      <c r="CV149">
        <v>-1</v>
      </c>
      <c r="CW149">
        <v>0</v>
      </c>
      <c r="CX149">
        <v>0</v>
      </c>
      <c r="CY149" t="s">
        <v>333</v>
      </c>
      <c r="CZ149">
        <v>2.3646600000000002</v>
      </c>
      <c r="DA149">
        <v>2.7137600000000002</v>
      </c>
      <c r="DB149">
        <v>8.6421300000000006E-2</v>
      </c>
      <c r="DC149">
        <v>0.14644499999999999</v>
      </c>
      <c r="DD149">
        <v>0.11877</v>
      </c>
      <c r="DE149">
        <v>1.33866E-3</v>
      </c>
      <c r="DF149">
        <v>33366.800000000003</v>
      </c>
      <c r="DG149">
        <v>27512.7</v>
      </c>
      <c r="DH149">
        <v>31178.799999999999</v>
      </c>
      <c r="DI149">
        <v>28086.2</v>
      </c>
      <c r="DJ149">
        <v>37293.300000000003</v>
      </c>
      <c r="DK149">
        <v>39886.199999999997</v>
      </c>
      <c r="DL149">
        <v>44371</v>
      </c>
      <c r="DM149">
        <v>42562.3</v>
      </c>
      <c r="DN149">
        <v>1.4888300000000001</v>
      </c>
      <c r="DO149">
        <v>2.03932</v>
      </c>
      <c r="DP149">
        <v>0.13148799999999999</v>
      </c>
      <c r="DQ149">
        <v>0.12894</v>
      </c>
      <c r="DR149">
        <v>24.845400000000001</v>
      </c>
      <c r="DS149">
        <v>24.49</v>
      </c>
      <c r="DT149">
        <v>23.7</v>
      </c>
      <c r="DU149">
        <v>28.7</v>
      </c>
      <c r="DV149">
        <v>9.4284099999999995</v>
      </c>
      <c r="DW149">
        <v>60.5334</v>
      </c>
      <c r="DX149">
        <v>35.2684</v>
      </c>
      <c r="DY149">
        <v>1</v>
      </c>
      <c r="DZ149">
        <v>-0.114317</v>
      </c>
      <c r="EA149">
        <v>0.315498</v>
      </c>
      <c r="EB149">
        <v>20.190200000000001</v>
      </c>
      <c r="EC149">
        <v>5.2416999999999998</v>
      </c>
      <c r="ED149">
        <v>12.039899999999999</v>
      </c>
      <c r="EE149">
        <v>5.0172499999999998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</v>
      </c>
      <c r="EL149">
        <v>1.8646199999999999</v>
      </c>
      <c r="EM149">
        <v>1.8692</v>
      </c>
      <c r="EN149">
        <v>1.8672200000000001</v>
      </c>
      <c r="EO149">
        <v>1.86338</v>
      </c>
      <c r="EP149">
        <v>1.8644700000000001</v>
      </c>
      <c r="EQ149">
        <v>1.8701700000000001</v>
      </c>
      <c r="ER149">
        <v>1.8694299999999999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-0.20499999999999999</v>
      </c>
      <c r="FG149">
        <v>0.15140000000000001</v>
      </c>
      <c r="FH149">
        <v>5.0310448532705943E-2</v>
      </c>
      <c r="FI149">
        <v>-6.1462078757559423E-4</v>
      </c>
      <c r="FJ149">
        <v>-1.8861989874597051E-7</v>
      </c>
      <c r="FK149">
        <v>1.1980462299894961E-10</v>
      </c>
      <c r="FL149">
        <v>0.15140825623214971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27.5</v>
      </c>
      <c r="FU149">
        <v>27.4</v>
      </c>
      <c r="FV149">
        <v>1.7651399999999999</v>
      </c>
      <c r="FW149">
        <v>2.5854499999999998</v>
      </c>
      <c r="FX149">
        <v>1.5490699999999999</v>
      </c>
      <c r="FY149">
        <v>2.3339799999999999</v>
      </c>
      <c r="FZ149">
        <v>1.50146</v>
      </c>
      <c r="GA149">
        <v>2.2839399999999999</v>
      </c>
      <c r="GB149">
        <v>33.154499999999999</v>
      </c>
      <c r="GC149">
        <v>23.973700000000001</v>
      </c>
      <c r="GD149">
        <v>19</v>
      </c>
      <c r="GE149">
        <v>287.06299999999999</v>
      </c>
      <c r="GF149">
        <v>582.45399999999995</v>
      </c>
      <c r="GG149">
        <v>23.772200000000002</v>
      </c>
      <c r="GH149">
        <v>25.931899999999999</v>
      </c>
      <c r="GI149">
        <v>30.000299999999999</v>
      </c>
      <c r="GJ149">
        <v>26.0776</v>
      </c>
      <c r="GK149">
        <v>26.0611</v>
      </c>
      <c r="GL149">
        <v>35.2973</v>
      </c>
      <c r="GM149">
        <v>100</v>
      </c>
      <c r="GN149">
        <v>6.5436899999999998</v>
      </c>
      <c r="GO149">
        <v>23.7622</v>
      </c>
      <c r="GP149">
        <v>800</v>
      </c>
      <c r="GQ149">
        <v>0</v>
      </c>
      <c r="GR149">
        <v>99.759600000000006</v>
      </c>
      <c r="GS149">
        <v>99.574200000000005</v>
      </c>
    </row>
    <row r="150" spans="1:201" x14ac:dyDescent="0.25">
      <c r="A150">
        <v>134</v>
      </c>
      <c r="B150">
        <v>1690293729.5999999</v>
      </c>
      <c r="C150">
        <v>1459</v>
      </c>
      <c r="D150" t="s">
        <v>601</v>
      </c>
      <c r="E150" t="s">
        <v>602</v>
      </c>
      <c r="F150" t="s">
        <v>330</v>
      </c>
      <c r="H150">
        <v>1690293729.5999999</v>
      </c>
      <c r="I150">
        <f t="shared" si="60"/>
        <v>2.5866605696251298E-3</v>
      </c>
      <c r="J150">
        <f t="shared" si="61"/>
        <v>2.5866605696251299</v>
      </c>
      <c r="K150">
        <f t="shared" si="62"/>
        <v>41.095287662648445</v>
      </c>
      <c r="L150">
        <f t="shared" si="63"/>
        <v>379.416</v>
      </c>
      <c r="M150">
        <f t="shared" si="64"/>
        <v>112.34622870507525</v>
      </c>
      <c r="N150">
        <f t="shared" si="65"/>
        <v>11.172563420440476</v>
      </c>
      <c r="O150">
        <f t="shared" si="66"/>
        <v>37.7320126504464</v>
      </c>
      <c r="P150">
        <f t="shared" si="67"/>
        <v>0.26384698382748234</v>
      </c>
      <c r="Q150">
        <f t="shared" si="68"/>
        <v>2.258077553862996</v>
      </c>
      <c r="R150">
        <f t="shared" si="69"/>
        <v>0.24783815300238954</v>
      </c>
      <c r="S150">
        <f t="shared" si="70"/>
        <v>0.15625616648271223</v>
      </c>
      <c r="T150">
        <f t="shared" si="71"/>
        <v>276.11477411400006</v>
      </c>
      <c r="U150">
        <f t="shared" si="72"/>
        <v>26.754611461882675</v>
      </c>
      <c r="V150">
        <f t="shared" si="73"/>
        <v>26.754611461882675</v>
      </c>
      <c r="W150">
        <f t="shared" si="74"/>
        <v>3.5278991920373235</v>
      </c>
      <c r="X150">
        <f t="shared" si="75"/>
        <v>76.803133407018947</v>
      </c>
      <c r="Y150">
        <f t="shared" si="76"/>
        <v>2.5215437587196998</v>
      </c>
      <c r="Z150">
        <f t="shared" si="77"/>
        <v>3.2831261523625015</v>
      </c>
      <c r="AA150">
        <f t="shared" si="78"/>
        <v>1.0063554333176237</v>
      </c>
      <c r="AB150">
        <f t="shared" si="79"/>
        <v>-114.07173112046823</v>
      </c>
      <c r="AC150">
        <f t="shared" si="80"/>
        <v>-148.0950362131974</v>
      </c>
      <c r="AD150">
        <f t="shared" si="81"/>
        <v>-14.033493617928174</v>
      </c>
      <c r="AE150">
        <f t="shared" si="82"/>
        <v>-8.5486837593748533E-2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52808.735870247416</v>
      </c>
      <c r="AK150">
        <f t="shared" si="86"/>
        <v>1800</v>
      </c>
      <c r="AL150">
        <f t="shared" si="87"/>
        <v>1499.1152723999999</v>
      </c>
      <c r="AM150">
        <f t="shared" si="88"/>
        <v>0.8328418179999999</v>
      </c>
      <c r="AN150">
        <f t="shared" si="89"/>
        <v>0.15339709673000002</v>
      </c>
      <c r="AO150">
        <v>30</v>
      </c>
      <c r="AP150">
        <v>0.5</v>
      </c>
      <c r="AQ150" t="s">
        <v>331</v>
      </c>
      <c r="AR150">
        <v>2</v>
      </c>
      <c r="AS150">
        <v>1690293729.5999999</v>
      </c>
      <c r="AT150">
        <v>379.416</v>
      </c>
      <c r="AU150">
        <v>799.97</v>
      </c>
      <c r="AV150">
        <v>25.355499999999999</v>
      </c>
      <c r="AW150">
        <v>0.157522</v>
      </c>
      <c r="AX150">
        <v>379.62</v>
      </c>
      <c r="AY150">
        <v>25.2041</v>
      </c>
      <c r="AZ150">
        <v>300.15199999999999</v>
      </c>
      <c r="BA150">
        <v>99.347700000000003</v>
      </c>
      <c r="BB150">
        <v>9.9905400000000005E-2</v>
      </c>
      <c r="BC150">
        <v>25.5381</v>
      </c>
      <c r="BD150">
        <v>26.982199999999999</v>
      </c>
      <c r="BE150">
        <v>26.601800000000001</v>
      </c>
      <c r="BF150">
        <v>0</v>
      </c>
      <c r="BG150">
        <v>0</v>
      </c>
      <c r="BH150">
        <v>10003.799999999999</v>
      </c>
      <c r="BI150">
        <v>1062.67</v>
      </c>
      <c r="BJ150">
        <v>2.2987099999999998</v>
      </c>
      <c r="BK150">
        <v>-420.55399999999997</v>
      </c>
      <c r="BL150">
        <v>389.28699999999998</v>
      </c>
      <c r="BM150">
        <v>800.096</v>
      </c>
      <c r="BN150">
        <v>25.198</v>
      </c>
      <c r="BO150">
        <v>799.97</v>
      </c>
      <c r="BP150">
        <v>0.157522</v>
      </c>
      <c r="BQ150">
        <v>2.5190100000000002</v>
      </c>
      <c r="BR150">
        <v>1.5649400000000001E-2</v>
      </c>
      <c r="BS150">
        <v>21.149799999999999</v>
      </c>
      <c r="BT150">
        <v>-41.760800000000003</v>
      </c>
      <c r="BU150">
        <v>1800</v>
      </c>
      <c r="BV150">
        <v>0.91001699999999996</v>
      </c>
      <c r="BW150">
        <v>3.3991300000000002E-2</v>
      </c>
      <c r="BX150">
        <v>2.19969E-2</v>
      </c>
      <c r="BY150">
        <v>3.39951E-2</v>
      </c>
      <c r="BZ150">
        <v>25</v>
      </c>
      <c r="CA150">
        <v>33528.5</v>
      </c>
      <c r="CB150">
        <v>1690292073.5</v>
      </c>
      <c r="CC150" t="s">
        <v>332</v>
      </c>
      <c r="CD150">
        <v>1690292069.5</v>
      </c>
      <c r="CE150">
        <v>1690292073.5</v>
      </c>
      <c r="CF150">
        <v>4</v>
      </c>
      <c r="CG150">
        <v>-3.6999999999999998E-2</v>
      </c>
      <c r="CH150">
        <v>-1.6E-2</v>
      </c>
      <c r="CI150">
        <v>-0.45200000000000001</v>
      </c>
      <c r="CJ150">
        <v>0.108</v>
      </c>
      <c r="CK150">
        <v>730</v>
      </c>
      <c r="CL150">
        <v>18</v>
      </c>
      <c r="CM150">
        <v>0</v>
      </c>
      <c r="CN150">
        <v>0.01</v>
      </c>
      <c r="CO150">
        <v>-419.45945</v>
      </c>
      <c r="CP150">
        <v>-6.1634521575977876</v>
      </c>
      <c r="CQ150">
        <v>0.59621271162228895</v>
      </c>
      <c r="CR150">
        <v>-1</v>
      </c>
      <c r="CS150">
        <v>25.155067500000001</v>
      </c>
      <c r="CT150">
        <v>0.2598337711069304</v>
      </c>
      <c r="CU150">
        <v>2.5014729535815471E-2</v>
      </c>
      <c r="CV150">
        <v>-1</v>
      </c>
      <c r="CW150">
        <v>0</v>
      </c>
      <c r="CX150">
        <v>0</v>
      </c>
      <c r="CY150" t="s">
        <v>333</v>
      </c>
      <c r="CZ150">
        <v>2.3649</v>
      </c>
      <c r="DA150">
        <v>2.7136999999999998</v>
      </c>
      <c r="DB150">
        <v>8.6230000000000001E-2</v>
      </c>
      <c r="DC150">
        <v>0.14644499999999999</v>
      </c>
      <c r="DD150">
        <v>0.118906</v>
      </c>
      <c r="DE150">
        <v>1.3308300000000001E-3</v>
      </c>
      <c r="DF150">
        <v>33373.599999999999</v>
      </c>
      <c r="DG150">
        <v>27512.400000000001</v>
      </c>
      <c r="DH150">
        <v>31178.6</v>
      </c>
      <c r="DI150">
        <v>28086</v>
      </c>
      <c r="DJ150">
        <v>37287.1</v>
      </c>
      <c r="DK150">
        <v>39886.1</v>
      </c>
      <c r="DL150">
        <v>44370.5</v>
      </c>
      <c r="DM150">
        <v>42561.8</v>
      </c>
      <c r="DN150">
        <v>1.48915</v>
      </c>
      <c r="DO150">
        <v>2.0392299999999999</v>
      </c>
      <c r="DP150">
        <v>0.13014300000000001</v>
      </c>
      <c r="DQ150">
        <v>0.128694</v>
      </c>
      <c r="DR150">
        <v>24.850100000000001</v>
      </c>
      <c r="DS150">
        <v>24.492100000000001</v>
      </c>
      <c r="DT150">
        <v>23.6</v>
      </c>
      <c r="DU150">
        <v>28.7</v>
      </c>
      <c r="DV150">
        <v>9.38917</v>
      </c>
      <c r="DW150">
        <v>61.333399999999997</v>
      </c>
      <c r="DX150">
        <v>35.020000000000003</v>
      </c>
      <c r="DY150">
        <v>1</v>
      </c>
      <c r="DZ150">
        <v>-0.114596</v>
      </c>
      <c r="EA150">
        <v>0.21116299999999999</v>
      </c>
      <c r="EB150">
        <v>20.190200000000001</v>
      </c>
      <c r="EC150">
        <v>5.2416999999999998</v>
      </c>
      <c r="ED150">
        <v>12.039899999999999</v>
      </c>
      <c r="EE150">
        <v>5.0174000000000003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</v>
      </c>
      <c r="EL150">
        <v>1.8646199999999999</v>
      </c>
      <c r="EM150">
        <v>1.8691899999999999</v>
      </c>
      <c r="EN150">
        <v>1.8672200000000001</v>
      </c>
      <c r="EO150">
        <v>1.86338</v>
      </c>
      <c r="EP150">
        <v>1.8644700000000001</v>
      </c>
      <c r="EQ150">
        <v>1.87015</v>
      </c>
      <c r="ER150">
        <v>1.8694200000000001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-0.20399999999999999</v>
      </c>
      <c r="FG150">
        <v>0.15140000000000001</v>
      </c>
      <c r="FH150">
        <v>5.0310448532705943E-2</v>
      </c>
      <c r="FI150">
        <v>-6.1462078757559423E-4</v>
      </c>
      <c r="FJ150">
        <v>-1.8861989874597051E-7</v>
      </c>
      <c r="FK150">
        <v>1.1980462299894961E-10</v>
      </c>
      <c r="FL150">
        <v>0.15140825623214971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27.7</v>
      </c>
      <c r="FU150">
        <v>27.6</v>
      </c>
      <c r="FV150">
        <v>1.7651399999999999</v>
      </c>
      <c r="FW150">
        <v>2.5817899999999998</v>
      </c>
      <c r="FX150">
        <v>1.5490699999999999</v>
      </c>
      <c r="FY150">
        <v>2.3327599999999999</v>
      </c>
      <c r="FZ150">
        <v>1.50146</v>
      </c>
      <c r="GA150">
        <v>2.32544</v>
      </c>
      <c r="GB150">
        <v>33.154499999999999</v>
      </c>
      <c r="GC150">
        <v>23.991199999999999</v>
      </c>
      <c r="GD150">
        <v>19</v>
      </c>
      <c r="GE150">
        <v>287.20400000000001</v>
      </c>
      <c r="GF150">
        <v>582.37199999999996</v>
      </c>
      <c r="GG150">
        <v>23.756900000000002</v>
      </c>
      <c r="GH150">
        <v>25.931899999999999</v>
      </c>
      <c r="GI150">
        <v>30</v>
      </c>
      <c r="GJ150">
        <v>26.0776</v>
      </c>
      <c r="GK150">
        <v>26.0611</v>
      </c>
      <c r="GL150">
        <v>35.299500000000002</v>
      </c>
      <c r="GM150">
        <v>100</v>
      </c>
      <c r="GN150">
        <v>5.7636000000000003</v>
      </c>
      <c r="GO150">
        <v>23.7883</v>
      </c>
      <c r="GP150">
        <v>800</v>
      </c>
      <c r="GQ150">
        <v>0</v>
      </c>
      <c r="GR150">
        <v>99.758799999999994</v>
      </c>
      <c r="GS150">
        <v>99.573099999999997</v>
      </c>
    </row>
    <row r="151" spans="1:201" x14ac:dyDescent="0.25">
      <c r="A151">
        <v>135</v>
      </c>
      <c r="B151">
        <v>1690293739.5999999</v>
      </c>
      <c r="C151">
        <v>1469</v>
      </c>
      <c r="D151" t="s">
        <v>603</v>
      </c>
      <c r="E151" t="s">
        <v>604</v>
      </c>
      <c r="F151" t="s">
        <v>330</v>
      </c>
      <c r="H151">
        <v>1690293739.5999999</v>
      </c>
      <c r="I151">
        <f t="shared" si="60"/>
        <v>2.5914226522792657E-3</v>
      </c>
      <c r="J151">
        <f t="shared" si="61"/>
        <v>2.5914226522792658</v>
      </c>
      <c r="K151">
        <f t="shared" si="62"/>
        <v>41.19863417203775</v>
      </c>
      <c r="L151">
        <f t="shared" si="63"/>
        <v>378.41500000000002</v>
      </c>
      <c r="M151">
        <f t="shared" si="64"/>
        <v>112.3498193929956</v>
      </c>
      <c r="N151">
        <f t="shared" si="65"/>
        <v>11.17320493055867</v>
      </c>
      <c r="O151">
        <f t="shared" si="66"/>
        <v>37.633423592855003</v>
      </c>
      <c r="P151">
        <f t="shared" si="67"/>
        <v>0.26560501734839398</v>
      </c>
      <c r="Q151">
        <f t="shared" si="68"/>
        <v>2.2557635446196405</v>
      </c>
      <c r="R151">
        <f t="shared" si="69"/>
        <v>0.24937363000119822</v>
      </c>
      <c r="S151">
        <f t="shared" si="70"/>
        <v>0.157234116886525</v>
      </c>
      <c r="T151">
        <f t="shared" si="71"/>
        <v>276.11473874400002</v>
      </c>
      <c r="U151">
        <f t="shared" si="72"/>
        <v>26.75617141907313</v>
      </c>
      <c r="V151">
        <f t="shared" si="73"/>
        <v>26.75617141907313</v>
      </c>
      <c r="W151">
        <f t="shared" si="74"/>
        <v>3.5282230244469863</v>
      </c>
      <c r="X151">
        <f t="shared" si="75"/>
        <v>76.936502920820288</v>
      </c>
      <c r="Y151">
        <f t="shared" si="76"/>
        <v>2.5262224350603</v>
      </c>
      <c r="Z151">
        <f t="shared" si="77"/>
        <v>3.2835160673473531</v>
      </c>
      <c r="AA151">
        <f t="shared" si="78"/>
        <v>1.0020005893866863</v>
      </c>
      <c r="AB151">
        <f t="shared" si="79"/>
        <v>-114.28173896551561</v>
      </c>
      <c r="AC151">
        <f t="shared" si="80"/>
        <v>-147.88975811656601</v>
      </c>
      <c r="AD151">
        <f t="shared" si="81"/>
        <v>-14.028667724357328</v>
      </c>
      <c r="AE151">
        <f t="shared" si="82"/>
        <v>-8.542606243892692E-2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52717.59329119249</v>
      </c>
      <c r="AK151">
        <f t="shared" si="86"/>
        <v>1800</v>
      </c>
      <c r="AL151">
        <f t="shared" si="87"/>
        <v>1499.1131664</v>
      </c>
      <c r="AM151">
        <f t="shared" si="88"/>
        <v>0.83284064800000002</v>
      </c>
      <c r="AN151">
        <f t="shared" si="89"/>
        <v>0.15339707708</v>
      </c>
      <c r="AO151">
        <v>30</v>
      </c>
      <c r="AP151">
        <v>0.5</v>
      </c>
      <c r="AQ151" t="s">
        <v>331</v>
      </c>
      <c r="AR151">
        <v>2</v>
      </c>
      <c r="AS151">
        <v>1690293739.5999999</v>
      </c>
      <c r="AT151">
        <v>378.41500000000002</v>
      </c>
      <c r="AU151">
        <v>800.03200000000004</v>
      </c>
      <c r="AV151">
        <v>25.401900000000001</v>
      </c>
      <c r="AW151">
        <v>0.15646299999999999</v>
      </c>
      <c r="AX151">
        <v>378.61799999999999</v>
      </c>
      <c r="AY151">
        <v>25.250499999999999</v>
      </c>
      <c r="AZ151">
        <v>300.125</v>
      </c>
      <c r="BA151">
        <v>99.350099999999998</v>
      </c>
      <c r="BB151">
        <v>0.100037</v>
      </c>
      <c r="BC151">
        <v>25.540099999999999</v>
      </c>
      <c r="BD151">
        <v>26.988</v>
      </c>
      <c r="BE151">
        <v>26.575399999999998</v>
      </c>
      <c r="BF151">
        <v>0</v>
      </c>
      <c r="BG151">
        <v>0</v>
      </c>
      <c r="BH151">
        <v>9985.6200000000008</v>
      </c>
      <c r="BI151">
        <v>1062.72</v>
      </c>
      <c r="BJ151">
        <v>2.2987099999999998</v>
      </c>
      <c r="BK151">
        <v>-421.61799999999999</v>
      </c>
      <c r="BL151">
        <v>388.27800000000002</v>
      </c>
      <c r="BM151">
        <v>800.15800000000002</v>
      </c>
      <c r="BN151">
        <v>25.2455</v>
      </c>
      <c r="BO151">
        <v>800.03200000000004</v>
      </c>
      <c r="BP151">
        <v>0.15646299999999999</v>
      </c>
      <c r="BQ151">
        <v>2.5236800000000001</v>
      </c>
      <c r="BR151">
        <v>1.55447E-2</v>
      </c>
      <c r="BS151">
        <v>21.18</v>
      </c>
      <c r="BT151">
        <v>-41.823900000000002</v>
      </c>
      <c r="BU151">
        <v>1800</v>
      </c>
      <c r="BV151">
        <v>0.91001100000000001</v>
      </c>
      <c r="BW151">
        <v>3.3998199999999999E-2</v>
      </c>
      <c r="BX151">
        <v>2.1996399999999999E-2</v>
      </c>
      <c r="BY151">
        <v>3.3994400000000001E-2</v>
      </c>
      <c r="BZ151">
        <v>25</v>
      </c>
      <c r="CA151">
        <v>33528.400000000001</v>
      </c>
      <c r="CB151">
        <v>1690292073.5</v>
      </c>
      <c r="CC151" t="s">
        <v>332</v>
      </c>
      <c r="CD151">
        <v>1690292069.5</v>
      </c>
      <c r="CE151">
        <v>1690292073.5</v>
      </c>
      <c r="CF151">
        <v>4</v>
      </c>
      <c r="CG151">
        <v>-3.6999999999999998E-2</v>
      </c>
      <c r="CH151">
        <v>-1.6E-2</v>
      </c>
      <c r="CI151">
        <v>-0.45200000000000001</v>
      </c>
      <c r="CJ151">
        <v>0.108</v>
      </c>
      <c r="CK151">
        <v>730</v>
      </c>
      <c r="CL151">
        <v>18</v>
      </c>
      <c r="CM151">
        <v>0</v>
      </c>
      <c r="CN151">
        <v>0.01</v>
      </c>
      <c r="CO151">
        <v>-420.40967499999999</v>
      </c>
      <c r="CP151">
        <v>-6.6363939962472651</v>
      </c>
      <c r="CQ151">
        <v>0.64048135755461377</v>
      </c>
      <c r="CR151">
        <v>-1</v>
      </c>
      <c r="CS151">
        <v>25.193747500000001</v>
      </c>
      <c r="CT151">
        <v>0.25749005628514049</v>
      </c>
      <c r="CU151">
        <v>2.4793335672111429E-2</v>
      </c>
      <c r="CV151">
        <v>-1</v>
      </c>
      <c r="CW151">
        <v>0</v>
      </c>
      <c r="CX151">
        <v>0</v>
      </c>
      <c r="CY151" t="s">
        <v>333</v>
      </c>
      <c r="CZ151">
        <v>2.3648099999999999</v>
      </c>
      <c r="DA151">
        <v>2.7138200000000001</v>
      </c>
      <c r="DB151">
        <v>8.6056400000000005E-2</v>
      </c>
      <c r="DC151">
        <v>0.146456</v>
      </c>
      <c r="DD151">
        <v>0.119062</v>
      </c>
      <c r="DE151">
        <v>1.322E-3</v>
      </c>
      <c r="DF151">
        <v>33379.9</v>
      </c>
      <c r="DG151">
        <v>27512.400000000001</v>
      </c>
      <c r="DH151">
        <v>31178.6</v>
      </c>
      <c r="DI151">
        <v>28086.3</v>
      </c>
      <c r="DJ151">
        <v>37280.5</v>
      </c>
      <c r="DK151">
        <v>39886.800000000003</v>
      </c>
      <c r="DL151">
        <v>44370.6</v>
      </c>
      <c r="DM151">
        <v>42562.2</v>
      </c>
      <c r="DN151">
        <v>1.4892000000000001</v>
      </c>
      <c r="DO151">
        <v>2.0388500000000001</v>
      </c>
      <c r="DP151">
        <v>0.130303</v>
      </c>
      <c r="DQ151">
        <v>0.127081</v>
      </c>
      <c r="DR151">
        <v>24.853300000000001</v>
      </c>
      <c r="DS151">
        <v>24.492100000000001</v>
      </c>
      <c r="DT151">
        <v>23.4</v>
      </c>
      <c r="DU151">
        <v>28.7</v>
      </c>
      <c r="DV151">
        <v>9.3084299999999995</v>
      </c>
      <c r="DW151">
        <v>61.383400000000002</v>
      </c>
      <c r="DX151">
        <v>35.821300000000001</v>
      </c>
      <c r="DY151">
        <v>1</v>
      </c>
      <c r="DZ151">
        <v>-0.115231</v>
      </c>
      <c r="EA151">
        <v>0.16098899999999999</v>
      </c>
      <c r="EB151">
        <v>20.1905</v>
      </c>
      <c r="EC151">
        <v>5.2415500000000002</v>
      </c>
      <c r="ED151">
        <v>12.039899999999999</v>
      </c>
      <c r="EE151">
        <v>5.01715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1.8689100000000001</v>
      </c>
      <c r="EL151">
        <v>1.8646199999999999</v>
      </c>
      <c r="EM151">
        <v>1.8691899999999999</v>
      </c>
      <c r="EN151">
        <v>1.8672200000000001</v>
      </c>
      <c r="EO151">
        <v>1.86337</v>
      </c>
      <c r="EP151">
        <v>1.86446</v>
      </c>
      <c r="EQ151">
        <v>1.87018</v>
      </c>
      <c r="ER151">
        <v>1.8694299999999999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-0.20300000000000001</v>
      </c>
      <c r="FG151">
        <v>0.15140000000000001</v>
      </c>
      <c r="FH151">
        <v>5.0310448532705943E-2</v>
      </c>
      <c r="FI151">
        <v>-6.1462078757559423E-4</v>
      </c>
      <c r="FJ151">
        <v>-1.8861989874597051E-7</v>
      </c>
      <c r="FK151">
        <v>1.1980462299894961E-10</v>
      </c>
      <c r="FL151">
        <v>0.15140825623214971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27.8</v>
      </c>
      <c r="FU151">
        <v>27.8</v>
      </c>
      <c r="FV151">
        <v>1.7651399999999999</v>
      </c>
      <c r="FW151">
        <v>2.5793499999999998</v>
      </c>
      <c r="FX151">
        <v>1.5490699999999999</v>
      </c>
      <c r="FY151">
        <v>2.3339799999999999</v>
      </c>
      <c r="FZ151">
        <v>1.50146</v>
      </c>
      <c r="GA151">
        <v>2.36694</v>
      </c>
      <c r="GB151">
        <v>33.154499999999999</v>
      </c>
      <c r="GC151">
        <v>23.991199999999999</v>
      </c>
      <c r="GD151">
        <v>19</v>
      </c>
      <c r="GE151">
        <v>287.21899999999999</v>
      </c>
      <c r="GF151">
        <v>582.06299999999999</v>
      </c>
      <c r="GG151">
        <v>23.8005</v>
      </c>
      <c r="GH151">
        <v>25.931899999999999</v>
      </c>
      <c r="GI151">
        <v>29.9999</v>
      </c>
      <c r="GJ151">
        <v>26.0761</v>
      </c>
      <c r="GK151">
        <v>26.0611</v>
      </c>
      <c r="GL151">
        <v>35.296500000000002</v>
      </c>
      <c r="GM151">
        <v>100</v>
      </c>
      <c r="GN151">
        <v>5.3770199999999999</v>
      </c>
      <c r="GO151">
        <v>23.803899999999999</v>
      </c>
      <c r="GP151">
        <v>800</v>
      </c>
      <c r="GQ151">
        <v>0</v>
      </c>
      <c r="GR151">
        <v>99.758899999999997</v>
      </c>
      <c r="GS151">
        <v>99.574200000000005</v>
      </c>
    </row>
    <row r="152" spans="1:201" x14ac:dyDescent="0.25">
      <c r="A152">
        <v>136</v>
      </c>
      <c r="B152">
        <v>1690293749.5999999</v>
      </c>
      <c r="C152">
        <v>1479</v>
      </c>
      <c r="D152" t="s">
        <v>605</v>
      </c>
      <c r="E152" t="s">
        <v>606</v>
      </c>
      <c r="F152" t="s">
        <v>330</v>
      </c>
      <c r="H152">
        <v>1690293749.5999999</v>
      </c>
      <c r="I152">
        <f t="shared" si="60"/>
        <v>2.5968696261931133E-3</v>
      </c>
      <c r="J152">
        <f t="shared" si="61"/>
        <v>2.5968696261931132</v>
      </c>
      <c r="K152">
        <f t="shared" si="62"/>
        <v>41.299814228761804</v>
      </c>
      <c r="L152">
        <f t="shared" si="63"/>
        <v>377.303</v>
      </c>
      <c r="M152">
        <f t="shared" si="64"/>
        <v>112.70297597068617</v>
      </c>
      <c r="N152">
        <f t="shared" si="65"/>
        <v>11.208154855392722</v>
      </c>
      <c r="O152">
        <f t="shared" si="66"/>
        <v>37.522260747614695</v>
      </c>
      <c r="P152">
        <f t="shared" si="67"/>
        <v>0.26781226412419151</v>
      </c>
      <c r="Q152">
        <f t="shared" si="68"/>
        <v>2.260331738030386</v>
      </c>
      <c r="R152">
        <f t="shared" si="69"/>
        <v>0.25135010378686923</v>
      </c>
      <c r="S152">
        <f t="shared" si="70"/>
        <v>0.15848847784662934</v>
      </c>
      <c r="T152">
        <f t="shared" si="71"/>
        <v>276.11471511000002</v>
      </c>
      <c r="U152">
        <f t="shared" si="72"/>
        <v>26.753721511052362</v>
      </c>
      <c r="V152">
        <f t="shared" si="73"/>
        <v>26.753721511052362</v>
      </c>
      <c r="W152">
        <f t="shared" si="74"/>
        <v>3.5277144582578872</v>
      </c>
      <c r="X152">
        <f t="shared" si="75"/>
        <v>77.091249274612025</v>
      </c>
      <c r="Y152">
        <f t="shared" si="76"/>
        <v>2.5315440511714202</v>
      </c>
      <c r="Z152">
        <f t="shared" si="77"/>
        <v>3.2838280284622621</v>
      </c>
      <c r="AA152">
        <f t="shared" si="78"/>
        <v>0.99617040708646698</v>
      </c>
      <c r="AB152">
        <f t="shared" si="79"/>
        <v>-114.5219505151163</v>
      </c>
      <c r="AC152">
        <f t="shared" si="80"/>
        <v>-147.69573496419153</v>
      </c>
      <c r="AD152">
        <f t="shared" si="81"/>
        <v>-13.981887789625702</v>
      </c>
      <c r="AE152">
        <f t="shared" si="82"/>
        <v>-8.4858158933542427E-2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52896.697719345415</v>
      </c>
      <c r="AK152">
        <f t="shared" si="86"/>
        <v>1800</v>
      </c>
      <c r="AL152">
        <f t="shared" si="87"/>
        <v>1499.111091</v>
      </c>
      <c r="AM152">
        <f t="shared" si="88"/>
        <v>0.83283949499999999</v>
      </c>
      <c r="AN152">
        <f t="shared" si="89"/>
        <v>0.15339706395</v>
      </c>
      <c r="AO152">
        <v>30</v>
      </c>
      <c r="AP152">
        <v>0.5</v>
      </c>
      <c r="AQ152" t="s">
        <v>331</v>
      </c>
      <c r="AR152">
        <v>2</v>
      </c>
      <c r="AS152">
        <v>1690293749.5999999</v>
      </c>
      <c r="AT152">
        <v>377.303</v>
      </c>
      <c r="AU152">
        <v>799.971</v>
      </c>
      <c r="AV152">
        <v>25.4558</v>
      </c>
      <c r="AW152">
        <v>0.155832</v>
      </c>
      <c r="AX152">
        <v>377.505</v>
      </c>
      <c r="AY152">
        <v>25.304400000000001</v>
      </c>
      <c r="AZ152">
        <v>300.09100000000001</v>
      </c>
      <c r="BA152">
        <v>99.348699999999994</v>
      </c>
      <c r="BB152">
        <v>9.9914900000000001E-2</v>
      </c>
      <c r="BC152">
        <v>25.541699999999999</v>
      </c>
      <c r="BD152">
        <v>26.994299999999999</v>
      </c>
      <c r="BE152">
        <v>26.590900000000001</v>
      </c>
      <c r="BF152">
        <v>0</v>
      </c>
      <c r="BG152">
        <v>0</v>
      </c>
      <c r="BH152">
        <v>10021.200000000001</v>
      </c>
      <c r="BI152">
        <v>1062.78</v>
      </c>
      <c r="BJ152">
        <v>2.2987099999999998</v>
      </c>
      <c r="BK152">
        <v>-422.66800000000001</v>
      </c>
      <c r="BL152">
        <v>387.15800000000002</v>
      </c>
      <c r="BM152">
        <v>800.096</v>
      </c>
      <c r="BN152">
        <v>25.3</v>
      </c>
      <c r="BO152">
        <v>799.971</v>
      </c>
      <c r="BP152">
        <v>0.155832</v>
      </c>
      <c r="BQ152">
        <v>2.5289999999999999</v>
      </c>
      <c r="BR152">
        <v>1.54818E-2</v>
      </c>
      <c r="BS152">
        <v>21.214400000000001</v>
      </c>
      <c r="BT152">
        <v>-41.862099999999998</v>
      </c>
      <c r="BU152">
        <v>1800</v>
      </c>
      <c r="BV152">
        <v>0.91000499999999995</v>
      </c>
      <c r="BW152">
        <v>3.4005000000000001E-2</v>
      </c>
      <c r="BX152">
        <v>2.1996000000000002E-2</v>
      </c>
      <c r="BY152">
        <v>3.3993700000000002E-2</v>
      </c>
      <c r="BZ152">
        <v>25</v>
      </c>
      <c r="CA152">
        <v>33528.400000000001</v>
      </c>
      <c r="CB152">
        <v>1690292073.5</v>
      </c>
      <c r="CC152" t="s">
        <v>332</v>
      </c>
      <c r="CD152">
        <v>1690292069.5</v>
      </c>
      <c r="CE152">
        <v>1690292073.5</v>
      </c>
      <c r="CF152">
        <v>4</v>
      </c>
      <c r="CG152">
        <v>-3.6999999999999998E-2</v>
      </c>
      <c r="CH152">
        <v>-1.6E-2</v>
      </c>
      <c r="CI152">
        <v>-0.45200000000000001</v>
      </c>
      <c r="CJ152">
        <v>0.108</v>
      </c>
      <c r="CK152">
        <v>730</v>
      </c>
      <c r="CL152">
        <v>18</v>
      </c>
      <c r="CM152">
        <v>0</v>
      </c>
      <c r="CN152">
        <v>0.01</v>
      </c>
      <c r="CO152">
        <v>-421.48200000000003</v>
      </c>
      <c r="CP152">
        <v>-6.1516515679452057</v>
      </c>
      <c r="CQ152">
        <v>0.60923622716300352</v>
      </c>
      <c r="CR152">
        <v>-1</v>
      </c>
      <c r="CS152">
        <v>25.24193414634146</v>
      </c>
      <c r="CT152">
        <v>0.30766829268291263</v>
      </c>
      <c r="CU152">
        <v>3.0364738935362609E-2</v>
      </c>
      <c r="CV152">
        <v>-1</v>
      </c>
      <c r="CW152">
        <v>0</v>
      </c>
      <c r="CX152">
        <v>0</v>
      </c>
      <c r="CY152" t="s">
        <v>333</v>
      </c>
      <c r="CZ152">
        <v>2.36469</v>
      </c>
      <c r="DA152">
        <v>2.7137199999999999</v>
      </c>
      <c r="DB152">
        <v>8.5859900000000003E-2</v>
      </c>
      <c r="DC152">
        <v>0.14644699999999999</v>
      </c>
      <c r="DD152">
        <v>0.119237</v>
      </c>
      <c r="DE152">
        <v>1.31672E-3</v>
      </c>
      <c r="DF152">
        <v>33387.1</v>
      </c>
      <c r="DG152">
        <v>27512.2</v>
      </c>
      <c r="DH152">
        <v>31178.6</v>
      </c>
      <c r="DI152">
        <v>28085.9</v>
      </c>
      <c r="DJ152">
        <v>37272.9</v>
      </c>
      <c r="DK152">
        <v>39886.6</v>
      </c>
      <c r="DL152">
        <v>44370.5</v>
      </c>
      <c r="DM152">
        <v>42561.7</v>
      </c>
      <c r="DN152">
        <v>1.4894799999999999</v>
      </c>
      <c r="DO152">
        <v>2.03912</v>
      </c>
      <c r="DP152">
        <v>0.130553</v>
      </c>
      <c r="DQ152">
        <v>0.12790799999999999</v>
      </c>
      <c r="DR152">
        <v>24.855499999999999</v>
      </c>
      <c r="DS152">
        <v>24.4941</v>
      </c>
      <c r="DT152">
        <v>23.3</v>
      </c>
      <c r="DU152">
        <v>28.7</v>
      </c>
      <c r="DV152">
        <v>9.2699099999999994</v>
      </c>
      <c r="DW152">
        <v>61.733400000000003</v>
      </c>
      <c r="DX152">
        <v>35.633000000000003</v>
      </c>
      <c r="DY152">
        <v>1</v>
      </c>
      <c r="DZ152">
        <v>-0.11513</v>
      </c>
      <c r="EA152">
        <v>0.216977</v>
      </c>
      <c r="EB152">
        <v>20.190300000000001</v>
      </c>
      <c r="EC152">
        <v>5.2413999999999996</v>
      </c>
      <c r="ED152">
        <v>12.039899999999999</v>
      </c>
      <c r="EE152">
        <v>5.01755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</v>
      </c>
      <c r="EL152">
        <v>1.8646199999999999</v>
      </c>
      <c r="EM152">
        <v>1.8692</v>
      </c>
      <c r="EN152">
        <v>1.8672200000000001</v>
      </c>
      <c r="EO152">
        <v>1.86337</v>
      </c>
      <c r="EP152">
        <v>1.8644499999999999</v>
      </c>
      <c r="EQ152">
        <v>1.87015</v>
      </c>
      <c r="ER152">
        <v>1.8694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-0.20200000000000001</v>
      </c>
      <c r="FG152">
        <v>0.15140000000000001</v>
      </c>
      <c r="FH152">
        <v>5.0310448532705943E-2</v>
      </c>
      <c r="FI152">
        <v>-6.1462078757559423E-4</v>
      </c>
      <c r="FJ152">
        <v>-1.8861989874597051E-7</v>
      </c>
      <c r="FK152">
        <v>1.1980462299894961E-10</v>
      </c>
      <c r="FL152">
        <v>0.15140825623214971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28</v>
      </c>
      <c r="FU152">
        <v>27.9</v>
      </c>
      <c r="FV152">
        <v>1.7651399999999999</v>
      </c>
      <c r="FW152">
        <v>2.5854499999999998</v>
      </c>
      <c r="FX152">
        <v>1.5490699999999999</v>
      </c>
      <c r="FY152">
        <v>2.3327599999999999</v>
      </c>
      <c r="FZ152">
        <v>1.50146</v>
      </c>
      <c r="GA152">
        <v>2.2997999999999998</v>
      </c>
      <c r="GB152">
        <v>33.154499999999999</v>
      </c>
      <c r="GC152">
        <v>23.982399999999998</v>
      </c>
      <c r="GD152">
        <v>19</v>
      </c>
      <c r="GE152">
        <v>287.33300000000003</v>
      </c>
      <c r="GF152">
        <v>582.26499999999999</v>
      </c>
      <c r="GG152">
        <v>23.8157</v>
      </c>
      <c r="GH152">
        <v>25.931899999999999</v>
      </c>
      <c r="GI152">
        <v>30</v>
      </c>
      <c r="GJ152">
        <v>26.075399999999998</v>
      </c>
      <c r="GK152">
        <v>26.058900000000001</v>
      </c>
      <c r="GL152">
        <v>35.2973</v>
      </c>
      <c r="GM152">
        <v>100</v>
      </c>
      <c r="GN152">
        <v>4.9935099999999997</v>
      </c>
      <c r="GO152">
        <v>23.801200000000001</v>
      </c>
      <c r="GP152">
        <v>800</v>
      </c>
      <c r="GQ152">
        <v>0</v>
      </c>
      <c r="GR152">
        <v>99.758899999999997</v>
      </c>
      <c r="GS152">
        <v>99.572900000000004</v>
      </c>
    </row>
    <row r="153" spans="1:201" x14ac:dyDescent="0.25">
      <c r="A153">
        <v>137</v>
      </c>
      <c r="B153">
        <v>1690293759.5999999</v>
      </c>
      <c r="C153">
        <v>1489</v>
      </c>
      <c r="D153" t="s">
        <v>607</v>
      </c>
      <c r="E153" t="s">
        <v>608</v>
      </c>
      <c r="F153" t="s">
        <v>330</v>
      </c>
      <c r="H153">
        <v>1690293759.5999999</v>
      </c>
      <c r="I153">
        <f t="shared" si="60"/>
        <v>2.6024077435606737E-3</v>
      </c>
      <c r="J153">
        <f t="shared" si="61"/>
        <v>2.6024077435606738</v>
      </c>
      <c r="K153">
        <f t="shared" si="62"/>
        <v>41.416747503050331</v>
      </c>
      <c r="L153">
        <f t="shared" si="63"/>
        <v>376.33199999999999</v>
      </c>
      <c r="M153">
        <f t="shared" si="64"/>
        <v>112.78530800800864</v>
      </c>
      <c r="N153">
        <f t="shared" si="65"/>
        <v>11.215926428287133</v>
      </c>
      <c r="O153">
        <f t="shared" si="66"/>
        <v>37.424307289300799</v>
      </c>
      <c r="P153">
        <f t="shared" si="67"/>
        <v>0.26973917363313482</v>
      </c>
      <c r="Q153">
        <f t="shared" si="68"/>
        <v>2.2598846461850268</v>
      </c>
      <c r="R153">
        <f t="shared" si="69"/>
        <v>0.25304410806849525</v>
      </c>
      <c r="S153">
        <f t="shared" si="70"/>
        <v>0.1595663695117184</v>
      </c>
      <c r="T153">
        <f t="shared" si="71"/>
        <v>276.114937338</v>
      </c>
      <c r="U153">
        <f t="shared" si="72"/>
        <v>26.753908275935185</v>
      </c>
      <c r="V153">
        <f t="shared" si="73"/>
        <v>26.753908275935185</v>
      </c>
      <c r="W153">
        <f t="shared" si="74"/>
        <v>3.527753225747448</v>
      </c>
      <c r="X153">
        <f t="shared" si="75"/>
        <v>77.224888224102443</v>
      </c>
      <c r="Y153">
        <f t="shared" si="76"/>
        <v>2.5362035739278399</v>
      </c>
      <c r="Z153">
        <f t="shared" si="77"/>
        <v>3.2841790156664445</v>
      </c>
      <c r="AA153">
        <f t="shared" si="78"/>
        <v>0.99154965181960808</v>
      </c>
      <c r="AB153">
        <f t="shared" si="79"/>
        <v>-114.7661814910257</v>
      </c>
      <c r="AC153">
        <f t="shared" si="80"/>
        <v>-147.46997252276606</v>
      </c>
      <c r="AD153">
        <f t="shared" si="81"/>
        <v>-13.963416450722921</v>
      </c>
      <c r="AE153">
        <f t="shared" si="82"/>
        <v>-8.4633126514688684E-2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52878.722631165692</v>
      </c>
      <c r="AK153">
        <f t="shared" si="86"/>
        <v>1800</v>
      </c>
      <c r="AL153">
        <f t="shared" si="87"/>
        <v>1499.1123797999999</v>
      </c>
      <c r="AM153">
        <f t="shared" si="88"/>
        <v>0.83284021099999994</v>
      </c>
      <c r="AN153">
        <f t="shared" si="89"/>
        <v>0.15339718741</v>
      </c>
      <c r="AO153">
        <v>30</v>
      </c>
      <c r="AP153">
        <v>0.5</v>
      </c>
      <c r="AQ153" t="s">
        <v>331</v>
      </c>
      <c r="AR153">
        <v>2</v>
      </c>
      <c r="AS153">
        <v>1690293759.5999999</v>
      </c>
      <c r="AT153">
        <v>376.33199999999999</v>
      </c>
      <c r="AU153">
        <v>800.09400000000005</v>
      </c>
      <c r="AV153">
        <v>25.503599999999999</v>
      </c>
      <c r="AW153">
        <v>0.155144</v>
      </c>
      <c r="AX153">
        <v>376.53300000000002</v>
      </c>
      <c r="AY153">
        <v>25.3522</v>
      </c>
      <c r="AZ153">
        <v>300.14100000000002</v>
      </c>
      <c r="BA153">
        <v>99.344999999999999</v>
      </c>
      <c r="BB153">
        <v>9.9924399999999997E-2</v>
      </c>
      <c r="BC153">
        <v>25.543500000000002</v>
      </c>
      <c r="BD153">
        <v>26.984500000000001</v>
      </c>
      <c r="BE153">
        <v>26.592199999999998</v>
      </c>
      <c r="BF153">
        <v>0</v>
      </c>
      <c r="BG153">
        <v>0</v>
      </c>
      <c r="BH153">
        <v>10018.1</v>
      </c>
      <c r="BI153">
        <v>1062.8399999999999</v>
      </c>
      <c r="BJ153">
        <v>2.2987099999999998</v>
      </c>
      <c r="BK153">
        <v>-423.762</v>
      </c>
      <c r="BL153">
        <v>386.18099999999998</v>
      </c>
      <c r="BM153">
        <v>800.21799999999996</v>
      </c>
      <c r="BN153">
        <v>25.348400000000002</v>
      </c>
      <c r="BO153">
        <v>800.09400000000005</v>
      </c>
      <c r="BP153">
        <v>0.155144</v>
      </c>
      <c r="BQ153">
        <v>2.5336500000000002</v>
      </c>
      <c r="BR153">
        <v>1.5412800000000001E-2</v>
      </c>
      <c r="BS153">
        <v>21.244299999999999</v>
      </c>
      <c r="BT153">
        <v>-41.904000000000003</v>
      </c>
      <c r="BU153">
        <v>1800</v>
      </c>
      <c r="BV153">
        <v>0.91000599999999998</v>
      </c>
      <c r="BW153">
        <v>3.4005500000000001E-2</v>
      </c>
      <c r="BX153">
        <v>2.1995799999999999E-2</v>
      </c>
      <c r="BY153">
        <v>3.3993299999999997E-2</v>
      </c>
      <c r="BZ153">
        <v>25</v>
      </c>
      <c r="CA153">
        <v>33528.400000000001</v>
      </c>
      <c r="CB153">
        <v>1690292073.5</v>
      </c>
      <c r="CC153" t="s">
        <v>332</v>
      </c>
      <c r="CD153">
        <v>1690292069.5</v>
      </c>
      <c r="CE153">
        <v>1690292073.5</v>
      </c>
      <c r="CF153">
        <v>4</v>
      </c>
      <c r="CG153">
        <v>-3.6999999999999998E-2</v>
      </c>
      <c r="CH153">
        <v>-1.6E-2</v>
      </c>
      <c r="CI153">
        <v>-0.45200000000000001</v>
      </c>
      <c r="CJ153">
        <v>0.108</v>
      </c>
      <c r="CK153">
        <v>730</v>
      </c>
      <c r="CL153">
        <v>18</v>
      </c>
      <c r="CM153">
        <v>0</v>
      </c>
      <c r="CN153">
        <v>0.01</v>
      </c>
      <c r="CO153">
        <v>-422.51985365853659</v>
      </c>
      <c r="CP153">
        <v>-6.3553797909403098</v>
      </c>
      <c r="CQ153">
        <v>0.62770497812251425</v>
      </c>
      <c r="CR153">
        <v>-1</v>
      </c>
      <c r="CS153">
        <v>25.29408048780488</v>
      </c>
      <c r="CT153">
        <v>0.31421811846690112</v>
      </c>
      <c r="CU153">
        <v>3.1005760436568119E-2</v>
      </c>
      <c r="CV153">
        <v>-1</v>
      </c>
      <c r="CW153">
        <v>0</v>
      </c>
      <c r="CX153">
        <v>0</v>
      </c>
      <c r="CY153" t="s">
        <v>333</v>
      </c>
      <c r="CZ153">
        <v>2.3648400000000001</v>
      </c>
      <c r="DA153">
        <v>2.71373</v>
      </c>
      <c r="DB153">
        <v>8.5685800000000006E-2</v>
      </c>
      <c r="DC153">
        <v>0.146457</v>
      </c>
      <c r="DD153">
        <v>0.11939</v>
      </c>
      <c r="DE153">
        <v>1.31091E-3</v>
      </c>
      <c r="DF153">
        <v>33393.4</v>
      </c>
      <c r="DG153">
        <v>27512.3</v>
      </c>
      <c r="DH153">
        <v>31178.6</v>
      </c>
      <c r="DI153">
        <v>28086.2</v>
      </c>
      <c r="DJ153">
        <v>37266.300000000003</v>
      </c>
      <c r="DK153">
        <v>39887.5</v>
      </c>
      <c r="DL153">
        <v>44370.400000000001</v>
      </c>
      <c r="DM153">
        <v>42562.400000000001</v>
      </c>
      <c r="DN153">
        <v>1.4891300000000001</v>
      </c>
      <c r="DO153">
        <v>2.0390199999999998</v>
      </c>
      <c r="DP153">
        <v>0.12982299999999999</v>
      </c>
      <c r="DQ153">
        <v>0.12798599999999999</v>
      </c>
      <c r="DR153">
        <v>24.857600000000001</v>
      </c>
      <c r="DS153">
        <v>24.4941</v>
      </c>
      <c r="DT153">
        <v>23.2</v>
      </c>
      <c r="DU153">
        <v>28.7</v>
      </c>
      <c r="DV153">
        <v>9.2305700000000002</v>
      </c>
      <c r="DW153">
        <v>61.513399999999997</v>
      </c>
      <c r="DX153">
        <v>34.851799999999997</v>
      </c>
      <c r="DY153">
        <v>1</v>
      </c>
      <c r="DZ153">
        <v>-0.114997</v>
      </c>
      <c r="EA153">
        <v>0.225912</v>
      </c>
      <c r="EB153">
        <v>20.190200000000001</v>
      </c>
      <c r="EC153">
        <v>5.2413999999999996</v>
      </c>
      <c r="ED153">
        <v>12.039899999999999</v>
      </c>
      <c r="EE153">
        <v>5.0174000000000003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1.8689100000000001</v>
      </c>
      <c r="EL153">
        <v>1.8646199999999999</v>
      </c>
      <c r="EM153">
        <v>1.8692</v>
      </c>
      <c r="EN153">
        <v>1.8672200000000001</v>
      </c>
      <c r="EO153">
        <v>1.86337</v>
      </c>
      <c r="EP153">
        <v>1.8644700000000001</v>
      </c>
      <c r="EQ153">
        <v>1.87016</v>
      </c>
      <c r="ER153">
        <v>1.8693900000000001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-0.20100000000000001</v>
      </c>
      <c r="FG153">
        <v>0.15140000000000001</v>
      </c>
      <c r="FH153">
        <v>5.0310448532705943E-2</v>
      </c>
      <c r="FI153">
        <v>-6.1462078757559423E-4</v>
      </c>
      <c r="FJ153">
        <v>-1.8861989874597051E-7</v>
      </c>
      <c r="FK153">
        <v>1.1980462299894961E-10</v>
      </c>
      <c r="FL153">
        <v>0.15140825623214971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28.2</v>
      </c>
      <c r="FU153">
        <v>28.1</v>
      </c>
      <c r="FV153">
        <v>1.7651399999999999</v>
      </c>
      <c r="FW153">
        <v>2.5830099999999998</v>
      </c>
      <c r="FX153">
        <v>1.5490699999999999</v>
      </c>
      <c r="FY153">
        <v>2.3339799999999999</v>
      </c>
      <c r="FZ153">
        <v>1.50146</v>
      </c>
      <c r="GA153">
        <v>2.2936999999999999</v>
      </c>
      <c r="GB153">
        <v>33.154499999999999</v>
      </c>
      <c r="GC153">
        <v>23.982399999999998</v>
      </c>
      <c r="GD153">
        <v>19</v>
      </c>
      <c r="GE153">
        <v>287.18299999999999</v>
      </c>
      <c r="GF153">
        <v>582.18200000000002</v>
      </c>
      <c r="GG153">
        <v>23.805599999999998</v>
      </c>
      <c r="GH153">
        <v>25.931899999999999</v>
      </c>
      <c r="GI153">
        <v>30.0001</v>
      </c>
      <c r="GJ153">
        <v>26.075399999999998</v>
      </c>
      <c r="GK153">
        <v>26.058900000000001</v>
      </c>
      <c r="GL153">
        <v>35.295099999999998</v>
      </c>
      <c r="GM153">
        <v>100</v>
      </c>
      <c r="GN153">
        <v>4.61226</v>
      </c>
      <c r="GO153">
        <v>23.805800000000001</v>
      </c>
      <c r="GP153">
        <v>800</v>
      </c>
      <c r="GQ153">
        <v>0</v>
      </c>
      <c r="GR153">
        <v>99.758600000000001</v>
      </c>
      <c r="GS153">
        <v>99.574399999999997</v>
      </c>
    </row>
    <row r="154" spans="1:201" x14ac:dyDescent="0.25">
      <c r="A154">
        <v>138</v>
      </c>
      <c r="B154">
        <v>1690293769.5999999</v>
      </c>
      <c r="C154">
        <v>1499</v>
      </c>
      <c r="D154" t="s">
        <v>609</v>
      </c>
      <c r="E154" t="s">
        <v>610</v>
      </c>
      <c r="F154" t="s">
        <v>330</v>
      </c>
      <c r="H154">
        <v>1690293769.5999999</v>
      </c>
      <c r="I154">
        <f t="shared" si="60"/>
        <v>2.6068548090710537E-3</v>
      </c>
      <c r="J154">
        <f t="shared" si="61"/>
        <v>2.6068548090710535</v>
      </c>
      <c r="K154">
        <f t="shared" si="62"/>
        <v>41.513150255022559</v>
      </c>
      <c r="L154">
        <f t="shared" si="63"/>
        <v>375.34500000000003</v>
      </c>
      <c r="M154">
        <f t="shared" si="64"/>
        <v>112.68772983498228</v>
      </c>
      <c r="N154">
        <f t="shared" si="65"/>
        <v>11.206671789775736</v>
      </c>
      <c r="O154">
        <f t="shared" si="66"/>
        <v>37.327650748605002</v>
      </c>
      <c r="P154">
        <f t="shared" si="67"/>
        <v>0.27137591607014555</v>
      </c>
      <c r="Q154">
        <f t="shared" si="68"/>
        <v>2.2572008932527363</v>
      </c>
      <c r="R154">
        <f t="shared" si="69"/>
        <v>0.25446569384484036</v>
      </c>
      <c r="S154">
        <f t="shared" si="70"/>
        <v>0.16047248744692638</v>
      </c>
      <c r="T154">
        <f t="shared" si="71"/>
        <v>276.114694536</v>
      </c>
      <c r="U154">
        <f t="shared" si="72"/>
        <v>26.755746754892364</v>
      </c>
      <c r="V154">
        <f t="shared" si="73"/>
        <v>26.755746754892364</v>
      </c>
      <c r="W154">
        <f t="shared" si="74"/>
        <v>3.528134865595022</v>
      </c>
      <c r="X154">
        <f t="shared" si="75"/>
        <v>77.344161427425547</v>
      </c>
      <c r="Y154">
        <f t="shared" si="76"/>
        <v>2.5404223804050003</v>
      </c>
      <c r="Z154">
        <f t="shared" si="77"/>
        <v>3.2845690398864278</v>
      </c>
      <c r="AA154">
        <f t="shared" si="78"/>
        <v>0.98771248519002164</v>
      </c>
      <c r="AB154">
        <f t="shared" si="79"/>
        <v>-114.96229708003347</v>
      </c>
      <c r="AC154">
        <f t="shared" si="80"/>
        <v>-147.27518726981498</v>
      </c>
      <c r="AD154">
        <f t="shared" si="81"/>
        <v>-13.9618218283217</v>
      </c>
      <c r="AE154">
        <f t="shared" si="82"/>
        <v>-8.4611642170159485E-2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52773.028313372612</v>
      </c>
      <c r="AK154">
        <f t="shared" si="86"/>
        <v>1800</v>
      </c>
      <c r="AL154">
        <f t="shared" si="87"/>
        <v>1499.1106806</v>
      </c>
      <c r="AM154">
        <f t="shared" si="88"/>
        <v>0.83283926699999999</v>
      </c>
      <c r="AN154">
        <f t="shared" si="89"/>
        <v>0.15339705251999999</v>
      </c>
      <c r="AO154">
        <v>30</v>
      </c>
      <c r="AP154">
        <v>0.5</v>
      </c>
      <c r="AQ154" t="s">
        <v>331</v>
      </c>
      <c r="AR154">
        <v>2</v>
      </c>
      <c r="AS154">
        <v>1690293769.5999999</v>
      </c>
      <c r="AT154">
        <v>375.34500000000003</v>
      </c>
      <c r="AU154">
        <v>800.06299999999999</v>
      </c>
      <c r="AV154">
        <v>25.545000000000002</v>
      </c>
      <c r="AW154">
        <v>0.154222</v>
      </c>
      <c r="AX154">
        <v>375.54599999999999</v>
      </c>
      <c r="AY154">
        <v>25.3935</v>
      </c>
      <c r="AZ154">
        <v>300.14</v>
      </c>
      <c r="BA154">
        <v>99.3489</v>
      </c>
      <c r="BB154">
        <v>0.100009</v>
      </c>
      <c r="BC154">
        <v>25.545500000000001</v>
      </c>
      <c r="BD154">
        <v>27.0047</v>
      </c>
      <c r="BE154">
        <v>26.6069</v>
      </c>
      <c r="BF154">
        <v>0</v>
      </c>
      <c r="BG154">
        <v>0</v>
      </c>
      <c r="BH154">
        <v>9996.8799999999992</v>
      </c>
      <c r="BI154">
        <v>1062.8599999999999</v>
      </c>
      <c r="BJ154">
        <v>2.2987099999999998</v>
      </c>
      <c r="BK154">
        <v>-424.71800000000002</v>
      </c>
      <c r="BL154">
        <v>385.185</v>
      </c>
      <c r="BM154">
        <v>800.18600000000004</v>
      </c>
      <c r="BN154">
        <v>25.390699999999999</v>
      </c>
      <c r="BO154">
        <v>800.06299999999999</v>
      </c>
      <c r="BP154">
        <v>0.154222</v>
      </c>
      <c r="BQ154">
        <v>2.5378599999999998</v>
      </c>
      <c r="BR154">
        <v>1.53218E-2</v>
      </c>
      <c r="BS154">
        <v>21.2714</v>
      </c>
      <c r="BT154">
        <v>-41.959699999999998</v>
      </c>
      <c r="BU154">
        <v>1800</v>
      </c>
      <c r="BV154">
        <v>0.91000400000000004</v>
      </c>
      <c r="BW154">
        <v>3.40086E-2</v>
      </c>
      <c r="BX154">
        <v>2.19951E-2</v>
      </c>
      <c r="BY154">
        <v>3.39922E-2</v>
      </c>
      <c r="BZ154">
        <v>25</v>
      </c>
      <c r="CA154">
        <v>33528.300000000003</v>
      </c>
      <c r="CB154">
        <v>1690292073.5</v>
      </c>
      <c r="CC154" t="s">
        <v>332</v>
      </c>
      <c r="CD154">
        <v>1690292069.5</v>
      </c>
      <c r="CE154">
        <v>1690292073.5</v>
      </c>
      <c r="CF154">
        <v>4</v>
      </c>
      <c r="CG154">
        <v>-3.6999999999999998E-2</v>
      </c>
      <c r="CH154">
        <v>-1.6E-2</v>
      </c>
      <c r="CI154">
        <v>-0.45200000000000001</v>
      </c>
      <c r="CJ154">
        <v>0.108</v>
      </c>
      <c r="CK154">
        <v>730</v>
      </c>
      <c r="CL154">
        <v>18</v>
      </c>
      <c r="CM154">
        <v>0</v>
      </c>
      <c r="CN154">
        <v>0.01</v>
      </c>
      <c r="CO154">
        <v>-423.52052500000002</v>
      </c>
      <c r="CP154">
        <v>-5.6557936210121929</v>
      </c>
      <c r="CQ154">
        <v>0.54894721911582489</v>
      </c>
      <c r="CR154">
        <v>-1</v>
      </c>
      <c r="CS154">
        <v>25.341942499999998</v>
      </c>
      <c r="CT154">
        <v>0.269602626641606</v>
      </c>
      <c r="CU154">
        <v>2.6001758474187831E-2</v>
      </c>
      <c r="CV154">
        <v>-1</v>
      </c>
      <c r="CW154">
        <v>0</v>
      </c>
      <c r="CX154">
        <v>0</v>
      </c>
      <c r="CY154" t="s">
        <v>333</v>
      </c>
      <c r="CZ154">
        <v>2.3648600000000002</v>
      </c>
      <c r="DA154">
        <v>2.7138</v>
      </c>
      <c r="DB154">
        <v>8.5515099999999997E-2</v>
      </c>
      <c r="DC154">
        <v>0.146458</v>
      </c>
      <c r="DD154">
        <v>0.11953</v>
      </c>
      <c r="DE154">
        <v>1.30324E-3</v>
      </c>
      <c r="DF154">
        <v>33399.4</v>
      </c>
      <c r="DG154">
        <v>27512.400000000001</v>
      </c>
      <c r="DH154">
        <v>31178.3</v>
      </c>
      <c r="DI154">
        <v>28086.400000000001</v>
      </c>
      <c r="DJ154">
        <v>37259.9</v>
      </c>
      <c r="DK154">
        <v>39887.9</v>
      </c>
      <c r="DL154">
        <v>44369.9</v>
      </c>
      <c r="DM154">
        <v>42562.6</v>
      </c>
      <c r="DN154">
        <v>1.4898499999999999</v>
      </c>
      <c r="DO154">
        <v>2.0396000000000001</v>
      </c>
      <c r="DP154">
        <v>0.13092899999999999</v>
      </c>
      <c r="DQ154">
        <v>0.12886500000000001</v>
      </c>
      <c r="DR154">
        <v>24.8597</v>
      </c>
      <c r="DS154">
        <v>24.494499999999999</v>
      </c>
      <c r="DT154">
        <v>23.1</v>
      </c>
      <c r="DU154">
        <v>28.7</v>
      </c>
      <c r="DV154">
        <v>9.1909399999999994</v>
      </c>
      <c r="DW154">
        <v>61.473399999999998</v>
      </c>
      <c r="DX154">
        <v>35.504800000000003</v>
      </c>
      <c r="DY154">
        <v>1</v>
      </c>
      <c r="DZ154">
        <v>-0.115076</v>
      </c>
      <c r="EA154">
        <v>0.21268200000000001</v>
      </c>
      <c r="EB154">
        <v>20.190100000000001</v>
      </c>
      <c r="EC154">
        <v>5.2416999999999998</v>
      </c>
      <c r="ED154">
        <v>12.039899999999999</v>
      </c>
      <c r="EE154">
        <v>5.0173500000000004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1.8646199999999999</v>
      </c>
      <c r="EM154">
        <v>1.8692</v>
      </c>
      <c r="EN154">
        <v>1.8672200000000001</v>
      </c>
      <c r="EO154">
        <v>1.86337</v>
      </c>
      <c r="EP154">
        <v>1.86446</v>
      </c>
      <c r="EQ154">
        <v>1.87016</v>
      </c>
      <c r="ER154">
        <v>1.8693900000000001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-0.20100000000000001</v>
      </c>
      <c r="FG154">
        <v>0.1515</v>
      </c>
      <c r="FH154">
        <v>5.0310448532705943E-2</v>
      </c>
      <c r="FI154">
        <v>-6.1462078757559423E-4</v>
      </c>
      <c r="FJ154">
        <v>-1.8861989874597051E-7</v>
      </c>
      <c r="FK154">
        <v>1.1980462299894961E-10</v>
      </c>
      <c r="FL154">
        <v>0.15140825623214971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28.3</v>
      </c>
      <c r="FU154">
        <v>28.3</v>
      </c>
      <c r="FV154">
        <v>1.7651399999999999</v>
      </c>
      <c r="FW154">
        <v>2.5781200000000002</v>
      </c>
      <c r="FX154">
        <v>1.5490699999999999</v>
      </c>
      <c r="FY154">
        <v>2.3339799999999999</v>
      </c>
      <c r="FZ154">
        <v>1.50146</v>
      </c>
      <c r="GA154">
        <v>2.36694</v>
      </c>
      <c r="GB154">
        <v>33.154499999999999</v>
      </c>
      <c r="GC154">
        <v>23.991199999999999</v>
      </c>
      <c r="GD154">
        <v>19</v>
      </c>
      <c r="GE154">
        <v>287.495</v>
      </c>
      <c r="GF154">
        <v>582.65599999999995</v>
      </c>
      <c r="GG154">
        <v>23.813800000000001</v>
      </c>
      <c r="GH154">
        <v>25.931899999999999</v>
      </c>
      <c r="GI154">
        <v>30</v>
      </c>
      <c r="GJ154">
        <v>26.075399999999998</v>
      </c>
      <c r="GK154">
        <v>26.058900000000001</v>
      </c>
      <c r="GL154">
        <v>35.298099999999998</v>
      </c>
      <c r="GM154">
        <v>100</v>
      </c>
      <c r="GN154">
        <v>3.8555100000000002</v>
      </c>
      <c r="GO154">
        <v>23.808399999999999</v>
      </c>
      <c r="GP154">
        <v>800</v>
      </c>
      <c r="GQ154">
        <v>0</v>
      </c>
      <c r="GR154">
        <v>99.757599999999996</v>
      </c>
      <c r="GS154">
        <v>99.5749</v>
      </c>
    </row>
    <row r="155" spans="1:201" x14ac:dyDescent="0.25">
      <c r="A155">
        <v>139</v>
      </c>
      <c r="B155">
        <v>1690293779.5999999</v>
      </c>
      <c r="C155">
        <v>1509</v>
      </c>
      <c r="D155" t="s">
        <v>611</v>
      </c>
      <c r="E155" t="s">
        <v>612</v>
      </c>
      <c r="F155" t="s">
        <v>330</v>
      </c>
      <c r="H155">
        <v>1690293779.5999999</v>
      </c>
      <c r="I155">
        <f t="shared" si="60"/>
        <v>2.6109096686914241E-3</v>
      </c>
      <c r="J155">
        <f t="shared" si="61"/>
        <v>2.6109096686914239</v>
      </c>
      <c r="K155">
        <f t="shared" si="62"/>
        <v>41.576543768048289</v>
      </c>
      <c r="L155">
        <f t="shared" si="63"/>
        <v>374.38900000000001</v>
      </c>
      <c r="M155">
        <f t="shared" si="64"/>
        <v>113.05002365935788</v>
      </c>
      <c r="N155">
        <f t="shared" si="65"/>
        <v>11.242419229438251</v>
      </c>
      <c r="O155">
        <f t="shared" si="66"/>
        <v>37.231642742268008</v>
      </c>
      <c r="P155">
        <f t="shared" si="67"/>
        <v>0.2732471544074172</v>
      </c>
      <c r="Q155">
        <f t="shared" si="68"/>
        <v>2.2587823407637377</v>
      </c>
      <c r="R155">
        <f t="shared" si="69"/>
        <v>0.25612201365018644</v>
      </c>
      <c r="S155">
        <f t="shared" si="70"/>
        <v>0.16152536444816715</v>
      </c>
      <c r="T155">
        <f t="shared" si="71"/>
        <v>276.11460498600002</v>
      </c>
      <c r="U155">
        <f t="shared" si="72"/>
        <v>26.7558273050211</v>
      </c>
      <c r="V155">
        <f t="shared" si="73"/>
        <v>26.7558273050211</v>
      </c>
      <c r="W155">
        <f t="shared" si="74"/>
        <v>3.5281515873823386</v>
      </c>
      <c r="X155">
        <f t="shared" si="75"/>
        <v>77.484087255470129</v>
      </c>
      <c r="Y155">
        <f t="shared" si="76"/>
        <v>2.5453508044223998</v>
      </c>
      <c r="Z155">
        <f t="shared" si="77"/>
        <v>3.2849981132644834</v>
      </c>
      <c r="AA155">
        <f t="shared" si="78"/>
        <v>0.98280078295993878</v>
      </c>
      <c r="AB155">
        <f t="shared" si="79"/>
        <v>-115.1411163892918</v>
      </c>
      <c r="AC155">
        <f t="shared" si="80"/>
        <v>-147.12027468397812</v>
      </c>
      <c r="AD155">
        <f t="shared" si="81"/>
        <v>-13.937530303581214</v>
      </c>
      <c r="AE155">
        <f t="shared" si="82"/>
        <v>-8.4316390851142842E-2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52834.693861040803</v>
      </c>
      <c r="AK155">
        <f t="shared" si="86"/>
        <v>1800</v>
      </c>
      <c r="AL155">
        <f t="shared" si="87"/>
        <v>1499.1109685999998</v>
      </c>
      <c r="AM155">
        <f t="shared" si="88"/>
        <v>0.83283942699999991</v>
      </c>
      <c r="AN155">
        <f t="shared" si="89"/>
        <v>0.15339700277000001</v>
      </c>
      <c r="AO155">
        <v>30</v>
      </c>
      <c r="AP155">
        <v>0.5</v>
      </c>
      <c r="AQ155" t="s">
        <v>331</v>
      </c>
      <c r="AR155">
        <v>2</v>
      </c>
      <c r="AS155">
        <v>1690293779.5999999</v>
      </c>
      <c r="AT155">
        <v>374.38900000000001</v>
      </c>
      <c r="AU155">
        <v>799.94500000000005</v>
      </c>
      <c r="AV155">
        <v>25.595199999999998</v>
      </c>
      <c r="AW155">
        <v>0.15343799999999999</v>
      </c>
      <c r="AX155">
        <v>374.589</v>
      </c>
      <c r="AY155">
        <v>25.4438</v>
      </c>
      <c r="AZ155">
        <v>299.98899999999998</v>
      </c>
      <c r="BA155">
        <v>99.346400000000003</v>
      </c>
      <c r="BB155">
        <v>0.100012</v>
      </c>
      <c r="BC155">
        <v>25.547699999999999</v>
      </c>
      <c r="BD155">
        <v>26.986899999999999</v>
      </c>
      <c r="BE155">
        <v>26.6006</v>
      </c>
      <c r="BF155">
        <v>0</v>
      </c>
      <c r="BG155">
        <v>0</v>
      </c>
      <c r="BH155">
        <v>10009.4</v>
      </c>
      <c r="BI155">
        <v>1062.9000000000001</v>
      </c>
      <c r="BJ155">
        <v>2.2987099999999998</v>
      </c>
      <c r="BK155">
        <v>-425.55500000000001</v>
      </c>
      <c r="BL155">
        <v>384.22300000000001</v>
      </c>
      <c r="BM155">
        <v>800.06700000000001</v>
      </c>
      <c r="BN155">
        <v>25.441800000000001</v>
      </c>
      <c r="BO155">
        <v>799.94500000000005</v>
      </c>
      <c r="BP155">
        <v>0.15343799999999999</v>
      </c>
      <c r="BQ155">
        <v>2.5427900000000001</v>
      </c>
      <c r="BR155">
        <v>1.52435E-2</v>
      </c>
      <c r="BS155">
        <v>21.303000000000001</v>
      </c>
      <c r="BT155">
        <v>-42.0077</v>
      </c>
      <c r="BU155">
        <v>1800</v>
      </c>
      <c r="BV155">
        <v>0.91000599999999998</v>
      </c>
      <c r="BW155">
        <v>3.4007799999999998E-2</v>
      </c>
      <c r="BX155">
        <v>2.19946E-2</v>
      </c>
      <c r="BY155">
        <v>3.3991500000000001E-2</v>
      </c>
      <c r="BZ155">
        <v>25</v>
      </c>
      <c r="CA155">
        <v>33528.400000000001</v>
      </c>
      <c r="CB155">
        <v>1690292073.5</v>
      </c>
      <c r="CC155" t="s">
        <v>332</v>
      </c>
      <c r="CD155">
        <v>1690292069.5</v>
      </c>
      <c r="CE155">
        <v>1690292073.5</v>
      </c>
      <c r="CF155">
        <v>4</v>
      </c>
      <c r="CG155">
        <v>-3.6999999999999998E-2</v>
      </c>
      <c r="CH155">
        <v>-1.6E-2</v>
      </c>
      <c r="CI155">
        <v>-0.45200000000000001</v>
      </c>
      <c r="CJ155">
        <v>0.108</v>
      </c>
      <c r="CK155">
        <v>730</v>
      </c>
      <c r="CL155">
        <v>18</v>
      </c>
      <c r="CM155">
        <v>0</v>
      </c>
      <c r="CN155">
        <v>0.01</v>
      </c>
      <c r="CO155">
        <v>-424.51325000000003</v>
      </c>
      <c r="CP155">
        <v>-5.8123227016878856</v>
      </c>
      <c r="CQ155">
        <v>0.56554043843035773</v>
      </c>
      <c r="CR155">
        <v>-1</v>
      </c>
      <c r="CS155">
        <v>25.388104999999999</v>
      </c>
      <c r="CT155">
        <v>0.28126604127579979</v>
      </c>
      <c r="CU155">
        <v>2.716111144633079E-2</v>
      </c>
      <c r="CV155">
        <v>-1</v>
      </c>
      <c r="CW155">
        <v>0</v>
      </c>
      <c r="CX155">
        <v>0</v>
      </c>
      <c r="CY155" t="s">
        <v>333</v>
      </c>
      <c r="CZ155">
        <v>2.3643700000000001</v>
      </c>
      <c r="DA155">
        <v>2.7138100000000001</v>
      </c>
      <c r="DB155">
        <v>8.5344299999999998E-2</v>
      </c>
      <c r="DC155">
        <v>0.14643999999999999</v>
      </c>
      <c r="DD155">
        <v>0.11969100000000001</v>
      </c>
      <c r="DE155">
        <v>1.2966500000000001E-3</v>
      </c>
      <c r="DF155">
        <v>33405.800000000003</v>
      </c>
      <c r="DG155">
        <v>27512.799999999999</v>
      </c>
      <c r="DH155">
        <v>31178.400000000001</v>
      </c>
      <c r="DI155">
        <v>28086.2</v>
      </c>
      <c r="DJ155">
        <v>37253.300000000003</v>
      </c>
      <c r="DK155">
        <v>39887.9</v>
      </c>
      <c r="DL155">
        <v>44370.400000000001</v>
      </c>
      <c r="DM155">
        <v>42562.3</v>
      </c>
      <c r="DN155">
        <v>1.48933</v>
      </c>
      <c r="DO155">
        <v>2.0394700000000001</v>
      </c>
      <c r="DP155">
        <v>0.129718</v>
      </c>
      <c r="DQ155">
        <v>0.128251</v>
      </c>
      <c r="DR155">
        <v>24.861799999999999</v>
      </c>
      <c r="DS155">
        <v>24.498200000000001</v>
      </c>
      <c r="DT155">
        <v>23</v>
      </c>
      <c r="DU155">
        <v>28.7</v>
      </c>
      <c r="DV155">
        <v>9.1512899999999995</v>
      </c>
      <c r="DW155">
        <v>61.433399999999999</v>
      </c>
      <c r="DX155">
        <v>35.805300000000003</v>
      </c>
      <c r="DY155">
        <v>1</v>
      </c>
      <c r="DZ155">
        <v>-0.11477900000000001</v>
      </c>
      <c r="EA155">
        <v>0.22866300000000001</v>
      </c>
      <c r="EB155">
        <v>20.190200000000001</v>
      </c>
      <c r="EC155">
        <v>5.24125</v>
      </c>
      <c r="ED155">
        <v>12.039899999999999</v>
      </c>
      <c r="EE155">
        <v>5.0175000000000001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</v>
      </c>
      <c r="EL155">
        <v>1.8646199999999999</v>
      </c>
      <c r="EM155">
        <v>1.8691899999999999</v>
      </c>
      <c r="EN155">
        <v>1.8672200000000001</v>
      </c>
      <c r="EO155">
        <v>1.86338</v>
      </c>
      <c r="EP155">
        <v>1.86446</v>
      </c>
      <c r="EQ155">
        <v>1.8701399999999999</v>
      </c>
      <c r="ER155">
        <v>1.86938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-0.2</v>
      </c>
      <c r="FG155">
        <v>0.15140000000000001</v>
      </c>
      <c r="FH155">
        <v>5.0310448532705943E-2</v>
      </c>
      <c r="FI155">
        <v>-6.1462078757559423E-4</v>
      </c>
      <c r="FJ155">
        <v>-1.8861989874597051E-7</v>
      </c>
      <c r="FK155">
        <v>1.1980462299894961E-10</v>
      </c>
      <c r="FL155">
        <v>0.15140825623214971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28.5</v>
      </c>
      <c r="FU155">
        <v>28.4</v>
      </c>
      <c r="FV155">
        <v>1.7663599999999999</v>
      </c>
      <c r="FW155">
        <v>2.5854499999999998</v>
      </c>
      <c r="FX155">
        <v>1.5490699999999999</v>
      </c>
      <c r="FY155">
        <v>2.3327599999999999</v>
      </c>
      <c r="FZ155">
        <v>1.50146</v>
      </c>
      <c r="GA155">
        <v>2.34497</v>
      </c>
      <c r="GB155">
        <v>33.176900000000003</v>
      </c>
      <c r="GC155">
        <v>23.982399999999998</v>
      </c>
      <c r="GD155">
        <v>19</v>
      </c>
      <c r="GE155">
        <v>287.26799999999997</v>
      </c>
      <c r="GF155">
        <v>582.553</v>
      </c>
      <c r="GG155">
        <v>23.808199999999999</v>
      </c>
      <c r="GH155">
        <v>25.931899999999999</v>
      </c>
      <c r="GI155">
        <v>30.0002</v>
      </c>
      <c r="GJ155">
        <v>26.075399999999998</v>
      </c>
      <c r="GK155">
        <v>26.058900000000001</v>
      </c>
      <c r="GL155">
        <v>35.302300000000002</v>
      </c>
      <c r="GM155">
        <v>100</v>
      </c>
      <c r="GN155">
        <v>3.48048</v>
      </c>
      <c r="GO155">
        <v>23.808499999999999</v>
      </c>
      <c r="GP155">
        <v>800</v>
      </c>
      <c r="GQ155">
        <v>0</v>
      </c>
      <c r="GR155">
        <v>99.758499999999998</v>
      </c>
      <c r="GS155">
        <v>99.574200000000005</v>
      </c>
    </row>
    <row r="156" spans="1:201" x14ac:dyDescent="0.25">
      <c r="A156">
        <v>140</v>
      </c>
      <c r="B156">
        <v>1690293789.5999999</v>
      </c>
      <c r="C156">
        <v>1519</v>
      </c>
      <c r="D156" t="s">
        <v>613</v>
      </c>
      <c r="E156" t="s">
        <v>614</v>
      </c>
      <c r="F156" t="s">
        <v>330</v>
      </c>
      <c r="H156">
        <v>1690293789.5999999</v>
      </c>
      <c r="I156">
        <f t="shared" si="60"/>
        <v>2.6168028274150042E-3</v>
      </c>
      <c r="J156">
        <f t="shared" si="61"/>
        <v>2.6168028274150044</v>
      </c>
      <c r="K156">
        <f t="shared" si="62"/>
        <v>41.697307493308706</v>
      </c>
      <c r="L156">
        <f t="shared" si="63"/>
        <v>373.42399999999998</v>
      </c>
      <c r="M156">
        <f t="shared" si="64"/>
        <v>112.96370609706779</v>
      </c>
      <c r="N156">
        <f t="shared" si="65"/>
        <v>11.233629516778</v>
      </c>
      <c r="O156">
        <f t="shared" si="66"/>
        <v>37.134996837556798</v>
      </c>
      <c r="P156">
        <f t="shared" si="67"/>
        <v>0.27506880513103193</v>
      </c>
      <c r="Q156">
        <f t="shared" si="68"/>
        <v>2.2563375113721822</v>
      </c>
      <c r="R156">
        <f t="shared" si="69"/>
        <v>0.25770481993059158</v>
      </c>
      <c r="S156">
        <f t="shared" si="70"/>
        <v>0.16253417064542242</v>
      </c>
      <c r="T156">
        <f t="shared" si="71"/>
        <v>276.11452567800001</v>
      </c>
      <c r="U156">
        <f t="shared" si="72"/>
        <v>26.757068477100098</v>
      </c>
      <c r="V156">
        <f t="shared" si="73"/>
        <v>26.757068477100098</v>
      </c>
      <c r="W156">
        <f t="shared" si="74"/>
        <v>3.5284092569906109</v>
      </c>
      <c r="X156">
        <f t="shared" si="75"/>
        <v>77.600596582851921</v>
      </c>
      <c r="Y156">
        <f t="shared" si="76"/>
        <v>2.54948086069404</v>
      </c>
      <c r="Z156">
        <f t="shared" si="77"/>
        <v>3.2853882224629971</v>
      </c>
      <c r="AA156">
        <f t="shared" si="78"/>
        <v>0.97892839629657091</v>
      </c>
      <c r="AB156">
        <f t="shared" si="79"/>
        <v>-115.40100468900168</v>
      </c>
      <c r="AC156">
        <f t="shared" si="80"/>
        <v>-146.86873007710599</v>
      </c>
      <c r="AD156">
        <f t="shared" si="81"/>
        <v>-13.929002401469006</v>
      </c>
      <c r="AE156">
        <f t="shared" si="82"/>
        <v>-8.4211489576688336E-2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52738.302723350054</v>
      </c>
      <c r="AK156">
        <f t="shared" si="86"/>
        <v>1800</v>
      </c>
      <c r="AL156">
        <f t="shared" si="87"/>
        <v>1499.1109667999999</v>
      </c>
      <c r="AM156">
        <f t="shared" si="88"/>
        <v>0.83283942599999994</v>
      </c>
      <c r="AN156">
        <f t="shared" si="89"/>
        <v>0.15339695871</v>
      </c>
      <c r="AO156">
        <v>30</v>
      </c>
      <c r="AP156">
        <v>0.5</v>
      </c>
      <c r="AQ156" t="s">
        <v>331</v>
      </c>
      <c r="AR156">
        <v>2</v>
      </c>
      <c r="AS156">
        <v>1690293789.5999999</v>
      </c>
      <c r="AT156">
        <v>373.42399999999998</v>
      </c>
      <c r="AU156">
        <v>799.95699999999999</v>
      </c>
      <c r="AV156">
        <v>25.6372</v>
      </c>
      <c r="AW156">
        <v>0.15270400000000001</v>
      </c>
      <c r="AX156">
        <v>373.62299999999999</v>
      </c>
      <c r="AY156">
        <v>25.485800000000001</v>
      </c>
      <c r="AZ156">
        <v>300.149</v>
      </c>
      <c r="BA156">
        <v>99.3446</v>
      </c>
      <c r="BB156">
        <v>9.9990700000000002E-2</v>
      </c>
      <c r="BC156">
        <v>25.549700000000001</v>
      </c>
      <c r="BD156">
        <v>26.9815</v>
      </c>
      <c r="BE156">
        <v>26.6144</v>
      </c>
      <c r="BF156">
        <v>0</v>
      </c>
      <c r="BG156">
        <v>0</v>
      </c>
      <c r="BH156">
        <v>9990.6200000000008</v>
      </c>
      <c r="BI156">
        <v>1062.8599999999999</v>
      </c>
      <c r="BJ156">
        <v>2.2987099999999998</v>
      </c>
      <c r="BK156">
        <v>-426.53300000000002</v>
      </c>
      <c r="BL156">
        <v>383.24900000000002</v>
      </c>
      <c r="BM156">
        <v>800.07899999999995</v>
      </c>
      <c r="BN156">
        <v>25.484500000000001</v>
      </c>
      <c r="BO156">
        <v>799.95699999999999</v>
      </c>
      <c r="BP156">
        <v>0.15270400000000001</v>
      </c>
      <c r="BQ156">
        <v>2.5469200000000001</v>
      </c>
      <c r="BR156">
        <v>1.5170299999999999E-2</v>
      </c>
      <c r="BS156">
        <v>21.329499999999999</v>
      </c>
      <c r="BT156">
        <v>-42.052900000000001</v>
      </c>
      <c r="BU156">
        <v>1800</v>
      </c>
      <c r="BV156">
        <v>0.91000700000000001</v>
      </c>
      <c r="BW156">
        <v>3.40074E-2</v>
      </c>
      <c r="BX156">
        <v>2.1994300000000001E-2</v>
      </c>
      <c r="BY156">
        <v>3.3991100000000003E-2</v>
      </c>
      <c r="BZ156">
        <v>25</v>
      </c>
      <c r="CA156">
        <v>33528.400000000001</v>
      </c>
      <c r="CB156">
        <v>1690292073.5</v>
      </c>
      <c r="CC156" t="s">
        <v>332</v>
      </c>
      <c r="CD156">
        <v>1690292069.5</v>
      </c>
      <c r="CE156">
        <v>1690292073.5</v>
      </c>
      <c r="CF156">
        <v>4</v>
      </c>
      <c r="CG156">
        <v>-3.6999999999999998E-2</v>
      </c>
      <c r="CH156">
        <v>-1.6E-2</v>
      </c>
      <c r="CI156">
        <v>-0.45200000000000001</v>
      </c>
      <c r="CJ156">
        <v>0.108</v>
      </c>
      <c r="CK156">
        <v>730</v>
      </c>
      <c r="CL156">
        <v>18</v>
      </c>
      <c r="CM156">
        <v>0</v>
      </c>
      <c r="CN156">
        <v>0.01</v>
      </c>
      <c r="CO156">
        <v>-425.49473170731699</v>
      </c>
      <c r="CP156">
        <v>-5.4906898954716787</v>
      </c>
      <c r="CQ156">
        <v>0.54343254228931881</v>
      </c>
      <c r="CR156">
        <v>-1</v>
      </c>
      <c r="CS156">
        <v>25.43512926829268</v>
      </c>
      <c r="CT156">
        <v>0.27128153310110292</v>
      </c>
      <c r="CU156">
        <v>2.6829254545451112E-2</v>
      </c>
      <c r="CV156">
        <v>-1</v>
      </c>
      <c r="CW156">
        <v>0</v>
      </c>
      <c r="CX156">
        <v>0</v>
      </c>
      <c r="CY156" t="s">
        <v>333</v>
      </c>
      <c r="CZ156">
        <v>2.3649</v>
      </c>
      <c r="DA156">
        <v>2.7137699999999998</v>
      </c>
      <c r="DB156">
        <v>8.5172300000000006E-2</v>
      </c>
      <c r="DC156">
        <v>0.14643900000000001</v>
      </c>
      <c r="DD156">
        <v>0.119827</v>
      </c>
      <c r="DE156">
        <v>1.2904800000000001E-3</v>
      </c>
      <c r="DF156">
        <v>33412</v>
      </c>
      <c r="DG156">
        <v>27513</v>
      </c>
      <c r="DH156">
        <v>31178.400000000001</v>
      </c>
      <c r="DI156">
        <v>28086.400000000001</v>
      </c>
      <c r="DJ156">
        <v>37247.5</v>
      </c>
      <c r="DK156">
        <v>39888.5</v>
      </c>
      <c r="DL156">
        <v>44370.400000000001</v>
      </c>
      <c r="DM156">
        <v>42562.7</v>
      </c>
      <c r="DN156">
        <v>1.4894000000000001</v>
      </c>
      <c r="DO156">
        <v>2.0391499999999998</v>
      </c>
      <c r="DP156">
        <v>0.12925600000000001</v>
      </c>
      <c r="DQ156">
        <v>0.128966</v>
      </c>
      <c r="DR156">
        <v>24.863900000000001</v>
      </c>
      <c r="DS156">
        <v>24.500299999999999</v>
      </c>
      <c r="DT156">
        <v>22.9</v>
      </c>
      <c r="DU156">
        <v>28.7</v>
      </c>
      <c r="DV156">
        <v>9.1107499999999995</v>
      </c>
      <c r="DW156">
        <v>61.7834</v>
      </c>
      <c r="DX156">
        <v>35.080100000000002</v>
      </c>
      <c r="DY156">
        <v>1</v>
      </c>
      <c r="DZ156">
        <v>-0.11514000000000001</v>
      </c>
      <c r="EA156">
        <v>0.18738299999999999</v>
      </c>
      <c r="EB156">
        <v>20.190100000000001</v>
      </c>
      <c r="EC156">
        <v>5.2413999999999996</v>
      </c>
      <c r="ED156">
        <v>12.039899999999999</v>
      </c>
      <c r="EE156">
        <v>5.0172499999999998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</v>
      </c>
      <c r="EL156">
        <v>1.8646199999999999</v>
      </c>
      <c r="EM156">
        <v>1.8692</v>
      </c>
      <c r="EN156">
        <v>1.8672200000000001</v>
      </c>
      <c r="EO156">
        <v>1.86338</v>
      </c>
      <c r="EP156">
        <v>1.86446</v>
      </c>
      <c r="EQ156">
        <v>1.8701399999999999</v>
      </c>
      <c r="ER156">
        <v>1.8693900000000001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-0.19900000000000001</v>
      </c>
      <c r="FG156">
        <v>0.15140000000000001</v>
      </c>
      <c r="FH156">
        <v>5.0310448532705943E-2</v>
      </c>
      <c r="FI156">
        <v>-6.1462078757559423E-4</v>
      </c>
      <c r="FJ156">
        <v>-1.8861989874597051E-7</v>
      </c>
      <c r="FK156">
        <v>1.1980462299894961E-10</v>
      </c>
      <c r="FL156">
        <v>0.15140825623214971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28.7</v>
      </c>
      <c r="FU156">
        <v>28.6</v>
      </c>
      <c r="FV156">
        <v>1.7651399999999999</v>
      </c>
      <c r="FW156">
        <v>2.5830099999999998</v>
      </c>
      <c r="FX156">
        <v>1.5490699999999999</v>
      </c>
      <c r="FY156">
        <v>2.3339799999999999</v>
      </c>
      <c r="FZ156">
        <v>1.50146</v>
      </c>
      <c r="GA156">
        <v>2.2802699999999998</v>
      </c>
      <c r="GB156">
        <v>33.176900000000003</v>
      </c>
      <c r="GC156">
        <v>23.982399999999998</v>
      </c>
      <c r="GD156">
        <v>19</v>
      </c>
      <c r="GE156">
        <v>287.30099999999999</v>
      </c>
      <c r="GF156">
        <v>582.28499999999997</v>
      </c>
      <c r="GG156">
        <v>23.817599999999999</v>
      </c>
      <c r="GH156">
        <v>25.931899999999999</v>
      </c>
      <c r="GI156">
        <v>29.9999</v>
      </c>
      <c r="GJ156">
        <v>26.075399999999998</v>
      </c>
      <c r="GK156">
        <v>26.058900000000001</v>
      </c>
      <c r="GL156">
        <v>35.3001</v>
      </c>
      <c r="GM156">
        <v>100</v>
      </c>
      <c r="GN156">
        <v>3.0995699999999999</v>
      </c>
      <c r="GO156">
        <v>23.824300000000001</v>
      </c>
      <c r="GP156">
        <v>800</v>
      </c>
      <c r="GQ156">
        <v>0</v>
      </c>
      <c r="GR156">
        <v>99.758300000000006</v>
      </c>
      <c r="GS156">
        <v>99.575000000000003</v>
      </c>
    </row>
    <row r="157" spans="1:201" x14ac:dyDescent="0.25">
      <c r="A157">
        <v>141</v>
      </c>
      <c r="B157">
        <v>1690293799.5999999</v>
      </c>
      <c r="C157">
        <v>1529</v>
      </c>
      <c r="D157" t="s">
        <v>615</v>
      </c>
      <c r="E157" t="s">
        <v>616</v>
      </c>
      <c r="F157" t="s">
        <v>330</v>
      </c>
      <c r="H157">
        <v>1690293799.5999999</v>
      </c>
      <c r="I157">
        <f t="shared" si="60"/>
        <v>2.6224607693304315E-3</v>
      </c>
      <c r="J157">
        <f t="shared" si="61"/>
        <v>2.6224607693304316</v>
      </c>
      <c r="K157">
        <f t="shared" si="62"/>
        <v>41.797951989631322</v>
      </c>
      <c r="L157">
        <f t="shared" si="63"/>
        <v>372.56900000000002</v>
      </c>
      <c r="M157">
        <f t="shared" si="64"/>
        <v>113.07833316819219</v>
      </c>
      <c r="N157">
        <f t="shared" si="65"/>
        <v>11.245201037330688</v>
      </c>
      <c r="O157">
        <f t="shared" si="66"/>
        <v>37.050539992003998</v>
      </c>
      <c r="P157">
        <f t="shared" si="67"/>
        <v>0.27685083099353403</v>
      </c>
      <c r="Q157">
        <f t="shared" si="68"/>
        <v>2.2566795425385235</v>
      </c>
      <c r="R157">
        <f t="shared" si="69"/>
        <v>0.25927132922522295</v>
      </c>
      <c r="S157">
        <f t="shared" si="70"/>
        <v>0.16353092019535989</v>
      </c>
      <c r="T157">
        <f t="shared" si="71"/>
        <v>276.114398166</v>
      </c>
      <c r="U157">
        <f t="shared" si="72"/>
        <v>26.761019791978015</v>
      </c>
      <c r="V157">
        <f t="shared" si="73"/>
        <v>26.761019791978015</v>
      </c>
      <c r="W157">
        <f t="shared" si="74"/>
        <v>3.5292296666404939</v>
      </c>
      <c r="X157">
        <f t="shared" si="75"/>
        <v>77.71424402333939</v>
      </c>
      <c r="Y157">
        <f t="shared" si="76"/>
        <v>2.5541243202860002</v>
      </c>
      <c r="Z157">
        <f t="shared" si="77"/>
        <v>3.2865587929015141</v>
      </c>
      <c r="AA157">
        <f t="shared" si="78"/>
        <v>0.97510534635449364</v>
      </c>
      <c r="AB157">
        <f t="shared" si="79"/>
        <v>-115.65051992747203</v>
      </c>
      <c r="AC157">
        <f t="shared" si="80"/>
        <v>-146.64174610029679</v>
      </c>
      <c r="AD157">
        <f t="shared" si="81"/>
        <v>-13.906061072195929</v>
      </c>
      <c r="AE157">
        <f t="shared" si="82"/>
        <v>-8.3928933964756425E-2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52750.699148148349</v>
      </c>
      <c r="AK157">
        <f t="shared" si="86"/>
        <v>1800</v>
      </c>
      <c r="AL157">
        <f t="shared" si="87"/>
        <v>1499.1114006</v>
      </c>
      <c r="AM157">
        <f t="shared" si="88"/>
        <v>0.83283966700000001</v>
      </c>
      <c r="AN157">
        <f t="shared" si="89"/>
        <v>0.15339688787</v>
      </c>
      <c r="AO157">
        <v>30</v>
      </c>
      <c r="AP157">
        <v>0.5</v>
      </c>
      <c r="AQ157" t="s">
        <v>331</v>
      </c>
      <c r="AR157">
        <v>2</v>
      </c>
      <c r="AS157">
        <v>1690293799.5999999</v>
      </c>
      <c r="AT157">
        <v>372.56900000000002</v>
      </c>
      <c r="AU157">
        <v>799.99699999999996</v>
      </c>
      <c r="AV157">
        <v>25.683499999999999</v>
      </c>
      <c r="AW157">
        <v>0.151666</v>
      </c>
      <c r="AX157">
        <v>372.76799999999997</v>
      </c>
      <c r="AY157">
        <v>25.532</v>
      </c>
      <c r="AZ157">
        <v>300.226</v>
      </c>
      <c r="BA157">
        <v>99.346100000000007</v>
      </c>
      <c r="BB157">
        <v>0.10001599999999999</v>
      </c>
      <c r="BC157">
        <v>25.555700000000002</v>
      </c>
      <c r="BD157">
        <v>26.9937</v>
      </c>
      <c r="BE157">
        <v>26.612200000000001</v>
      </c>
      <c r="BF157">
        <v>0</v>
      </c>
      <c r="BG157">
        <v>0</v>
      </c>
      <c r="BH157">
        <v>9993.1200000000008</v>
      </c>
      <c r="BI157">
        <v>1062.79</v>
      </c>
      <c r="BJ157">
        <v>2.2987099999999998</v>
      </c>
      <c r="BK157">
        <v>-427.428</v>
      </c>
      <c r="BL157">
        <v>382.39</v>
      </c>
      <c r="BM157">
        <v>800.11900000000003</v>
      </c>
      <c r="BN157">
        <v>25.5318</v>
      </c>
      <c r="BO157">
        <v>799.99699999999996</v>
      </c>
      <c r="BP157">
        <v>0.151666</v>
      </c>
      <c r="BQ157">
        <v>2.5515500000000002</v>
      </c>
      <c r="BR157">
        <v>1.5067499999999999E-2</v>
      </c>
      <c r="BS157">
        <v>21.359100000000002</v>
      </c>
      <c r="BT157">
        <v>-42.116700000000002</v>
      </c>
      <c r="BU157">
        <v>1800</v>
      </c>
      <c r="BV157">
        <v>0.91000999999999999</v>
      </c>
      <c r="BW157">
        <v>3.4006300000000003E-2</v>
      </c>
      <c r="BX157">
        <v>2.1993599999999999E-2</v>
      </c>
      <c r="BY157">
        <v>3.3989900000000003E-2</v>
      </c>
      <c r="BZ157">
        <v>25</v>
      </c>
      <c r="CA157">
        <v>33528.400000000001</v>
      </c>
      <c r="CB157">
        <v>1690292073.5</v>
      </c>
      <c r="CC157" t="s">
        <v>332</v>
      </c>
      <c r="CD157">
        <v>1690292069.5</v>
      </c>
      <c r="CE157">
        <v>1690292073.5</v>
      </c>
      <c r="CF157">
        <v>4</v>
      </c>
      <c r="CG157">
        <v>-3.6999999999999998E-2</v>
      </c>
      <c r="CH157">
        <v>-1.6E-2</v>
      </c>
      <c r="CI157">
        <v>-0.45200000000000001</v>
      </c>
      <c r="CJ157">
        <v>0.108</v>
      </c>
      <c r="CK157">
        <v>730</v>
      </c>
      <c r="CL157">
        <v>18</v>
      </c>
      <c r="CM157">
        <v>0</v>
      </c>
      <c r="CN157">
        <v>0.01</v>
      </c>
      <c r="CO157">
        <v>-426.41815000000008</v>
      </c>
      <c r="CP157">
        <v>-5.8391369605991841</v>
      </c>
      <c r="CQ157">
        <v>0.56314250194777304</v>
      </c>
      <c r="CR157">
        <v>-1</v>
      </c>
      <c r="CS157">
        <v>25.4790925</v>
      </c>
      <c r="CT157">
        <v>0.26953058161345073</v>
      </c>
      <c r="CU157">
        <v>2.595215200614406E-2</v>
      </c>
      <c r="CV157">
        <v>-1</v>
      </c>
      <c r="CW157">
        <v>0</v>
      </c>
      <c r="CX157">
        <v>0</v>
      </c>
      <c r="CY157" t="s">
        <v>333</v>
      </c>
      <c r="CZ157">
        <v>2.3651300000000002</v>
      </c>
      <c r="DA157">
        <v>2.7138</v>
      </c>
      <c r="DB157">
        <v>8.5022500000000001E-2</v>
      </c>
      <c r="DC157">
        <v>0.14644699999999999</v>
      </c>
      <c r="DD157">
        <v>0.11998</v>
      </c>
      <c r="DE157">
        <v>1.28181E-3</v>
      </c>
      <c r="DF157">
        <v>33417.4</v>
      </c>
      <c r="DG157">
        <v>27513.4</v>
      </c>
      <c r="DH157">
        <v>31178.3</v>
      </c>
      <c r="DI157">
        <v>28087.1</v>
      </c>
      <c r="DJ157">
        <v>37240.6</v>
      </c>
      <c r="DK157">
        <v>39889.4</v>
      </c>
      <c r="DL157">
        <v>44370</v>
      </c>
      <c r="DM157">
        <v>42563.3</v>
      </c>
      <c r="DN157">
        <v>1.48953</v>
      </c>
      <c r="DO157">
        <v>2.0388500000000001</v>
      </c>
      <c r="DP157">
        <v>0.129886</v>
      </c>
      <c r="DQ157">
        <v>0.12870899999999999</v>
      </c>
      <c r="DR157">
        <v>24.8658</v>
      </c>
      <c r="DS157">
        <v>24.502400000000002</v>
      </c>
      <c r="DT157">
        <v>22.9</v>
      </c>
      <c r="DU157">
        <v>28.7</v>
      </c>
      <c r="DV157">
        <v>9.1113199999999992</v>
      </c>
      <c r="DW157">
        <v>61.503399999999999</v>
      </c>
      <c r="DX157">
        <v>35.1282</v>
      </c>
      <c r="DY157">
        <v>1</v>
      </c>
      <c r="DZ157">
        <v>-0.115079</v>
      </c>
      <c r="EA157">
        <v>0.13672400000000001</v>
      </c>
      <c r="EB157">
        <v>20.190300000000001</v>
      </c>
      <c r="EC157">
        <v>5.2423000000000002</v>
      </c>
      <c r="ED157">
        <v>12.039899999999999</v>
      </c>
      <c r="EE157">
        <v>5.0174500000000002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1.8646199999999999</v>
      </c>
      <c r="EM157">
        <v>1.8692</v>
      </c>
      <c r="EN157">
        <v>1.8672200000000001</v>
      </c>
      <c r="EO157">
        <v>1.8633900000000001</v>
      </c>
      <c r="EP157">
        <v>1.8644700000000001</v>
      </c>
      <c r="EQ157">
        <v>1.87016</v>
      </c>
      <c r="ER157">
        <v>1.8694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-0.19900000000000001</v>
      </c>
      <c r="FG157">
        <v>0.1515</v>
      </c>
      <c r="FH157">
        <v>5.0310448532705943E-2</v>
      </c>
      <c r="FI157">
        <v>-6.1462078757559423E-4</v>
      </c>
      <c r="FJ157">
        <v>-1.8861989874597051E-7</v>
      </c>
      <c r="FK157">
        <v>1.1980462299894961E-10</v>
      </c>
      <c r="FL157">
        <v>0.15140825623214971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28.8</v>
      </c>
      <c r="FU157">
        <v>28.8</v>
      </c>
      <c r="FV157">
        <v>1.7651399999999999</v>
      </c>
      <c r="FW157">
        <v>2.5781200000000002</v>
      </c>
      <c r="FX157">
        <v>1.5490699999999999</v>
      </c>
      <c r="FY157">
        <v>2.3339799999999999</v>
      </c>
      <c r="FZ157">
        <v>1.50146</v>
      </c>
      <c r="GA157">
        <v>2.3901400000000002</v>
      </c>
      <c r="GB157">
        <v>33.176900000000003</v>
      </c>
      <c r="GC157">
        <v>23.991199999999999</v>
      </c>
      <c r="GD157">
        <v>19</v>
      </c>
      <c r="GE157">
        <v>287.35500000000002</v>
      </c>
      <c r="GF157">
        <v>582.03200000000004</v>
      </c>
      <c r="GG157">
        <v>23.840499999999999</v>
      </c>
      <c r="GH157">
        <v>25.931899999999999</v>
      </c>
      <c r="GI157">
        <v>30</v>
      </c>
      <c r="GJ157">
        <v>26.075399999999998</v>
      </c>
      <c r="GK157">
        <v>26.058399999999999</v>
      </c>
      <c r="GL157">
        <v>35.301499999999997</v>
      </c>
      <c r="GM157">
        <v>100</v>
      </c>
      <c r="GN157">
        <v>2.7289099999999999</v>
      </c>
      <c r="GO157">
        <v>23.855499999999999</v>
      </c>
      <c r="GP157">
        <v>800</v>
      </c>
      <c r="GQ157">
        <v>0</v>
      </c>
      <c r="GR157">
        <v>99.7577</v>
      </c>
      <c r="GS157">
        <v>99.576800000000006</v>
      </c>
    </row>
    <row r="158" spans="1:201" x14ac:dyDescent="0.25">
      <c r="A158">
        <v>142</v>
      </c>
      <c r="B158">
        <v>1690293809.5999999</v>
      </c>
      <c r="C158">
        <v>1539</v>
      </c>
      <c r="D158" t="s">
        <v>617</v>
      </c>
      <c r="E158" t="s">
        <v>618</v>
      </c>
      <c r="F158" t="s">
        <v>330</v>
      </c>
      <c r="H158">
        <v>1690293809.5999999</v>
      </c>
      <c r="I158">
        <f t="shared" si="60"/>
        <v>2.6261260032424245E-3</v>
      </c>
      <c r="J158">
        <f t="shared" si="61"/>
        <v>2.6261260032424243</v>
      </c>
      <c r="K158">
        <f t="shared" si="62"/>
        <v>41.874003283028983</v>
      </c>
      <c r="L158">
        <f t="shared" si="63"/>
        <v>371.64100000000002</v>
      </c>
      <c r="M158">
        <f t="shared" si="64"/>
        <v>113.1890014818829</v>
      </c>
      <c r="N158">
        <f t="shared" si="65"/>
        <v>11.25659005562852</v>
      </c>
      <c r="O158">
        <f t="shared" si="66"/>
        <v>36.959513116064002</v>
      </c>
      <c r="P158">
        <f t="shared" si="67"/>
        <v>0.27854330817411527</v>
      </c>
      <c r="Q158">
        <f t="shared" si="68"/>
        <v>2.2581782538735884</v>
      </c>
      <c r="R158">
        <f t="shared" si="69"/>
        <v>0.26076661512404947</v>
      </c>
      <c r="S158">
        <f t="shared" si="70"/>
        <v>0.16448166724882518</v>
      </c>
      <c r="T158">
        <f t="shared" si="71"/>
        <v>276.11440666200008</v>
      </c>
      <c r="U158">
        <f t="shared" si="72"/>
        <v>26.762871422336833</v>
      </c>
      <c r="V158">
        <f t="shared" si="73"/>
        <v>26.762871422336833</v>
      </c>
      <c r="W158">
        <f t="shared" si="74"/>
        <v>3.5296141770842753</v>
      </c>
      <c r="X158">
        <f t="shared" si="75"/>
        <v>77.837009756726289</v>
      </c>
      <c r="Y158">
        <f t="shared" si="76"/>
        <v>2.5587362884160001</v>
      </c>
      <c r="Z158">
        <f t="shared" si="77"/>
        <v>3.2873003426173968</v>
      </c>
      <c r="AA158">
        <f t="shared" si="78"/>
        <v>0.97087788866827518</v>
      </c>
      <c r="AB158">
        <f t="shared" si="79"/>
        <v>-115.81215674299092</v>
      </c>
      <c r="AC158">
        <f t="shared" si="80"/>
        <v>-146.50193398011581</v>
      </c>
      <c r="AD158">
        <f t="shared" si="81"/>
        <v>-13.883975517078833</v>
      </c>
      <c r="AE158">
        <f t="shared" si="82"/>
        <v>-8.3659578185489636E-2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52808.944786234264</v>
      </c>
      <c r="AK158">
        <f t="shared" si="86"/>
        <v>1800</v>
      </c>
      <c r="AL158">
        <f t="shared" si="87"/>
        <v>1499.1121062</v>
      </c>
      <c r="AM158">
        <f t="shared" si="88"/>
        <v>0.83284005900000002</v>
      </c>
      <c r="AN158">
        <f t="shared" si="89"/>
        <v>0.15339689259000003</v>
      </c>
      <c r="AO158">
        <v>30</v>
      </c>
      <c r="AP158">
        <v>0.5</v>
      </c>
      <c r="AQ158" t="s">
        <v>331</v>
      </c>
      <c r="AR158">
        <v>2</v>
      </c>
      <c r="AS158">
        <v>1690293809.5999999</v>
      </c>
      <c r="AT158">
        <v>371.64100000000002</v>
      </c>
      <c r="AU158">
        <v>800.00800000000004</v>
      </c>
      <c r="AV158">
        <v>25.728999999999999</v>
      </c>
      <c r="AW158">
        <v>0.15134500000000001</v>
      </c>
      <c r="AX158">
        <v>371.839</v>
      </c>
      <c r="AY158">
        <v>25.5776</v>
      </c>
      <c r="AZ158">
        <v>300.09300000000002</v>
      </c>
      <c r="BA158">
        <v>99.349500000000006</v>
      </c>
      <c r="BB158">
        <v>0.100004</v>
      </c>
      <c r="BC158">
        <v>25.5595</v>
      </c>
      <c r="BD158">
        <v>27.021699999999999</v>
      </c>
      <c r="BE158">
        <v>26.6126</v>
      </c>
      <c r="BF158">
        <v>0</v>
      </c>
      <c r="BG158">
        <v>0</v>
      </c>
      <c r="BH158">
        <v>10004.4</v>
      </c>
      <c r="BI158">
        <v>1062.73</v>
      </c>
      <c r="BJ158">
        <v>2.2987099999999998</v>
      </c>
      <c r="BK158">
        <v>-428.36700000000002</v>
      </c>
      <c r="BL158">
        <v>381.45499999999998</v>
      </c>
      <c r="BM158">
        <v>800.12900000000002</v>
      </c>
      <c r="BN158">
        <v>25.5777</v>
      </c>
      <c r="BO158">
        <v>800.00800000000004</v>
      </c>
      <c r="BP158">
        <v>0.15134500000000001</v>
      </c>
      <c r="BQ158">
        <v>2.5561600000000002</v>
      </c>
      <c r="BR158">
        <v>1.5036000000000001E-2</v>
      </c>
      <c r="BS158">
        <v>21.3886</v>
      </c>
      <c r="BT158">
        <v>-42.136299999999999</v>
      </c>
      <c r="BU158">
        <v>1800</v>
      </c>
      <c r="BV158">
        <v>0.91001200000000004</v>
      </c>
      <c r="BW158">
        <v>3.4005599999999997E-2</v>
      </c>
      <c r="BX158">
        <v>2.1993200000000001E-2</v>
      </c>
      <c r="BY158">
        <v>3.39893E-2</v>
      </c>
      <c r="BZ158">
        <v>25.25</v>
      </c>
      <c r="CA158">
        <v>33528.400000000001</v>
      </c>
      <c r="CB158">
        <v>1690292073.5</v>
      </c>
      <c r="CC158" t="s">
        <v>332</v>
      </c>
      <c r="CD158">
        <v>1690292069.5</v>
      </c>
      <c r="CE158">
        <v>1690292073.5</v>
      </c>
      <c r="CF158">
        <v>4</v>
      </c>
      <c r="CG158">
        <v>-3.6999999999999998E-2</v>
      </c>
      <c r="CH158">
        <v>-1.6E-2</v>
      </c>
      <c r="CI158">
        <v>-0.45200000000000001</v>
      </c>
      <c r="CJ158">
        <v>0.108</v>
      </c>
      <c r="CK158">
        <v>730</v>
      </c>
      <c r="CL158">
        <v>18</v>
      </c>
      <c r="CM158">
        <v>0</v>
      </c>
      <c r="CN158">
        <v>0.01</v>
      </c>
      <c r="CO158">
        <v>-427.33926829268279</v>
      </c>
      <c r="CP158">
        <v>-5.1093867595818772</v>
      </c>
      <c r="CQ158">
        <v>0.50750475304227149</v>
      </c>
      <c r="CR158">
        <v>-1</v>
      </c>
      <c r="CS158">
        <v>25.52695609756098</v>
      </c>
      <c r="CT158">
        <v>0.28726829268295878</v>
      </c>
      <c r="CU158">
        <v>2.832702793446986E-2</v>
      </c>
      <c r="CV158">
        <v>-1</v>
      </c>
      <c r="CW158">
        <v>0</v>
      </c>
      <c r="CX158">
        <v>0</v>
      </c>
      <c r="CY158" t="s">
        <v>333</v>
      </c>
      <c r="CZ158">
        <v>2.3647100000000001</v>
      </c>
      <c r="DA158">
        <v>2.7138</v>
      </c>
      <c r="DB158">
        <v>8.4860900000000003E-2</v>
      </c>
      <c r="DC158">
        <v>0.146453</v>
      </c>
      <c r="DD158">
        <v>0.120132</v>
      </c>
      <c r="DE158">
        <v>1.27917E-3</v>
      </c>
      <c r="DF158">
        <v>33423.800000000003</v>
      </c>
      <c r="DG158">
        <v>27513.5</v>
      </c>
      <c r="DH158">
        <v>31178.799999999999</v>
      </c>
      <c r="DI158">
        <v>28087.3</v>
      </c>
      <c r="DJ158">
        <v>37234.6</v>
      </c>
      <c r="DK158">
        <v>39890</v>
      </c>
      <c r="DL158">
        <v>44370.7</v>
      </c>
      <c r="DM158">
        <v>42563.8</v>
      </c>
      <c r="DN158">
        <v>1.4895499999999999</v>
      </c>
      <c r="DO158">
        <v>2.03905</v>
      </c>
      <c r="DP158">
        <v>0.131462</v>
      </c>
      <c r="DQ158">
        <v>0.128552</v>
      </c>
      <c r="DR158">
        <v>24.868099999999998</v>
      </c>
      <c r="DS158">
        <v>24.505299999999998</v>
      </c>
      <c r="DT158">
        <v>22.8</v>
      </c>
      <c r="DU158">
        <v>28.7</v>
      </c>
      <c r="DV158">
        <v>9.0700199999999995</v>
      </c>
      <c r="DW158">
        <v>61.553400000000003</v>
      </c>
      <c r="DX158">
        <v>36.113799999999998</v>
      </c>
      <c r="DY158">
        <v>1</v>
      </c>
      <c r="DZ158">
        <v>-0.115124</v>
      </c>
      <c r="EA158">
        <v>0.16089100000000001</v>
      </c>
      <c r="EB158">
        <v>20.1904</v>
      </c>
      <c r="EC158">
        <v>5.2413999999999996</v>
      </c>
      <c r="ED158">
        <v>12.039899999999999</v>
      </c>
      <c r="EE158">
        <v>5.0174000000000003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</v>
      </c>
      <c r="EL158">
        <v>1.8646199999999999</v>
      </c>
      <c r="EM158">
        <v>1.8691899999999999</v>
      </c>
      <c r="EN158">
        <v>1.8672200000000001</v>
      </c>
      <c r="EO158">
        <v>1.8633999999999999</v>
      </c>
      <c r="EP158">
        <v>1.86446</v>
      </c>
      <c r="EQ158">
        <v>1.8701700000000001</v>
      </c>
      <c r="ER158">
        <v>1.86938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-0.19800000000000001</v>
      </c>
      <c r="FG158">
        <v>0.15140000000000001</v>
      </c>
      <c r="FH158">
        <v>5.0310448532705943E-2</v>
      </c>
      <c r="FI158">
        <v>-6.1462078757559423E-4</v>
      </c>
      <c r="FJ158">
        <v>-1.8861989874597051E-7</v>
      </c>
      <c r="FK158">
        <v>1.1980462299894961E-10</v>
      </c>
      <c r="FL158">
        <v>0.15140825623214971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29</v>
      </c>
      <c r="FU158">
        <v>28.9</v>
      </c>
      <c r="FV158">
        <v>1.7663599999999999</v>
      </c>
      <c r="FW158">
        <v>2.5817899999999998</v>
      </c>
      <c r="FX158">
        <v>1.5490699999999999</v>
      </c>
      <c r="FY158">
        <v>2.3339799999999999</v>
      </c>
      <c r="FZ158">
        <v>1.50146</v>
      </c>
      <c r="GA158">
        <v>2.4035600000000001</v>
      </c>
      <c r="GB158">
        <v>33.176900000000003</v>
      </c>
      <c r="GC158">
        <v>23.982399999999998</v>
      </c>
      <c r="GD158">
        <v>19</v>
      </c>
      <c r="GE158">
        <v>287.36599999999999</v>
      </c>
      <c r="GF158">
        <v>582.178</v>
      </c>
      <c r="GG158">
        <v>23.864599999999999</v>
      </c>
      <c r="GH158">
        <v>25.931899999999999</v>
      </c>
      <c r="GI158">
        <v>30.0001</v>
      </c>
      <c r="GJ158">
        <v>26.075399999999998</v>
      </c>
      <c r="GK158">
        <v>26.056799999999999</v>
      </c>
      <c r="GL158">
        <v>35.303800000000003</v>
      </c>
      <c r="GM158">
        <v>100</v>
      </c>
      <c r="GN158">
        <v>1.95886</v>
      </c>
      <c r="GO158">
        <v>23.866700000000002</v>
      </c>
      <c r="GP158">
        <v>800</v>
      </c>
      <c r="GQ158">
        <v>0</v>
      </c>
      <c r="GR158">
        <v>99.759299999999996</v>
      </c>
      <c r="GS158">
        <v>99.5779</v>
      </c>
    </row>
    <row r="159" spans="1:201" x14ac:dyDescent="0.25">
      <c r="A159">
        <v>143</v>
      </c>
      <c r="B159">
        <v>1690293820</v>
      </c>
      <c r="C159">
        <v>1549.400000095367</v>
      </c>
      <c r="D159" t="s">
        <v>619</v>
      </c>
      <c r="E159" t="s">
        <v>620</v>
      </c>
      <c r="F159" t="s">
        <v>330</v>
      </c>
      <c r="H159">
        <v>1690293820</v>
      </c>
      <c r="I159">
        <f t="shared" si="60"/>
        <v>2.6331796847050937E-3</v>
      </c>
      <c r="J159">
        <f t="shared" si="61"/>
        <v>2.6331796847050937</v>
      </c>
      <c r="K159">
        <f t="shared" si="62"/>
        <v>41.999097798244321</v>
      </c>
      <c r="L159">
        <f t="shared" si="63"/>
        <v>370.67200000000003</v>
      </c>
      <c r="M159">
        <f t="shared" si="64"/>
        <v>113.39834411102625</v>
      </c>
      <c r="N159">
        <f t="shared" si="65"/>
        <v>11.277296845921713</v>
      </c>
      <c r="O159">
        <f t="shared" si="66"/>
        <v>36.862779692609607</v>
      </c>
      <c r="P159">
        <f t="shared" si="67"/>
        <v>0.28074245428533023</v>
      </c>
      <c r="Q159">
        <f t="shared" si="68"/>
        <v>2.262028489887363</v>
      </c>
      <c r="R159">
        <f t="shared" si="69"/>
        <v>0.26272231392646495</v>
      </c>
      <c r="S159">
        <f t="shared" si="70"/>
        <v>0.16572400212901983</v>
      </c>
      <c r="T159">
        <f t="shared" si="71"/>
        <v>276.11426678399999</v>
      </c>
      <c r="U159">
        <f t="shared" si="72"/>
        <v>26.76456052984587</v>
      </c>
      <c r="V159">
        <f t="shared" si="73"/>
        <v>26.76456052984587</v>
      </c>
      <c r="W159">
        <f t="shared" si="74"/>
        <v>3.5299649698542943</v>
      </c>
      <c r="X159">
        <f t="shared" si="75"/>
        <v>77.96260429033839</v>
      </c>
      <c r="Y159">
        <f t="shared" si="76"/>
        <v>2.5637628089511399</v>
      </c>
      <c r="Z159">
        <f t="shared" si="77"/>
        <v>3.2884519857796199</v>
      </c>
      <c r="AA159">
        <f t="shared" si="78"/>
        <v>0.96620216090315436</v>
      </c>
      <c r="AB159">
        <f t="shared" si="79"/>
        <v>-116.12322409549463</v>
      </c>
      <c r="AC159">
        <f t="shared" si="80"/>
        <v>-146.23820214797178</v>
      </c>
      <c r="AD159">
        <f t="shared" si="81"/>
        <v>-13.835918150633185</v>
      </c>
      <c r="AE159">
        <f t="shared" si="82"/>
        <v>-8.3077610099593358E-2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52959.219894718299</v>
      </c>
      <c r="AK159">
        <f t="shared" si="86"/>
        <v>1800</v>
      </c>
      <c r="AL159">
        <f t="shared" si="87"/>
        <v>1499.1125184</v>
      </c>
      <c r="AM159">
        <f t="shared" si="88"/>
        <v>0.83284028799999998</v>
      </c>
      <c r="AN159">
        <f t="shared" si="89"/>
        <v>0.15339681487999998</v>
      </c>
      <c r="AO159">
        <v>30</v>
      </c>
      <c r="AP159">
        <v>0.5</v>
      </c>
      <c r="AQ159" t="s">
        <v>331</v>
      </c>
      <c r="AR159">
        <v>2</v>
      </c>
      <c r="AS159">
        <v>1690293820</v>
      </c>
      <c r="AT159">
        <v>370.67200000000003</v>
      </c>
      <c r="AU159">
        <v>800.02700000000004</v>
      </c>
      <c r="AV159">
        <v>25.779800000000002</v>
      </c>
      <c r="AW159">
        <v>0.15049599999999999</v>
      </c>
      <c r="AX159">
        <v>370.87</v>
      </c>
      <c r="AY159">
        <v>25.628299999999999</v>
      </c>
      <c r="AZ159">
        <v>300.27699999999999</v>
      </c>
      <c r="BA159">
        <v>99.348600000000005</v>
      </c>
      <c r="BB159">
        <v>9.9914299999999998E-2</v>
      </c>
      <c r="BC159">
        <v>25.5654</v>
      </c>
      <c r="BD159">
        <v>27.048999999999999</v>
      </c>
      <c r="BE159">
        <v>26.615200000000002</v>
      </c>
      <c r="BF159">
        <v>0</v>
      </c>
      <c r="BG159">
        <v>0</v>
      </c>
      <c r="BH159">
        <v>10034.4</v>
      </c>
      <c r="BI159">
        <v>1062.72</v>
      </c>
      <c r="BJ159">
        <v>2.2987099999999998</v>
      </c>
      <c r="BK159">
        <v>-429.35500000000002</v>
      </c>
      <c r="BL159">
        <v>380.48099999999999</v>
      </c>
      <c r="BM159">
        <v>800.14700000000005</v>
      </c>
      <c r="BN159">
        <v>25.629300000000001</v>
      </c>
      <c r="BO159">
        <v>800.02700000000004</v>
      </c>
      <c r="BP159">
        <v>0.15049599999999999</v>
      </c>
      <c r="BQ159">
        <v>2.5611799999999998</v>
      </c>
      <c r="BR159">
        <v>1.4951600000000001E-2</v>
      </c>
      <c r="BS159">
        <v>21.4206</v>
      </c>
      <c r="BT159">
        <v>-42.189100000000003</v>
      </c>
      <c r="BU159">
        <v>1800</v>
      </c>
      <c r="BV159">
        <v>0.91001500000000002</v>
      </c>
      <c r="BW159">
        <v>3.40045E-2</v>
      </c>
      <c r="BX159">
        <v>2.1992399999999999E-2</v>
      </c>
      <c r="BY159">
        <v>3.3988200000000003E-2</v>
      </c>
      <c r="BZ159">
        <v>25.5</v>
      </c>
      <c r="CA159">
        <v>33528.5</v>
      </c>
      <c r="CB159">
        <v>1690292073.5</v>
      </c>
      <c r="CC159" t="s">
        <v>332</v>
      </c>
      <c r="CD159">
        <v>1690292069.5</v>
      </c>
      <c r="CE159">
        <v>1690292073.5</v>
      </c>
      <c r="CF159">
        <v>4</v>
      </c>
      <c r="CG159">
        <v>-3.6999999999999998E-2</v>
      </c>
      <c r="CH159">
        <v>-1.6E-2</v>
      </c>
      <c r="CI159">
        <v>-0.45200000000000001</v>
      </c>
      <c r="CJ159">
        <v>0.108</v>
      </c>
      <c r="CK159">
        <v>730</v>
      </c>
      <c r="CL159">
        <v>18</v>
      </c>
      <c r="CM159">
        <v>0</v>
      </c>
      <c r="CN159">
        <v>0.01</v>
      </c>
      <c r="CO159">
        <v>-428.28421951219519</v>
      </c>
      <c r="CP159">
        <v>-5.9656066073729654</v>
      </c>
      <c r="CQ159">
        <v>0.58588642502954658</v>
      </c>
      <c r="CR159">
        <v>-1</v>
      </c>
      <c r="CS159">
        <v>25.576360975609759</v>
      </c>
      <c r="CT159">
        <v>0.2828647944879038</v>
      </c>
      <c r="CU159">
        <v>2.7736916300797731E-2</v>
      </c>
      <c r="CV159">
        <v>-1</v>
      </c>
      <c r="CW159">
        <v>0</v>
      </c>
      <c r="CX159">
        <v>0</v>
      </c>
      <c r="CY159" t="s">
        <v>333</v>
      </c>
      <c r="CZ159">
        <v>2.3653</v>
      </c>
      <c r="DA159">
        <v>2.71374</v>
      </c>
      <c r="DB159">
        <v>8.46885E-2</v>
      </c>
      <c r="DC159">
        <v>0.146454</v>
      </c>
      <c r="DD159">
        <v>0.120297</v>
      </c>
      <c r="DE159">
        <v>1.27205E-3</v>
      </c>
      <c r="DF159">
        <v>33429.599999999999</v>
      </c>
      <c r="DG159">
        <v>27513.1</v>
      </c>
      <c r="DH159">
        <v>31178.3</v>
      </c>
      <c r="DI159">
        <v>28087</v>
      </c>
      <c r="DJ159">
        <v>37227</v>
      </c>
      <c r="DK159">
        <v>39889.9</v>
      </c>
      <c r="DL159">
        <v>44370.1</v>
      </c>
      <c r="DM159">
        <v>42563.3</v>
      </c>
      <c r="DN159">
        <v>1.4896499999999999</v>
      </c>
      <c r="DO159">
        <v>2.03905</v>
      </c>
      <c r="DP159">
        <v>0.13280700000000001</v>
      </c>
      <c r="DQ159">
        <v>0.12835099999999999</v>
      </c>
      <c r="DR159">
        <v>24.8734</v>
      </c>
      <c r="DS159">
        <v>24.511299999999999</v>
      </c>
      <c r="DT159">
        <v>22.7</v>
      </c>
      <c r="DU159">
        <v>28.7</v>
      </c>
      <c r="DV159">
        <v>9.0306300000000004</v>
      </c>
      <c r="DW159">
        <v>61.443399999999997</v>
      </c>
      <c r="DX159">
        <v>34.9679</v>
      </c>
      <c r="DY159">
        <v>1</v>
      </c>
      <c r="DZ159">
        <v>-0.11429599999999999</v>
      </c>
      <c r="EA159">
        <v>0.32911800000000002</v>
      </c>
      <c r="EB159">
        <v>20.189900000000002</v>
      </c>
      <c r="EC159">
        <v>5.2413999999999996</v>
      </c>
      <c r="ED159">
        <v>12.039899999999999</v>
      </c>
      <c r="EE159">
        <v>5.0174500000000002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1.8646199999999999</v>
      </c>
      <c r="EM159">
        <v>1.8692</v>
      </c>
      <c r="EN159">
        <v>1.8672200000000001</v>
      </c>
      <c r="EO159">
        <v>1.8633999999999999</v>
      </c>
      <c r="EP159">
        <v>1.8644700000000001</v>
      </c>
      <c r="EQ159">
        <v>1.87016</v>
      </c>
      <c r="ER159">
        <v>1.86941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-0.19800000000000001</v>
      </c>
      <c r="FG159">
        <v>0.1515</v>
      </c>
      <c r="FH159">
        <v>5.0310448532705943E-2</v>
      </c>
      <c r="FI159">
        <v>-6.1462078757559423E-4</v>
      </c>
      <c r="FJ159">
        <v>-1.8861989874597051E-7</v>
      </c>
      <c r="FK159">
        <v>1.1980462299894961E-10</v>
      </c>
      <c r="FL159">
        <v>0.15140825623214971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29.2</v>
      </c>
      <c r="FU159">
        <v>29.1</v>
      </c>
      <c r="FV159">
        <v>1.7651399999999999</v>
      </c>
      <c r="FW159">
        <v>2.5793499999999998</v>
      </c>
      <c r="FX159">
        <v>1.5490699999999999</v>
      </c>
      <c r="FY159">
        <v>2.3339799999999999</v>
      </c>
      <c r="FZ159">
        <v>1.50146</v>
      </c>
      <c r="GA159">
        <v>2.3339799999999999</v>
      </c>
      <c r="GB159">
        <v>33.176900000000003</v>
      </c>
      <c r="GC159">
        <v>23.991199999999999</v>
      </c>
      <c r="GD159">
        <v>19</v>
      </c>
      <c r="GE159">
        <v>287.40800000000002</v>
      </c>
      <c r="GF159">
        <v>582.178</v>
      </c>
      <c r="GG159">
        <v>23.841999999999999</v>
      </c>
      <c r="GH159">
        <v>25.931899999999999</v>
      </c>
      <c r="GI159">
        <v>30.000399999999999</v>
      </c>
      <c r="GJ159">
        <v>26.075399999999998</v>
      </c>
      <c r="GK159">
        <v>26.056799999999999</v>
      </c>
      <c r="GL159">
        <v>35.301099999999998</v>
      </c>
      <c r="GM159">
        <v>100</v>
      </c>
      <c r="GN159">
        <v>1.5686</v>
      </c>
      <c r="GO159">
        <v>23.8125</v>
      </c>
      <c r="GP159">
        <v>800</v>
      </c>
      <c r="GQ159">
        <v>0</v>
      </c>
      <c r="GR159">
        <v>99.757800000000003</v>
      </c>
      <c r="GS159">
        <v>99.576700000000002</v>
      </c>
    </row>
    <row r="160" spans="1:201" x14ac:dyDescent="0.25">
      <c r="A160">
        <v>144</v>
      </c>
      <c r="B160">
        <v>1690293830</v>
      </c>
      <c r="C160">
        <v>1559.400000095367</v>
      </c>
      <c r="D160" t="s">
        <v>621</v>
      </c>
      <c r="E160" t="s">
        <v>622</v>
      </c>
      <c r="F160" t="s">
        <v>330</v>
      </c>
      <c r="H160">
        <v>1690293830</v>
      </c>
      <c r="I160">
        <f t="shared" si="60"/>
        <v>2.6345053430958786E-3</v>
      </c>
      <c r="J160">
        <f t="shared" si="61"/>
        <v>2.6345053430958787</v>
      </c>
      <c r="K160">
        <f t="shared" si="62"/>
        <v>42.054402570639176</v>
      </c>
      <c r="L160">
        <f t="shared" si="63"/>
        <v>369.79700000000003</v>
      </c>
      <c r="M160">
        <f t="shared" si="64"/>
        <v>112.96422618897633</v>
      </c>
      <c r="N160">
        <f t="shared" si="65"/>
        <v>11.23379890064297</v>
      </c>
      <c r="O160">
        <f t="shared" si="66"/>
        <v>36.774696487643098</v>
      </c>
      <c r="P160">
        <f t="shared" si="67"/>
        <v>0.28163637952625076</v>
      </c>
      <c r="Q160">
        <f t="shared" si="68"/>
        <v>2.2610262641897583</v>
      </c>
      <c r="R160">
        <f t="shared" si="69"/>
        <v>0.26349779198213524</v>
      </c>
      <c r="S160">
        <f t="shared" si="70"/>
        <v>0.16621835465970436</v>
      </c>
      <c r="T160">
        <f t="shared" si="71"/>
        <v>276.11405083800003</v>
      </c>
      <c r="U160">
        <f t="shared" si="72"/>
        <v>26.765805142070494</v>
      </c>
      <c r="V160">
        <f t="shared" si="73"/>
        <v>26.765805142070494</v>
      </c>
      <c r="W160">
        <f t="shared" si="74"/>
        <v>3.530223469603444</v>
      </c>
      <c r="X160">
        <f t="shared" si="75"/>
        <v>78.03794775336128</v>
      </c>
      <c r="Y160">
        <f t="shared" si="76"/>
        <v>2.5664232664557902</v>
      </c>
      <c r="Z160">
        <f t="shared" si="77"/>
        <v>3.2886862614160024</v>
      </c>
      <c r="AA160">
        <f t="shared" si="78"/>
        <v>0.9638002031476538</v>
      </c>
      <c r="AB160">
        <f t="shared" si="79"/>
        <v>-116.18168563052825</v>
      </c>
      <c r="AC160">
        <f t="shared" si="80"/>
        <v>-146.17884718776216</v>
      </c>
      <c r="AD160">
        <f t="shared" si="81"/>
        <v>-13.8366024866198</v>
      </c>
      <c r="AE160">
        <f t="shared" si="82"/>
        <v>-8.3084466910207766E-2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52919.525612864345</v>
      </c>
      <c r="AK160">
        <f t="shared" si="86"/>
        <v>1800</v>
      </c>
      <c r="AL160">
        <f t="shared" si="87"/>
        <v>1499.1122538</v>
      </c>
      <c r="AM160">
        <f t="shared" si="88"/>
        <v>0.83284014099999992</v>
      </c>
      <c r="AN160">
        <f t="shared" si="89"/>
        <v>0.15339669491000002</v>
      </c>
      <c r="AO160">
        <v>30</v>
      </c>
      <c r="AP160">
        <v>0.5</v>
      </c>
      <c r="AQ160" t="s">
        <v>331</v>
      </c>
      <c r="AR160">
        <v>2</v>
      </c>
      <c r="AS160">
        <v>1690293830</v>
      </c>
      <c r="AT160">
        <v>369.79700000000003</v>
      </c>
      <c r="AU160">
        <v>799.95</v>
      </c>
      <c r="AV160">
        <v>25.807300000000001</v>
      </c>
      <c r="AW160">
        <v>0.15009500000000001</v>
      </c>
      <c r="AX160">
        <v>369.99400000000003</v>
      </c>
      <c r="AY160">
        <v>25.655899999999999</v>
      </c>
      <c r="AZ160">
        <v>300.09300000000002</v>
      </c>
      <c r="BA160">
        <v>99.345699999999994</v>
      </c>
      <c r="BB160">
        <v>9.9932300000000002E-2</v>
      </c>
      <c r="BC160">
        <v>25.566600000000001</v>
      </c>
      <c r="BD160">
        <v>26.999700000000001</v>
      </c>
      <c r="BE160">
        <v>26.590900000000001</v>
      </c>
      <c r="BF160">
        <v>0</v>
      </c>
      <c r="BG160">
        <v>0</v>
      </c>
      <c r="BH160">
        <v>10026.9</v>
      </c>
      <c r="BI160">
        <v>1062.6600000000001</v>
      </c>
      <c r="BJ160">
        <v>2.2987099999999998</v>
      </c>
      <c r="BK160">
        <v>-430.15300000000002</v>
      </c>
      <c r="BL160">
        <v>379.59399999999999</v>
      </c>
      <c r="BM160">
        <v>800.07</v>
      </c>
      <c r="BN160">
        <v>25.6572</v>
      </c>
      <c r="BO160">
        <v>799.95</v>
      </c>
      <c r="BP160">
        <v>0.15009500000000001</v>
      </c>
      <c r="BQ160">
        <v>2.5638399999999999</v>
      </c>
      <c r="BR160">
        <v>1.4911300000000001E-2</v>
      </c>
      <c r="BS160">
        <v>21.4376</v>
      </c>
      <c r="BT160">
        <v>-42.214300000000001</v>
      </c>
      <c r="BU160">
        <v>1800</v>
      </c>
      <c r="BV160">
        <v>0.91001699999999996</v>
      </c>
      <c r="BW160">
        <v>3.4003600000000002E-2</v>
      </c>
      <c r="BX160">
        <v>2.1991799999999999E-2</v>
      </c>
      <c r="BY160">
        <v>3.3987299999999998E-2</v>
      </c>
      <c r="BZ160">
        <v>25.625</v>
      </c>
      <c r="CA160">
        <v>33528.5</v>
      </c>
      <c r="CB160">
        <v>1690292073.5</v>
      </c>
      <c r="CC160" t="s">
        <v>332</v>
      </c>
      <c r="CD160">
        <v>1690292069.5</v>
      </c>
      <c r="CE160">
        <v>1690292073.5</v>
      </c>
      <c r="CF160">
        <v>4</v>
      </c>
      <c r="CG160">
        <v>-3.6999999999999998E-2</v>
      </c>
      <c r="CH160">
        <v>-1.6E-2</v>
      </c>
      <c r="CI160">
        <v>-0.45200000000000001</v>
      </c>
      <c r="CJ160">
        <v>0.108</v>
      </c>
      <c r="CK160">
        <v>730</v>
      </c>
      <c r="CL160">
        <v>18</v>
      </c>
      <c r="CM160">
        <v>0</v>
      </c>
      <c r="CN160">
        <v>0.01</v>
      </c>
      <c r="CO160">
        <v>-429.20736585365847</v>
      </c>
      <c r="CP160">
        <v>-5.2358371580083647</v>
      </c>
      <c r="CQ160">
        <v>0.51554360398953258</v>
      </c>
      <c r="CR160">
        <v>-1</v>
      </c>
      <c r="CS160">
        <v>25.620551219512201</v>
      </c>
      <c r="CT160">
        <v>0.25219742649497079</v>
      </c>
      <c r="CU160">
        <v>2.499096541095068E-2</v>
      </c>
      <c r="CV160">
        <v>-1</v>
      </c>
      <c r="CW160">
        <v>0</v>
      </c>
      <c r="CX160">
        <v>0</v>
      </c>
      <c r="CY160" t="s">
        <v>333</v>
      </c>
      <c r="CZ160">
        <v>2.3647100000000001</v>
      </c>
      <c r="DA160">
        <v>2.7137500000000001</v>
      </c>
      <c r="DB160">
        <v>8.4530599999999997E-2</v>
      </c>
      <c r="DC160">
        <v>0.14644099999999999</v>
      </c>
      <c r="DD160">
        <v>0.120383</v>
      </c>
      <c r="DE160">
        <v>1.26866E-3</v>
      </c>
      <c r="DF160">
        <v>33435</v>
      </c>
      <c r="DG160">
        <v>27513.3</v>
      </c>
      <c r="DH160">
        <v>31178</v>
      </c>
      <c r="DI160">
        <v>28086.799999999999</v>
      </c>
      <c r="DJ160">
        <v>37222.800000000003</v>
      </c>
      <c r="DK160">
        <v>39889.800000000003</v>
      </c>
      <c r="DL160">
        <v>44369.4</v>
      </c>
      <c r="DM160">
        <v>42563.1</v>
      </c>
      <c r="DN160">
        <v>1.4892700000000001</v>
      </c>
      <c r="DO160">
        <v>2.0389499999999998</v>
      </c>
      <c r="DP160">
        <v>0.12953600000000001</v>
      </c>
      <c r="DQ160">
        <v>0.12665199999999999</v>
      </c>
      <c r="DR160">
        <v>24.877600000000001</v>
      </c>
      <c r="DS160">
        <v>24.514700000000001</v>
      </c>
      <c r="DT160">
        <v>22.6</v>
      </c>
      <c r="DU160">
        <v>28.7</v>
      </c>
      <c r="DV160">
        <v>8.9907599999999999</v>
      </c>
      <c r="DW160">
        <v>61.313400000000001</v>
      </c>
      <c r="DX160">
        <v>35.801299999999998</v>
      </c>
      <c r="DY160">
        <v>1</v>
      </c>
      <c r="DZ160">
        <v>-0.114195</v>
      </c>
      <c r="EA160">
        <v>0.38155</v>
      </c>
      <c r="EB160">
        <v>20.189499999999999</v>
      </c>
      <c r="EC160">
        <v>5.2415500000000002</v>
      </c>
      <c r="ED160">
        <v>12.039899999999999</v>
      </c>
      <c r="EE160">
        <v>5.0172999999999996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</v>
      </c>
      <c r="EL160">
        <v>1.8646199999999999</v>
      </c>
      <c r="EM160">
        <v>1.8692</v>
      </c>
      <c r="EN160">
        <v>1.8672200000000001</v>
      </c>
      <c r="EO160">
        <v>1.8633999999999999</v>
      </c>
      <c r="EP160">
        <v>1.8644700000000001</v>
      </c>
      <c r="EQ160">
        <v>1.87015</v>
      </c>
      <c r="ER160">
        <v>1.8694299999999999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-0.19700000000000001</v>
      </c>
      <c r="FG160">
        <v>0.15140000000000001</v>
      </c>
      <c r="FH160">
        <v>5.0310448532705943E-2</v>
      </c>
      <c r="FI160">
        <v>-6.1462078757559423E-4</v>
      </c>
      <c r="FJ160">
        <v>-1.8861989874597051E-7</v>
      </c>
      <c r="FK160">
        <v>1.1980462299894961E-10</v>
      </c>
      <c r="FL160">
        <v>0.15140825623214971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29.3</v>
      </c>
      <c r="FU160">
        <v>29.3</v>
      </c>
      <c r="FV160">
        <v>1.7663599999999999</v>
      </c>
      <c r="FW160">
        <v>2.5805699999999998</v>
      </c>
      <c r="FX160">
        <v>1.5490699999999999</v>
      </c>
      <c r="FY160">
        <v>2.3339799999999999</v>
      </c>
      <c r="FZ160">
        <v>1.50146</v>
      </c>
      <c r="GA160">
        <v>2.3706100000000001</v>
      </c>
      <c r="GB160">
        <v>33.176900000000003</v>
      </c>
      <c r="GC160">
        <v>23.991199999999999</v>
      </c>
      <c r="GD160">
        <v>19</v>
      </c>
      <c r="GE160">
        <v>287.24700000000001</v>
      </c>
      <c r="GF160">
        <v>582.096</v>
      </c>
      <c r="GG160">
        <v>23.7714</v>
      </c>
      <c r="GH160">
        <v>25.933800000000002</v>
      </c>
      <c r="GI160">
        <v>30</v>
      </c>
      <c r="GJ160">
        <v>26.075399999999998</v>
      </c>
      <c r="GK160">
        <v>26.056799999999999</v>
      </c>
      <c r="GL160">
        <v>35.303199999999997</v>
      </c>
      <c r="GM160">
        <v>100</v>
      </c>
      <c r="GN160">
        <v>1.1951700000000001</v>
      </c>
      <c r="GO160">
        <v>23.7653</v>
      </c>
      <c r="GP160">
        <v>800</v>
      </c>
      <c r="GQ160">
        <v>0</v>
      </c>
      <c r="GR160">
        <v>99.756500000000003</v>
      </c>
      <c r="GS160">
        <v>99.576099999999997</v>
      </c>
    </row>
    <row r="161" spans="1:201" x14ac:dyDescent="0.25">
      <c r="A161">
        <v>145</v>
      </c>
      <c r="B161">
        <v>1690293840</v>
      </c>
      <c r="C161">
        <v>1569.400000095367</v>
      </c>
      <c r="D161" t="s">
        <v>623</v>
      </c>
      <c r="E161" t="s">
        <v>624</v>
      </c>
      <c r="F161" t="s">
        <v>330</v>
      </c>
      <c r="H161">
        <v>1690293840</v>
      </c>
      <c r="I161">
        <f t="shared" si="60"/>
        <v>2.6369178906220326E-3</v>
      </c>
      <c r="J161">
        <f t="shared" si="61"/>
        <v>2.6369178906220325</v>
      </c>
      <c r="K161">
        <f t="shared" si="62"/>
        <v>42.132043120474613</v>
      </c>
      <c r="L161">
        <f t="shared" si="63"/>
        <v>369.11099999999999</v>
      </c>
      <c r="M161">
        <f t="shared" si="64"/>
        <v>112.77603870701434</v>
      </c>
      <c r="N161">
        <f t="shared" si="65"/>
        <v>11.214983283568785</v>
      </c>
      <c r="O161">
        <f t="shared" si="66"/>
        <v>36.706145580585009</v>
      </c>
      <c r="P161">
        <f t="shared" si="67"/>
        <v>0.28276823461439587</v>
      </c>
      <c r="Q161">
        <f t="shared" si="68"/>
        <v>2.2592368980525994</v>
      </c>
      <c r="R161">
        <f t="shared" si="69"/>
        <v>0.26447516290967577</v>
      </c>
      <c r="S161">
        <f t="shared" si="70"/>
        <v>0.16684181970950523</v>
      </c>
      <c r="T161">
        <f t="shared" si="71"/>
        <v>276.11402137199997</v>
      </c>
      <c r="U161">
        <f t="shared" si="72"/>
        <v>26.763277340528624</v>
      </c>
      <c r="V161">
        <f t="shared" si="73"/>
        <v>26.763277340528624</v>
      </c>
      <c r="W161">
        <f t="shared" si="74"/>
        <v>3.5296984751371996</v>
      </c>
      <c r="X161">
        <f t="shared" si="75"/>
        <v>78.116127075970951</v>
      </c>
      <c r="Y161">
        <f t="shared" si="76"/>
        <v>2.568597838209</v>
      </c>
      <c r="Z161">
        <f t="shared" si="77"/>
        <v>3.2881786826309747</v>
      </c>
      <c r="AA161">
        <f t="shared" si="78"/>
        <v>0.96110063692819958</v>
      </c>
      <c r="AB161">
        <f t="shared" si="79"/>
        <v>-116.28807897643163</v>
      </c>
      <c r="AC161">
        <f t="shared" si="80"/>
        <v>-146.07195566846823</v>
      </c>
      <c r="AD161">
        <f t="shared" si="81"/>
        <v>-13.837079766665449</v>
      </c>
      <c r="AE161">
        <f t="shared" si="82"/>
        <v>-8.3093039565341087E-2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52849.630761782078</v>
      </c>
      <c r="AK161">
        <f t="shared" si="86"/>
        <v>1800</v>
      </c>
      <c r="AL161">
        <f t="shared" si="87"/>
        <v>1499.1131052000001</v>
      </c>
      <c r="AM161">
        <f t="shared" si="88"/>
        <v>0.83284061399999998</v>
      </c>
      <c r="AN161">
        <f t="shared" si="89"/>
        <v>0.15339667854</v>
      </c>
      <c r="AO161">
        <v>30</v>
      </c>
      <c r="AP161">
        <v>0.5</v>
      </c>
      <c r="AQ161" t="s">
        <v>331</v>
      </c>
      <c r="AR161">
        <v>2</v>
      </c>
      <c r="AS161">
        <v>1690293840</v>
      </c>
      <c r="AT161">
        <v>369.11099999999999</v>
      </c>
      <c r="AU161">
        <v>800.03099999999995</v>
      </c>
      <c r="AV161">
        <v>25.8294</v>
      </c>
      <c r="AW161">
        <v>0.149282</v>
      </c>
      <c r="AX161">
        <v>369.30799999999999</v>
      </c>
      <c r="AY161">
        <v>25.678000000000001</v>
      </c>
      <c r="AZ161">
        <v>300.09300000000002</v>
      </c>
      <c r="BA161">
        <v>99.344700000000003</v>
      </c>
      <c r="BB161">
        <v>0.100035</v>
      </c>
      <c r="BC161">
        <v>25.564</v>
      </c>
      <c r="BD161">
        <v>27.0032</v>
      </c>
      <c r="BE161">
        <v>26.610299999999999</v>
      </c>
      <c r="BF161">
        <v>0</v>
      </c>
      <c r="BG161">
        <v>0</v>
      </c>
      <c r="BH161">
        <v>10013.1</v>
      </c>
      <c r="BI161">
        <v>1062.67</v>
      </c>
      <c r="BJ161">
        <v>2.2734800000000002</v>
      </c>
      <c r="BK161">
        <v>-430.92</v>
      </c>
      <c r="BL161">
        <v>378.89800000000002</v>
      </c>
      <c r="BM161">
        <v>800.15099999999995</v>
      </c>
      <c r="BN161">
        <v>25.680099999999999</v>
      </c>
      <c r="BO161">
        <v>800.03099999999995</v>
      </c>
      <c r="BP161">
        <v>0.149282</v>
      </c>
      <c r="BQ161">
        <v>2.5660099999999999</v>
      </c>
      <c r="BR161">
        <v>1.4830400000000001E-2</v>
      </c>
      <c r="BS161">
        <v>21.4514</v>
      </c>
      <c r="BT161">
        <v>-42.265300000000003</v>
      </c>
      <c r="BU161">
        <v>1800</v>
      </c>
      <c r="BV161">
        <v>0.91002000000000005</v>
      </c>
      <c r="BW161">
        <v>3.4002600000000001E-2</v>
      </c>
      <c r="BX161">
        <v>2.1991199999999999E-2</v>
      </c>
      <c r="BY161">
        <v>3.3986200000000001E-2</v>
      </c>
      <c r="BZ161">
        <v>25.666699999999999</v>
      </c>
      <c r="CA161">
        <v>33528.5</v>
      </c>
      <c r="CB161">
        <v>1690292073.5</v>
      </c>
      <c r="CC161" t="s">
        <v>332</v>
      </c>
      <c r="CD161">
        <v>1690292069.5</v>
      </c>
      <c r="CE161">
        <v>1690292073.5</v>
      </c>
      <c r="CF161">
        <v>4</v>
      </c>
      <c r="CG161">
        <v>-3.6999999999999998E-2</v>
      </c>
      <c r="CH161">
        <v>-1.6E-2</v>
      </c>
      <c r="CI161">
        <v>-0.45200000000000001</v>
      </c>
      <c r="CJ161">
        <v>0.108</v>
      </c>
      <c r="CK161">
        <v>730</v>
      </c>
      <c r="CL161">
        <v>18</v>
      </c>
      <c r="CM161">
        <v>0</v>
      </c>
      <c r="CN161">
        <v>0.01</v>
      </c>
      <c r="CO161">
        <v>-430.02851219512189</v>
      </c>
      <c r="CP161">
        <v>-5.0683902439026971</v>
      </c>
      <c r="CQ161">
        <v>0.50085342395784982</v>
      </c>
      <c r="CR161">
        <v>-1</v>
      </c>
      <c r="CS161">
        <v>25.652939024390239</v>
      </c>
      <c r="CT161">
        <v>0.15291219512198581</v>
      </c>
      <c r="CU161">
        <v>1.5183059848569901E-2</v>
      </c>
      <c r="CV161">
        <v>-1</v>
      </c>
      <c r="CW161">
        <v>0</v>
      </c>
      <c r="CX161">
        <v>0</v>
      </c>
      <c r="CY161" t="s">
        <v>333</v>
      </c>
      <c r="CZ161">
        <v>2.3647</v>
      </c>
      <c r="DA161">
        <v>2.7138399999999998</v>
      </c>
      <c r="DB161">
        <v>8.4408399999999995E-2</v>
      </c>
      <c r="DC161">
        <v>0.146449</v>
      </c>
      <c r="DD161">
        <v>0.12045500000000001</v>
      </c>
      <c r="DE161">
        <v>1.26184E-3</v>
      </c>
      <c r="DF161">
        <v>33439.800000000003</v>
      </c>
      <c r="DG161">
        <v>27513</v>
      </c>
      <c r="DH161">
        <v>31178.400000000001</v>
      </c>
      <c r="DI161">
        <v>28086.7</v>
      </c>
      <c r="DJ161">
        <v>37220.400000000001</v>
      </c>
      <c r="DK161">
        <v>39889.800000000003</v>
      </c>
      <c r="DL161">
        <v>44370.2</v>
      </c>
      <c r="DM161">
        <v>42562.8</v>
      </c>
      <c r="DN161">
        <v>1.4896</v>
      </c>
      <c r="DO161">
        <v>2.0390000000000001</v>
      </c>
      <c r="DP161">
        <v>0.129528</v>
      </c>
      <c r="DQ161">
        <v>0.127584</v>
      </c>
      <c r="DR161">
        <v>24.8813</v>
      </c>
      <c r="DS161">
        <v>24.518899999999999</v>
      </c>
      <c r="DT161">
        <v>22.6</v>
      </c>
      <c r="DU161">
        <v>28.7</v>
      </c>
      <c r="DV161">
        <v>8.9901499999999999</v>
      </c>
      <c r="DW161">
        <v>61.363399999999999</v>
      </c>
      <c r="DX161">
        <v>35.448700000000002</v>
      </c>
      <c r="DY161">
        <v>1</v>
      </c>
      <c r="DZ161">
        <v>-0.114215</v>
      </c>
      <c r="EA161">
        <v>0.28240700000000002</v>
      </c>
      <c r="EB161">
        <v>20.189900000000002</v>
      </c>
      <c r="EC161">
        <v>5.2415500000000002</v>
      </c>
      <c r="ED161">
        <v>12.039899999999999</v>
      </c>
      <c r="EE161">
        <v>5.0174000000000003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1.8646199999999999</v>
      </c>
      <c r="EM161">
        <v>1.8692</v>
      </c>
      <c r="EN161">
        <v>1.8672200000000001</v>
      </c>
      <c r="EO161">
        <v>1.8633900000000001</v>
      </c>
      <c r="EP161">
        <v>1.8644700000000001</v>
      </c>
      <c r="EQ161">
        <v>1.87019</v>
      </c>
      <c r="ER161">
        <v>1.86944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-0.19700000000000001</v>
      </c>
      <c r="FG161">
        <v>0.15140000000000001</v>
      </c>
      <c r="FH161">
        <v>5.0310448532705943E-2</v>
      </c>
      <c r="FI161">
        <v>-6.1462078757559423E-4</v>
      </c>
      <c r="FJ161">
        <v>-1.8861989874597051E-7</v>
      </c>
      <c r="FK161">
        <v>1.1980462299894961E-10</v>
      </c>
      <c r="FL161">
        <v>0.15140825623214971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29.5</v>
      </c>
      <c r="FU161">
        <v>29.4</v>
      </c>
      <c r="FV161">
        <v>1.7663599999999999</v>
      </c>
      <c r="FW161">
        <v>2.5854499999999998</v>
      </c>
      <c r="FX161">
        <v>1.5490699999999999</v>
      </c>
      <c r="FY161">
        <v>2.3339799999999999</v>
      </c>
      <c r="FZ161">
        <v>1.50146</v>
      </c>
      <c r="GA161">
        <v>2.33643</v>
      </c>
      <c r="GB161">
        <v>33.176900000000003</v>
      </c>
      <c r="GC161">
        <v>23.982399999999998</v>
      </c>
      <c r="GD161">
        <v>19</v>
      </c>
      <c r="GE161">
        <v>287.37700000000001</v>
      </c>
      <c r="GF161">
        <v>582.13699999999994</v>
      </c>
      <c r="GG161">
        <v>23.7563</v>
      </c>
      <c r="GH161">
        <v>25.934100000000001</v>
      </c>
      <c r="GI161">
        <v>29.9998</v>
      </c>
      <c r="GJ161">
        <v>26.0732</v>
      </c>
      <c r="GK161">
        <v>26.056799999999999</v>
      </c>
      <c r="GL161">
        <v>35.303400000000003</v>
      </c>
      <c r="GM161">
        <v>100</v>
      </c>
      <c r="GN161">
        <v>0.80915000000000004</v>
      </c>
      <c r="GO161">
        <v>23.761700000000001</v>
      </c>
      <c r="GP161">
        <v>800</v>
      </c>
      <c r="GQ161">
        <v>0</v>
      </c>
      <c r="GR161">
        <v>99.758099999999999</v>
      </c>
      <c r="GS161">
        <v>99.575699999999998</v>
      </c>
    </row>
    <row r="162" spans="1:201" x14ac:dyDescent="0.25">
      <c r="A162">
        <v>146</v>
      </c>
      <c r="B162">
        <v>1690293850</v>
      </c>
      <c r="C162">
        <v>1579.400000095367</v>
      </c>
      <c r="D162" t="s">
        <v>625</v>
      </c>
      <c r="E162" t="s">
        <v>626</v>
      </c>
      <c r="F162" t="s">
        <v>330</v>
      </c>
      <c r="H162">
        <v>1690293850</v>
      </c>
      <c r="I162">
        <f t="shared" si="60"/>
        <v>2.6416269513112258E-3</v>
      </c>
      <c r="J162">
        <f t="shared" si="61"/>
        <v>2.6416269513112258</v>
      </c>
      <c r="K162">
        <f t="shared" si="62"/>
        <v>42.246851241740018</v>
      </c>
      <c r="L162">
        <f t="shared" si="63"/>
        <v>368.15499999999997</v>
      </c>
      <c r="M162">
        <f t="shared" si="64"/>
        <v>112.75412880118191</v>
      </c>
      <c r="N162">
        <f t="shared" si="65"/>
        <v>11.212785876908976</v>
      </c>
      <c r="O162">
        <f t="shared" si="66"/>
        <v>36.611015741980999</v>
      </c>
      <c r="P162">
        <f t="shared" si="67"/>
        <v>0.28468550765630851</v>
      </c>
      <c r="Q162">
        <f t="shared" si="68"/>
        <v>2.2571450877921992</v>
      </c>
      <c r="R162">
        <f t="shared" si="69"/>
        <v>0.26613627102301357</v>
      </c>
      <c r="S162">
        <f t="shared" si="70"/>
        <v>0.16790092491988673</v>
      </c>
      <c r="T162">
        <f t="shared" si="71"/>
        <v>276.11404190999997</v>
      </c>
      <c r="U162">
        <f t="shared" si="72"/>
        <v>26.759936505228005</v>
      </c>
      <c r="V162">
        <f t="shared" si="73"/>
        <v>26.759936505228005</v>
      </c>
      <c r="W162">
        <f t="shared" si="74"/>
        <v>3.5290047277534962</v>
      </c>
      <c r="X162">
        <f t="shared" si="75"/>
        <v>78.239086904536038</v>
      </c>
      <c r="Y162">
        <f t="shared" si="76"/>
        <v>2.5722133638791602</v>
      </c>
      <c r="Z162">
        <f t="shared" si="77"/>
        <v>3.2876321358628124</v>
      </c>
      <c r="AA162">
        <f t="shared" si="78"/>
        <v>0.95679136387433594</v>
      </c>
      <c r="AB162">
        <f t="shared" si="79"/>
        <v>-116.49574855282506</v>
      </c>
      <c r="AC162">
        <f t="shared" si="80"/>
        <v>-145.8708960190981</v>
      </c>
      <c r="AD162">
        <f t="shared" si="81"/>
        <v>-13.830413794771093</v>
      </c>
      <c r="AE162">
        <f t="shared" si="82"/>
        <v>-8.3016456694309682E-2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52767.969223561675</v>
      </c>
      <c r="AK162">
        <f t="shared" si="86"/>
        <v>1800</v>
      </c>
      <c r="AL162">
        <f t="shared" si="87"/>
        <v>1499.1125039999999</v>
      </c>
      <c r="AM162">
        <f t="shared" si="88"/>
        <v>0.83284027999999999</v>
      </c>
      <c r="AN162">
        <f t="shared" si="89"/>
        <v>0.15339668995</v>
      </c>
      <c r="AO162">
        <v>30</v>
      </c>
      <c r="AP162">
        <v>0.5</v>
      </c>
      <c r="AQ162" t="s">
        <v>331</v>
      </c>
      <c r="AR162">
        <v>2</v>
      </c>
      <c r="AS162">
        <v>1690293850</v>
      </c>
      <c r="AT162">
        <v>368.15499999999997</v>
      </c>
      <c r="AU162">
        <v>800.08100000000002</v>
      </c>
      <c r="AV162">
        <v>25.8658</v>
      </c>
      <c r="AW162">
        <v>0.148753</v>
      </c>
      <c r="AX162">
        <v>368.351</v>
      </c>
      <c r="AY162">
        <v>25.714400000000001</v>
      </c>
      <c r="AZ162">
        <v>300.18599999999998</v>
      </c>
      <c r="BA162">
        <v>99.3446</v>
      </c>
      <c r="BB162">
        <v>9.9970199999999995E-2</v>
      </c>
      <c r="BC162">
        <v>25.561199999999999</v>
      </c>
      <c r="BD162">
        <v>27.018599999999999</v>
      </c>
      <c r="BE162">
        <v>26.607099999999999</v>
      </c>
      <c r="BF162">
        <v>0</v>
      </c>
      <c r="BG162">
        <v>0</v>
      </c>
      <c r="BH162">
        <v>9996.8799999999992</v>
      </c>
      <c r="BI162">
        <v>1062.6500000000001</v>
      </c>
      <c r="BJ162">
        <v>1.89503</v>
      </c>
      <c r="BK162">
        <v>-431.92599999999999</v>
      </c>
      <c r="BL162">
        <v>377.93</v>
      </c>
      <c r="BM162">
        <v>800.2</v>
      </c>
      <c r="BN162">
        <v>25.717099999999999</v>
      </c>
      <c r="BO162">
        <v>800.08100000000002</v>
      </c>
      <c r="BP162">
        <v>0.148753</v>
      </c>
      <c r="BQ162">
        <v>2.5696300000000001</v>
      </c>
      <c r="BR162">
        <v>1.4777800000000001E-2</v>
      </c>
      <c r="BS162">
        <v>21.474399999999999</v>
      </c>
      <c r="BT162">
        <v>-42.298499999999997</v>
      </c>
      <c r="BU162">
        <v>1800</v>
      </c>
      <c r="BV162">
        <v>0.91001500000000002</v>
      </c>
      <c r="BW162">
        <v>3.40016E-2</v>
      </c>
      <c r="BX162">
        <v>2.19905E-2</v>
      </c>
      <c r="BY162">
        <v>3.3993099999999998E-2</v>
      </c>
      <c r="BZ162">
        <v>25.666699999999999</v>
      </c>
      <c r="CA162">
        <v>33528.5</v>
      </c>
      <c r="CB162">
        <v>1690292073.5</v>
      </c>
      <c r="CC162" t="s">
        <v>332</v>
      </c>
      <c r="CD162">
        <v>1690292069.5</v>
      </c>
      <c r="CE162">
        <v>1690292073.5</v>
      </c>
      <c r="CF162">
        <v>4</v>
      </c>
      <c r="CG162">
        <v>-3.6999999999999998E-2</v>
      </c>
      <c r="CH162">
        <v>-1.6E-2</v>
      </c>
      <c r="CI162">
        <v>-0.45200000000000001</v>
      </c>
      <c r="CJ162">
        <v>0.108</v>
      </c>
      <c r="CK162">
        <v>730</v>
      </c>
      <c r="CL162">
        <v>18</v>
      </c>
      <c r="CM162">
        <v>0</v>
      </c>
      <c r="CN162">
        <v>0.01</v>
      </c>
      <c r="CO162">
        <v>-430.84004878048779</v>
      </c>
      <c r="CP162">
        <v>-4.8172682926839476</v>
      </c>
      <c r="CQ162">
        <v>0.47983650422950519</v>
      </c>
      <c r="CR162">
        <v>-1</v>
      </c>
      <c r="CS162">
        <v>25.67789512195122</v>
      </c>
      <c r="CT162">
        <v>0.15101393728221979</v>
      </c>
      <c r="CU162">
        <v>1.5031332336635891E-2</v>
      </c>
      <c r="CV162">
        <v>-1</v>
      </c>
      <c r="CW162">
        <v>0</v>
      </c>
      <c r="CX162">
        <v>0</v>
      </c>
      <c r="CY162" t="s">
        <v>333</v>
      </c>
      <c r="CZ162">
        <v>2.3649900000000001</v>
      </c>
      <c r="DA162">
        <v>2.7137600000000002</v>
      </c>
      <c r="DB162">
        <v>8.4238099999999996E-2</v>
      </c>
      <c r="DC162">
        <v>0.146455</v>
      </c>
      <c r="DD162">
        <v>0.120573</v>
      </c>
      <c r="DE162">
        <v>1.25741E-3</v>
      </c>
      <c r="DF162">
        <v>33446</v>
      </c>
      <c r="DG162">
        <v>27513.1</v>
      </c>
      <c r="DH162">
        <v>31178.3</v>
      </c>
      <c r="DI162">
        <v>28087</v>
      </c>
      <c r="DJ162">
        <v>37215.300000000003</v>
      </c>
      <c r="DK162">
        <v>39890.5</v>
      </c>
      <c r="DL162">
        <v>44370.2</v>
      </c>
      <c r="DM162">
        <v>42563.4</v>
      </c>
      <c r="DN162">
        <v>1.48977</v>
      </c>
      <c r="DO162">
        <v>2.0392299999999999</v>
      </c>
      <c r="DP162">
        <v>0.13025100000000001</v>
      </c>
      <c r="DQ162">
        <v>0.12722600000000001</v>
      </c>
      <c r="DR162">
        <v>24.884799999999998</v>
      </c>
      <c r="DS162">
        <v>24.521599999999999</v>
      </c>
      <c r="DT162">
        <v>22.5</v>
      </c>
      <c r="DU162">
        <v>28.7</v>
      </c>
      <c r="DV162">
        <v>8.9519199999999994</v>
      </c>
      <c r="DW162">
        <v>61.443399999999997</v>
      </c>
      <c r="DX162">
        <v>35.024000000000001</v>
      </c>
      <c r="DY162">
        <v>1</v>
      </c>
      <c r="DZ162">
        <v>-0.114492</v>
      </c>
      <c r="EA162">
        <v>0.35788900000000001</v>
      </c>
      <c r="EB162">
        <v>20.189699999999998</v>
      </c>
      <c r="EC162">
        <v>5.242</v>
      </c>
      <c r="ED162">
        <v>12.039899999999999</v>
      </c>
      <c r="EE162">
        <v>5.0171999999999999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1.8646199999999999</v>
      </c>
      <c r="EM162">
        <v>1.8692</v>
      </c>
      <c r="EN162">
        <v>1.8672200000000001</v>
      </c>
      <c r="EO162">
        <v>1.86338</v>
      </c>
      <c r="EP162">
        <v>1.8644700000000001</v>
      </c>
      <c r="EQ162">
        <v>1.8701399999999999</v>
      </c>
      <c r="ER162">
        <v>1.8694299999999999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-0.19600000000000001</v>
      </c>
      <c r="FG162">
        <v>0.15140000000000001</v>
      </c>
      <c r="FH162">
        <v>5.0310448532705943E-2</v>
      </c>
      <c r="FI162">
        <v>-6.1462078757559423E-4</v>
      </c>
      <c r="FJ162">
        <v>-1.8861989874597051E-7</v>
      </c>
      <c r="FK162">
        <v>1.1980462299894961E-10</v>
      </c>
      <c r="FL162">
        <v>0.15140825623214971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29.7</v>
      </c>
      <c r="FU162">
        <v>29.6</v>
      </c>
      <c r="FV162">
        <v>1.7651399999999999</v>
      </c>
      <c r="FW162">
        <v>2.5817899999999998</v>
      </c>
      <c r="FX162">
        <v>1.5490699999999999</v>
      </c>
      <c r="FY162">
        <v>2.3339799999999999</v>
      </c>
      <c r="FZ162">
        <v>1.50146</v>
      </c>
      <c r="GA162">
        <v>2.2949199999999998</v>
      </c>
      <c r="GB162">
        <v>33.176900000000003</v>
      </c>
      <c r="GC162">
        <v>23.982399999999998</v>
      </c>
      <c r="GD162">
        <v>19</v>
      </c>
      <c r="GE162">
        <v>287.45800000000003</v>
      </c>
      <c r="GF162">
        <v>582.322</v>
      </c>
      <c r="GG162">
        <v>23.753</v>
      </c>
      <c r="GH162">
        <v>25.934100000000001</v>
      </c>
      <c r="GI162">
        <v>30</v>
      </c>
      <c r="GJ162">
        <v>26.074300000000001</v>
      </c>
      <c r="GK162">
        <v>26.056799999999999</v>
      </c>
      <c r="GL162">
        <v>35.301000000000002</v>
      </c>
      <c r="GM162">
        <v>100</v>
      </c>
      <c r="GN162">
        <v>0.438388</v>
      </c>
      <c r="GO162">
        <v>23.723199999999999</v>
      </c>
      <c r="GP162">
        <v>800</v>
      </c>
      <c r="GQ162">
        <v>0</v>
      </c>
      <c r="GR162">
        <v>99.757900000000006</v>
      </c>
      <c r="GS162">
        <v>99.576800000000006</v>
      </c>
    </row>
    <row r="163" spans="1:201" x14ac:dyDescent="0.25">
      <c r="A163">
        <v>147</v>
      </c>
      <c r="B163">
        <v>1690293860</v>
      </c>
      <c r="C163">
        <v>1589.400000095367</v>
      </c>
      <c r="D163" t="s">
        <v>627</v>
      </c>
      <c r="E163" t="s">
        <v>628</v>
      </c>
      <c r="F163" t="s">
        <v>330</v>
      </c>
      <c r="H163">
        <v>1690293860</v>
      </c>
      <c r="I163">
        <f t="shared" si="60"/>
        <v>2.6442253742547908E-3</v>
      </c>
      <c r="J163">
        <f t="shared" si="61"/>
        <v>2.6442253742547908</v>
      </c>
      <c r="K163">
        <f t="shared" si="62"/>
        <v>42.302227591301786</v>
      </c>
      <c r="L163">
        <f t="shared" si="63"/>
        <v>367.392</v>
      </c>
      <c r="M163">
        <f t="shared" si="64"/>
        <v>112.9865596562251</v>
      </c>
      <c r="N163">
        <f t="shared" si="65"/>
        <v>11.23606303857942</v>
      </c>
      <c r="O163">
        <f t="shared" si="66"/>
        <v>36.535670122444806</v>
      </c>
      <c r="P163">
        <f t="shared" si="67"/>
        <v>0.28624480082854387</v>
      </c>
      <c r="Q163">
        <f t="shared" si="68"/>
        <v>2.2587011419877818</v>
      </c>
      <c r="R163">
        <f t="shared" si="69"/>
        <v>0.26751099292681757</v>
      </c>
      <c r="S163">
        <f t="shared" si="70"/>
        <v>0.1687752515104495</v>
      </c>
      <c r="T163">
        <f t="shared" si="71"/>
        <v>276.11501274</v>
      </c>
      <c r="U163">
        <f t="shared" si="72"/>
        <v>26.757230148718495</v>
      </c>
      <c r="V163">
        <f t="shared" si="73"/>
        <v>26.757230148718495</v>
      </c>
      <c r="W163">
        <f t="shared" si="74"/>
        <v>3.5284428215255312</v>
      </c>
      <c r="X163">
        <f t="shared" si="75"/>
        <v>78.348184512359822</v>
      </c>
      <c r="Y163">
        <f t="shared" si="76"/>
        <v>2.5756318837571204</v>
      </c>
      <c r="Z163">
        <f t="shared" si="77"/>
        <v>3.2874174427753351</v>
      </c>
      <c r="AA163">
        <f t="shared" si="78"/>
        <v>0.95281093776841086</v>
      </c>
      <c r="AB163">
        <f t="shared" si="79"/>
        <v>-116.61033900463627</v>
      </c>
      <c r="AC163">
        <f t="shared" si="80"/>
        <v>-145.77585022440385</v>
      </c>
      <c r="AD163">
        <f t="shared" si="81"/>
        <v>-13.81161671971782</v>
      </c>
      <c r="AE163">
        <f t="shared" si="82"/>
        <v>-8.2793208757976799E-2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52829.303123286896</v>
      </c>
      <c r="AK163">
        <f t="shared" si="86"/>
        <v>1800</v>
      </c>
      <c r="AL163">
        <f t="shared" si="87"/>
        <v>1499.111433</v>
      </c>
      <c r="AM163">
        <f t="shared" si="88"/>
        <v>0.83283968500000005</v>
      </c>
      <c r="AN163">
        <f t="shared" si="89"/>
        <v>0.15339722929999999</v>
      </c>
      <c r="AO163">
        <v>30</v>
      </c>
      <c r="AP163">
        <v>0.5</v>
      </c>
      <c r="AQ163" t="s">
        <v>331</v>
      </c>
      <c r="AR163">
        <v>2</v>
      </c>
      <c r="AS163">
        <v>1690293860</v>
      </c>
      <c r="AT163">
        <v>367.392</v>
      </c>
      <c r="AU163">
        <v>800.02800000000002</v>
      </c>
      <c r="AV163">
        <v>25.899799999999999</v>
      </c>
      <c r="AW163">
        <v>0.14840400000000001</v>
      </c>
      <c r="AX163">
        <v>367.58699999999999</v>
      </c>
      <c r="AY163">
        <v>25.7484</v>
      </c>
      <c r="AZ163">
        <v>300.07</v>
      </c>
      <c r="BA163">
        <v>99.346100000000007</v>
      </c>
      <c r="BB163">
        <v>9.99144E-2</v>
      </c>
      <c r="BC163">
        <v>25.560099999999998</v>
      </c>
      <c r="BD163">
        <v>26.981300000000001</v>
      </c>
      <c r="BE163">
        <v>26.597200000000001</v>
      </c>
      <c r="BF163">
        <v>0</v>
      </c>
      <c r="BG163">
        <v>0</v>
      </c>
      <c r="BH163">
        <v>10008.799999999999</v>
      </c>
      <c r="BI163">
        <v>1062.6099999999999</v>
      </c>
      <c r="BJ163">
        <v>2.1305100000000001</v>
      </c>
      <c r="BK163">
        <v>-432.63600000000002</v>
      </c>
      <c r="BL163">
        <v>377.16</v>
      </c>
      <c r="BM163">
        <v>800.14700000000005</v>
      </c>
      <c r="BN163">
        <v>25.7514</v>
      </c>
      <c r="BO163">
        <v>800.02800000000002</v>
      </c>
      <c r="BP163">
        <v>0.14840400000000001</v>
      </c>
      <c r="BQ163">
        <v>2.5730400000000002</v>
      </c>
      <c r="BR163">
        <v>1.47434E-2</v>
      </c>
      <c r="BS163">
        <v>21.495999999999999</v>
      </c>
      <c r="BT163">
        <v>-42.320399999999999</v>
      </c>
      <c r="BU163">
        <v>1800</v>
      </c>
      <c r="BV163">
        <v>0.91</v>
      </c>
      <c r="BW163">
        <v>3.4000299999999997E-2</v>
      </c>
      <c r="BX163">
        <v>2.19975E-2</v>
      </c>
      <c r="BY163">
        <v>3.4002200000000003E-2</v>
      </c>
      <c r="BZ163">
        <v>25.666699999999999</v>
      </c>
      <c r="CA163">
        <v>33528.400000000001</v>
      </c>
      <c r="CB163">
        <v>1690292073.5</v>
      </c>
      <c r="CC163" t="s">
        <v>332</v>
      </c>
      <c r="CD163">
        <v>1690292069.5</v>
      </c>
      <c r="CE163">
        <v>1690292073.5</v>
      </c>
      <c r="CF163">
        <v>4</v>
      </c>
      <c r="CG163">
        <v>-3.6999999999999998E-2</v>
      </c>
      <c r="CH163">
        <v>-1.6E-2</v>
      </c>
      <c r="CI163">
        <v>-0.45200000000000001</v>
      </c>
      <c r="CJ163">
        <v>0.108</v>
      </c>
      <c r="CK163">
        <v>730</v>
      </c>
      <c r="CL163">
        <v>18</v>
      </c>
      <c r="CM163">
        <v>0</v>
      </c>
      <c r="CN163">
        <v>0.01</v>
      </c>
      <c r="CO163">
        <v>-431.65817073170729</v>
      </c>
      <c r="CP163">
        <v>-5.1284738675947716</v>
      </c>
      <c r="CQ163">
        <v>0.51293725677442048</v>
      </c>
      <c r="CR163">
        <v>-1</v>
      </c>
      <c r="CS163">
        <v>25.71013414634146</v>
      </c>
      <c r="CT163">
        <v>0.2318048780487667</v>
      </c>
      <c r="CU163">
        <v>2.2946040731395941E-2</v>
      </c>
      <c r="CV163">
        <v>-1</v>
      </c>
      <c r="CW163">
        <v>0</v>
      </c>
      <c r="CX163">
        <v>0</v>
      </c>
      <c r="CY163" t="s">
        <v>333</v>
      </c>
      <c r="CZ163">
        <v>2.36463</v>
      </c>
      <c r="DA163">
        <v>2.7137099999999998</v>
      </c>
      <c r="DB163">
        <v>8.4102800000000005E-2</v>
      </c>
      <c r="DC163">
        <v>0.14645</v>
      </c>
      <c r="DD163">
        <v>0.120685</v>
      </c>
      <c r="DE163">
        <v>1.2545E-3</v>
      </c>
      <c r="DF163">
        <v>33450.6</v>
      </c>
      <c r="DG163">
        <v>27512.9</v>
      </c>
      <c r="DH163">
        <v>31178</v>
      </c>
      <c r="DI163">
        <v>28086.7</v>
      </c>
      <c r="DJ163">
        <v>37210.1</v>
      </c>
      <c r="DK163">
        <v>39890.300000000003</v>
      </c>
      <c r="DL163">
        <v>44369.7</v>
      </c>
      <c r="DM163">
        <v>42563</v>
      </c>
      <c r="DN163">
        <v>1.4895799999999999</v>
      </c>
      <c r="DO163">
        <v>2.0392000000000001</v>
      </c>
      <c r="DP163">
        <v>0.12783700000000001</v>
      </c>
      <c r="DQ163">
        <v>0.12636900000000001</v>
      </c>
      <c r="DR163">
        <v>24.887</v>
      </c>
      <c r="DS163">
        <v>24.525700000000001</v>
      </c>
      <c r="DT163">
        <v>22.5</v>
      </c>
      <c r="DU163">
        <v>28.7</v>
      </c>
      <c r="DV163">
        <v>8.9515200000000004</v>
      </c>
      <c r="DW163">
        <v>61.853400000000001</v>
      </c>
      <c r="DX163">
        <v>35.709099999999999</v>
      </c>
      <c r="DY163">
        <v>1</v>
      </c>
      <c r="DZ163">
        <v>-0.113925</v>
      </c>
      <c r="EA163">
        <v>0.19269600000000001</v>
      </c>
      <c r="EB163">
        <v>20.189800000000002</v>
      </c>
      <c r="EC163">
        <v>5.24125</v>
      </c>
      <c r="ED163">
        <v>12.039899999999999</v>
      </c>
      <c r="EE163">
        <v>5.0174000000000003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1.8646199999999999</v>
      </c>
      <c r="EM163">
        <v>1.8692</v>
      </c>
      <c r="EN163">
        <v>1.8672200000000001</v>
      </c>
      <c r="EO163">
        <v>1.86338</v>
      </c>
      <c r="EP163">
        <v>1.8644700000000001</v>
      </c>
      <c r="EQ163">
        <v>1.87016</v>
      </c>
      <c r="ER163">
        <v>1.86941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-0.19500000000000001</v>
      </c>
      <c r="FG163">
        <v>0.15140000000000001</v>
      </c>
      <c r="FH163">
        <v>5.0310448532705943E-2</v>
      </c>
      <c r="FI163">
        <v>-6.1462078757559423E-4</v>
      </c>
      <c r="FJ163">
        <v>-1.8861989874597051E-7</v>
      </c>
      <c r="FK163">
        <v>1.1980462299894961E-10</v>
      </c>
      <c r="FL163">
        <v>0.15140825623214971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29.8</v>
      </c>
      <c r="FU163">
        <v>29.8</v>
      </c>
      <c r="FV163">
        <v>1.7663599999999999</v>
      </c>
      <c r="FW163">
        <v>2.5805699999999998</v>
      </c>
      <c r="FX163">
        <v>1.5490699999999999</v>
      </c>
      <c r="FY163">
        <v>2.3339799999999999</v>
      </c>
      <c r="FZ163">
        <v>1.50146</v>
      </c>
      <c r="GA163">
        <v>2.34375</v>
      </c>
      <c r="GB163">
        <v>33.176900000000003</v>
      </c>
      <c r="GC163">
        <v>23.991199999999999</v>
      </c>
      <c r="GD163">
        <v>19</v>
      </c>
      <c r="GE163">
        <v>287.37599999999998</v>
      </c>
      <c r="GF163">
        <v>582.30200000000002</v>
      </c>
      <c r="GG163">
        <v>23.710699999999999</v>
      </c>
      <c r="GH163">
        <v>25.934100000000001</v>
      </c>
      <c r="GI163">
        <v>30</v>
      </c>
      <c r="GJ163">
        <v>26.075399999999998</v>
      </c>
      <c r="GK163">
        <v>26.056799999999999</v>
      </c>
      <c r="GL163">
        <v>35.304000000000002</v>
      </c>
      <c r="GM163">
        <v>100</v>
      </c>
      <c r="GN163">
        <v>0</v>
      </c>
      <c r="GO163">
        <v>23.774999999999999</v>
      </c>
      <c r="GP163">
        <v>800</v>
      </c>
      <c r="GQ163">
        <v>0</v>
      </c>
      <c r="GR163">
        <v>99.756900000000002</v>
      </c>
      <c r="GS163">
        <v>99.575900000000004</v>
      </c>
    </row>
    <row r="164" spans="1:201" x14ac:dyDescent="0.25">
      <c r="A164">
        <v>148</v>
      </c>
      <c r="B164">
        <v>1690293870</v>
      </c>
      <c r="C164">
        <v>1599.400000095367</v>
      </c>
      <c r="D164" t="s">
        <v>629</v>
      </c>
      <c r="E164" t="s">
        <v>630</v>
      </c>
      <c r="F164" t="s">
        <v>330</v>
      </c>
      <c r="H164">
        <v>1690293870</v>
      </c>
      <c r="I164">
        <f t="shared" si="60"/>
        <v>2.6490762981561827E-3</v>
      </c>
      <c r="J164">
        <f t="shared" si="61"/>
        <v>2.6490762981561828</v>
      </c>
      <c r="K164">
        <f t="shared" si="62"/>
        <v>42.384396586468718</v>
      </c>
      <c r="L164">
        <f t="shared" si="63"/>
        <v>366.49900000000002</v>
      </c>
      <c r="M164">
        <f t="shared" si="64"/>
        <v>113.29688983776586</v>
      </c>
      <c r="N164">
        <f t="shared" si="65"/>
        <v>11.266787796804447</v>
      </c>
      <c r="O164">
        <f t="shared" si="66"/>
        <v>36.446423786689003</v>
      </c>
      <c r="P164">
        <f t="shared" si="67"/>
        <v>0.28830010368690639</v>
      </c>
      <c r="Q164">
        <f t="shared" si="68"/>
        <v>2.2552118899906723</v>
      </c>
      <c r="R164">
        <f t="shared" si="69"/>
        <v>0.26927856794935218</v>
      </c>
      <c r="S164">
        <f t="shared" si="70"/>
        <v>0.16990342031022398</v>
      </c>
      <c r="T164">
        <f t="shared" si="71"/>
        <v>276.11641848600004</v>
      </c>
      <c r="U164">
        <f t="shared" si="72"/>
        <v>26.757425310769218</v>
      </c>
      <c r="V164">
        <f t="shared" si="73"/>
        <v>26.757425310769218</v>
      </c>
      <c r="W164">
        <f t="shared" si="74"/>
        <v>3.5284833393577144</v>
      </c>
      <c r="X164">
        <f t="shared" si="75"/>
        <v>78.487433559441669</v>
      </c>
      <c r="Y164">
        <f t="shared" si="76"/>
        <v>2.5802248996492998</v>
      </c>
      <c r="Z164">
        <f t="shared" si="77"/>
        <v>3.2874369598226099</v>
      </c>
      <c r="AA164">
        <f t="shared" si="78"/>
        <v>0.94825843970841461</v>
      </c>
      <c r="AB164">
        <f t="shared" si="79"/>
        <v>-116.82426474868765</v>
      </c>
      <c r="AC164">
        <f t="shared" si="80"/>
        <v>-145.56222510108989</v>
      </c>
      <c r="AD164">
        <f t="shared" si="81"/>
        <v>-13.812735081248613</v>
      </c>
      <c r="AE164">
        <f t="shared" si="82"/>
        <v>-8.2806445026108122E-2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52692.28871769338</v>
      </c>
      <c r="AK164">
        <f t="shared" si="86"/>
        <v>1800</v>
      </c>
      <c r="AL164">
        <f t="shared" si="87"/>
        <v>1499.1103835999998</v>
      </c>
      <c r="AM164">
        <f t="shared" si="88"/>
        <v>0.83283910199999989</v>
      </c>
      <c r="AN164">
        <f t="shared" si="89"/>
        <v>0.15339801027000002</v>
      </c>
      <c r="AO164">
        <v>30</v>
      </c>
      <c r="AP164">
        <v>0.5</v>
      </c>
      <c r="AQ164" t="s">
        <v>331</v>
      </c>
      <c r="AR164">
        <v>2</v>
      </c>
      <c r="AS164">
        <v>1690293870</v>
      </c>
      <c r="AT164">
        <v>366.49900000000002</v>
      </c>
      <c r="AU164">
        <v>799.96799999999996</v>
      </c>
      <c r="AV164">
        <v>25.946300000000001</v>
      </c>
      <c r="AW164">
        <v>0.14786199999999999</v>
      </c>
      <c r="AX164">
        <v>366.69299999999998</v>
      </c>
      <c r="AY164">
        <v>25.794899999999998</v>
      </c>
      <c r="AZ164">
        <v>300.05799999999999</v>
      </c>
      <c r="BA164">
        <v>99.344800000000006</v>
      </c>
      <c r="BB164">
        <v>0.100011</v>
      </c>
      <c r="BC164">
        <v>25.560199999999998</v>
      </c>
      <c r="BD164">
        <v>26.9892</v>
      </c>
      <c r="BE164">
        <v>26.593800000000002</v>
      </c>
      <c r="BF164">
        <v>0</v>
      </c>
      <c r="BG164">
        <v>0</v>
      </c>
      <c r="BH164">
        <v>9981.8799999999992</v>
      </c>
      <c r="BI164">
        <v>1062.6300000000001</v>
      </c>
      <c r="BJ164">
        <v>2.1305100000000001</v>
      </c>
      <c r="BK164">
        <v>-433.47</v>
      </c>
      <c r="BL164">
        <v>376.26100000000002</v>
      </c>
      <c r="BM164">
        <v>800.08699999999999</v>
      </c>
      <c r="BN164">
        <v>25.798500000000001</v>
      </c>
      <c r="BO164">
        <v>799.96799999999996</v>
      </c>
      <c r="BP164">
        <v>0.14786199999999999</v>
      </c>
      <c r="BQ164">
        <v>2.5776300000000001</v>
      </c>
      <c r="BR164">
        <v>1.46894E-2</v>
      </c>
      <c r="BS164">
        <v>21.525200000000002</v>
      </c>
      <c r="BT164">
        <v>-42.354700000000001</v>
      </c>
      <c r="BU164">
        <v>1800</v>
      </c>
      <c r="BV164">
        <v>0.90998000000000001</v>
      </c>
      <c r="BW164">
        <v>3.3999000000000001E-2</v>
      </c>
      <c r="BX164">
        <v>2.2007100000000002E-2</v>
      </c>
      <c r="BY164">
        <v>3.40139E-2</v>
      </c>
      <c r="BZ164">
        <v>25.75</v>
      </c>
      <c r="CA164">
        <v>33528.199999999997</v>
      </c>
      <c r="CB164">
        <v>1690292073.5</v>
      </c>
      <c r="CC164" t="s">
        <v>332</v>
      </c>
      <c r="CD164">
        <v>1690292069.5</v>
      </c>
      <c r="CE164">
        <v>1690292073.5</v>
      </c>
      <c r="CF164">
        <v>4</v>
      </c>
      <c r="CG164">
        <v>-3.6999999999999998E-2</v>
      </c>
      <c r="CH164">
        <v>-1.6E-2</v>
      </c>
      <c r="CI164">
        <v>-0.45200000000000001</v>
      </c>
      <c r="CJ164">
        <v>0.108</v>
      </c>
      <c r="CK164">
        <v>730</v>
      </c>
      <c r="CL164">
        <v>18</v>
      </c>
      <c r="CM164">
        <v>0</v>
      </c>
      <c r="CN164">
        <v>0.01</v>
      </c>
      <c r="CO164">
        <v>-432.50192682926831</v>
      </c>
      <c r="CP164">
        <v>-4.6822996515672477</v>
      </c>
      <c r="CQ164">
        <v>0.46535485490913803</v>
      </c>
      <c r="CR164">
        <v>-1</v>
      </c>
      <c r="CS164">
        <v>25.747824390243899</v>
      </c>
      <c r="CT164">
        <v>0.22000766550533021</v>
      </c>
      <c r="CU164">
        <v>2.1768345562551299E-2</v>
      </c>
      <c r="CV164">
        <v>-1</v>
      </c>
      <c r="CW164">
        <v>0</v>
      </c>
      <c r="CX164">
        <v>0</v>
      </c>
      <c r="CY164" t="s">
        <v>333</v>
      </c>
      <c r="CZ164">
        <v>2.3645999999999998</v>
      </c>
      <c r="DA164">
        <v>2.7137799999999999</v>
      </c>
      <c r="DB164">
        <v>8.3943199999999996E-2</v>
      </c>
      <c r="DC164">
        <v>0.14644199999999999</v>
      </c>
      <c r="DD164">
        <v>0.120835</v>
      </c>
      <c r="DE164">
        <v>1.2499500000000001E-3</v>
      </c>
      <c r="DF164">
        <v>33457</v>
      </c>
      <c r="DG164">
        <v>27513.599999999999</v>
      </c>
      <c r="DH164">
        <v>31178.5</v>
      </c>
      <c r="DI164">
        <v>28087.1</v>
      </c>
      <c r="DJ164">
        <v>37204.199999999997</v>
      </c>
      <c r="DK164">
        <v>39891.1</v>
      </c>
      <c r="DL164">
        <v>44370.400000000001</v>
      </c>
      <c r="DM164">
        <v>42563.6</v>
      </c>
      <c r="DN164">
        <v>1.4895799999999999</v>
      </c>
      <c r="DO164">
        <v>2.03912</v>
      </c>
      <c r="DP164">
        <v>0.12803100000000001</v>
      </c>
      <c r="DQ164">
        <v>0.12590699999999999</v>
      </c>
      <c r="DR164">
        <v>24.8917</v>
      </c>
      <c r="DS164">
        <v>24.529800000000002</v>
      </c>
      <c r="DT164">
        <v>22.4</v>
      </c>
      <c r="DU164">
        <v>28.7</v>
      </c>
      <c r="DV164">
        <v>8.9117999999999995</v>
      </c>
      <c r="DW164">
        <v>61.933399999999999</v>
      </c>
      <c r="DX164">
        <v>35.7652</v>
      </c>
      <c r="DY164">
        <v>1</v>
      </c>
      <c r="DZ164">
        <v>-0.114944</v>
      </c>
      <c r="EA164">
        <v>0.19830900000000001</v>
      </c>
      <c r="EB164">
        <v>20.190300000000001</v>
      </c>
      <c r="EC164">
        <v>5.2409499999999998</v>
      </c>
      <c r="ED164">
        <v>12.039899999999999</v>
      </c>
      <c r="EE164">
        <v>5.0174000000000003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1.8646100000000001</v>
      </c>
      <c r="EM164">
        <v>1.8692</v>
      </c>
      <c r="EN164">
        <v>1.8672200000000001</v>
      </c>
      <c r="EO164">
        <v>1.8633900000000001</v>
      </c>
      <c r="EP164">
        <v>1.8644700000000001</v>
      </c>
      <c r="EQ164">
        <v>1.8701700000000001</v>
      </c>
      <c r="ER164">
        <v>1.8694299999999999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-0.19400000000000001</v>
      </c>
      <c r="FG164">
        <v>0.15140000000000001</v>
      </c>
      <c r="FH164">
        <v>5.0310448532705943E-2</v>
      </c>
      <c r="FI164">
        <v>-6.1462078757559423E-4</v>
      </c>
      <c r="FJ164">
        <v>-1.8861989874597051E-7</v>
      </c>
      <c r="FK164">
        <v>1.1980462299894961E-10</v>
      </c>
      <c r="FL164">
        <v>0.15140825623214971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30</v>
      </c>
      <c r="FU164">
        <v>29.9</v>
      </c>
      <c r="FV164">
        <v>1.7663599999999999</v>
      </c>
      <c r="FW164">
        <v>2.5842299999999998</v>
      </c>
      <c r="FX164">
        <v>1.5490699999999999</v>
      </c>
      <c r="FY164">
        <v>2.3339799999999999</v>
      </c>
      <c r="FZ164">
        <v>1.50146</v>
      </c>
      <c r="GA164">
        <v>2.34009</v>
      </c>
      <c r="GB164">
        <v>33.176900000000003</v>
      </c>
      <c r="GC164">
        <v>23.982399999999998</v>
      </c>
      <c r="GD164">
        <v>19</v>
      </c>
      <c r="GE164">
        <v>287.37599999999998</v>
      </c>
      <c r="GF164">
        <v>582.24</v>
      </c>
      <c r="GG164">
        <v>23.790700000000001</v>
      </c>
      <c r="GH164">
        <v>25.936299999999999</v>
      </c>
      <c r="GI164">
        <v>29.9999</v>
      </c>
      <c r="GJ164">
        <v>26.075399999999998</v>
      </c>
      <c r="GK164">
        <v>26.056799999999999</v>
      </c>
      <c r="GL164">
        <v>35.307000000000002</v>
      </c>
      <c r="GM164">
        <v>100</v>
      </c>
      <c r="GN164">
        <v>0</v>
      </c>
      <c r="GO164">
        <v>23.779499999999999</v>
      </c>
      <c r="GP164">
        <v>800</v>
      </c>
      <c r="GQ164">
        <v>0</v>
      </c>
      <c r="GR164">
        <v>99.758600000000001</v>
      </c>
      <c r="GS164">
        <v>99.577399999999997</v>
      </c>
    </row>
    <row r="165" spans="1:201" x14ac:dyDescent="0.25">
      <c r="A165">
        <v>149</v>
      </c>
      <c r="B165">
        <v>1690293880</v>
      </c>
      <c r="C165">
        <v>1609.400000095367</v>
      </c>
      <c r="D165" t="s">
        <v>631</v>
      </c>
      <c r="E165" t="s">
        <v>632</v>
      </c>
      <c r="F165" t="s">
        <v>330</v>
      </c>
      <c r="H165">
        <v>1690293880</v>
      </c>
      <c r="I165">
        <f t="shared" si="60"/>
        <v>2.6566836122270741E-3</v>
      </c>
      <c r="J165">
        <f t="shared" si="61"/>
        <v>2.6566836122270741</v>
      </c>
      <c r="K165">
        <f t="shared" si="62"/>
        <v>42.485109490737855</v>
      </c>
      <c r="L165">
        <f t="shared" si="63"/>
        <v>365.834</v>
      </c>
      <c r="M165">
        <f t="shared" si="64"/>
        <v>114.41989318813194</v>
      </c>
      <c r="N165">
        <f t="shared" si="65"/>
        <v>11.378483989695917</v>
      </c>
      <c r="O165">
        <f t="shared" si="66"/>
        <v>36.380354813320004</v>
      </c>
      <c r="P165">
        <f t="shared" si="67"/>
        <v>0.29116450454662657</v>
      </c>
      <c r="Q165">
        <f t="shared" si="68"/>
        <v>2.2614931030157024</v>
      </c>
      <c r="R165">
        <f t="shared" si="69"/>
        <v>0.27182675744176599</v>
      </c>
      <c r="S165">
        <f t="shared" si="70"/>
        <v>0.17152200153540792</v>
      </c>
      <c r="T165">
        <f t="shared" si="71"/>
        <v>276.11673668999998</v>
      </c>
      <c r="U165">
        <f t="shared" si="72"/>
        <v>26.75467039661612</v>
      </c>
      <c r="V165">
        <f t="shared" si="73"/>
        <v>26.75467039661612</v>
      </c>
      <c r="W165">
        <f t="shared" si="74"/>
        <v>3.5279114258608395</v>
      </c>
      <c r="X165">
        <f t="shared" si="75"/>
        <v>78.646009995158593</v>
      </c>
      <c r="Y165">
        <f t="shared" si="76"/>
        <v>2.5858678149400003</v>
      </c>
      <c r="Z165">
        <f t="shared" si="77"/>
        <v>3.2879834782453488</v>
      </c>
      <c r="AA165">
        <f t="shared" si="78"/>
        <v>0.94204361092083921</v>
      </c>
      <c r="AB165">
        <f t="shared" si="79"/>
        <v>-117.15974729921398</v>
      </c>
      <c r="AC165">
        <f t="shared" si="80"/>
        <v>-145.29038069712331</v>
      </c>
      <c r="AD165">
        <f t="shared" si="81"/>
        <v>-13.748649026579711</v>
      </c>
      <c r="AE165">
        <f t="shared" si="82"/>
        <v>-8.20403329169892E-2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52938.506823838812</v>
      </c>
      <c r="AK165">
        <f t="shared" si="86"/>
        <v>1800</v>
      </c>
      <c r="AL165">
        <f t="shared" si="87"/>
        <v>1499.110596</v>
      </c>
      <c r="AM165">
        <f t="shared" si="88"/>
        <v>0.83283921999999999</v>
      </c>
      <c r="AN165">
        <f t="shared" si="89"/>
        <v>0.15339818705</v>
      </c>
      <c r="AO165">
        <v>30</v>
      </c>
      <c r="AP165">
        <v>0.5</v>
      </c>
      <c r="AQ165" t="s">
        <v>331</v>
      </c>
      <c r="AR165">
        <v>2</v>
      </c>
      <c r="AS165">
        <v>1690293880</v>
      </c>
      <c r="AT165">
        <v>365.834</v>
      </c>
      <c r="AU165">
        <v>800.06399999999996</v>
      </c>
      <c r="AV165">
        <v>26.003</v>
      </c>
      <c r="AW165">
        <v>0.147235</v>
      </c>
      <c r="AX165">
        <v>366.029</v>
      </c>
      <c r="AY165">
        <v>25.851600000000001</v>
      </c>
      <c r="AZ165">
        <v>300.23500000000001</v>
      </c>
      <c r="BA165">
        <v>99.344999999999999</v>
      </c>
      <c r="BB165">
        <v>9.9979999999999999E-2</v>
      </c>
      <c r="BC165">
        <v>25.562999999999999</v>
      </c>
      <c r="BD165">
        <v>27.001300000000001</v>
      </c>
      <c r="BE165">
        <v>26.601600000000001</v>
      </c>
      <c r="BF165">
        <v>0</v>
      </c>
      <c r="BG165">
        <v>0</v>
      </c>
      <c r="BH165">
        <v>10030.6</v>
      </c>
      <c r="BI165">
        <v>1062.54</v>
      </c>
      <c r="BJ165">
        <v>1.9763299999999999</v>
      </c>
      <c r="BK165">
        <v>-434.23</v>
      </c>
      <c r="BL165">
        <v>375.601</v>
      </c>
      <c r="BM165">
        <v>800.18200000000002</v>
      </c>
      <c r="BN165">
        <v>25.855699999999999</v>
      </c>
      <c r="BO165">
        <v>800.06399999999996</v>
      </c>
      <c r="BP165">
        <v>0.147235</v>
      </c>
      <c r="BQ165">
        <v>2.5832600000000001</v>
      </c>
      <c r="BR165">
        <v>1.4627100000000001E-2</v>
      </c>
      <c r="BS165">
        <v>21.5608</v>
      </c>
      <c r="BT165">
        <v>-42.394399999999997</v>
      </c>
      <c r="BU165">
        <v>1800</v>
      </c>
      <c r="BV165">
        <v>0.90997799999999995</v>
      </c>
      <c r="BW165">
        <v>3.3998800000000003E-2</v>
      </c>
      <c r="BX165">
        <v>2.2009500000000001E-2</v>
      </c>
      <c r="BY165">
        <v>3.4013700000000001E-2</v>
      </c>
      <c r="BZ165">
        <v>25.666699999999999</v>
      </c>
      <c r="CA165">
        <v>33528.199999999997</v>
      </c>
      <c r="CB165">
        <v>1690292073.5</v>
      </c>
      <c r="CC165" t="s">
        <v>332</v>
      </c>
      <c r="CD165">
        <v>1690292069.5</v>
      </c>
      <c r="CE165">
        <v>1690292073.5</v>
      </c>
      <c r="CF165">
        <v>4</v>
      </c>
      <c r="CG165">
        <v>-3.6999999999999998E-2</v>
      </c>
      <c r="CH165">
        <v>-1.6E-2</v>
      </c>
      <c r="CI165">
        <v>-0.45200000000000001</v>
      </c>
      <c r="CJ165">
        <v>0.108</v>
      </c>
      <c r="CK165">
        <v>730</v>
      </c>
      <c r="CL165">
        <v>18</v>
      </c>
      <c r="CM165">
        <v>0</v>
      </c>
      <c r="CN165">
        <v>0.01</v>
      </c>
      <c r="CO165">
        <v>-433.33834146341468</v>
      </c>
      <c r="CP165">
        <v>-4.9877142857161161</v>
      </c>
      <c r="CQ165">
        <v>0.49527979821984558</v>
      </c>
      <c r="CR165">
        <v>-1</v>
      </c>
      <c r="CS165">
        <v>25.79327804878049</v>
      </c>
      <c r="CT165">
        <v>0.32501393728228678</v>
      </c>
      <c r="CU165">
        <v>3.2227192821720083E-2</v>
      </c>
      <c r="CV165">
        <v>-1</v>
      </c>
      <c r="CW165">
        <v>0</v>
      </c>
      <c r="CX165">
        <v>0</v>
      </c>
      <c r="CY165" t="s">
        <v>333</v>
      </c>
      <c r="CZ165">
        <v>2.3651399999999998</v>
      </c>
      <c r="DA165">
        <v>2.7138</v>
      </c>
      <c r="DB165">
        <v>8.3824999999999997E-2</v>
      </c>
      <c r="DC165">
        <v>0.146454</v>
      </c>
      <c r="DD165">
        <v>0.12102</v>
      </c>
      <c r="DE165">
        <v>1.2447000000000001E-3</v>
      </c>
      <c r="DF165">
        <v>33461.199999999997</v>
      </c>
      <c r="DG165">
        <v>27513.599999999999</v>
      </c>
      <c r="DH165">
        <v>31178.400000000001</v>
      </c>
      <c r="DI165">
        <v>28087.5</v>
      </c>
      <c r="DJ165">
        <v>37196</v>
      </c>
      <c r="DK165">
        <v>39891.699999999997</v>
      </c>
      <c r="DL165">
        <v>44370.1</v>
      </c>
      <c r="DM165">
        <v>42564.1</v>
      </c>
      <c r="DN165">
        <v>1.4903500000000001</v>
      </c>
      <c r="DO165">
        <v>2.0390999999999999</v>
      </c>
      <c r="DP165">
        <v>0.128552</v>
      </c>
      <c r="DQ165">
        <v>0.126138</v>
      </c>
      <c r="DR165">
        <v>24.895299999999999</v>
      </c>
      <c r="DS165">
        <v>24.533899999999999</v>
      </c>
      <c r="DT165">
        <v>22.4</v>
      </c>
      <c r="DU165">
        <v>28.8</v>
      </c>
      <c r="DV165">
        <v>8.9627999999999997</v>
      </c>
      <c r="DW165">
        <v>61.773400000000002</v>
      </c>
      <c r="DX165">
        <v>34.939900000000002</v>
      </c>
      <c r="DY165">
        <v>1</v>
      </c>
      <c r="DZ165">
        <v>-0.11436499999999999</v>
      </c>
      <c r="EA165">
        <v>0.24257899999999999</v>
      </c>
      <c r="EB165">
        <v>20.190100000000001</v>
      </c>
      <c r="EC165">
        <v>5.2404999999999999</v>
      </c>
      <c r="ED165">
        <v>12.039899999999999</v>
      </c>
      <c r="EE165">
        <v>5.0172999999999996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1.8646199999999999</v>
      </c>
      <c r="EM165">
        <v>1.8692</v>
      </c>
      <c r="EN165">
        <v>1.8672200000000001</v>
      </c>
      <c r="EO165">
        <v>1.8633999999999999</v>
      </c>
      <c r="EP165">
        <v>1.8644700000000001</v>
      </c>
      <c r="EQ165">
        <v>1.8701700000000001</v>
      </c>
      <c r="ER165">
        <v>1.8694500000000001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-0.19500000000000001</v>
      </c>
      <c r="FG165">
        <v>0.15140000000000001</v>
      </c>
      <c r="FH165">
        <v>5.0310448532705943E-2</v>
      </c>
      <c r="FI165">
        <v>-6.1462078757559423E-4</v>
      </c>
      <c r="FJ165">
        <v>-1.8861989874597051E-7</v>
      </c>
      <c r="FK165">
        <v>1.1980462299894961E-10</v>
      </c>
      <c r="FL165">
        <v>0.15140825623214971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30.2</v>
      </c>
      <c r="FU165">
        <v>30.1</v>
      </c>
      <c r="FV165">
        <v>1.7651399999999999</v>
      </c>
      <c r="FW165">
        <v>2.5854499999999998</v>
      </c>
      <c r="FX165">
        <v>1.5490699999999999</v>
      </c>
      <c r="FY165">
        <v>2.3339799999999999</v>
      </c>
      <c r="FZ165">
        <v>1.50146</v>
      </c>
      <c r="GA165">
        <v>2.3083499999999999</v>
      </c>
      <c r="GB165">
        <v>33.176900000000003</v>
      </c>
      <c r="GC165">
        <v>23.982399999999998</v>
      </c>
      <c r="GD165">
        <v>19</v>
      </c>
      <c r="GE165">
        <v>287.70999999999998</v>
      </c>
      <c r="GF165">
        <v>582.22</v>
      </c>
      <c r="GG165">
        <v>23.789400000000001</v>
      </c>
      <c r="GH165">
        <v>25.936299999999999</v>
      </c>
      <c r="GI165">
        <v>30.0002</v>
      </c>
      <c r="GJ165">
        <v>26.075399999999998</v>
      </c>
      <c r="GK165">
        <v>26.056799999999999</v>
      </c>
      <c r="GL165">
        <v>35.303199999999997</v>
      </c>
      <c r="GM165">
        <v>100</v>
      </c>
      <c r="GN165">
        <v>0</v>
      </c>
      <c r="GO165">
        <v>23.7882</v>
      </c>
      <c r="GP165">
        <v>800</v>
      </c>
      <c r="GQ165">
        <v>0</v>
      </c>
      <c r="GR165">
        <v>99.757999999999996</v>
      </c>
      <c r="GS165">
        <v>99.578699999999998</v>
      </c>
    </row>
    <row r="166" spans="1:201" x14ac:dyDescent="0.25">
      <c r="A166">
        <v>150</v>
      </c>
      <c r="B166">
        <v>1690293890</v>
      </c>
      <c r="C166">
        <v>1619.400000095367</v>
      </c>
      <c r="D166" t="s">
        <v>633</v>
      </c>
      <c r="E166" t="s">
        <v>634</v>
      </c>
      <c r="F166" t="s">
        <v>330</v>
      </c>
      <c r="H166">
        <v>1690293890</v>
      </c>
      <c r="I166">
        <f t="shared" si="60"/>
        <v>2.6593145943874809E-3</v>
      </c>
      <c r="J166">
        <f t="shared" si="61"/>
        <v>2.6593145943874807</v>
      </c>
      <c r="K166">
        <f t="shared" si="62"/>
        <v>42.525025696765717</v>
      </c>
      <c r="L166">
        <f t="shared" si="63"/>
        <v>365.14499999999998</v>
      </c>
      <c r="M166">
        <f t="shared" si="64"/>
        <v>114.28738443403533</v>
      </c>
      <c r="N166">
        <f t="shared" si="65"/>
        <v>11.364980597387165</v>
      </c>
      <c r="O166">
        <f t="shared" si="66"/>
        <v>36.310795463414998</v>
      </c>
      <c r="P166">
        <f t="shared" si="67"/>
        <v>0.29215921534620659</v>
      </c>
      <c r="Q166">
        <f t="shared" si="68"/>
        <v>2.258160834359328</v>
      </c>
      <c r="R166">
        <f t="shared" si="69"/>
        <v>0.27266718165855908</v>
      </c>
      <c r="S166">
        <f t="shared" si="70"/>
        <v>0.17205978127416893</v>
      </c>
      <c r="T166">
        <f t="shared" si="71"/>
        <v>276.11822183759921</v>
      </c>
      <c r="U166">
        <f t="shared" si="72"/>
        <v>26.762510323155283</v>
      </c>
      <c r="V166">
        <f t="shared" si="73"/>
        <v>26.762510323155283</v>
      </c>
      <c r="W166">
        <f t="shared" si="74"/>
        <v>3.5295391881853111</v>
      </c>
      <c r="X166">
        <f t="shared" si="75"/>
        <v>78.72398011621037</v>
      </c>
      <c r="Y166">
        <f t="shared" si="76"/>
        <v>2.5895227081434999</v>
      </c>
      <c r="Z166">
        <f t="shared" si="77"/>
        <v>3.2893696486393491</v>
      </c>
      <c r="AA166">
        <f t="shared" si="78"/>
        <v>0.94001648004181115</v>
      </c>
      <c r="AB166">
        <f t="shared" si="79"/>
        <v>-117.27577361248791</v>
      </c>
      <c r="AC166">
        <f t="shared" si="80"/>
        <v>-145.16637809514981</v>
      </c>
      <c r="AD166">
        <f t="shared" si="81"/>
        <v>-13.758216411985323</v>
      </c>
      <c r="AE166">
        <f t="shared" si="82"/>
        <v>-8.214628202381391E-2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52806.226777839736</v>
      </c>
      <c r="AK166">
        <f t="shared" si="86"/>
        <v>1800.01</v>
      </c>
      <c r="AL166">
        <f t="shared" si="87"/>
        <v>1499.1193689946697</v>
      </c>
      <c r="AM166">
        <f t="shared" si="88"/>
        <v>0.83283946699999989</v>
      </c>
      <c r="AN166">
        <f t="shared" si="89"/>
        <v>0.15339815992</v>
      </c>
      <c r="AO166">
        <v>30</v>
      </c>
      <c r="AP166">
        <v>0.5</v>
      </c>
      <c r="AQ166" t="s">
        <v>331</v>
      </c>
      <c r="AR166">
        <v>2</v>
      </c>
      <c r="AS166">
        <v>1690293890</v>
      </c>
      <c r="AT166">
        <v>365.14499999999998</v>
      </c>
      <c r="AU166">
        <v>799.99400000000003</v>
      </c>
      <c r="AV166">
        <v>26.040500000000002</v>
      </c>
      <c r="AW166">
        <v>0.14649899999999999</v>
      </c>
      <c r="AX166">
        <v>365.339</v>
      </c>
      <c r="AY166">
        <v>25.889099999999999</v>
      </c>
      <c r="AZ166">
        <v>300.077</v>
      </c>
      <c r="BA166">
        <v>99.342200000000005</v>
      </c>
      <c r="BB166">
        <v>9.9927000000000002E-2</v>
      </c>
      <c r="BC166">
        <v>25.5701</v>
      </c>
      <c r="BD166">
        <v>26.980399999999999</v>
      </c>
      <c r="BE166">
        <v>26.6127</v>
      </c>
      <c r="BF166">
        <v>0</v>
      </c>
      <c r="BG166">
        <v>0</v>
      </c>
      <c r="BH166">
        <v>10005</v>
      </c>
      <c r="BI166">
        <v>1062.6400000000001</v>
      </c>
      <c r="BJ166">
        <v>2.0856599999999998</v>
      </c>
      <c r="BK166">
        <v>-434.84899999999999</v>
      </c>
      <c r="BL166">
        <v>374.90800000000002</v>
      </c>
      <c r="BM166">
        <v>800.11099999999999</v>
      </c>
      <c r="BN166">
        <v>25.893999999999998</v>
      </c>
      <c r="BO166">
        <v>799.99400000000003</v>
      </c>
      <c r="BP166">
        <v>0.14649899999999999</v>
      </c>
      <c r="BQ166">
        <v>2.5869200000000001</v>
      </c>
      <c r="BR166">
        <v>1.45536E-2</v>
      </c>
      <c r="BS166">
        <v>21.584</v>
      </c>
      <c r="BT166">
        <v>-42.441499999999998</v>
      </c>
      <c r="BU166">
        <v>1800.01</v>
      </c>
      <c r="BV166">
        <v>0.90998000000000001</v>
      </c>
      <c r="BW166">
        <v>3.3998E-2</v>
      </c>
      <c r="BX166">
        <v>2.20091E-2</v>
      </c>
      <c r="BY166">
        <v>3.4013000000000002E-2</v>
      </c>
      <c r="BZ166">
        <v>25.708300000000001</v>
      </c>
      <c r="CA166">
        <v>33528.300000000003</v>
      </c>
      <c r="CB166">
        <v>1690292073.5</v>
      </c>
      <c r="CC166" t="s">
        <v>332</v>
      </c>
      <c r="CD166">
        <v>1690292069.5</v>
      </c>
      <c r="CE166">
        <v>1690292073.5</v>
      </c>
      <c r="CF166">
        <v>4</v>
      </c>
      <c r="CG166">
        <v>-3.6999999999999998E-2</v>
      </c>
      <c r="CH166">
        <v>-1.6E-2</v>
      </c>
      <c r="CI166">
        <v>-0.45200000000000001</v>
      </c>
      <c r="CJ166">
        <v>0.108</v>
      </c>
      <c r="CK166">
        <v>730</v>
      </c>
      <c r="CL166">
        <v>18</v>
      </c>
      <c r="CM166">
        <v>0</v>
      </c>
      <c r="CN166">
        <v>0.01</v>
      </c>
      <c r="CO166">
        <v>-434.12621951219518</v>
      </c>
      <c r="CP166">
        <v>-4.2958327526135944</v>
      </c>
      <c r="CQ166">
        <v>0.42657595967819312</v>
      </c>
      <c r="CR166">
        <v>-1</v>
      </c>
      <c r="CS166">
        <v>25.845556097560969</v>
      </c>
      <c r="CT166">
        <v>0.300769337979157</v>
      </c>
      <c r="CU166">
        <v>2.9824805920334221E-2</v>
      </c>
      <c r="CV166">
        <v>-1</v>
      </c>
      <c r="CW166">
        <v>0</v>
      </c>
      <c r="CX166">
        <v>0</v>
      </c>
      <c r="CY166" t="s">
        <v>333</v>
      </c>
      <c r="CZ166">
        <v>2.3646400000000001</v>
      </c>
      <c r="DA166">
        <v>2.7137199999999999</v>
      </c>
      <c r="DB166">
        <v>8.3699800000000005E-2</v>
      </c>
      <c r="DC166">
        <v>0.14643999999999999</v>
      </c>
      <c r="DD166">
        <v>0.121138</v>
      </c>
      <c r="DE166">
        <v>1.2384900000000001E-3</v>
      </c>
      <c r="DF166">
        <v>33466</v>
      </c>
      <c r="DG166">
        <v>27513.4</v>
      </c>
      <c r="DH166">
        <v>31178.7</v>
      </c>
      <c r="DI166">
        <v>28086.9</v>
      </c>
      <c r="DJ166">
        <v>37191.4</v>
      </c>
      <c r="DK166">
        <v>39891.199999999997</v>
      </c>
      <c r="DL166">
        <v>44370.6</v>
      </c>
      <c r="DM166">
        <v>42563.3</v>
      </c>
      <c r="DN166">
        <v>1.4892700000000001</v>
      </c>
      <c r="DO166">
        <v>2.03898</v>
      </c>
      <c r="DP166">
        <v>0.12715199999999999</v>
      </c>
      <c r="DQ166">
        <v>0.12659300000000001</v>
      </c>
      <c r="DR166">
        <v>24.897400000000001</v>
      </c>
      <c r="DS166">
        <v>24.537500000000001</v>
      </c>
      <c r="DT166">
        <v>22.4</v>
      </c>
      <c r="DU166">
        <v>28.8</v>
      </c>
      <c r="DV166">
        <v>8.96495</v>
      </c>
      <c r="DW166">
        <v>61.313400000000001</v>
      </c>
      <c r="DX166">
        <v>35.4407</v>
      </c>
      <c r="DY166">
        <v>1</v>
      </c>
      <c r="DZ166">
        <v>-0.11415699999999999</v>
      </c>
      <c r="EA166">
        <v>0.27283499999999999</v>
      </c>
      <c r="EB166">
        <v>20.189900000000002</v>
      </c>
      <c r="EC166">
        <v>5.2408000000000001</v>
      </c>
      <c r="ED166">
        <v>12.039899999999999</v>
      </c>
      <c r="EE166">
        <v>5.0172999999999996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</v>
      </c>
      <c r="EL166">
        <v>1.8646199999999999</v>
      </c>
      <c r="EM166">
        <v>1.8691899999999999</v>
      </c>
      <c r="EN166">
        <v>1.8672200000000001</v>
      </c>
      <c r="EO166">
        <v>1.86338</v>
      </c>
      <c r="EP166">
        <v>1.8644700000000001</v>
      </c>
      <c r="EQ166">
        <v>1.87015</v>
      </c>
      <c r="ER166">
        <v>1.8694200000000001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-0.19400000000000001</v>
      </c>
      <c r="FG166">
        <v>0.15140000000000001</v>
      </c>
      <c r="FH166">
        <v>5.0310448532705943E-2</v>
      </c>
      <c r="FI166">
        <v>-6.1462078757559423E-4</v>
      </c>
      <c r="FJ166">
        <v>-1.8861989874597051E-7</v>
      </c>
      <c r="FK166">
        <v>1.1980462299894961E-10</v>
      </c>
      <c r="FL166">
        <v>0.15140825623214971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30.3</v>
      </c>
      <c r="FU166">
        <v>30.3</v>
      </c>
      <c r="FV166">
        <v>1.7651399999999999</v>
      </c>
      <c r="FW166">
        <v>2.5817899999999998</v>
      </c>
      <c r="FX166">
        <v>1.5490699999999999</v>
      </c>
      <c r="FY166">
        <v>2.3339799999999999</v>
      </c>
      <c r="FZ166">
        <v>1.50146</v>
      </c>
      <c r="GA166">
        <v>2.3815900000000001</v>
      </c>
      <c r="GB166">
        <v>33.176900000000003</v>
      </c>
      <c r="GC166">
        <v>23.991199999999999</v>
      </c>
      <c r="GD166">
        <v>19</v>
      </c>
      <c r="GE166">
        <v>287.24700000000001</v>
      </c>
      <c r="GF166">
        <v>582.14099999999996</v>
      </c>
      <c r="GG166">
        <v>23.789000000000001</v>
      </c>
      <c r="GH166">
        <v>25.937100000000001</v>
      </c>
      <c r="GI166">
        <v>30.000299999999999</v>
      </c>
      <c r="GJ166">
        <v>26.075399999999998</v>
      </c>
      <c r="GK166">
        <v>26.058900000000001</v>
      </c>
      <c r="GL166">
        <v>35.303899999999999</v>
      </c>
      <c r="GM166">
        <v>100</v>
      </c>
      <c r="GN166">
        <v>0</v>
      </c>
      <c r="GO166">
        <v>23.782900000000001</v>
      </c>
      <c r="GP166">
        <v>800</v>
      </c>
      <c r="GQ166">
        <v>0</v>
      </c>
      <c r="GR166">
        <v>99.759</v>
      </c>
      <c r="GS166">
        <v>99.576599999999999</v>
      </c>
    </row>
    <row r="167" spans="1:201" x14ac:dyDescent="0.25">
      <c r="A167">
        <v>151</v>
      </c>
      <c r="B167">
        <v>1690293900</v>
      </c>
      <c r="C167">
        <v>1629.400000095367</v>
      </c>
      <c r="D167" t="s">
        <v>635</v>
      </c>
      <c r="E167" t="s">
        <v>636</v>
      </c>
      <c r="F167" t="s">
        <v>330</v>
      </c>
      <c r="H167">
        <v>1690293900</v>
      </c>
      <c r="I167">
        <f t="shared" si="60"/>
        <v>2.66274670677868E-3</v>
      </c>
      <c r="J167">
        <f t="shared" si="61"/>
        <v>2.6627467067786799</v>
      </c>
      <c r="K167">
        <f t="shared" si="62"/>
        <v>42.606386032934296</v>
      </c>
      <c r="L167">
        <f t="shared" si="63"/>
        <v>364.28899999999999</v>
      </c>
      <c r="M167">
        <f t="shared" si="64"/>
        <v>114.416793188409</v>
      </c>
      <c r="N167">
        <f t="shared" si="65"/>
        <v>11.377743901307976</v>
      </c>
      <c r="O167">
        <f t="shared" si="66"/>
        <v>36.225337492533995</v>
      </c>
      <c r="P167">
        <f t="shared" si="67"/>
        <v>0.29396021037797088</v>
      </c>
      <c r="Q167">
        <f t="shared" si="68"/>
        <v>2.2591141814028219</v>
      </c>
      <c r="R167">
        <f t="shared" si="69"/>
        <v>0.27424354510229304</v>
      </c>
      <c r="S167">
        <f t="shared" si="70"/>
        <v>0.17306335395158673</v>
      </c>
      <c r="T167">
        <f t="shared" si="71"/>
        <v>276.11496690943954</v>
      </c>
      <c r="U167">
        <f t="shared" si="72"/>
        <v>26.759691470655586</v>
      </c>
      <c r="V167">
        <f t="shared" si="73"/>
        <v>26.759691470655586</v>
      </c>
      <c r="W167">
        <f t="shared" si="74"/>
        <v>3.5289538493285488</v>
      </c>
      <c r="X167">
        <f t="shared" si="75"/>
        <v>78.840117559098971</v>
      </c>
      <c r="Y167">
        <f t="shared" si="76"/>
        <v>2.5931581612237999</v>
      </c>
      <c r="Z167">
        <f t="shared" si="77"/>
        <v>3.2891353304743043</v>
      </c>
      <c r="AA167">
        <f t="shared" si="78"/>
        <v>0.93579568810474889</v>
      </c>
      <c r="AB167">
        <f t="shared" si="79"/>
        <v>-117.42712976893979</v>
      </c>
      <c r="AC167">
        <f t="shared" si="80"/>
        <v>-145.0304987333204</v>
      </c>
      <c r="AD167">
        <f t="shared" si="81"/>
        <v>-13.739260838456744</v>
      </c>
      <c r="AE167">
        <f t="shared" si="82"/>
        <v>-8.1922431277376973E-2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52843.865241735963</v>
      </c>
      <c r="AK167">
        <f t="shared" si="86"/>
        <v>1799.99</v>
      </c>
      <c r="AL167">
        <f t="shared" si="87"/>
        <v>1499.1025736060997</v>
      </c>
      <c r="AM167">
        <f t="shared" si="88"/>
        <v>0.83283938999999985</v>
      </c>
      <c r="AN167">
        <f t="shared" si="89"/>
        <v>0.15339805605000001</v>
      </c>
      <c r="AO167">
        <v>30</v>
      </c>
      <c r="AP167">
        <v>0.5</v>
      </c>
      <c r="AQ167" t="s">
        <v>331</v>
      </c>
      <c r="AR167">
        <v>2</v>
      </c>
      <c r="AS167">
        <v>1690293900</v>
      </c>
      <c r="AT167">
        <v>364.28899999999999</v>
      </c>
      <c r="AU167">
        <v>800.02099999999996</v>
      </c>
      <c r="AV167">
        <v>26.077300000000001</v>
      </c>
      <c r="AW167">
        <v>0.14610699999999999</v>
      </c>
      <c r="AX167">
        <v>364.48200000000003</v>
      </c>
      <c r="AY167">
        <v>25.925899999999999</v>
      </c>
      <c r="AZ167">
        <v>300.02199999999999</v>
      </c>
      <c r="BA167">
        <v>99.341200000000001</v>
      </c>
      <c r="BB167">
        <v>0.100006</v>
      </c>
      <c r="BC167">
        <v>25.568899999999999</v>
      </c>
      <c r="BD167">
        <v>26.98</v>
      </c>
      <c r="BE167">
        <v>26.605699999999999</v>
      </c>
      <c r="BF167">
        <v>0</v>
      </c>
      <c r="BG167">
        <v>0</v>
      </c>
      <c r="BH167">
        <v>10012.5</v>
      </c>
      <c r="BI167">
        <v>1062.52</v>
      </c>
      <c r="BJ167">
        <v>2.2426400000000002</v>
      </c>
      <c r="BK167">
        <v>-435.733</v>
      </c>
      <c r="BL167">
        <v>374.04300000000001</v>
      </c>
      <c r="BM167">
        <v>800.13800000000003</v>
      </c>
      <c r="BN167">
        <v>25.9312</v>
      </c>
      <c r="BO167">
        <v>800.02099999999996</v>
      </c>
      <c r="BP167">
        <v>0.14610699999999999</v>
      </c>
      <c r="BQ167">
        <v>2.5905499999999999</v>
      </c>
      <c r="BR167">
        <v>1.45144E-2</v>
      </c>
      <c r="BS167">
        <v>21.6069</v>
      </c>
      <c r="BT167">
        <v>-42.466700000000003</v>
      </c>
      <c r="BU167">
        <v>1799.99</v>
      </c>
      <c r="BV167">
        <v>0.90998199999999996</v>
      </c>
      <c r="BW167">
        <v>3.3997199999999998E-2</v>
      </c>
      <c r="BX167">
        <v>2.20085E-2</v>
      </c>
      <c r="BY167">
        <v>3.4012100000000003E-2</v>
      </c>
      <c r="BZ167">
        <v>25.958300000000001</v>
      </c>
      <c r="CA167">
        <v>33528.1</v>
      </c>
      <c r="CB167">
        <v>1690292073.5</v>
      </c>
      <c r="CC167" t="s">
        <v>332</v>
      </c>
      <c r="CD167">
        <v>1690292069.5</v>
      </c>
      <c r="CE167">
        <v>1690292073.5</v>
      </c>
      <c r="CF167">
        <v>4</v>
      </c>
      <c r="CG167">
        <v>-3.6999999999999998E-2</v>
      </c>
      <c r="CH167">
        <v>-1.6E-2</v>
      </c>
      <c r="CI167">
        <v>-0.45200000000000001</v>
      </c>
      <c r="CJ167">
        <v>0.108</v>
      </c>
      <c r="CK167">
        <v>730</v>
      </c>
      <c r="CL167">
        <v>18</v>
      </c>
      <c r="CM167">
        <v>0</v>
      </c>
      <c r="CN167">
        <v>0.01</v>
      </c>
      <c r="CO167">
        <v>-434.81531707317072</v>
      </c>
      <c r="CP167">
        <v>-4.1919721254368234</v>
      </c>
      <c r="CQ167">
        <v>0.41535200698745323</v>
      </c>
      <c r="CR167">
        <v>-1</v>
      </c>
      <c r="CS167">
        <v>25.887804878048779</v>
      </c>
      <c r="CT167">
        <v>0.21146759581881139</v>
      </c>
      <c r="CU167">
        <v>2.0913281475136599E-2</v>
      </c>
      <c r="CV167">
        <v>-1</v>
      </c>
      <c r="CW167">
        <v>0</v>
      </c>
      <c r="CX167">
        <v>0</v>
      </c>
      <c r="CY167" t="s">
        <v>333</v>
      </c>
      <c r="CZ167">
        <v>2.3644799999999999</v>
      </c>
      <c r="DA167">
        <v>2.7138100000000001</v>
      </c>
      <c r="DB167">
        <v>8.3545800000000003E-2</v>
      </c>
      <c r="DC167">
        <v>0.14644199999999999</v>
      </c>
      <c r="DD167">
        <v>0.121256</v>
      </c>
      <c r="DE167">
        <v>1.2351899999999999E-3</v>
      </c>
      <c r="DF167">
        <v>33471.4</v>
      </c>
      <c r="DG167">
        <v>27512.9</v>
      </c>
      <c r="DH167">
        <v>31178.400000000001</v>
      </c>
      <c r="DI167">
        <v>28086.400000000001</v>
      </c>
      <c r="DJ167">
        <v>37186.199999999997</v>
      </c>
      <c r="DK167">
        <v>39890.9</v>
      </c>
      <c r="DL167">
        <v>44370.5</v>
      </c>
      <c r="DM167">
        <v>42562.8</v>
      </c>
      <c r="DN167">
        <v>1.4896799999999999</v>
      </c>
      <c r="DO167">
        <v>2.0388500000000001</v>
      </c>
      <c r="DP167">
        <v>0.12695799999999999</v>
      </c>
      <c r="DQ167">
        <v>0.125945</v>
      </c>
      <c r="DR167">
        <v>24.900099999999998</v>
      </c>
      <c r="DS167">
        <v>24.5412</v>
      </c>
      <c r="DT167">
        <v>22.3</v>
      </c>
      <c r="DU167">
        <v>28.8</v>
      </c>
      <c r="DV167">
        <v>8.9239599999999992</v>
      </c>
      <c r="DW167">
        <v>61.723399999999998</v>
      </c>
      <c r="DX167">
        <v>36.005600000000001</v>
      </c>
      <c r="DY167">
        <v>1</v>
      </c>
      <c r="DZ167">
        <v>-0.11414100000000001</v>
      </c>
      <c r="EA167">
        <v>0.208957</v>
      </c>
      <c r="EB167">
        <v>20.189900000000002</v>
      </c>
      <c r="EC167">
        <v>5.2409499999999998</v>
      </c>
      <c r="ED167">
        <v>12.039899999999999</v>
      </c>
      <c r="EE167">
        <v>5.0173500000000004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</v>
      </c>
      <c r="EL167">
        <v>1.8646199999999999</v>
      </c>
      <c r="EM167">
        <v>1.8691899999999999</v>
      </c>
      <c r="EN167">
        <v>1.8672200000000001</v>
      </c>
      <c r="EO167">
        <v>1.8633900000000001</v>
      </c>
      <c r="EP167">
        <v>1.86446</v>
      </c>
      <c r="EQ167">
        <v>1.87015</v>
      </c>
      <c r="ER167">
        <v>1.86938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-0.193</v>
      </c>
      <c r="FG167">
        <v>0.15140000000000001</v>
      </c>
      <c r="FH167">
        <v>5.0310448532705943E-2</v>
      </c>
      <c r="FI167">
        <v>-6.1462078757559423E-4</v>
      </c>
      <c r="FJ167">
        <v>-1.8861989874597051E-7</v>
      </c>
      <c r="FK167">
        <v>1.1980462299894961E-10</v>
      </c>
      <c r="FL167">
        <v>0.15140825623214971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30.5</v>
      </c>
      <c r="FU167">
        <v>30.4</v>
      </c>
      <c r="FV167">
        <v>1.7663599999999999</v>
      </c>
      <c r="FW167">
        <v>2.5793499999999998</v>
      </c>
      <c r="FX167">
        <v>1.5490699999999999</v>
      </c>
      <c r="FY167">
        <v>2.3339799999999999</v>
      </c>
      <c r="FZ167">
        <v>1.50146</v>
      </c>
      <c r="GA167">
        <v>2.34131</v>
      </c>
      <c r="GB167">
        <v>33.176900000000003</v>
      </c>
      <c r="GC167">
        <v>23.982399999999998</v>
      </c>
      <c r="GD167">
        <v>19</v>
      </c>
      <c r="GE167">
        <v>287.42200000000003</v>
      </c>
      <c r="GF167">
        <v>582.03800000000001</v>
      </c>
      <c r="GG167">
        <v>23.787500000000001</v>
      </c>
      <c r="GH167">
        <v>25.938500000000001</v>
      </c>
      <c r="GI167">
        <v>30</v>
      </c>
      <c r="GJ167">
        <v>26.0761</v>
      </c>
      <c r="GK167">
        <v>26.058900000000001</v>
      </c>
      <c r="GL167">
        <v>35.305300000000003</v>
      </c>
      <c r="GM167">
        <v>100</v>
      </c>
      <c r="GN167">
        <v>0</v>
      </c>
      <c r="GO167">
        <v>23.806999999999999</v>
      </c>
      <c r="GP167">
        <v>800</v>
      </c>
      <c r="GQ167">
        <v>0</v>
      </c>
      <c r="GR167">
        <v>99.758499999999998</v>
      </c>
      <c r="GS167">
        <v>99.575199999999995</v>
      </c>
    </row>
    <row r="168" spans="1:201" x14ac:dyDescent="0.25">
      <c r="A168">
        <v>152</v>
      </c>
      <c r="B168">
        <v>1690293910</v>
      </c>
      <c r="C168">
        <v>1639.400000095367</v>
      </c>
      <c r="D168" t="s">
        <v>637</v>
      </c>
      <c r="E168" t="s">
        <v>638</v>
      </c>
      <c r="F168" t="s">
        <v>330</v>
      </c>
      <c r="H168">
        <v>1690293910</v>
      </c>
      <c r="I168">
        <f t="shared" si="60"/>
        <v>2.6680104184513462E-3</v>
      </c>
      <c r="J168">
        <f t="shared" si="61"/>
        <v>2.6680104184513462</v>
      </c>
      <c r="K168">
        <f t="shared" si="62"/>
        <v>42.696699694892601</v>
      </c>
      <c r="L168">
        <f t="shared" si="63"/>
        <v>363.69200000000001</v>
      </c>
      <c r="M168">
        <f t="shared" si="64"/>
        <v>114.43355157474488</v>
      </c>
      <c r="N168">
        <f t="shared" si="65"/>
        <v>11.379246277742872</v>
      </c>
      <c r="O168">
        <f t="shared" si="66"/>
        <v>36.165449558223997</v>
      </c>
      <c r="P168">
        <f t="shared" si="67"/>
        <v>0.29536557269695068</v>
      </c>
      <c r="Q168">
        <f t="shared" si="68"/>
        <v>2.2615914607260352</v>
      </c>
      <c r="R168">
        <f t="shared" si="69"/>
        <v>0.27548699972061974</v>
      </c>
      <c r="S168">
        <f t="shared" si="70"/>
        <v>0.17385377284153272</v>
      </c>
      <c r="T168">
        <f t="shared" si="71"/>
        <v>276.11637274800006</v>
      </c>
      <c r="U168">
        <f t="shared" si="72"/>
        <v>26.763063178992496</v>
      </c>
      <c r="V168">
        <f t="shared" si="73"/>
        <v>26.763063178992496</v>
      </c>
      <c r="W168">
        <f t="shared" si="74"/>
        <v>3.5296539994527301</v>
      </c>
      <c r="X168">
        <f t="shared" si="75"/>
        <v>78.905303319862341</v>
      </c>
      <c r="Y168">
        <f t="shared" si="76"/>
        <v>2.596273007148</v>
      </c>
      <c r="Z168">
        <f t="shared" si="77"/>
        <v>3.290365663538938</v>
      </c>
      <c r="AA168">
        <f t="shared" si="78"/>
        <v>0.93338099230473004</v>
      </c>
      <c r="AB168">
        <f t="shared" si="79"/>
        <v>-117.65925945370437</v>
      </c>
      <c r="AC168">
        <f t="shared" si="80"/>
        <v>-144.83249740695038</v>
      </c>
      <c r="AD168">
        <f t="shared" si="81"/>
        <v>-13.706138803918755</v>
      </c>
      <c r="AE168">
        <f t="shared" si="82"/>
        <v>-8.1522916573419479E-2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52940.094386842007</v>
      </c>
      <c r="AK168">
        <f t="shared" si="86"/>
        <v>1800</v>
      </c>
      <c r="AL168">
        <f t="shared" si="87"/>
        <v>1499.1113448000001</v>
      </c>
      <c r="AM168">
        <f t="shared" si="88"/>
        <v>0.83283963599999999</v>
      </c>
      <c r="AN168">
        <f t="shared" si="89"/>
        <v>0.15339798486000003</v>
      </c>
      <c r="AO168">
        <v>30</v>
      </c>
      <c r="AP168">
        <v>0.5</v>
      </c>
      <c r="AQ168" t="s">
        <v>331</v>
      </c>
      <c r="AR168">
        <v>2</v>
      </c>
      <c r="AS168">
        <v>1690293910</v>
      </c>
      <c r="AT168">
        <v>363.69200000000001</v>
      </c>
      <c r="AU168">
        <v>800.02200000000005</v>
      </c>
      <c r="AV168">
        <v>26.109000000000002</v>
      </c>
      <c r="AW168">
        <v>0.14573800000000001</v>
      </c>
      <c r="AX168">
        <v>363.88400000000001</v>
      </c>
      <c r="AY168">
        <v>25.957599999999999</v>
      </c>
      <c r="AZ168">
        <v>300.23399999999998</v>
      </c>
      <c r="BA168">
        <v>99.339699999999993</v>
      </c>
      <c r="BB168">
        <v>0.10007199999999999</v>
      </c>
      <c r="BC168">
        <v>25.575199999999999</v>
      </c>
      <c r="BD168">
        <v>26.994299999999999</v>
      </c>
      <c r="BE168">
        <v>26.604199999999999</v>
      </c>
      <c r="BF168">
        <v>0</v>
      </c>
      <c r="BG168">
        <v>0</v>
      </c>
      <c r="BH168">
        <v>10031.9</v>
      </c>
      <c r="BI168">
        <v>1062.6500000000001</v>
      </c>
      <c r="BJ168">
        <v>2.2426400000000002</v>
      </c>
      <c r="BK168">
        <v>-436.33100000000002</v>
      </c>
      <c r="BL168">
        <v>373.44200000000001</v>
      </c>
      <c r="BM168">
        <v>800.13900000000001</v>
      </c>
      <c r="BN168">
        <v>25.9633</v>
      </c>
      <c r="BO168">
        <v>800.02200000000005</v>
      </c>
      <c r="BP168">
        <v>0.14573800000000001</v>
      </c>
      <c r="BQ168">
        <v>2.5936699999999999</v>
      </c>
      <c r="BR168">
        <v>1.4477500000000001E-2</v>
      </c>
      <c r="BS168">
        <v>21.6265</v>
      </c>
      <c r="BT168">
        <v>-42.490499999999997</v>
      </c>
      <c r="BU168">
        <v>1800</v>
      </c>
      <c r="BV168">
        <v>0.90998500000000004</v>
      </c>
      <c r="BW168">
        <v>3.3995999999999998E-2</v>
      </c>
      <c r="BX168">
        <v>2.2007800000000001E-2</v>
      </c>
      <c r="BY168">
        <v>3.4011E-2</v>
      </c>
      <c r="BZ168">
        <v>25.958300000000001</v>
      </c>
      <c r="CA168">
        <v>33528.300000000003</v>
      </c>
      <c r="CB168">
        <v>1690292073.5</v>
      </c>
      <c r="CC168" t="s">
        <v>332</v>
      </c>
      <c r="CD168">
        <v>1690292069.5</v>
      </c>
      <c r="CE168">
        <v>1690292073.5</v>
      </c>
      <c r="CF168">
        <v>4</v>
      </c>
      <c r="CG168">
        <v>-3.6999999999999998E-2</v>
      </c>
      <c r="CH168">
        <v>-1.6E-2</v>
      </c>
      <c r="CI168">
        <v>-0.45200000000000001</v>
      </c>
      <c r="CJ168">
        <v>0.108</v>
      </c>
      <c r="CK168">
        <v>730</v>
      </c>
      <c r="CL168">
        <v>18</v>
      </c>
      <c r="CM168">
        <v>0</v>
      </c>
      <c r="CN168">
        <v>0.01</v>
      </c>
      <c r="CO168">
        <v>-435.63702499999999</v>
      </c>
      <c r="CP168">
        <v>-5.0124765478413913</v>
      </c>
      <c r="CQ168">
        <v>0.48558374599547699</v>
      </c>
      <c r="CR168">
        <v>-1</v>
      </c>
      <c r="CS168">
        <v>25.926624999999991</v>
      </c>
      <c r="CT168">
        <v>0.22075947467161711</v>
      </c>
      <c r="CU168">
        <v>2.127618093079706E-2</v>
      </c>
      <c r="CV168">
        <v>-1</v>
      </c>
      <c r="CW168">
        <v>0</v>
      </c>
      <c r="CX168">
        <v>0</v>
      </c>
      <c r="CY168" t="s">
        <v>333</v>
      </c>
      <c r="CZ168">
        <v>2.3651300000000002</v>
      </c>
      <c r="DA168">
        <v>2.7138900000000001</v>
      </c>
      <c r="DB168">
        <v>8.3437600000000001E-2</v>
      </c>
      <c r="DC168">
        <v>0.14643999999999999</v>
      </c>
      <c r="DD168">
        <v>0.12135700000000001</v>
      </c>
      <c r="DE168">
        <v>1.23208E-3</v>
      </c>
      <c r="DF168">
        <v>33475.300000000003</v>
      </c>
      <c r="DG168">
        <v>27513.5</v>
      </c>
      <c r="DH168">
        <v>31178.400000000001</v>
      </c>
      <c r="DI168">
        <v>28087</v>
      </c>
      <c r="DJ168">
        <v>37181.599999999999</v>
      </c>
      <c r="DK168">
        <v>39891.599999999999</v>
      </c>
      <c r="DL168">
        <v>44370.2</v>
      </c>
      <c r="DM168">
        <v>42563.5</v>
      </c>
      <c r="DN168">
        <v>1.48997</v>
      </c>
      <c r="DO168">
        <v>2.0386500000000001</v>
      </c>
      <c r="DP168">
        <v>0.12764300000000001</v>
      </c>
      <c r="DQ168">
        <v>0.12570600000000001</v>
      </c>
      <c r="DR168">
        <v>24.903300000000002</v>
      </c>
      <c r="DS168">
        <v>24.543600000000001</v>
      </c>
      <c r="DT168">
        <v>22.3</v>
      </c>
      <c r="DU168">
        <v>28.8</v>
      </c>
      <c r="DV168">
        <v>8.9246099999999995</v>
      </c>
      <c r="DW168">
        <v>61.833399999999997</v>
      </c>
      <c r="DX168">
        <v>35.036099999999998</v>
      </c>
      <c r="DY168">
        <v>1</v>
      </c>
      <c r="DZ168">
        <v>-0.114441</v>
      </c>
      <c r="EA168">
        <v>0.2039</v>
      </c>
      <c r="EB168">
        <v>20.190200000000001</v>
      </c>
      <c r="EC168">
        <v>5.2409499999999998</v>
      </c>
      <c r="ED168">
        <v>12.039899999999999</v>
      </c>
      <c r="EE168">
        <v>5.0174500000000002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1.8646199999999999</v>
      </c>
      <c r="EM168">
        <v>1.8691899999999999</v>
      </c>
      <c r="EN168">
        <v>1.8672200000000001</v>
      </c>
      <c r="EO168">
        <v>1.8633999999999999</v>
      </c>
      <c r="EP168">
        <v>1.8644700000000001</v>
      </c>
      <c r="EQ168">
        <v>1.87015</v>
      </c>
      <c r="ER168">
        <v>1.86938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-0.192</v>
      </c>
      <c r="FG168">
        <v>0.15140000000000001</v>
      </c>
      <c r="FH168">
        <v>5.0310448532705943E-2</v>
      </c>
      <c r="FI168">
        <v>-6.1462078757559423E-4</v>
      </c>
      <c r="FJ168">
        <v>-1.8861989874597051E-7</v>
      </c>
      <c r="FK168">
        <v>1.1980462299894961E-10</v>
      </c>
      <c r="FL168">
        <v>0.15140825623214971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30.7</v>
      </c>
      <c r="FU168">
        <v>30.6</v>
      </c>
      <c r="FV168">
        <v>1.7651399999999999</v>
      </c>
      <c r="FW168">
        <v>2.5891099999999998</v>
      </c>
      <c r="FX168">
        <v>1.5490699999999999</v>
      </c>
      <c r="FY168">
        <v>2.3339799999999999</v>
      </c>
      <c r="FZ168">
        <v>1.50146</v>
      </c>
      <c r="GA168">
        <v>2.2692899999999998</v>
      </c>
      <c r="GB168">
        <v>33.176900000000003</v>
      </c>
      <c r="GC168">
        <v>23.982399999999998</v>
      </c>
      <c r="GD168">
        <v>19</v>
      </c>
      <c r="GE168">
        <v>287.55799999999999</v>
      </c>
      <c r="GF168">
        <v>581.87300000000005</v>
      </c>
      <c r="GG168">
        <v>23.819800000000001</v>
      </c>
      <c r="GH168">
        <v>25.938500000000001</v>
      </c>
      <c r="GI168">
        <v>30.0001</v>
      </c>
      <c r="GJ168">
        <v>26.0776</v>
      </c>
      <c r="GK168">
        <v>26.058900000000001</v>
      </c>
      <c r="GL168">
        <v>35.304299999999998</v>
      </c>
      <c r="GM168">
        <v>100</v>
      </c>
      <c r="GN168">
        <v>0</v>
      </c>
      <c r="GO168">
        <v>23.818300000000001</v>
      </c>
      <c r="GP168">
        <v>800</v>
      </c>
      <c r="GQ168">
        <v>0</v>
      </c>
      <c r="GR168">
        <v>99.758099999999999</v>
      </c>
      <c r="GS168">
        <v>99.576999999999998</v>
      </c>
    </row>
    <row r="169" spans="1:201" x14ac:dyDescent="0.25">
      <c r="A169">
        <v>153</v>
      </c>
      <c r="B169">
        <v>1690293920</v>
      </c>
      <c r="C169">
        <v>1649.400000095367</v>
      </c>
      <c r="D169" t="s">
        <v>639</v>
      </c>
      <c r="E169" t="s">
        <v>640</v>
      </c>
      <c r="F169" t="s">
        <v>330</v>
      </c>
      <c r="H169">
        <v>1690293920</v>
      </c>
      <c r="I169">
        <f t="shared" si="60"/>
        <v>2.6706588447972411E-3</v>
      </c>
      <c r="J169">
        <f t="shared" si="61"/>
        <v>2.670658844797241</v>
      </c>
      <c r="K169">
        <f t="shared" si="62"/>
        <v>42.762381947748956</v>
      </c>
      <c r="L169">
        <f t="shared" si="63"/>
        <v>362.88200000000001</v>
      </c>
      <c r="M169">
        <f t="shared" si="64"/>
        <v>113.90951941201537</v>
      </c>
      <c r="N169">
        <f t="shared" si="65"/>
        <v>11.327211352214164</v>
      </c>
      <c r="O169">
        <f t="shared" si="66"/>
        <v>36.085141357207803</v>
      </c>
      <c r="P169">
        <f t="shared" si="67"/>
        <v>0.29622584711950933</v>
      </c>
      <c r="Q169">
        <f t="shared" si="68"/>
        <v>2.2575715746284963</v>
      </c>
      <c r="R169">
        <f t="shared" si="69"/>
        <v>0.27620249601592822</v>
      </c>
      <c r="S169">
        <f t="shared" si="70"/>
        <v>0.17431266134103171</v>
      </c>
      <c r="T169">
        <f t="shared" si="71"/>
        <v>276.11643920399996</v>
      </c>
      <c r="U169">
        <f t="shared" si="72"/>
        <v>26.771711859492932</v>
      </c>
      <c r="V169">
        <f t="shared" si="73"/>
        <v>26.771711859492932</v>
      </c>
      <c r="W169">
        <f t="shared" si="74"/>
        <v>3.5314504906825182</v>
      </c>
      <c r="X169">
        <f t="shared" si="75"/>
        <v>78.970223020941503</v>
      </c>
      <c r="Y169">
        <f t="shared" si="76"/>
        <v>2.5995816102045901</v>
      </c>
      <c r="Z169">
        <f t="shared" si="77"/>
        <v>3.2918504098883288</v>
      </c>
      <c r="AA169">
        <f t="shared" si="78"/>
        <v>0.93186888047792804</v>
      </c>
      <c r="AB169">
        <f t="shared" si="79"/>
        <v>-117.77605505555833</v>
      </c>
      <c r="AC169">
        <f t="shared" si="80"/>
        <v>-144.70269869296928</v>
      </c>
      <c r="AD169">
        <f t="shared" si="81"/>
        <v>-13.719356720415149</v>
      </c>
      <c r="AE169">
        <f t="shared" si="82"/>
        <v>-8.1671264942798416E-2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52780.80584950756</v>
      </c>
      <c r="AK169">
        <f t="shared" si="86"/>
        <v>1800</v>
      </c>
      <c r="AL169">
        <f t="shared" si="87"/>
        <v>1499.1123023999999</v>
      </c>
      <c r="AM169">
        <f t="shared" si="88"/>
        <v>0.83284016799999994</v>
      </c>
      <c r="AN169">
        <f t="shared" si="89"/>
        <v>0.15339802177999998</v>
      </c>
      <c r="AO169">
        <v>30</v>
      </c>
      <c r="AP169">
        <v>0.5</v>
      </c>
      <c r="AQ169" t="s">
        <v>331</v>
      </c>
      <c r="AR169">
        <v>2</v>
      </c>
      <c r="AS169">
        <v>1690293920</v>
      </c>
      <c r="AT169">
        <v>362.88200000000001</v>
      </c>
      <c r="AU169">
        <v>799.99900000000002</v>
      </c>
      <c r="AV169">
        <v>26.142099999999999</v>
      </c>
      <c r="AW169">
        <v>0.14546300000000001</v>
      </c>
      <c r="AX169">
        <v>363.07400000000001</v>
      </c>
      <c r="AY169">
        <v>25.9907</v>
      </c>
      <c r="AZ169">
        <v>300.13600000000002</v>
      </c>
      <c r="BA169">
        <v>99.340500000000006</v>
      </c>
      <c r="BB169">
        <v>9.99279E-2</v>
      </c>
      <c r="BC169">
        <v>25.582799999999999</v>
      </c>
      <c r="BD169">
        <v>27.0215</v>
      </c>
      <c r="BE169">
        <v>26.6082</v>
      </c>
      <c r="BF169">
        <v>0</v>
      </c>
      <c r="BG169">
        <v>0</v>
      </c>
      <c r="BH169">
        <v>10000.6</v>
      </c>
      <c r="BI169">
        <v>1062.73</v>
      </c>
      <c r="BJ169">
        <v>2.2426400000000002</v>
      </c>
      <c r="BK169">
        <v>-437.11700000000002</v>
      </c>
      <c r="BL169">
        <v>372.62299999999999</v>
      </c>
      <c r="BM169">
        <v>800.11500000000001</v>
      </c>
      <c r="BN169">
        <v>25.996700000000001</v>
      </c>
      <c r="BO169">
        <v>799.99900000000002</v>
      </c>
      <c r="BP169">
        <v>0.14546300000000001</v>
      </c>
      <c r="BQ169">
        <v>2.5969699999999998</v>
      </c>
      <c r="BR169">
        <v>1.44504E-2</v>
      </c>
      <c r="BS169">
        <v>21.647300000000001</v>
      </c>
      <c r="BT169">
        <v>-42.508000000000003</v>
      </c>
      <c r="BU169">
        <v>1800</v>
      </c>
      <c r="BV169">
        <v>0.90998699999999999</v>
      </c>
      <c r="BW169">
        <v>3.3995499999999998E-2</v>
      </c>
      <c r="BX169">
        <v>2.20074E-2</v>
      </c>
      <c r="BY169">
        <v>3.4010400000000003E-2</v>
      </c>
      <c r="BZ169">
        <v>25.833300000000001</v>
      </c>
      <c r="CA169">
        <v>33528.199999999997</v>
      </c>
      <c r="CB169">
        <v>1690292073.5</v>
      </c>
      <c r="CC169" t="s">
        <v>332</v>
      </c>
      <c r="CD169">
        <v>1690292069.5</v>
      </c>
      <c r="CE169">
        <v>1690292073.5</v>
      </c>
      <c r="CF169">
        <v>4</v>
      </c>
      <c r="CG169">
        <v>-3.6999999999999998E-2</v>
      </c>
      <c r="CH169">
        <v>-1.6E-2</v>
      </c>
      <c r="CI169">
        <v>-0.45200000000000001</v>
      </c>
      <c r="CJ169">
        <v>0.108</v>
      </c>
      <c r="CK169">
        <v>730</v>
      </c>
      <c r="CL169">
        <v>18</v>
      </c>
      <c r="CM169">
        <v>0</v>
      </c>
      <c r="CN169">
        <v>0.01</v>
      </c>
      <c r="CO169">
        <v>-436.37624390243911</v>
      </c>
      <c r="CP169">
        <v>-3.8318466898957948</v>
      </c>
      <c r="CQ169">
        <v>0.38423428958395628</v>
      </c>
      <c r="CR169">
        <v>-1</v>
      </c>
      <c r="CS169">
        <v>25.96191219512195</v>
      </c>
      <c r="CT169">
        <v>0.18946202090600681</v>
      </c>
      <c r="CU169">
        <v>1.8693369048968948E-2</v>
      </c>
      <c r="CV169">
        <v>-1</v>
      </c>
      <c r="CW169">
        <v>0</v>
      </c>
      <c r="CX169">
        <v>0</v>
      </c>
      <c r="CY169" t="s">
        <v>333</v>
      </c>
      <c r="CZ169">
        <v>2.3648199999999999</v>
      </c>
      <c r="DA169">
        <v>2.7137199999999999</v>
      </c>
      <c r="DB169">
        <v>8.3293699999999998E-2</v>
      </c>
      <c r="DC169">
        <v>0.14643900000000001</v>
      </c>
      <c r="DD169">
        <v>0.121466</v>
      </c>
      <c r="DE169">
        <v>1.2297899999999999E-3</v>
      </c>
      <c r="DF169">
        <v>33480.800000000003</v>
      </c>
      <c r="DG169">
        <v>27513.3</v>
      </c>
      <c r="DH169">
        <v>31178.6</v>
      </c>
      <c r="DI169">
        <v>28086.7</v>
      </c>
      <c r="DJ169">
        <v>37177.4</v>
      </c>
      <c r="DK169">
        <v>39891.599999999999</v>
      </c>
      <c r="DL169">
        <v>44370.7</v>
      </c>
      <c r="DM169">
        <v>42563.3</v>
      </c>
      <c r="DN169">
        <v>1.4895</v>
      </c>
      <c r="DO169">
        <v>2.0390000000000001</v>
      </c>
      <c r="DP169">
        <v>0.12917799999999999</v>
      </c>
      <c r="DQ169">
        <v>0.12590699999999999</v>
      </c>
      <c r="DR169">
        <v>24.9054</v>
      </c>
      <c r="DS169">
        <v>24.5443</v>
      </c>
      <c r="DT169">
        <v>22.2</v>
      </c>
      <c r="DU169">
        <v>28.8</v>
      </c>
      <c r="DV169">
        <v>8.8829799999999999</v>
      </c>
      <c r="DW169">
        <v>61.763399999999997</v>
      </c>
      <c r="DX169">
        <v>35.232399999999998</v>
      </c>
      <c r="DY169">
        <v>1</v>
      </c>
      <c r="DZ169">
        <v>-0.113862</v>
      </c>
      <c r="EA169">
        <v>0.21412900000000001</v>
      </c>
      <c r="EB169">
        <v>20.190100000000001</v>
      </c>
      <c r="EC169">
        <v>5.2408000000000001</v>
      </c>
      <c r="ED169">
        <v>12.039899999999999</v>
      </c>
      <c r="EE169">
        <v>5.0171999999999999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1.8646199999999999</v>
      </c>
      <c r="EM169">
        <v>1.8692</v>
      </c>
      <c r="EN169">
        <v>1.8672200000000001</v>
      </c>
      <c r="EO169">
        <v>1.86338</v>
      </c>
      <c r="EP169">
        <v>1.8644700000000001</v>
      </c>
      <c r="EQ169">
        <v>1.8701399999999999</v>
      </c>
      <c r="ER169">
        <v>1.8693900000000001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-0.192</v>
      </c>
      <c r="FG169">
        <v>0.15140000000000001</v>
      </c>
      <c r="FH169">
        <v>5.0310448532705943E-2</v>
      </c>
      <c r="FI169">
        <v>-6.1462078757559423E-4</v>
      </c>
      <c r="FJ169">
        <v>-1.8861989874597051E-7</v>
      </c>
      <c r="FK169">
        <v>1.1980462299894961E-10</v>
      </c>
      <c r="FL169">
        <v>0.15140825623214971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30.8</v>
      </c>
      <c r="FU169">
        <v>30.8</v>
      </c>
      <c r="FV169">
        <v>1.7651399999999999</v>
      </c>
      <c r="FW169">
        <v>2.5781200000000002</v>
      </c>
      <c r="FX169">
        <v>1.5490699999999999</v>
      </c>
      <c r="FY169">
        <v>2.3339799999999999</v>
      </c>
      <c r="FZ169">
        <v>1.50146</v>
      </c>
      <c r="GA169">
        <v>2.34863</v>
      </c>
      <c r="GB169">
        <v>33.199199999999998</v>
      </c>
      <c r="GC169">
        <v>23.991199999999999</v>
      </c>
      <c r="GD169">
        <v>19</v>
      </c>
      <c r="GE169">
        <v>287.35399999999998</v>
      </c>
      <c r="GF169">
        <v>582.16200000000003</v>
      </c>
      <c r="GG169">
        <v>23.827400000000001</v>
      </c>
      <c r="GH169">
        <v>25.9407</v>
      </c>
      <c r="GI169">
        <v>30.0001</v>
      </c>
      <c r="GJ169">
        <v>26.0776</v>
      </c>
      <c r="GK169">
        <v>26.058900000000001</v>
      </c>
      <c r="GL169">
        <v>35.305100000000003</v>
      </c>
      <c r="GM169">
        <v>100</v>
      </c>
      <c r="GN169">
        <v>0</v>
      </c>
      <c r="GO169">
        <v>23.829000000000001</v>
      </c>
      <c r="GP169">
        <v>800</v>
      </c>
      <c r="GQ169">
        <v>0</v>
      </c>
      <c r="GR169">
        <v>99.759</v>
      </c>
      <c r="GS169">
        <v>99.576400000000007</v>
      </c>
    </row>
    <row r="170" spans="1:201" x14ac:dyDescent="0.25">
      <c r="A170">
        <v>154</v>
      </c>
      <c r="B170">
        <v>1690293930</v>
      </c>
      <c r="C170">
        <v>1659.400000095367</v>
      </c>
      <c r="D170" t="s">
        <v>641</v>
      </c>
      <c r="E170" t="s">
        <v>642</v>
      </c>
      <c r="F170" t="s">
        <v>330</v>
      </c>
      <c r="H170">
        <v>1690293930</v>
      </c>
      <c r="I170">
        <f t="shared" si="60"/>
        <v>2.6741276397404356E-3</v>
      </c>
      <c r="J170">
        <f t="shared" si="61"/>
        <v>2.6741276397404357</v>
      </c>
      <c r="K170">
        <f t="shared" si="62"/>
        <v>42.816315595340562</v>
      </c>
      <c r="L170">
        <f t="shared" si="63"/>
        <v>362.233</v>
      </c>
      <c r="M170">
        <f t="shared" si="64"/>
        <v>114.49906912804323</v>
      </c>
      <c r="N170">
        <f t="shared" si="65"/>
        <v>11.385886395638066</v>
      </c>
      <c r="O170">
        <f t="shared" si="66"/>
        <v>36.0207625979819</v>
      </c>
      <c r="P170">
        <f t="shared" si="67"/>
        <v>0.29818543261736857</v>
      </c>
      <c r="Q170">
        <f t="shared" si="68"/>
        <v>2.2590330029402907</v>
      </c>
      <c r="R170">
        <f t="shared" si="69"/>
        <v>0.27791817527234247</v>
      </c>
      <c r="S170">
        <f t="shared" si="70"/>
        <v>0.17540486538843542</v>
      </c>
      <c r="T170">
        <f t="shared" si="71"/>
        <v>276.11623287000003</v>
      </c>
      <c r="U170">
        <f t="shared" si="72"/>
        <v>26.769759543377599</v>
      </c>
      <c r="V170">
        <f t="shared" si="73"/>
        <v>26.769759543377599</v>
      </c>
      <c r="W170">
        <f t="shared" si="74"/>
        <v>3.5310448886972328</v>
      </c>
      <c r="X170">
        <f t="shared" si="75"/>
        <v>79.097007274119662</v>
      </c>
      <c r="Y170">
        <f t="shared" si="76"/>
        <v>2.6037397026583404</v>
      </c>
      <c r="Z170">
        <f t="shared" si="77"/>
        <v>3.2918308699528729</v>
      </c>
      <c r="AA170">
        <f t="shared" si="78"/>
        <v>0.92730518603889234</v>
      </c>
      <c r="AB170">
        <f t="shared" si="79"/>
        <v>-117.92902891255321</v>
      </c>
      <c r="AC170">
        <f t="shared" si="80"/>
        <v>-144.5707795987673</v>
      </c>
      <c r="AD170">
        <f t="shared" si="81"/>
        <v>-13.697840944418038</v>
      </c>
      <c r="AE170">
        <f t="shared" si="82"/>
        <v>-8.1416585738509184E-2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52838.2271421404</v>
      </c>
      <c r="AK170">
        <f t="shared" si="86"/>
        <v>1800</v>
      </c>
      <c r="AL170">
        <f t="shared" si="87"/>
        <v>1499.1117569999999</v>
      </c>
      <c r="AM170">
        <f t="shared" si="88"/>
        <v>0.83283986499999996</v>
      </c>
      <c r="AN170">
        <f t="shared" si="89"/>
        <v>0.15339790715000001</v>
      </c>
      <c r="AO170">
        <v>30</v>
      </c>
      <c r="AP170">
        <v>0.5</v>
      </c>
      <c r="AQ170" t="s">
        <v>331</v>
      </c>
      <c r="AR170">
        <v>2</v>
      </c>
      <c r="AS170">
        <v>1690293930</v>
      </c>
      <c r="AT170">
        <v>362.233</v>
      </c>
      <c r="AU170">
        <v>800.05499999999995</v>
      </c>
      <c r="AV170">
        <v>26.183800000000002</v>
      </c>
      <c r="AW170">
        <v>0.14436099999999999</v>
      </c>
      <c r="AX170">
        <v>362.42500000000001</v>
      </c>
      <c r="AY170">
        <v>26.032399999999999</v>
      </c>
      <c r="AZ170">
        <v>300.01900000000001</v>
      </c>
      <c r="BA170">
        <v>99.340900000000005</v>
      </c>
      <c r="BB170">
        <v>9.9964300000000006E-2</v>
      </c>
      <c r="BC170">
        <v>25.582699999999999</v>
      </c>
      <c r="BD170">
        <v>27.030799999999999</v>
      </c>
      <c r="BE170">
        <v>26.600200000000001</v>
      </c>
      <c r="BF170">
        <v>0</v>
      </c>
      <c r="BG170">
        <v>0</v>
      </c>
      <c r="BH170">
        <v>10011.9</v>
      </c>
      <c r="BI170">
        <v>1062.75</v>
      </c>
      <c r="BJ170">
        <v>2.2426400000000002</v>
      </c>
      <c r="BK170">
        <v>-437.822</v>
      </c>
      <c r="BL170">
        <v>371.97300000000001</v>
      </c>
      <c r="BM170">
        <v>800.17100000000005</v>
      </c>
      <c r="BN170">
        <v>26.039400000000001</v>
      </c>
      <c r="BO170">
        <v>800.05499999999995</v>
      </c>
      <c r="BP170">
        <v>0.14436099999999999</v>
      </c>
      <c r="BQ170">
        <v>2.6011199999999999</v>
      </c>
      <c r="BR170">
        <v>1.43409E-2</v>
      </c>
      <c r="BS170">
        <v>21.673500000000001</v>
      </c>
      <c r="BT170">
        <v>-42.579000000000001</v>
      </c>
      <c r="BU170">
        <v>1800</v>
      </c>
      <c r="BV170">
        <v>0.90998800000000002</v>
      </c>
      <c r="BW170">
        <v>3.3994900000000002E-2</v>
      </c>
      <c r="BX170">
        <v>2.2006999999999999E-2</v>
      </c>
      <c r="BY170">
        <v>3.4009900000000003E-2</v>
      </c>
      <c r="BZ170">
        <v>25.791699999999999</v>
      </c>
      <c r="CA170">
        <v>33528.199999999997</v>
      </c>
      <c r="CB170">
        <v>1690292073.5</v>
      </c>
      <c r="CC170" t="s">
        <v>332</v>
      </c>
      <c r="CD170">
        <v>1690292069.5</v>
      </c>
      <c r="CE170">
        <v>1690292073.5</v>
      </c>
      <c r="CF170">
        <v>4</v>
      </c>
      <c r="CG170">
        <v>-3.6999999999999998E-2</v>
      </c>
      <c r="CH170">
        <v>-1.6E-2</v>
      </c>
      <c r="CI170">
        <v>-0.45200000000000001</v>
      </c>
      <c r="CJ170">
        <v>0.108</v>
      </c>
      <c r="CK170">
        <v>730</v>
      </c>
      <c r="CL170">
        <v>18</v>
      </c>
      <c r="CM170">
        <v>0</v>
      </c>
      <c r="CN170">
        <v>0.01</v>
      </c>
      <c r="CO170">
        <v>-436.9565853658537</v>
      </c>
      <c r="CP170">
        <v>-4.3202717770040264</v>
      </c>
      <c r="CQ170">
        <v>0.4275536181243339</v>
      </c>
      <c r="CR170">
        <v>-1</v>
      </c>
      <c r="CS170">
        <v>25.993178048780489</v>
      </c>
      <c r="CT170">
        <v>0.224546341463425</v>
      </c>
      <c r="CU170">
        <v>2.2205981529870071E-2</v>
      </c>
      <c r="CV170">
        <v>-1</v>
      </c>
      <c r="CW170">
        <v>0</v>
      </c>
      <c r="CX170">
        <v>0</v>
      </c>
      <c r="CY170" t="s">
        <v>333</v>
      </c>
      <c r="CZ170">
        <v>2.3644400000000001</v>
      </c>
      <c r="DA170">
        <v>2.7137600000000002</v>
      </c>
      <c r="DB170">
        <v>8.3177000000000001E-2</v>
      </c>
      <c r="DC170">
        <v>0.14644499999999999</v>
      </c>
      <c r="DD170">
        <v>0.1216</v>
      </c>
      <c r="DE170">
        <v>1.2205499999999999E-3</v>
      </c>
      <c r="DF170">
        <v>33485</v>
      </c>
      <c r="DG170">
        <v>27513</v>
      </c>
      <c r="DH170">
        <v>31178.5</v>
      </c>
      <c r="DI170">
        <v>28086.6</v>
      </c>
      <c r="DJ170">
        <v>37171.4</v>
      </c>
      <c r="DK170">
        <v>39891.699999999997</v>
      </c>
      <c r="DL170">
        <v>44370.5</v>
      </c>
      <c r="DM170">
        <v>42563.1</v>
      </c>
      <c r="DN170">
        <v>1.48935</v>
      </c>
      <c r="DO170">
        <v>2.0388299999999999</v>
      </c>
      <c r="DP170">
        <v>0.12949099999999999</v>
      </c>
      <c r="DQ170">
        <v>0.12514</v>
      </c>
      <c r="DR170">
        <v>24.909600000000001</v>
      </c>
      <c r="DS170">
        <v>24.5489</v>
      </c>
      <c r="DT170">
        <v>22.2</v>
      </c>
      <c r="DU170">
        <v>28.8</v>
      </c>
      <c r="DV170">
        <v>8.8847400000000007</v>
      </c>
      <c r="DW170">
        <v>61.483400000000003</v>
      </c>
      <c r="DX170">
        <v>35.897399999999998</v>
      </c>
      <c r="DY170">
        <v>1</v>
      </c>
      <c r="DZ170">
        <v>-0.113618</v>
      </c>
      <c r="EA170">
        <v>0.37964100000000001</v>
      </c>
      <c r="EB170">
        <v>20.189599999999999</v>
      </c>
      <c r="EC170">
        <v>5.2409499999999998</v>
      </c>
      <c r="ED170">
        <v>12.039899999999999</v>
      </c>
      <c r="EE170">
        <v>5.0168499999999998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1.8689100000000001</v>
      </c>
      <c r="EL170">
        <v>1.8646199999999999</v>
      </c>
      <c r="EM170">
        <v>1.8691800000000001</v>
      </c>
      <c r="EN170">
        <v>1.8672200000000001</v>
      </c>
      <c r="EO170">
        <v>1.86338</v>
      </c>
      <c r="EP170">
        <v>1.8644700000000001</v>
      </c>
      <c r="EQ170">
        <v>1.87015</v>
      </c>
      <c r="ER170">
        <v>1.8694299999999999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-0.192</v>
      </c>
      <c r="FG170">
        <v>0.15140000000000001</v>
      </c>
      <c r="FH170">
        <v>5.0310448532705943E-2</v>
      </c>
      <c r="FI170">
        <v>-6.1462078757559423E-4</v>
      </c>
      <c r="FJ170">
        <v>-1.8861989874597051E-7</v>
      </c>
      <c r="FK170">
        <v>1.1980462299894961E-10</v>
      </c>
      <c r="FL170">
        <v>0.15140825623214971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31</v>
      </c>
      <c r="FU170">
        <v>30.9</v>
      </c>
      <c r="FV170">
        <v>1.7663599999999999</v>
      </c>
      <c r="FW170">
        <v>2.5805699999999998</v>
      </c>
      <c r="FX170">
        <v>1.5490699999999999</v>
      </c>
      <c r="FY170">
        <v>2.3339799999999999</v>
      </c>
      <c r="FZ170">
        <v>1.50146</v>
      </c>
      <c r="GA170">
        <v>2.3877000000000002</v>
      </c>
      <c r="GB170">
        <v>33.199199999999998</v>
      </c>
      <c r="GC170">
        <v>23.982399999999998</v>
      </c>
      <c r="GD170">
        <v>19</v>
      </c>
      <c r="GE170">
        <v>287.28899999999999</v>
      </c>
      <c r="GF170">
        <v>582.01800000000003</v>
      </c>
      <c r="GG170">
        <v>23.808700000000002</v>
      </c>
      <c r="GH170">
        <v>25.9407</v>
      </c>
      <c r="GI170">
        <v>30.000399999999999</v>
      </c>
      <c r="GJ170">
        <v>26.0776</v>
      </c>
      <c r="GK170">
        <v>26.058900000000001</v>
      </c>
      <c r="GL170">
        <v>35.3048</v>
      </c>
      <c r="GM170">
        <v>100</v>
      </c>
      <c r="GN170">
        <v>0</v>
      </c>
      <c r="GO170">
        <v>23.770199999999999</v>
      </c>
      <c r="GP170">
        <v>800</v>
      </c>
      <c r="GQ170">
        <v>0</v>
      </c>
      <c r="GR170">
        <v>99.758700000000005</v>
      </c>
      <c r="GS170">
        <v>99.575900000000004</v>
      </c>
    </row>
    <row r="171" spans="1:201" x14ac:dyDescent="0.25">
      <c r="A171">
        <v>155</v>
      </c>
      <c r="B171">
        <v>1690293940</v>
      </c>
      <c r="C171">
        <v>1669.400000095367</v>
      </c>
      <c r="D171" t="s">
        <v>643</v>
      </c>
      <c r="E171" t="s">
        <v>644</v>
      </c>
      <c r="F171" t="s">
        <v>330</v>
      </c>
      <c r="H171">
        <v>1690293940</v>
      </c>
      <c r="I171">
        <f t="shared" si="60"/>
        <v>2.6774821495266798E-3</v>
      </c>
      <c r="J171">
        <f t="shared" si="61"/>
        <v>2.6774821495266798</v>
      </c>
      <c r="K171">
        <f t="shared" si="62"/>
        <v>42.909694249118964</v>
      </c>
      <c r="L171">
        <f t="shared" si="63"/>
        <v>361.46300000000002</v>
      </c>
      <c r="M171">
        <f t="shared" si="64"/>
        <v>114.33123143132094</v>
      </c>
      <c r="N171">
        <f t="shared" si="65"/>
        <v>11.369064040148512</v>
      </c>
      <c r="O171">
        <f t="shared" si="66"/>
        <v>35.943774449877992</v>
      </c>
      <c r="P171">
        <f t="shared" si="67"/>
        <v>0.29966076427309973</v>
      </c>
      <c r="Q171">
        <f t="shared" si="68"/>
        <v>2.2561139073216703</v>
      </c>
      <c r="R171">
        <f t="shared" si="69"/>
        <v>0.27917530227639265</v>
      </c>
      <c r="S171">
        <f t="shared" si="70"/>
        <v>0.17620826242648649</v>
      </c>
      <c r="T171">
        <f t="shared" si="71"/>
        <v>276.11607637799995</v>
      </c>
      <c r="U171">
        <f t="shared" si="72"/>
        <v>26.765155502124983</v>
      </c>
      <c r="V171">
        <f t="shared" si="73"/>
        <v>26.765155502124983</v>
      </c>
      <c r="W171">
        <f t="shared" si="74"/>
        <v>3.5300885405663407</v>
      </c>
      <c r="X171">
        <f t="shared" si="75"/>
        <v>79.183155057466223</v>
      </c>
      <c r="Y171">
        <f t="shared" si="76"/>
        <v>2.6058174957299993</v>
      </c>
      <c r="Z171">
        <f t="shared" si="77"/>
        <v>3.2908735372300568</v>
      </c>
      <c r="AA171">
        <f t="shared" si="78"/>
        <v>0.92427104483634137</v>
      </c>
      <c r="AB171">
        <f t="shared" si="79"/>
        <v>-118.07696279412657</v>
      </c>
      <c r="AC171">
        <f t="shared" si="80"/>
        <v>-144.41996489407779</v>
      </c>
      <c r="AD171">
        <f t="shared" si="81"/>
        <v>-13.700603262094498</v>
      </c>
      <c r="AE171">
        <f t="shared" si="82"/>
        <v>-8.1454572298923722E-2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52724.459550859094</v>
      </c>
      <c r="AK171">
        <f t="shared" si="86"/>
        <v>1800</v>
      </c>
      <c r="AL171">
        <f t="shared" si="87"/>
        <v>1499.1120647999999</v>
      </c>
      <c r="AM171">
        <f t="shared" si="88"/>
        <v>0.83284003599999989</v>
      </c>
      <c r="AN171">
        <f t="shared" si="89"/>
        <v>0.15339782020999998</v>
      </c>
      <c r="AO171">
        <v>30</v>
      </c>
      <c r="AP171">
        <v>0.5</v>
      </c>
      <c r="AQ171" t="s">
        <v>331</v>
      </c>
      <c r="AR171">
        <v>2</v>
      </c>
      <c r="AS171">
        <v>1690293940</v>
      </c>
      <c r="AT171">
        <v>361.46300000000002</v>
      </c>
      <c r="AU171">
        <v>800.029</v>
      </c>
      <c r="AV171">
        <v>26.204999999999998</v>
      </c>
      <c r="AW171">
        <v>0.144235</v>
      </c>
      <c r="AX171">
        <v>361.654</v>
      </c>
      <c r="AY171">
        <v>26.053599999999999</v>
      </c>
      <c r="AZ171">
        <v>300.14299999999997</v>
      </c>
      <c r="BA171">
        <v>99.339699999999993</v>
      </c>
      <c r="BB171">
        <v>0.100006</v>
      </c>
      <c r="BC171">
        <v>25.5778</v>
      </c>
      <c r="BD171">
        <v>27.013300000000001</v>
      </c>
      <c r="BE171">
        <v>26.608899999999998</v>
      </c>
      <c r="BF171">
        <v>0</v>
      </c>
      <c r="BG171">
        <v>0</v>
      </c>
      <c r="BH171">
        <v>9989.3799999999992</v>
      </c>
      <c r="BI171">
        <v>1062.76</v>
      </c>
      <c r="BJ171">
        <v>2.2426400000000002</v>
      </c>
      <c r="BK171">
        <v>-438.56599999999997</v>
      </c>
      <c r="BL171">
        <v>371.19</v>
      </c>
      <c r="BM171">
        <v>800.14400000000001</v>
      </c>
      <c r="BN171">
        <v>26.060700000000001</v>
      </c>
      <c r="BO171">
        <v>800.029</v>
      </c>
      <c r="BP171">
        <v>0.144235</v>
      </c>
      <c r="BQ171">
        <v>2.6032000000000002</v>
      </c>
      <c r="BR171">
        <v>1.4328199999999999E-2</v>
      </c>
      <c r="BS171">
        <v>21.686499999999999</v>
      </c>
      <c r="BT171">
        <v>-42.587299999999999</v>
      </c>
      <c r="BU171">
        <v>1800</v>
      </c>
      <c r="BV171">
        <v>0.90999099999999999</v>
      </c>
      <c r="BW171">
        <v>3.3993700000000002E-2</v>
      </c>
      <c r="BX171">
        <v>2.2006299999999999E-2</v>
      </c>
      <c r="BY171">
        <v>3.4008700000000003E-2</v>
      </c>
      <c r="BZ171">
        <v>25.791699999999999</v>
      </c>
      <c r="CA171">
        <v>33528.300000000003</v>
      </c>
      <c r="CB171">
        <v>1690292073.5</v>
      </c>
      <c r="CC171" t="s">
        <v>332</v>
      </c>
      <c r="CD171">
        <v>1690292069.5</v>
      </c>
      <c r="CE171">
        <v>1690292073.5</v>
      </c>
      <c r="CF171">
        <v>4</v>
      </c>
      <c r="CG171">
        <v>-3.6999999999999998E-2</v>
      </c>
      <c r="CH171">
        <v>-1.6E-2</v>
      </c>
      <c r="CI171">
        <v>-0.45200000000000001</v>
      </c>
      <c r="CJ171">
        <v>0.108</v>
      </c>
      <c r="CK171">
        <v>730</v>
      </c>
      <c r="CL171">
        <v>18</v>
      </c>
      <c r="CM171">
        <v>0</v>
      </c>
      <c r="CN171">
        <v>0.01</v>
      </c>
      <c r="CO171">
        <v>-437.73262499999998</v>
      </c>
      <c r="CP171">
        <v>-4.2714934333956434</v>
      </c>
      <c r="CQ171">
        <v>0.41230102398005208</v>
      </c>
      <c r="CR171">
        <v>-1</v>
      </c>
      <c r="CS171">
        <v>26.032197499999999</v>
      </c>
      <c r="CT171">
        <v>0.1998923076922276</v>
      </c>
      <c r="CU171">
        <v>1.9513809052821931E-2</v>
      </c>
      <c r="CV171">
        <v>-1</v>
      </c>
      <c r="CW171">
        <v>0</v>
      </c>
      <c r="CX171">
        <v>0</v>
      </c>
      <c r="CY171" t="s">
        <v>333</v>
      </c>
      <c r="CZ171">
        <v>2.3648500000000001</v>
      </c>
      <c r="DA171">
        <v>2.7137899999999999</v>
      </c>
      <c r="DB171">
        <v>8.3038500000000001E-2</v>
      </c>
      <c r="DC171">
        <v>0.14644099999999999</v>
      </c>
      <c r="DD171">
        <v>0.121668</v>
      </c>
      <c r="DE171">
        <v>1.2194899999999999E-3</v>
      </c>
      <c r="DF171">
        <v>33490.199999999997</v>
      </c>
      <c r="DG171">
        <v>27513.9</v>
      </c>
      <c r="DH171">
        <v>31178.7</v>
      </c>
      <c r="DI171">
        <v>28087.4</v>
      </c>
      <c r="DJ171">
        <v>37168.800000000003</v>
      </c>
      <c r="DK171">
        <v>39892.800000000003</v>
      </c>
      <c r="DL171">
        <v>44370.8</v>
      </c>
      <c r="DM171">
        <v>42564.2</v>
      </c>
      <c r="DN171">
        <v>1.4896</v>
      </c>
      <c r="DO171">
        <v>2.0387</v>
      </c>
      <c r="DP171">
        <v>0.12826199999999999</v>
      </c>
      <c r="DQ171">
        <v>0.125416</v>
      </c>
      <c r="DR171">
        <v>24.912099999999999</v>
      </c>
      <c r="DS171">
        <v>24.553100000000001</v>
      </c>
      <c r="DT171">
        <v>22.1</v>
      </c>
      <c r="DU171">
        <v>28.8</v>
      </c>
      <c r="DV171">
        <v>8.84314</v>
      </c>
      <c r="DW171">
        <v>61.923400000000001</v>
      </c>
      <c r="DX171">
        <v>35.152200000000001</v>
      </c>
      <c r="DY171">
        <v>1</v>
      </c>
      <c r="DZ171">
        <v>-0.113493</v>
      </c>
      <c r="EA171">
        <v>0.40532099999999999</v>
      </c>
      <c r="EB171">
        <v>20.189399999999999</v>
      </c>
      <c r="EC171">
        <v>5.2409499999999998</v>
      </c>
      <c r="ED171">
        <v>12.039899999999999</v>
      </c>
      <c r="EE171">
        <v>5.0166500000000003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1.8646199999999999</v>
      </c>
      <c r="EM171">
        <v>1.8691899999999999</v>
      </c>
      <c r="EN171">
        <v>1.8672299999999999</v>
      </c>
      <c r="EO171">
        <v>1.8633999999999999</v>
      </c>
      <c r="EP171">
        <v>1.8644700000000001</v>
      </c>
      <c r="EQ171">
        <v>1.87015</v>
      </c>
      <c r="ER171">
        <v>1.8694599999999999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-0.191</v>
      </c>
      <c r="FG171">
        <v>0.15140000000000001</v>
      </c>
      <c r="FH171">
        <v>5.0310448532705943E-2</v>
      </c>
      <c r="FI171">
        <v>-6.1462078757559423E-4</v>
      </c>
      <c r="FJ171">
        <v>-1.8861989874597051E-7</v>
      </c>
      <c r="FK171">
        <v>1.1980462299894961E-10</v>
      </c>
      <c r="FL171">
        <v>0.15140825623214971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31.2</v>
      </c>
      <c r="FU171">
        <v>31.1</v>
      </c>
      <c r="FV171">
        <v>1.7651399999999999</v>
      </c>
      <c r="FW171">
        <v>2.5854499999999998</v>
      </c>
      <c r="FX171">
        <v>1.5490699999999999</v>
      </c>
      <c r="FY171">
        <v>2.3339799999999999</v>
      </c>
      <c r="FZ171">
        <v>1.50146</v>
      </c>
      <c r="GA171">
        <v>2.2644000000000002</v>
      </c>
      <c r="GB171">
        <v>33.199199999999998</v>
      </c>
      <c r="GC171">
        <v>23.973700000000001</v>
      </c>
      <c r="GD171">
        <v>19</v>
      </c>
      <c r="GE171">
        <v>287.39699999999999</v>
      </c>
      <c r="GF171">
        <v>581.91499999999996</v>
      </c>
      <c r="GG171">
        <v>23.738600000000002</v>
      </c>
      <c r="GH171">
        <v>25.942900000000002</v>
      </c>
      <c r="GI171">
        <v>29.9999</v>
      </c>
      <c r="GJ171">
        <v>26.0776</v>
      </c>
      <c r="GK171">
        <v>26.058900000000001</v>
      </c>
      <c r="GL171">
        <v>35.306399999999996</v>
      </c>
      <c r="GM171">
        <v>100</v>
      </c>
      <c r="GN171">
        <v>0</v>
      </c>
      <c r="GO171">
        <v>23.733699999999999</v>
      </c>
      <c r="GP171">
        <v>800</v>
      </c>
      <c r="GQ171">
        <v>0</v>
      </c>
      <c r="GR171">
        <v>99.759299999999996</v>
      </c>
      <c r="GS171">
        <v>99.578599999999994</v>
      </c>
    </row>
    <row r="172" spans="1:201" x14ac:dyDescent="0.25">
      <c r="A172">
        <v>156</v>
      </c>
      <c r="B172">
        <v>1690293950</v>
      </c>
      <c r="C172">
        <v>1679.400000095367</v>
      </c>
      <c r="D172" t="s">
        <v>645</v>
      </c>
      <c r="E172" t="s">
        <v>646</v>
      </c>
      <c r="F172" t="s">
        <v>330</v>
      </c>
      <c r="H172">
        <v>1690293950</v>
      </c>
      <c r="I172">
        <f t="shared" si="60"/>
        <v>2.6783831775402198E-3</v>
      </c>
      <c r="J172">
        <f t="shared" si="61"/>
        <v>2.67838317754022</v>
      </c>
      <c r="K172">
        <f t="shared" si="62"/>
        <v>42.977139437646301</v>
      </c>
      <c r="L172">
        <f t="shared" si="63"/>
        <v>360.81799999999998</v>
      </c>
      <c r="M172">
        <f t="shared" si="64"/>
        <v>113.94844196637736</v>
      </c>
      <c r="N172">
        <f t="shared" si="65"/>
        <v>11.330943049867411</v>
      </c>
      <c r="O172">
        <f t="shared" si="66"/>
        <v>35.879456873780001</v>
      </c>
      <c r="P172">
        <f t="shared" si="67"/>
        <v>0.3004749053461046</v>
      </c>
      <c r="Q172">
        <f t="shared" si="68"/>
        <v>2.2572349193867818</v>
      </c>
      <c r="R172">
        <f t="shared" si="69"/>
        <v>0.2798915557391034</v>
      </c>
      <c r="S172">
        <f t="shared" si="70"/>
        <v>0.17666391518964877</v>
      </c>
      <c r="T172">
        <f t="shared" si="71"/>
        <v>276.11613370799995</v>
      </c>
      <c r="U172">
        <f t="shared" si="72"/>
        <v>26.757925222375285</v>
      </c>
      <c r="V172">
        <f t="shared" si="73"/>
        <v>26.757925222375285</v>
      </c>
      <c r="W172">
        <f t="shared" si="74"/>
        <v>3.5285871284709032</v>
      </c>
      <c r="X172">
        <f t="shared" si="75"/>
        <v>79.230078876890573</v>
      </c>
      <c r="Y172">
        <f t="shared" si="76"/>
        <v>2.6063713015469996</v>
      </c>
      <c r="Z172">
        <f t="shared" si="77"/>
        <v>3.2896235097744082</v>
      </c>
      <c r="AA172">
        <f t="shared" si="78"/>
        <v>0.92221582692390358</v>
      </c>
      <c r="AB172">
        <f t="shared" si="79"/>
        <v>-118.1166981295237</v>
      </c>
      <c r="AC172">
        <f t="shared" si="80"/>
        <v>-144.39068547015577</v>
      </c>
      <c r="AD172">
        <f t="shared" si="81"/>
        <v>-13.690087170190461</v>
      </c>
      <c r="AE172">
        <f t="shared" si="82"/>
        <v>-8.1337061869959371E-2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52769.575926946389</v>
      </c>
      <c r="AK172">
        <f t="shared" si="86"/>
        <v>1800</v>
      </c>
      <c r="AL172">
        <f t="shared" si="87"/>
        <v>1499.1123258</v>
      </c>
      <c r="AM172">
        <f t="shared" si="88"/>
        <v>0.83284018100000001</v>
      </c>
      <c r="AN172">
        <f t="shared" si="89"/>
        <v>0.15339785205999998</v>
      </c>
      <c r="AO172">
        <v>30</v>
      </c>
      <c r="AP172">
        <v>0.5</v>
      </c>
      <c r="AQ172" t="s">
        <v>331</v>
      </c>
      <c r="AR172">
        <v>2</v>
      </c>
      <c r="AS172">
        <v>1690293950</v>
      </c>
      <c r="AT172">
        <v>360.81799999999998</v>
      </c>
      <c r="AU172">
        <v>800.00900000000001</v>
      </c>
      <c r="AV172">
        <v>26.210699999999999</v>
      </c>
      <c r="AW172">
        <v>0.143402</v>
      </c>
      <c r="AX172">
        <v>361.00799999999998</v>
      </c>
      <c r="AY172">
        <v>26.0593</v>
      </c>
      <c r="AZ172">
        <v>300.16699999999997</v>
      </c>
      <c r="BA172">
        <v>99.339200000000005</v>
      </c>
      <c r="BB172">
        <v>0.10001</v>
      </c>
      <c r="BC172">
        <v>25.571400000000001</v>
      </c>
      <c r="BD172">
        <v>27.0062</v>
      </c>
      <c r="BE172">
        <v>26.6097</v>
      </c>
      <c r="BF172">
        <v>0</v>
      </c>
      <c r="BG172">
        <v>0</v>
      </c>
      <c r="BH172">
        <v>9998.1200000000008</v>
      </c>
      <c r="BI172">
        <v>1062.79</v>
      </c>
      <c r="BJ172">
        <v>2.2426400000000002</v>
      </c>
      <c r="BK172">
        <v>-439.19099999999997</v>
      </c>
      <c r="BL172">
        <v>370.529</v>
      </c>
      <c r="BM172">
        <v>800.12300000000005</v>
      </c>
      <c r="BN172">
        <v>26.067299999999999</v>
      </c>
      <c r="BO172">
        <v>800.00900000000001</v>
      </c>
      <c r="BP172">
        <v>0.143402</v>
      </c>
      <c r="BQ172">
        <v>2.6037499999999998</v>
      </c>
      <c r="BR172">
        <v>1.4245499999999999E-2</v>
      </c>
      <c r="BS172">
        <v>21.69</v>
      </c>
      <c r="BT172">
        <v>-42.641300000000001</v>
      </c>
      <c r="BU172">
        <v>1800</v>
      </c>
      <c r="BV172">
        <v>0.90999099999999999</v>
      </c>
      <c r="BW172">
        <v>3.3993799999999998E-2</v>
      </c>
      <c r="BX172">
        <v>2.2006299999999999E-2</v>
      </c>
      <c r="BY172">
        <v>3.4008799999999999E-2</v>
      </c>
      <c r="BZ172">
        <v>25.958300000000001</v>
      </c>
      <c r="CA172">
        <v>33528.199999999997</v>
      </c>
      <c r="CB172">
        <v>1690292073.5</v>
      </c>
      <c r="CC172" t="s">
        <v>332</v>
      </c>
      <c r="CD172">
        <v>1690292069.5</v>
      </c>
      <c r="CE172">
        <v>1690292073.5</v>
      </c>
      <c r="CF172">
        <v>4</v>
      </c>
      <c r="CG172">
        <v>-3.6999999999999998E-2</v>
      </c>
      <c r="CH172">
        <v>-1.6E-2</v>
      </c>
      <c r="CI172">
        <v>-0.45200000000000001</v>
      </c>
      <c r="CJ172">
        <v>0.108</v>
      </c>
      <c r="CK172">
        <v>730</v>
      </c>
      <c r="CL172">
        <v>18</v>
      </c>
      <c r="CM172">
        <v>0</v>
      </c>
      <c r="CN172">
        <v>0.01</v>
      </c>
      <c r="CO172">
        <v>-438.44614999999999</v>
      </c>
      <c r="CP172">
        <v>-4.1335609756084626</v>
      </c>
      <c r="CQ172">
        <v>0.39913967166895392</v>
      </c>
      <c r="CR172">
        <v>-1</v>
      </c>
      <c r="CS172">
        <v>26.056607499999991</v>
      </c>
      <c r="CT172">
        <v>8.6254784240093363E-2</v>
      </c>
      <c r="CU172">
        <v>8.584008023644717E-3</v>
      </c>
      <c r="CV172">
        <v>-1</v>
      </c>
      <c r="CW172">
        <v>0</v>
      </c>
      <c r="CX172">
        <v>0</v>
      </c>
      <c r="CY172" t="s">
        <v>333</v>
      </c>
      <c r="CZ172">
        <v>2.3649300000000002</v>
      </c>
      <c r="DA172">
        <v>2.7138</v>
      </c>
      <c r="DB172">
        <v>8.2922099999999999E-2</v>
      </c>
      <c r="DC172">
        <v>0.14643800000000001</v>
      </c>
      <c r="DD172">
        <v>0.121686</v>
      </c>
      <c r="DE172">
        <v>1.21251E-3</v>
      </c>
      <c r="DF172">
        <v>33494</v>
      </c>
      <c r="DG172">
        <v>27513.3</v>
      </c>
      <c r="DH172">
        <v>31178.2</v>
      </c>
      <c r="DI172">
        <v>28086.7</v>
      </c>
      <c r="DJ172">
        <v>37167.4</v>
      </c>
      <c r="DK172">
        <v>39892.300000000003</v>
      </c>
      <c r="DL172">
        <v>44370.1</v>
      </c>
      <c r="DM172">
        <v>42563.4</v>
      </c>
      <c r="DN172">
        <v>1.4895</v>
      </c>
      <c r="DO172">
        <v>2.0388500000000001</v>
      </c>
      <c r="DP172">
        <v>0.12770300000000001</v>
      </c>
      <c r="DQ172">
        <v>0.12534100000000001</v>
      </c>
      <c r="DR172">
        <v>24.914200000000001</v>
      </c>
      <c r="DS172">
        <v>24.555099999999999</v>
      </c>
      <c r="DT172">
        <v>22.1</v>
      </c>
      <c r="DU172">
        <v>28.8</v>
      </c>
      <c r="DV172">
        <v>8.8447700000000005</v>
      </c>
      <c r="DW172">
        <v>61.253399999999999</v>
      </c>
      <c r="DX172">
        <v>34.9559</v>
      </c>
      <c r="DY172">
        <v>1</v>
      </c>
      <c r="DZ172">
        <v>-0.11322699999999999</v>
      </c>
      <c r="EA172">
        <v>0.37631300000000001</v>
      </c>
      <c r="EB172">
        <v>20.189699999999998</v>
      </c>
      <c r="EC172">
        <v>5.2409499999999998</v>
      </c>
      <c r="ED172">
        <v>12.039899999999999</v>
      </c>
      <c r="EE172">
        <v>5.0167999999999999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1.8646199999999999</v>
      </c>
      <c r="EM172">
        <v>1.8691800000000001</v>
      </c>
      <c r="EN172">
        <v>1.8672200000000001</v>
      </c>
      <c r="EO172">
        <v>1.86338</v>
      </c>
      <c r="EP172">
        <v>1.86446</v>
      </c>
      <c r="EQ172">
        <v>1.8701399999999999</v>
      </c>
      <c r="ER172">
        <v>1.8694299999999999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-0.19</v>
      </c>
      <c r="FG172">
        <v>0.15140000000000001</v>
      </c>
      <c r="FH172">
        <v>5.0310448532705943E-2</v>
      </c>
      <c r="FI172">
        <v>-6.1462078757559423E-4</v>
      </c>
      <c r="FJ172">
        <v>-1.8861989874597051E-7</v>
      </c>
      <c r="FK172">
        <v>1.1980462299894961E-10</v>
      </c>
      <c r="FL172">
        <v>0.15140825623214971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31.3</v>
      </c>
      <c r="FU172">
        <v>31.3</v>
      </c>
      <c r="FV172">
        <v>1.7651399999999999</v>
      </c>
      <c r="FW172">
        <v>2.5781200000000002</v>
      </c>
      <c r="FX172">
        <v>1.5490699999999999</v>
      </c>
      <c r="FY172">
        <v>2.3339799999999999</v>
      </c>
      <c r="FZ172">
        <v>1.50146</v>
      </c>
      <c r="GA172">
        <v>2.3596200000000001</v>
      </c>
      <c r="GB172">
        <v>33.199199999999998</v>
      </c>
      <c r="GC172">
        <v>23.991199999999999</v>
      </c>
      <c r="GD172">
        <v>19</v>
      </c>
      <c r="GE172">
        <v>287.35399999999998</v>
      </c>
      <c r="GF172">
        <v>582.04399999999998</v>
      </c>
      <c r="GG172">
        <v>23.7104</v>
      </c>
      <c r="GH172">
        <v>25.942900000000002</v>
      </c>
      <c r="GI172">
        <v>30.0002</v>
      </c>
      <c r="GJ172">
        <v>26.0776</v>
      </c>
      <c r="GK172">
        <v>26.0595</v>
      </c>
      <c r="GL172">
        <v>35.304299999999998</v>
      </c>
      <c r="GM172">
        <v>100</v>
      </c>
      <c r="GN172">
        <v>0</v>
      </c>
      <c r="GO172">
        <v>23.7056</v>
      </c>
      <c r="GP172">
        <v>800</v>
      </c>
      <c r="GQ172">
        <v>0</v>
      </c>
      <c r="GR172">
        <v>99.7577</v>
      </c>
      <c r="GS172">
        <v>99.576499999999996</v>
      </c>
    </row>
    <row r="173" spans="1:201" x14ac:dyDescent="0.25">
      <c r="A173">
        <v>157</v>
      </c>
      <c r="B173">
        <v>1690293960</v>
      </c>
      <c r="C173">
        <v>1689.400000095367</v>
      </c>
      <c r="D173" t="s">
        <v>647</v>
      </c>
      <c r="E173" t="s">
        <v>648</v>
      </c>
      <c r="F173" t="s">
        <v>330</v>
      </c>
      <c r="H173">
        <v>1690293960</v>
      </c>
      <c r="I173">
        <f t="shared" si="60"/>
        <v>2.6795683601773691E-3</v>
      </c>
      <c r="J173">
        <f t="shared" si="61"/>
        <v>2.679568360177369</v>
      </c>
      <c r="K173">
        <f t="shared" si="62"/>
        <v>43.022898280634784</v>
      </c>
      <c r="L173">
        <f t="shared" si="63"/>
        <v>360.23700000000002</v>
      </c>
      <c r="M173">
        <f t="shared" si="64"/>
        <v>113.75599187851412</v>
      </c>
      <c r="N173">
        <f t="shared" si="65"/>
        <v>11.311959740515682</v>
      </c>
      <c r="O173">
        <f t="shared" si="66"/>
        <v>35.822169661146603</v>
      </c>
      <c r="P173">
        <f t="shared" si="67"/>
        <v>0.30134492467478841</v>
      </c>
      <c r="Q173">
        <f t="shared" si="68"/>
        <v>2.2528959238320119</v>
      </c>
      <c r="R173">
        <f t="shared" si="69"/>
        <v>0.28060968316136081</v>
      </c>
      <c r="S173">
        <f t="shared" si="70"/>
        <v>0.17712499200388018</v>
      </c>
      <c r="T173">
        <f t="shared" si="71"/>
        <v>276.11616157200001</v>
      </c>
      <c r="U173">
        <f t="shared" si="72"/>
        <v>26.759420471814337</v>
      </c>
      <c r="V173">
        <f t="shared" si="73"/>
        <v>26.759420471814337</v>
      </c>
      <c r="W173">
        <f t="shared" si="74"/>
        <v>3.5288975804872669</v>
      </c>
      <c r="X173">
        <f t="shared" si="75"/>
        <v>79.299809411986942</v>
      </c>
      <c r="Y173">
        <f t="shared" si="76"/>
        <v>2.6086342017555797</v>
      </c>
      <c r="Z173">
        <f t="shared" si="77"/>
        <v>3.2895844531011686</v>
      </c>
      <c r="AA173">
        <f t="shared" si="78"/>
        <v>0.92026337873168718</v>
      </c>
      <c r="AB173">
        <f t="shared" si="79"/>
        <v>-118.16896468382197</v>
      </c>
      <c r="AC173">
        <f t="shared" si="80"/>
        <v>-144.31903064740484</v>
      </c>
      <c r="AD173">
        <f t="shared" si="81"/>
        <v>-13.709736088964608</v>
      </c>
      <c r="AE173">
        <f t="shared" si="82"/>
        <v>-8.1569848191435312E-2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52599.460725447985</v>
      </c>
      <c r="AK173">
        <f t="shared" si="86"/>
        <v>1800</v>
      </c>
      <c r="AL173">
        <f t="shared" si="87"/>
        <v>1499.1134382</v>
      </c>
      <c r="AM173">
        <f t="shared" si="88"/>
        <v>0.83284079899999996</v>
      </c>
      <c r="AN173">
        <f t="shared" si="89"/>
        <v>0.15339786754000001</v>
      </c>
      <c r="AO173">
        <v>30</v>
      </c>
      <c r="AP173">
        <v>0.5</v>
      </c>
      <c r="AQ173" t="s">
        <v>331</v>
      </c>
      <c r="AR173">
        <v>2</v>
      </c>
      <c r="AS173">
        <v>1690293960</v>
      </c>
      <c r="AT173">
        <v>360.23700000000002</v>
      </c>
      <c r="AU173">
        <v>800.06600000000003</v>
      </c>
      <c r="AV173">
        <v>26.2331</v>
      </c>
      <c r="AW173">
        <v>0.143481</v>
      </c>
      <c r="AX173">
        <v>360.42700000000002</v>
      </c>
      <c r="AY173">
        <v>26.081700000000001</v>
      </c>
      <c r="AZ173">
        <v>300.036</v>
      </c>
      <c r="BA173">
        <v>99.340599999999995</v>
      </c>
      <c r="BB173">
        <v>9.9961800000000003E-2</v>
      </c>
      <c r="BC173">
        <v>25.571200000000001</v>
      </c>
      <c r="BD173">
        <v>27.003499999999999</v>
      </c>
      <c r="BE173">
        <v>26.598700000000001</v>
      </c>
      <c r="BF173">
        <v>0</v>
      </c>
      <c r="BG173">
        <v>0</v>
      </c>
      <c r="BH173">
        <v>9964.3799999999992</v>
      </c>
      <c r="BI173">
        <v>1062.68</v>
      </c>
      <c r="BJ173">
        <v>2.2426400000000002</v>
      </c>
      <c r="BK173">
        <v>-439.82900000000001</v>
      </c>
      <c r="BL173">
        <v>369.94200000000001</v>
      </c>
      <c r="BM173">
        <v>800.18</v>
      </c>
      <c r="BN173">
        <v>26.089600000000001</v>
      </c>
      <c r="BO173">
        <v>800.06600000000003</v>
      </c>
      <c r="BP173">
        <v>0.143481</v>
      </c>
      <c r="BQ173">
        <v>2.6060099999999999</v>
      </c>
      <c r="BR173">
        <v>1.4253500000000001E-2</v>
      </c>
      <c r="BS173">
        <v>21.7042</v>
      </c>
      <c r="BT173">
        <v>-42.636000000000003</v>
      </c>
      <c r="BU173">
        <v>1800</v>
      </c>
      <c r="BV173">
        <v>0.90999399999999997</v>
      </c>
      <c r="BW173">
        <v>3.39929E-2</v>
      </c>
      <c r="BX173">
        <v>2.20057E-2</v>
      </c>
      <c r="BY173">
        <v>3.4007799999999998E-2</v>
      </c>
      <c r="BZ173">
        <v>26</v>
      </c>
      <c r="CA173">
        <v>33528.199999999997</v>
      </c>
      <c r="CB173">
        <v>1690292073.5</v>
      </c>
      <c r="CC173" t="s">
        <v>332</v>
      </c>
      <c r="CD173">
        <v>1690292069.5</v>
      </c>
      <c r="CE173">
        <v>1690292073.5</v>
      </c>
      <c r="CF173">
        <v>4</v>
      </c>
      <c r="CG173">
        <v>-3.6999999999999998E-2</v>
      </c>
      <c r="CH173">
        <v>-1.6E-2</v>
      </c>
      <c r="CI173">
        <v>-0.45200000000000001</v>
      </c>
      <c r="CJ173">
        <v>0.108</v>
      </c>
      <c r="CK173">
        <v>730</v>
      </c>
      <c r="CL173">
        <v>18</v>
      </c>
      <c r="CM173">
        <v>0</v>
      </c>
      <c r="CN173">
        <v>0.01</v>
      </c>
      <c r="CO173">
        <v>-439.15095121951231</v>
      </c>
      <c r="CP173">
        <v>-3.989999999999017</v>
      </c>
      <c r="CQ173">
        <v>0.39469215859893608</v>
      </c>
      <c r="CR173">
        <v>-1</v>
      </c>
      <c r="CS173">
        <v>26.0701</v>
      </c>
      <c r="CT173">
        <v>7.3337979094109274E-2</v>
      </c>
      <c r="CU173">
        <v>7.614940385398567E-3</v>
      </c>
      <c r="CV173">
        <v>-1</v>
      </c>
      <c r="CW173">
        <v>0</v>
      </c>
      <c r="CX173">
        <v>0</v>
      </c>
      <c r="CY173" t="s">
        <v>333</v>
      </c>
      <c r="CZ173">
        <v>2.3645100000000001</v>
      </c>
      <c r="DA173">
        <v>2.7137199999999999</v>
      </c>
      <c r="DB173">
        <v>8.2819000000000004E-2</v>
      </c>
      <c r="DC173">
        <v>0.14644699999999999</v>
      </c>
      <c r="DD173">
        <v>0.12175999999999999</v>
      </c>
      <c r="DE173">
        <v>1.2131900000000001E-3</v>
      </c>
      <c r="DF173">
        <v>33497.800000000003</v>
      </c>
      <c r="DG173">
        <v>27513.200000000001</v>
      </c>
      <c r="DH173">
        <v>31178.3</v>
      </c>
      <c r="DI173">
        <v>28086.9</v>
      </c>
      <c r="DJ173">
        <v>37164.300000000003</v>
      </c>
      <c r="DK173">
        <v>39892.5</v>
      </c>
      <c r="DL173">
        <v>44370.2</v>
      </c>
      <c r="DM173">
        <v>42563.7</v>
      </c>
      <c r="DN173">
        <v>1.48977</v>
      </c>
      <c r="DO173">
        <v>2.0386799999999998</v>
      </c>
      <c r="DP173">
        <v>0.12737499999999999</v>
      </c>
      <c r="DQ173">
        <v>0.124611</v>
      </c>
      <c r="DR173">
        <v>24.916899999999998</v>
      </c>
      <c r="DS173">
        <v>24.556100000000001</v>
      </c>
      <c r="DT173">
        <v>22.1</v>
      </c>
      <c r="DU173">
        <v>28.8</v>
      </c>
      <c r="DV173">
        <v>8.8438800000000004</v>
      </c>
      <c r="DW173">
        <v>61.993400000000001</v>
      </c>
      <c r="DX173">
        <v>35.897399999999998</v>
      </c>
      <c r="DY173">
        <v>1</v>
      </c>
      <c r="DZ173">
        <v>-0.113453</v>
      </c>
      <c r="EA173">
        <v>0.203434</v>
      </c>
      <c r="EB173">
        <v>20.190100000000001</v>
      </c>
      <c r="EC173">
        <v>5.2409499999999998</v>
      </c>
      <c r="ED173">
        <v>12.039899999999999</v>
      </c>
      <c r="EE173">
        <v>5.0166500000000003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1.8689100000000001</v>
      </c>
      <c r="EL173">
        <v>1.8646199999999999</v>
      </c>
      <c r="EM173">
        <v>1.8692</v>
      </c>
      <c r="EN173">
        <v>1.8672200000000001</v>
      </c>
      <c r="EO173">
        <v>1.8633999999999999</v>
      </c>
      <c r="EP173">
        <v>1.8644700000000001</v>
      </c>
      <c r="EQ173">
        <v>1.87015</v>
      </c>
      <c r="ER173">
        <v>1.8694500000000001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-0.19</v>
      </c>
      <c r="FG173">
        <v>0.15140000000000001</v>
      </c>
      <c r="FH173">
        <v>5.0310448532705943E-2</v>
      </c>
      <c r="FI173">
        <v>-6.1462078757559423E-4</v>
      </c>
      <c r="FJ173">
        <v>-1.8861989874597051E-7</v>
      </c>
      <c r="FK173">
        <v>1.1980462299894961E-10</v>
      </c>
      <c r="FL173">
        <v>0.15140825623214971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31.5</v>
      </c>
      <c r="FU173">
        <v>31.4</v>
      </c>
      <c r="FV173">
        <v>1.7663599999999999</v>
      </c>
      <c r="FW173">
        <v>2.5842299999999998</v>
      </c>
      <c r="FX173">
        <v>1.5490699999999999</v>
      </c>
      <c r="FY173">
        <v>2.3327599999999999</v>
      </c>
      <c r="FZ173">
        <v>1.50146</v>
      </c>
      <c r="GA173">
        <v>2.36328</v>
      </c>
      <c r="GB173">
        <v>33.199199999999998</v>
      </c>
      <c r="GC173">
        <v>23.991199999999999</v>
      </c>
      <c r="GD173">
        <v>19</v>
      </c>
      <c r="GE173">
        <v>287.47199999999998</v>
      </c>
      <c r="GF173">
        <v>581.89400000000001</v>
      </c>
      <c r="GG173">
        <v>23.700199999999999</v>
      </c>
      <c r="GH173">
        <v>25.942900000000002</v>
      </c>
      <c r="GI173">
        <v>30</v>
      </c>
      <c r="GJ173">
        <v>26.0776</v>
      </c>
      <c r="GK173">
        <v>26.058900000000001</v>
      </c>
      <c r="GL173">
        <v>35.304299999999998</v>
      </c>
      <c r="GM173">
        <v>100</v>
      </c>
      <c r="GN173">
        <v>0</v>
      </c>
      <c r="GO173">
        <v>23.752800000000001</v>
      </c>
      <c r="GP173">
        <v>800</v>
      </c>
      <c r="GQ173">
        <v>0</v>
      </c>
      <c r="GR173">
        <v>99.757900000000006</v>
      </c>
      <c r="GS173">
        <v>99.577100000000002</v>
      </c>
    </row>
    <row r="174" spans="1:201" x14ac:dyDescent="0.25">
      <c r="A174">
        <v>158</v>
      </c>
      <c r="B174">
        <v>1690293970</v>
      </c>
      <c r="C174">
        <v>1699.400000095367</v>
      </c>
      <c r="D174" t="s">
        <v>649</v>
      </c>
      <c r="E174" t="s">
        <v>650</v>
      </c>
      <c r="F174" t="s">
        <v>330</v>
      </c>
      <c r="H174">
        <v>1690293970</v>
      </c>
      <c r="I174">
        <f t="shared" si="60"/>
        <v>2.683743312710886E-3</v>
      </c>
      <c r="J174">
        <f t="shared" si="61"/>
        <v>2.6837433127108858</v>
      </c>
      <c r="K174">
        <f t="shared" si="62"/>
        <v>43.067269082781586</v>
      </c>
      <c r="L174">
        <f t="shared" si="63"/>
        <v>359.71699999999998</v>
      </c>
      <c r="M174">
        <f t="shared" si="64"/>
        <v>114.64768350803324</v>
      </c>
      <c r="N174">
        <f t="shared" si="65"/>
        <v>11.400472496795976</v>
      </c>
      <c r="O174">
        <f t="shared" si="66"/>
        <v>35.7699662099375</v>
      </c>
      <c r="P174">
        <f t="shared" si="67"/>
        <v>0.30344397645245191</v>
      </c>
      <c r="Q174">
        <f t="shared" si="68"/>
        <v>2.2629474602450745</v>
      </c>
      <c r="R174">
        <f t="shared" si="69"/>
        <v>0.28251609925743731</v>
      </c>
      <c r="S174">
        <f t="shared" si="70"/>
        <v>0.178332425421318</v>
      </c>
      <c r="T174">
        <f t="shared" si="71"/>
        <v>276.11598634199999</v>
      </c>
      <c r="U174">
        <f t="shared" si="72"/>
        <v>26.754414189222004</v>
      </c>
      <c r="V174">
        <f t="shared" si="73"/>
        <v>26.754414189222004</v>
      </c>
      <c r="W174">
        <f t="shared" si="74"/>
        <v>3.5278582419406241</v>
      </c>
      <c r="X174">
        <f t="shared" si="75"/>
        <v>79.408831608267761</v>
      </c>
      <c r="Y174">
        <f t="shared" si="76"/>
        <v>2.6124066704874997</v>
      </c>
      <c r="Z174">
        <f t="shared" si="77"/>
        <v>3.289818799217171</v>
      </c>
      <c r="AA174">
        <f t="shared" si="78"/>
        <v>0.91545157145312439</v>
      </c>
      <c r="AB174">
        <f t="shared" si="79"/>
        <v>-118.35308009055007</v>
      </c>
      <c r="AC174">
        <f t="shared" si="80"/>
        <v>-144.2057588349156</v>
      </c>
      <c r="AD174">
        <f t="shared" si="81"/>
        <v>-13.637866913151958</v>
      </c>
      <c r="AE174">
        <f t="shared" si="82"/>
        <v>-8.071949661766098E-2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52993.925173680349</v>
      </c>
      <c r="AK174">
        <f t="shared" si="86"/>
        <v>1800</v>
      </c>
      <c r="AL174">
        <f t="shared" si="87"/>
        <v>1499.1133302000001</v>
      </c>
      <c r="AM174">
        <f t="shared" si="88"/>
        <v>0.832840739</v>
      </c>
      <c r="AN174">
        <f t="shared" si="89"/>
        <v>0.15339777018999998</v>
      </c>
      <c r="AO174">
        <v>30</v>
      </c>
      <c r="AP174">
        <v>0.5</v>
      </c>
      <c r="AQ174" t="s">
        <v>331</v>
      </c>
      <c r="AR174">
        <v>2</v>
      </c>
      <c r="AS174">
        <v>1690293970</v>
      </c>
      <c r="AT174">
        <v>359.71699999999998</v>
      </c>
      <c r="AU174">
        <v>799.97900000000004</v>
      </c>
      <c r="AV174">
        <v>26.2714</v>
      </c>
      <c r="AW174">
        <v>0.14285600000000001</v>
      </c>
      <c r="AX174">
        <v>359.90699999999998</v>
      </c>
      <c r="AY174">
        <v>26.12</v>
      </c>
      <c r="AZ174">
        <v>300.04399999999998</v>
      </c>
      <c r="BA174">
        <v>99.339200000000005</v>
      </c>
      <c r="BB174">
        <v>9.9987500000000007E-2</v>
      </c>
      <c r="BC174">
        <v>25.572399999999998</v>
      </c>
      <c r="BD174">
        <v>27.0062</v>
      </c>
      <c r="BE174">
        <v>26.6084</v>
      </c>
      <c r="BF174">
        <v>0</v>
      </c>
      <c r="BG174">
        <v>0</v>
      </c>
      <c r="BH174">
        <v>10042.5</v>
      </c>
      <c r="BI174">
        <v>1062.79</v>
      </c>
      <c r="BJ174">
        <v>2.2426400000000002</v>
      </c>
      <c r="BK174">
        <v>-440.262</v>
      </c>
      <c r="BL174">
        <v>369.42200000000003</v>
      </c>
      <c r="BM174">
        <v>800.09299999999996</v>
      </c>
      <c r="BN174">
        <v>26.128599999999999</v>
      </c>
      <c r="BO174">
        <v>799.97900000000004</v>
      </c>
      <c r="BP174">
        <v>0.14285600000000001</v>
      </c>
      <c r="BQ174">
        <v>2.6097800000000002</v>
      </c>
      <c r="BR174">
        <v>1.4191199999999999E-2</v>
      </c>
      <c r="BS174">
        <v>21.727799999999998</v>
      </c>
      <c r="BT174">
        <v>-42.676900000000003</v>
      </c>
      <c r="BU174">
        <v>1800</v>
      </c>
      <c r="BV174">
        <v>0.90999600000000003</v>
      </c>
      <c r="BW174">
        <v>3.3992000000000001E-2</v>
      </c>
      <c r="BX174">
        <v>2.2005199999999999E-2</v>
      </c>
      <c r="BY174">
        <v>3.40069E-2</v>
      </c>
      <c r="BZ174">
        <v>26</v>
      </c>
      <c r="CA174">
        <v>33528.300000000003</v>
      </c>
      <c r="CB174">
        <v>1690292073.5</v>
      </c>
      <c r="CC174" t="s">
        <v>332</v>
      </c>
      <c r="CD174">
        <v>1690292069.5</v>
      </c>
      <c r="CE174">
        <v>1690292073.5</v>
      </c>
      <c r="CF174">
        <v>4</v>
      </c>
      <c r="CG174">
        <v>-3.6999999999999998E-2</v>
      </c>
      <c r="CH174">
        <v>-1.6E-2</v>
      </c>
      <c r="CI174">
        <v>-0.45200000000000001</v>
      </c>
      <c r="CJ174">
        <v>0.108</v>
      </c>
      <c r="CK174">
        <v>730</v>
      </c>
      <c r="CL174">
        <v>18</v>
      </c>
      <c r="CM174">
        <v>0</v>
      </c>
      <c r="CN174">
        <v>0.01</v>
      </c>
      <c r="CO174">
        <v>-439.66824390243897</v>
      </c>
      <c r="CP174">
        <v>-3.0559651567947821</v>
      </c>
      <c r="CQ174">
        <v>0.30605640963302172</v>
      </c>
      <c r="CR174">
        <v>-1</v>
      </c>
      <c r="CS174">
        <v>26.088156097560969</v>
      </c>
      <c r="CT174">
        <v>0.16997142857145389</v>
      </c>
      <c r="CU174">
        <v>1.7040340211599642E-2</v>
      </c>
      <c r="CV174">
        <v>-1</v>
      </c>
      <c r="CW174">
        <v>0</v>
      </c>
      <c r="CX174">
        <v>0</v>
      </c>
      <c r="CY174" t="s">
        <v>333</v>
      </c>
      <c r="CZ174">
        <v>2.36456</v>
      </c>
      <c r="DA174">
        <v>2.7138100000000001</v>
      </c>
      <c r="DB174">
        <v>8.2724099999999995E-2</v>
      </c>
      <c r="DC174">
        <v>0.14643300000000001</v>
      </c>
      <c r="DD174">
        <v>0.121882</v>
      </c>
      <c r="DE174">
        <v>1.2079199999999999E-3</v>
      </c>
      <c r="DF174">
        <v>33501.199999999997</v>
      </c>
      <c r="DG174">
        <v>27513.7</v>
      </c>
      <c r="DH174">
        <v>31178.2</v>
      </c>
      <c r="DI174">
        <v>28086.9</v>
      </c>
      <c r="DJ174">
        <v>37159.1</v>
      </c>
      <c r="DK174">
        <v>39892.699999999997</v>
      </c>
      <c r="DL174">
        <v>44370.2</v>
      </c>
      <c r="DM174">
        <v>42563.6</v>
      </c>
      <c r="DN174">
        <v>1.4894499999999999</v>
      </c>
      <c r="DO174">
        <v>2.0388000000000002</v>
      </c>
      <c r="DP174">
        <v>0.12732299999999999</v>
      </c>
      <c r="DQ174">
        <v>0.12508</v>
      </c>
      <c r="DR174">
        <v>24.920500000000001</v>
      </c>
      <c r="DS174">
        <v>24.5581</v>
      </c>
      <c r="DT174">
        <v>22.1</v>
      </c>
      <c r="DU174">
        <v>28.8</v>
      </c>
      <c r="DV174">
        <v>8.8445499999999999</v>
      </c>
      <c r="DW174">
        <v>61.563400000000001</v>
      </c>
      <c r="DX174">
        <v>35.552900000000001</v>
      </c>
      <c r="DY174">
        <v>1</v>
      </c>
      <c r="DZ174">
        <v>-0.113745</v>
      </c>
      <c r="EA174">
        <v>0.29146499999999997</v>
      </c>
      <c r="EB174">
        <v>20.190000000000001</v>
      </c>
      <c r="EC174">
        <v>5.2411000000000003</v>
      </c>
      <c r="ED174">
        <v>12.039899999999999</v>
      </c>
      <c r="EE174">
        <v>5.0163500000000001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1.8646199999999999</v>
      </c>
      <c r="EM174">
        <v>1.8691899999999999</v>
      </c>
      <c r="EN174">
        <v>1.8672200000000001</v>
      </c>
      <c r="EO174">
        <v>1.8633999999999999</v>
      </c>
      <c r="EP174">
        <v>1.8644499999999999</v>
      </c>
      <c r="EQ174">
        <v>1.8701399999999999</v>
      </c>
      <c r="ER174">
        <v>1.86941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-0.19</v>
      </c>
      <c r="FG174">
        <v>0.15140000000000001</v>
      </c>
      <c r="FH174">
        <v>5.0310448532705943E-2</v>
      </c>
      <c r="FI174">
        <v>-6.1462078757559423E-4</v>
      </c>
      <c r="FJ174">
        <v>-1.8861989874597051E-7</v>
      </c>
      <c r="FK174">
        <v>1.1980462299894961E-10</v>
      </c>
      <c r="FL174">
        <v>0.15140825623214971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31.7</v>
      </c>
      <c r="FU174">
        <v>31.6</v>
      </c>
      <c r="FV174">
        <v>1.7663599999999999</v>
      </c>
      <c r="FW174">
        <v>2.5878899999999998</v>
      </c>
      <c r="FX174">
        <v>1.5490699999999999</v>
      </c>
      <c r="FY174">
        <v>2.3339799999999999</v>
      </c>
      <c r="FZ174">
        <v>1.50146</v>
      </c>
      <c r="GA174">
        <v>2.2912599999999999</v>
      </c>
      <c r="GB174">
        <v>33.199199999999998</v>
      </c>
      <c r="GC174">
        <v>23.982399999999998</v>
      </c>
      <c r="GD174">
        <v>19</v>
      </c>
      <c r="GE174">
        <v>287.34199999999998</v>
      </c>
      <c r="GF174">
        <v>582.02200000000005</v>
      </c>
      <c r="GG174">
        <v>23.745699999999999</v>
      </c>
      <c r="GH174">
        <v>25.9451</v>
      </c>
      <c r="GI174">
        <v>30.0002</v>
      </c>
      <c r="GJ174">
        <v>26.079799999999999</v>
      </c>
      <c r="GK174">
        <v>26.0611</v>
      </c>
      <c r="GL174">
        <v>35.308900000000001</v>
      </c>
      <c r="GM174">
        <v>100</v>
      </c>
      <c r="GN174">
        <v>0</v>
      </c>
      <c r="GO174">
        <v>23.732700000000001</v>
      </c>
      <c r="GP174">
        <v>800</v>
      </c>
      <c r="GQ174">
        <v>0</v>
      </c>
      <c r="GR174">
        <v>99.757900000000006</v>
      </c>
      <c r="GS174">
        <v>99.576999999999998</v>
      </c>
    </row>
    <row r="175" spans="1:201" x14ac:dyDescent="0.25">
      <c r="A175">
        <v>159</v>
      </c>
      <c r="B175">
        <v>1690293980</v>
      </c>
      <c r="C175">
        <v>1709.400000095367</v>
      </c>
      <c r="D175" t="s">
        <v>651</v>
      </c>
      <c r="E175" t="s">
        <v>652</v>
      </c>
      <c r="F175" t="s">
        <v>330</v>
      </c>
      <c r="H175">
        <v>1690293980</v>
      </c>
      <c r="I175">
        <f t="shared" si="60"/>
        <v>2.6895313064952001E-3</v>
      </c>
      <c r="J175">
        <f t="shared" si="61"/>
        <v>2.6895313064952</v>
      </c>
      <c r="K175">
        <f t="shared" si="62"/>
        <v>43.176425778058331</v>
      </c>
      <c r="L175">
        <f t="shared" si="63"/>
        <v>358.88</v>
      </c>
      <c r="M175">
        <f t="shared" si="64"/>
        <v>114.50199979914903</v>
      </c>
      <c r="N175">
        <f t="shared" si="65"/>
        <v>11.386195881071172</v>
      </c>
      <c r="O175">
        <f t="shared" si="66"/>
        <v>35.687393975359996</v>
      </c>
      <c r="P175">
        <f t="shared" si="67"/>
        <v>0.30522488599147279</v>
      </c>
      <c r="Q175">
        <f t="shared" si="68"/>
        <v>2.2560494725986535</v>
      </c>
      <c r="R175">
        <f t="shared" si="69"/>
        <v>0.28399993198266155</v>
      </c>
      <c r="S175">
        <f t="shared" si="70"/>
        <v>0.17928378821434238</v>
      </c>
      <c r="T175">
        <f t="shared" si="71"/>
        <v>276.11590703399992</v>
      </c>
      <c r="U175">
        <f t="shared" si="72"/>
        <v>26.761093025371135</v>
      </c>
      <c r="V175">
        <f t="shared" si="73"/>
        <v>26.761093025371135</v>
      </c>
      <c r="W175">
        <f t="shared" si="74"/>
        <v>3.529244873627245</v>
      </c>
      <c r="X175">
        <f t="shared" si="75"/>
        <v>79.511927369487424</v>
      </c>
      <c r="Y175">
        <f t="shared" si="76"/>
        <v>2.6166214441925999</v>
      </c>
      <c r="Z175">
        <f t="shared" si="77"/>
        <v>3.2908540023603106</v>
      </c>
      <c r="AA175">
        <f t="shared" si="78"/>
        <v>0.91262342943464514</v>
      </c>
      <c r="AB175">
        <f t="shared" si="79"/>
        <v>-118.60833061643832</v>
      </c>
      <c r="AC175">
        <f t="shared" si="80"/>
        <v>-143.93389157878826</v>
      </c>
      <c r="AD175">
        <f t="shared" si="81"/>
        <v>-13.654595883669593</v>
      </c>
      <c r="AE175">
        <f t="shared" si="82"/>
        <v>-8.0911044896225803E-2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52721.976997072248</v>
      </c>
      <c r="AK175">
        <f t="shared" si="86"/>
        <v>1800</v>
      </c>
      <c r="AL175">
        <f t="shared" si="87"/>
        <v>1499.1133284</v>
      </c>
      <c r="AM175">
        <f t="shared" si="88"/>
        <v>0.83284073800000002</v>
      </c>
      <c r="AN175">
        <f t="shared" si="89"/>
        <v>0.15339772612999997</v>
      </c>
      <c r="AO175">
        <v>30</v>
      </c>
      <c r="AP175">
        <v>0.5</v>
      </c>
      <c r="AQ175" t="s">
        <v>331</v>
      </c>
      <c r="AR175">
        <v>2</v>
      </c>
      <c r="AS175">
        <v>1690293980</v>
      </c>
      <c r="AT175">
        <v>358.88</v>
      </c>
      <c r="AU175">
        <v>800.02</v>
      </c>
      <c r="AV175">
        <v>26.313300000000002</v>
      </c>
      <c r="AW175">
        <v>0.142092</v>
      </c>
      <c r="AX175">
        <v>359.06900000000002</v>
      </c>
      <c r="AY175">
        <v>26.161899999999999</v>
      </c>
      <c r="AZ175">
        <v>300.18799999999999</v>
      </c>
      <c r="BA175">
        <v>99.340999999999994</v>
      </c>
      <c r="BB175">
        <v>0.100022</v>
      </c>
      <c r="BC175">
        <v>25.5777</v>
      </c>
      <c r="BD175">
        <v>27.019600000000001</v>
      </c>
      <c r="BE175">
        <v>26.598099999999999</v>
      </c>
      <c r="BF175">
        <v>0</v>
      </c>
      <c r="BG175">
        <v>0</v>
      </c>
      <c r="BH175">
        <v>9988.75</v>
      </c>
      <c r="BI175">
        <v>1062.8</v>
      </c>
      <c r="BJ175">
        <v>2.2426400000000002</v>
      </c>
      <c r="BK175">
        <v>-441.14</v>
      </c>
      <c r="BL175">
        <v>368.57799999999997</v>
      </c>
      <c r="BM175">
        <v>800.13400000000001</v>
      </c>
      <c r="BN175">
        <v>26.171199999999999</v>
      </c>
      <c r="BO175">
        <v>800.02</v>
      </c>
      <c r="BP175">
        <v>0.142092</v>
      </c>
      <c r="BQ175">
        <v>2.6139899999999998</v>
      </c>
      <c r="BR175">
        <v>1.4115600000000001E-2</v>
      </c>
      <c r="BS175">
        <v>21.754200000000001</v>
      </c>
      <c r="BT175">
        <v>-42.726700000000001</v>
      </c>
      <c r="BU175">
        <v>1800</v>
      </c>
      <c r="BV175">
        <v>0.90999699999999994</v>
      </c>
      <c r="BW175">
        <v>3.3991599999999997E-2</v>
      </c>
      <c r="BX175">
        <v>2.2004900000000001E-2</v>
      </c>
      <c r="BY175">
        <v>3.4006500000000002E-2</v>
      </c>
      <c r="BZ175">
        <v>26</v>
      </c>
      <c r="CA175">
        <v>33528.400000000001</v>
      </c>
      <c r="CB175">
        <v>1690292073.5</v>
      </c>
      <c r="CC175" t="s">
        <v>332</v>
      </c>
      <c r="CD175">
        <v>1690292069.5</v>
      </c>
      <c r="CE175">
        <v>1690292073.5</v>
      </c>
      <c r="CF175">
        <v>4</v>
      </c>
      <c r="CG175">
        <v>-3.6999999999999998E-2</v>
      </c>
      <c r="CH175">
        <v>-1.6E-2</v>
      </c>
      <c r="CI175">
        <v>-0.45200000000000001</v>
      </c>
      <c r="CJ175">
        <v>0.108</v>
      </c>
      <c r="CK175">
        <v>730</v>
      </c>
      <c r="CL175">
        <v>18</v>
      </c>
      <c r="CM175">
        <v>0</v>
      </c>
      <c r="CN175">
        <v>0.01</v>
      </c>
      <c r="CO175">
        <v>-440.28012499999988</v>
      </c>
      <c r="CP175">
        <v>-3.9411219512172009</v>
      </c>
      <c r="CQ175">
        <v>0.38400378823001008</v>
      </c>
      <c r="CR175">
        <v>-1</v>
      </c>
      <c r="CS175">
        <v>26.124677500000001</v>
      </c>
      <c r="CT175">
        <v>0.23680412757973079</v>
      </c>
      <c r="CU175">
        <v>2.2798579862570341E-2</v>
      </c>
      <c r="CV175">
        <v>-1</v>
      </c>
      <c r="CW175">
        <v>0</v>
      </c>
      <c r="CX175">
        <v>0</v>
      </c>
      <c r="CY175" t="s">
        <v>333</v>
      </c>
      <c r="CZ175">
        <v>2.36497</v>
      </c>
      <c r="DA175">
        <v>2.7138</v>
      </c>
      <c r="DB175">
        <v>8.2575399999999993E-2</v>
      </c>
      <c r="DC175">
        <v>0.14644099999999999</v>
      </c>
      <c r="DD175">
        <v>0.12202</v>
      </c>
      <c r="DE175">
        <v>1.2015400000000001E-3</v>
      </c>
      <c r="DF175">
        <v>33506.6</v>
      </c>
      <c r="DG175">
        <v>27513.4</v>
      </c>
      <c r="DH175">
        <v>31178.2</v>
      </c>
      <c r="DI175">
        <v>28086.9</v>
      </c>
      <c r="DJ175">
        <v>37153.199999999997</v>
      </c>
      <c r="DK175">
        <v>39892.800000000003</v>
      </c>
      <c r="DL175">
        <v>44370.3</v>
      </c>
      <c r="DM175">
        <v>42563.5</v>
      </c>
      <c r="DN175">
        <v>1.4895799999999999</v>
      </c>
      <c r="DO175">
        <v>2.0386000000000002</v>
      </c>
      <c r="DP175">
        <v>0.127882</v>
      </c>
      <c r="DQ175">
        <v>0.12432</v>
      </c>
      <c r="DR175">
        <v>24.924700000000001</v>
      </c>
      <c r="DS175">
        <v>24.560199999999998</v>
      </c>
      <c r="DT175">
        <v>22</v>
      </c>
      <c r="DU175">
        <v>28.8</v>
      </c>
      <c r="DV175">
        <v>8.80457</v>
      </c>
      <c r="DW175">
        <v>61.883400000000002</v>
      </c>
      <c r="DX175">
        <v>34.919899999999998</v>
      </c>
      <c r="DY175">
        <v>1</v>
      </c>
      <c r="DZ175">
        <v>-0.11306099999999999</v>
      </c>
      <c r="EA175">
        <v>0.32990700000000001</v>
      </c>
      <c r="EB175">
        <v>20.190000000000001</v>
      </c>
      <c r="EC175">
        <v>5.2418500000000003</v>
      </c>
      <c r="ED175">
        <v>12.039899999999999</v>
      </c>
      <c r="EE175">
        <v>5.0172999999999996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1.8646199999999999</v>
      </c>
      <c r="EM175">
        <v>1.8691800000000001</v>
      </c>
      <c r="EN175">
        <v>1.8672200000000001</v>
      </c>
      <c r="EO175">
        <v>1.86337</v>
      </c>
      <c r="EP175">
        <v>1.8644700000000001</v>
      </c>
      <c r="EQ175">
        <v>1.87015</v>
      </c>
      <c r="ER175">
        <v>1.8694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-0.189</v>
      </c>
      <c r="FG175">
        <v>0.15140000000000001</v>
      </c>
      <c r="FH175">
        <v>5.0310448532705943E-2</v>
      </c>
      <c r="FI175">
        <v>-6.1462078757559423E-4</v>
      </c>
      <c r="FJ175">
        <v>-1.8861989874597051E-7</v>
      </c>
      <c r="FK175">
        <v>1.1980462299894961E-10</v>
      </c>
      <c r="FL175">
        <v>0.15140825623214971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31.8</v>
      </c>
      <c r="FU175">
        <v>31.8</v>
      </c>
      <c r="FV175">
        <v>1.7663599999999999</v>
      </c>
      <c r="FW175">
        <v>2.5830099999999998</v>
      </c>
      <c r="FX175">
        <v>1.5490699999999999</v>
      </c>
      <c r="FY175">
        <v>2.3339799999999999</v>
      </c>
      <c r="FZ175">
        <v>1.50146</v>
      </c>
      <c r="GA175">
        <v>2.32666</v>
      </c>
      <c r="GB175">
        <v>33.199199999999998</v>
      </c>
      <c r="GC175">
        <v>23.991199999999999</v>
      </c>
      <c r="GD175">
        <v>19</v>
      </c>
      <c r="GE175">
        <v>287.39600000000002</v>
      </c>
      <c r="GF175">
        <v>581.85699999999997</v>
      </c>
      <c r="GG175">
        <v>23.728999999999999</v>
      </c>
      <c r="GH175">
        <v>25.9451</v>
      </c>
      <c r="GI175">
        <v>30.000399999999999</v>
      </c>
      <c r="GJ175">
        <v>26.079799999999999</v>
      </c>
      <c r="GK175">
        <v>26.0611</v>
      </c>
      <c r="GL175">
        <v>35.305999999999997</v>
      </c>
      <c r="GM175">
        <v>100</v>
      </c>
      <c r="GN175">
        <v>0</v>
      </c>
      <c r="GO175">
        <v>23.722999999999999</v>
      </c>
      <c r="GP175">
        <v>800</v>
      </c>
      <c r="GQ175">
        <v>0</v>
      </c>
      <c r="GR175">
        <v>99.757999999999996</v>
      </c>
      <c r="GS175">
        <v>99.576800000000006</v>
      </c>
    </row>
    <row r="176" spans="1:201" x14ac:dyDescent="0.25">
      <c r="A176">
        <v>160</v>
      </c>
      <c r="B176">
        <v>1690293990</v>
      </c>
      <c r="C176">
        <v>1719.400000095367</v>
      </c>
      <c r="D176" t="s">
        <v>653</v>
      </c>
      <c r="E176" t="s">
        <v>654</v>
      </c>
      <c r="F176" t="s">
        <v>330</v>
      </c>
      <c r="H176">
        <v>1690293990</v>
      </c>
      <c r="I176">
        <f t="shared" si="60"/>
        <v>2.6920156299221573E-3</v>
      </c>
      <c r="J176">
        <f t="shared" si="61"/>
        <v>2.6920156299221571</v>
      </c>
      <c r="K176">
        <f t="shared" si="62"/>
        <v>43.214173870975301</v>
      </c>
      <c r="L176">
        <f t="shared" si="63"/>
        <v>358.43799999999999</v>
      </c>
      <c r="M176">
        <f t="shared" si="64"/>
        <v>114.85889074459992</v>
      </c>
      <c r="N176">
        <f t="shared" si="65"/>
        <v>11.421461736310187</v>
      </c>
      <c r="O176">
        <f t="shared" si="66"/>
        <v>35.642742806412002</v>
      </c>
      <c r="P176">
        <f t="shared" si="67"/>
        <v>0.3065878450211057</v>
      </c>
      <c r="Q176">
        <f t="shared" si="68"/>
        <v>2.2544908370108168</v>
      </c>
      <c r="R176">
        <f t="shared" si="69"/>
        <v>0.28516634521707662</v>
      </c>
      <c r="S176">
        <f t="shared" si="70"/>
        <v>0.18002871969917161</v>
      </c>
      <c r="T176">
        <f t="shared" si="71"/>
        <v>276.11580898799997</v>
      </c>
      <c r="U176">
        <f t="shared" si="72"/>
        <v>26.760316930343791</v>
      </c>
      <c r="V176">
        <f t="shared" si="73"/>
        <v>26.760316930343791</v>
      </c>
      <c r="W176">
        <f t="shared" si="74"/>
        <v>3.5290837196338756</v>
      </c>
      <c r="X176">
        <f t="shared" si="75"/>
        <v>79.599190809726622</v>
      </c>
      <c r="Y176">
        <f t="shared" si="76"/>
        <v>2.6193843116784001</v>
      </c>
      <c r="Z176">
        <f t="shared" si="77"/>
        <v>3.2907172611085445</v>
      </c>
      <c r="AA176">
        <f t="shared" si="78"/>
        <v>0.90969940795547544</v>
      </c>
      <c r="AB176">
        <f t="shared" si="79"/>
        <v>-118.71788927956713</v>
      </c>
      <c r="AC176">
        <f t="shared" si="80"/>
        <v>-143.82520315239822</v>
      </c>
      <c r="AD176">
        <f t="shared" si="81"/>
        <v>-13.653616803144914</v>
      </c>
      <c r="AE176">
        <f t="shared" si="82"/>
        <v>-8.0900247110321288E-2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52660.92210052564</v>
      </c>
      <c r="AK176">
        <f t="shared" si="86"/>
        <v>1800</v>
      </c>
      <c r="AL176">
        <f t="shared" si="87"/>
        <v>1499.1129107999998</v>
      </c>
      <c r="AM176">
        <f t="shared" si="88"/>
        <v>0.83284050599999992</v>
      </c>
      <c r="AN176">
        <f t="shared" si="89"/>
        <v>0.15339767165999998</v>
      </c>
      <c r="AO176">
        <v>30</v>
      </c>
      <c r="AP176">
        <v>0.5</v>
      </c>
      <c r="AQ176" t="s">
        <v>331</v>
      </c>
      <c r="AR176">
        <v>2</v>
      </c>
      <c r="AS176">
        <v>1690293990</v>
      </c>
      <c r="AT176">
        <v>358.43799999999999</v>
      </c>
      <c r="AU176">
        <v>800.04200000000003</v>
      </c>
      <c r="AV176">
        <v>26.3416</v>
      </c>
      <c r="AW176">
        <v>0.141655</v>
      </c>
      <c r="AX176">
        <v>358.62700000000001</v>
      </c>
      <c r="AY176">
        <v>26.190200000000001</v>
      </c>
      <c r="AZ176">
        <v>300.12700000000001</v>
      </c>
      <c r="BA176">
        <v>99.338999999999999</v>
      </c>
      <c r="BB176">
        <v>0.100074</v>
      </c>
      <c r="BC176">
        <v>25.577000000000002</v>
      </c>
      <c r="BD176">
        <v>27.0337</v>
      </c>
      <c r="BE176">
        <v>26.610499999999998</v>
      </c>
      <c r="BF176">
        <v>0</v>
      </c>
      <c r="BG176">
        <v>0</v>
      </c>
      <c r="BH176">
        <v>9976.8799999999992</v>
      </c>
      <c r="BI176">
        <v>1062.8699999999999</v>
      </c>
      <c r="BJ176">
        <v>2.2426400000000002</v>
      </c>
      <c r="BK176">
        <v>-441.60399999999998</v>
      </c>
      <c r="BL176">
        <v>368.13499999999999</v>
      </c>
      <c r="BM176">
        <v>800.15499999999997</v>
      </c>
      <c r="BN176">
        <v>26.2</v>
      </c>
      <c r="BO176">
        <v>800.04200000000003</v>
      </c>
      <c r="BP176">
        <v>0.141655</v>
      </c>
      <c r="BQ176">
        <v>2.6167500000000001</v>
      </c>
      <c r="BR176">
        <v>1.40719E-2</v>
      </c>
      <c r="BS176">
        <v>21.7715</v>
      </c>
      <c r="BT176">
        <v>-42.755600000000001</v>
      </c>
      <c r="BU176">
        <v>1800</v>
      </c>
      <c r="BV176">
        <v>0.90999699999999994</v>
      </c>
      <c r="BW176">
        <v>3.3991500000000001E-2</v>
      </c>
      <c r="BX176">
        <v>2.2004800000000001E-2</v>
      </c>
      <c r="BY176">
        <v>3.4006399999999999E-2</v>
      </c>
      <c r="BZ176">
        <v>25.916699999999999</v>
      </c>
      <c r="CA176">
        <v>33528.300000000003</v>
      </c>
      <c r="CB176">
        <v>1690292073.5</v>
      </c>
      <c r="CC176" t="s">
        <v>332</v>
      </c>
      <c r="CD176">
        <v>1690292069.5</v>
      </c>
      <c r="CE176">
        <v>1690292073.5</v>
      </c>
      <c r="CF176">
        <v>4</v>
      </c>
      <c r="CG176">
        <v>-3.6999999999999998E-2</v>
      </c>
      <c r="CH176">
        <v>-1.6E-2</v>
      </c>
      <c r="CI176">
        <v>-0.45200000000000001</v>
      </c>
      <c r="CJ176">
        <v>0.108</v>
      </c>
      <c r="CK176">
        <v>730</v>
      </c>
      <c r="CL176">
        <v>18</v>
      </c>
      <c r="CM176">
        <v>0</v>
      </c>
      <c r="CN176">
        <v>0.01</v>
      </c>
      <c r="CO176">
        <v>-440.95227499999999</v>
      </c>
      <c r="CP176">
        <v>-4.0599737335830737</v>
      </c>
      <c r="CQ176">
        <v>0.39565736360518111</v>
      </c>
      <c r="CR176">
        <v>-1</v>
      </c>
      <c r="CS176">
        <v>26.165545000000002</v>
      </c>
      <c r="CT176">
        <v>0.24323076923079159</v>
      </c>
      <c r="CU176">
        <v>2.3563594271672539E-2</v>
      </c>
      <c r="CV176">
        <v>-1</v>
      </c>
      <c r="CW176">
        <v>0</v>
      </c>
      <c r="CX176">
        <v>0</v>
      </c>
      <c r="CY176" t="s">
        <v>333</v>
      </c>
      <c r="CZ176">
        <v>2.3647999999999998</v>
      </c>
      <c r="DA176">
        <v>2.7138399999999998</v>
      </c>
      <c r="DB176">
        <v>8.2493700000000003E-2</v>
      </c>
      <c r="DC176">
        <v>0.14643999999999999</v>
      </c>
      <c r="DD176">
        <v>0.122109</v>
      </c>
      <c r="DE176">
        <v>1.1978500000000001E-3</v>
      </c>
      <c r="DF176">
        <v>33510</v>
      </c>
      <c r="DG176">
        <v>27513.3</v>
      </c>
      <c r="DH176">
        <v>31178.6</v>
      </c>
      <c r="DI176">
        <v>28086.799999999999</v>
      </c>
      <c r="DJ176">
        <v>37149.5</v>
      </c>
      <c r="DK176">
        <v>39892.800000000003</v>
      </c>
      <c r="DL176">
        <v>44370.400000000001</v>
      </c>
      <c r="DM176">
        <v>42563.3</v>
      </c>
      <c r="DN176">
        <v>1.4899500000000001</v>
      </c>
      <c r="DO176">
        <v>2.03857</v>
      </c>
      <c r="DP176">
        <v>0.12861900000000001</v>
      </c>
      <c r="DQ176">
        <v>0.124954</v>
      </c>
      <c r="DR176">
        <v>24.9268</v>
      </c>
      <c r="DS176">
        <v>24.5623</v>
      </c>
      <c r="DT176">
        <v>22</v>
      </c>
      <c r="DU176">
        <v>28.8</v>
      </c>
      <c r="DV176">
        <v>8.8047900000000006</v>
      </c>
      <c r="DW176">
        <v>61.903399999999998</v>
      </c>
      <c r="DX176">
        <v>35.492800000000003</v>
      </c>
      <c r="DY176">
        <v>1</v>
      </c>
      <c r="DZ176">
        <v>-0.113201</v>
      </c>
      <c r="EA176">
        <v>0.45819700000000002</v>
      </c>
      <c r="EB176">
        <v>20.189299999999999</v>
      </c>
      <c r="EC176">
        <v>5.24125</v>
      </c>
      <c r="ED176">
        <v>12.039899999999999</v>
      </c>
      <c r="EE176">
        <v>5.0174500000000002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1.8689100000000001</v>
      </c>
      <c r="EL176">
        <v>1.8646199999999999</v>
      </c>
      <c r="EM176">
        <v>1.8692</v>
      </c>
      <c r="EN176">
        <v>1.8672200000000001</v>
      </c>
      <c r="EO176">
        <v>1.8633900000000001</v>
      </c>
      <c r="EP176">
        <v>1.86446</v>
      </c>
      <c r="EQ176">
        <v>1.8701399999999999</v>
      </c>
      <c r="ER176">
        <v>1.8693900000000001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-0.189</v>
      </c>
      <c r="FG176">
        <v>0.15140000000000001</v>
      </c>
      <c r="FH176">
        <v>5.0310448532705943E-2</v>
      </c>
      <c r="FI176">
        <v>-6.1462078757559423E-4</v>
      </c>
      <c r="FJ176">
        <v>-1.8861989874597051E-7</v>
      </c>
      <c r="FK176">
        <v>1.1980462299894961E-10</v>
      </c>
      <c r="FL176">
        <v>0.15140825623214971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32</v>
      </c>
      <c r="FU176">
        <v>31.9</v>
      </c>
      <c r="FV176">
        <v>1.7651399999999999</v>
      </c>
      <c r="FW176">
        <v>2.5830099999999998</v>
      </c>
      <c r="FX176">
        <v>1.5490699999999999</v>
      </c>
      <c r="FY176">
        <v>2.3339799999999999</v>
      </c>
      <c r="FZ176">
        <v>1.50146</v>
      </c>
      <c r="GA176">
        <v>2.4133300000000002</v>
      </c>
      <c r="GB176">
        <v>33.199199999999998</v>
      </c>
      <c r="GC176">
        <v>23.991199999999999</v>
      </c>
      <c r="GD176">
        <v>19</v>
      </c>
      <c r="GE176">
        <v>287.55799999999999</v>
      </c>
      <c r="GF176">
        <v>581.83699999999999</v>
      </c>
      <c r="GG176">
        <v>23.6996</v>
      </c>
      <c r="GH176">
        <v>25.946400000000001</v>
      </c>
      <c r="GI176">
        <v>30.0001</v>
      </c>
      <c r="GJ176">
        <v>26.079799999999999</v>
      </c>
      <c r="GK176">
        <v>26.0611</v>
      </c>
      <c r="GL176">
        <v>35.306699999999999</v>
      </c>
      <c r="GM176">
        <v>100</v>
      </c>
      <c r="GN176">
        <v>0</v>
      </c>
      <c r="GO176">
        <v>23.666</v>
      </c>
      <c r="GP176">
        <v>800</v>
      </c>
      <c r="GQ176">
        <v>0</v>
      </c>
      <c r="GR176">
        <v>99.758600000000001</v>
      </c>
      <c r="GS176">
        <v>99.576499999999996</v>
      </c>
    </row>
    <row r="177" spans="1:201" x14ac:dyDescent="0.25">
      <c r="A177">
        <v>161</v>
      </c>
      <c r="B177">
        <v>1690294000</v>
      </c>
      <c r="C177">
        <v>1729.400000095367</v>
      </c>
      <c r="D177" t="s">
        <v>655</v>
      </c>
      <c r="E177" t="s">
        <v>656</v>
      </c>
      <c r="F177" t="s">
        <v>330</v>
      </c>
      <c r="H177">
        <v>1690294000</v>
      </c>
      <c r="I177">
        <f t="shared" si="60"/>
        <v>2.6921276202773537E-3</v>
      </c>
      <c r="J177">
        <f t="shared" si="61"/>
        <v>2.6921276202773536</v>
      </c>
      <c r="K177">
        <f t="shared" si="62"/>
        <v>43.268409785125677</v>
      </c>
      <c r="L177">
        <f t="shared" si="63"/>
        <v>357.834</v>
      </c>
      <c r="M177">
        <f t="shared" si="64"/>
        <v>114.61727396777476</v>
      </c>
      <c r="N177">
        <f t="shared" si="65"/>
        <v>11.397865975623578</v>
      </c>
      <c r="O177">
        <f t="shared" si="66"/>
        <v>35.584025272386</v>
      </c>
      <c r="P177">
        <f t="shared" si="67"/>
        <v>0.30747155254143038</v>
      </c>
      <c r="Q177">
        <f t="shared" si="68"/>
        <v>2.2542972487878972</v>
      </c>
      <c r="R177">
        <f t="shared" si="69"/>
        <v>0.28592932368093316</v>
      </c>
      <c r="S177">
        <f t="shared" si="70"/>
        <v>0.18051537845818408</v>
      </c>
      <c r="T177">
        <f t="shared" si="71"/>
        <v>276.11581748399999</v>
      </c>
      <c r="U177">
        <f t="shared" si="72"/>
        <v>26.7526806111733</v>
      </c>
      <c r="V177">
        <f t="shared" si="73"/>
        <v>26.7526806111733</v>
      </c>
      <c r="W177">
        <f t="shared" si="74"/>
        <v>3.5274984015658228</v>
      </c>
      <c r="X177">
        <f t="shared" si="75"/>
        <v>79.658846809165553</v>
      </c>
      <c r="Y177">
        <f t="shared" si="76"/>
        <v>2.6201494913407002</v>
      </c>
      <c r="Z177">
        <f t="shared" si="77"/>
        <v>3.2892134349090596</v>
      </c>
      <c r="AA177">
        <f t="shared" si="78"/>
        <v>0.90734891022512265</v>
      </c>
      <c r="AB177">
        <f t="shared" si="79"/>
        <v>-118.7228280542313</v>
      </c>
      <c r="AC177">
        <f t="shared" si="80"/>
        <v>-143.82059256026213</v>
      </c>
      <c r="AD177">
        <f t="shared" si="81"/>
        <v>-13.653301668168844</v>
      </c>
      <c r="AE177">
        <f t="shared" si="82"/>
        <v>-8.0904798662288613E-2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52654.770679093599</v>
      </c>
      <c r="AK177">
        <f t="shared" si="86"/>
        <v>1800</v>
      </c>
      <c r="AL177">
        <f t="shared" si="87"/>
        <v>1499.1136164</v>
      </c>
      <c r="AM177">
        <f t="shared" si="88"/>
        <v>0.83284089799999994</v>
      </c>
      <c r="AN177">
        <f t="shared" si="89"/>
        <v>0.15339767637999999</v>
      </c>
      <c r="AO177">
        <v>30</v>
      </c>
      <c r="AP177">
        <v>0.5</v>
      </c>
      <c r="AQ177" t="s">
        <v>331</v>
      </c>
      <c r="AR177">
        <v>2</v>
      </c>
      <c r="AS177">
        <v>1690294000</v>
      </c>
      <c r="AT177">
        <v>357.834</v>
      </c>
      <c r="AU177">
        <v>800.06299999999999</v>
      </c>
      <c r="AV177">
        <v>26.348299999999998</v>
      </c>
      <c r="AW177">
        <v>0.141595</v>
      </c>
      <c r="AX177">
        <v>358.02300000000002</v>
      </c>
      <c r="AY177">
        <v>26.196899999999999</v>
      </c>
      <c r="AZ177">
        <v>300.06</v>
      </c>
      <c r="BA177">
        <v>99.342799999999997</v>
      </c>
      <c r="BB177">
        <v>0.10002900000000001</v>
      </c>
      <c r="BC177">
        <v>25.569299999999998</v>
      </c>
      <c r="BD177">
        <v>26.9603</v>
      </c>
      <c r="BE177">
        <v>26.5914</v>
      </c>
      <c r="BF177">
        <v>0</v>
      </c>
      <c r="BG177">
        <v>0</v>
      </c>
      <c r="BH177">
        <v>9975</v>
      </c>
      <c r="BI177">
        <v>1062.8499999999999</v>
      </c>
      <c r="BJ177">
        <v>2.2426400000000002</v>
      </c>
      <c r="BK177">
        <v>-442.22899999999998</v>
      </c>
      <c r="BL177">
        <v>367.51799999999997</v>
      </c>
      <c r="BM177">
        <v>800.17600000000004</v>
      </c>
      <c r="BN177">
        <v>26.206700000000001</v>
      </c>
      <c r="BO177">
        <v>800.06299999999999</v>
      </c>
      <c r="BP177">
        <v>0.141595</v>
      </c>
      <c r="BQ177">
        <v>2.6175099999999998</v>
      </c>
      <c r="BR177">
        <v>1.4066499999999999E-2</v>
      </c>
      <c r="BS177">
        <v>21.776299999999999</v>
      </c>
      <c r="BT177">
        <v>-42.7592</v>
      </c>
      <c r="BU177">
        <v>1800</v>
      </c>
      <c r="BV177">
        <v>0.909999</v>
      </c>
      <c r="BW177">
        <v>3.3990800000000002E-2</v>
      </c>
      <c r="BX177">
        <v>2.20044E-2</v>
      </c>
      <c r="BY177">
        <v>3.4005800000000003E-2</v>
      </c>
      <c r="BZ177">
        <v>25.916699999999999</v>
      </c>
      <c r="CA177">
        <v>33528.400000000001</v>
      </c>
      <c r="CB177">
        <v>1690292073.5</v>
      </c>
      <c r="CC177" t="s">
        <v>332</v>
      </c>
      <c r="CD177">
        <v>1690292069.5</v>
      </c>
      <c r="CE177">
        <v>1690292073.5</v>
      </c>
      <c r="CF177">
        <v>4</v>
      </c>
      <c r="CG177">
        <v>-3.6999999999999998E-2</v>
      </c>
      <c r="CH177">
        <v>-1.6E-2</v>
      </c>
      <c r="CI177">
        <v>-0.45200000000000001</v>
      </c>
      <c r="CJ177">
        <v>0.108</v>
      </c>
      <c r="CK177">
        <v>730</v>
      </c>
      <c r="CL177">
        <v>18</v>
      </c>
      <c r="CM177">
        <v>0</v>
      </c>
      <c r="CN177">
        <v>0.01</v>
      </c>
      <c r="CO177">
        <v>-441.57022500000011</v>
      </c>
      <c r="CP177">
        <v>-3.3365065666031288</v>
      </c>
      <c r="CQ177">
        <v>0.32509210137282341</v>
      </c>
      <c r="CR177">
        <v>-1</v>
      </c>
      <c r="CS177">
        <v>26.195437500000001</v>
      </c>
      <c r="CT177">
        <v>0.1067718574108176</v>
      </c>
      <c r="CU177">
        <v>1.085231974049816E-2</v>
      </c>
      <c r="CV177">
        <v>-1</v>
      </c>
      <c r="CW177">
        <v>0</v>
      </c>
      <c r="CX177">
        <v>0</v>
      </c>
      <c r="CY177" t="s">
        <v>333</v>
      </c>
      <c r="CZ177">
        <v>2.3645800000000001</v>
      </c>
      <c r="DA177">
        <v>2.7138</v>
      </c>
      <c r="DB177">
        <v>8.2388000000000003E-2</v>
      </c>
      <c r="DC177">
        <v>0.14644799999999999</v>
      </c>
      <c r="DD177">
        <v>0.12213499999999999</v>
      </c>
      <c r="DE177">
        <v>1.19739E-3</v>
      </c>
      <c r="DF177">
        <v>33513.5</v>
      </c>
      <c r="DG177">
        <v>27512.7</v>
      </c>
      <c r="DH177">
        <v>31178.2</v>
      </c>
      <c r="DI177">
        <v>28086.400000000001</v>
      </c>
      <c r="DJ177">
        <v>37148.1</v>
      </c>
      <c r="DK177">
        <v>39892.400000000001</v>
      </c>
      <c r="DL177">
        <v>44370.1</v>
      </c>
      <c r="DM177">
        <v>42562.8</v>
      </c>
      <c r="DN177">
        <v>1.4894499999999999</v>
      </c>
      <c r="DO177">
        <v>2.0381800000000001</v>
      </c>
      <c r="DP177">
        <v>0.12413399999999999</v>
      </c>
      <c r="DQ177">
        <v>0.123791</v>
      </c>
      <c r="DR177">
        <v>24.9268</v>
      </c>
      <c r="DS177">
        <v>24.5623</v>
      </c>
      <c r="DT177">
        <v>22</v>
      </c>
      <c r="DU177">
        <v>28.8</v>
      </c>
      <c r="DV177">
        <v>8.8049900000000001</v>
      </c>
      <c r="DW177">
        <v>62.043399999999998</v>
      </c>
      <c r="DX177">
        <v>35.965499999999999</v>
      </c>
      <c r="DY177">
        <v>1</v>
      </c>
      <c r="DZ177">
        <v>-0.11329</v>
      </c>
      <c r="EA177">
        <v>0.31086599999999998</v>
      </c>
      <c r="EB177">
        <v>20.189699999999998</v>
      </c>
      <c r="EC177">
        <v>5.2415500000000002</v>
      </c>
      <c r="ED177">
        <v>12.039899999999999</v>
      </c>
      <c r="EE177">
        <v>5.0176999999999996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1.8689100000000001</v>
      </c>
      <c r="EL177">
        <v>1.86463</v>
      </c>
      <c r="EM177">
        <v>1.8692</v>
      </c>
      <c r="EN177">
        <v>1.8672200000000001</v>
      </c>
      <c r="EO177">
        <v>1.86337</v>
      </c>
      <c r="EP177">
        <v>1.8644499999999999</v>
      </c>
      <c r="EQ177">
        <v>1.8701399999999999</v>
      </c>
      <c r="ER177">
        <v>1.8694200000000001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-0.189</v>
      </c>
      <c r="FG177">
        <v>0.15140000000000001</v>
      </c>
      <c r="FH177">
        <v>5.0310448532705943E-2</v>
      </c>
      <c r="FI177">
        <v>-6.1462078757559423E-4</v>
      </c>
      <c r="FJ177">
        <v>-1.8861989874597051E-7</v>
      </c>
      <c r="FK177">
        <v>1.1980462299894961E-10</v>
      </c>
      <c r="FL177">
        <v>0.15140825623214971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32.200000000000003</v>
      </c>
      <c r="FU177">
        <v>32.1</v>
      </c>
      <c r="FV177">
        <v>1.7663599999999999</v>
      </c>
      <c r="FW177">
        <v>2.5793499999999998</v>
      </c>
      <c r="FX177">
        <v>1.5490699999999999</v>
      </c>
      <c r="FY177">
        <v>2.3327599999999999</v>
      </c>
      <c r="FZ177">
        <v>1.50146</v>
      </c>
      <c r="GA177">
        <v>2.3864700000000001</v>
      </c>
      <c r="GB177">
        <v>33.199199999999998</v>
      </c>
      <c r="GC177">
        <v>23.982399999999998</v>
      </c>
      <c r="GD177">
        <v>19</v>
      </c>
      <c r="GE177">
        <v>287.34300000000002</v>
      </c>
      <c r="GF177">
        <v>581.50800000000004</v>
      </c>
      <c r="GG177">
        <v>23.636199999999999</v>
      </c>
      <c r="GH177">
        <v>25.947199999999999</v>
      </c>
      <c r="GI177">
        <v>30.0001</v>
      </c>
      <c r="GJ177">
        <v>26.079799999999999</v>
      </c>
      <c r="GK177">
        <v>26.0611</v>
      </c>
      <c r="GL177">
        <v>35.305999999999997</v>
      </c>
      <c r="GM177">
        <v>100</v>
      </c>
      <c r="GN177">
        <v>0</v>
      </c>
      <c r="GO177">
        <v>23.691600000000001</v>
      </c>
      <c r="GP177">
        <v>800</v>
      </c>
      <c r="GQ177">
        <v>0</v>
      </c>
      <c r="GR177">
        <v>99.7577</v>
      </c>
      <c r="GS177">
        <v>99.575199999999995</v>
      </c>
    </row>
    <row r="178" spans="1:201" x14ac:dyDescent="0.25">
      <c r="A178">
        <v>162</v>
      </c>
      <c r="B178">
        <v>1690294010</v>
      </c>
      <c r="C178">
        <v>1739.400000095367</v>
      </c>
      <c r="D178" t="s">
        <v>657</v>
      </c>
      <c r="E178" t="s">
        <v>658</v>
      </c>
      <c r="F178" t="s">
        <v>330</v>
      </c>
      <c r="H178">
        <v>1690294010</v>
      </c>
      <c r="I178">
        <f t="shared" si="60"/>
        <v>2.695247843757893E-3</v>
      </c>
      <c r="J178">
        <f t="shared" si="61"/>
        <v>2.6952478437578931</v>
      </c>
      <c r="K178">
        <f t="shared" si="62"/>
        <v>43.341765161783002</v>
      </c>
      <c r="L178">
        <f t="shared" si="63"/>
        <v>357.23399999999998</v>
      </c>
      <c r="M178">
        <f t="shared" si="64"/>
        <v>114.74676849819139</v>
      </c>
      <c r="N178">
        <f t="shared" si="65"/>
        <v>11.410909064199359</v>
      </c>
      <c r="O178">
        <f t="shared" si="66"/>
        <v>35.524875706669199</v>
      </c>
      <c r="P178">
        <f t="shared" si="67"/>
        <v>0.30899182387953733</v>
      </c>
      <c r="Q178">
        <f t="shared" si="68"/>
        <v>2.2558509355099527</v>
      </c>
      <c r="R178">
        <f t="shared" si="69"/>
        <v>0.28725796508820922</v>
      </c>
      <c r="S178">
        <f t="shared" si="70"/>
        <v>0.1813613750452257</v>
      </c>
      <c r="T178">
        <f t="shared" si="71"/>
        <v>276.11589889800001</v>
      </c>
      <c r="U178">
        <f t="shared" si="72"/>
        <v>26.746506998815317</v>
      </c>
      <c r="V178">
        <f t="shared" si="73"/>
        <v>26.746506998815317</v>
      </c>
      <c r="W178">
        <f t="shared" si="74"/>
        <v>3.5262171994596989</v>
      </c>
      <c r="X178">
        <f t="shared" si="75"/>
        <v>79.736156459363329</v>
      </c>
      <c r="Y178">
        <f t="shared" si="76"/>
        <v>2.6220073895750797</v>
      </c>
      <c r="Z178">
        <f t="shared" si="77"/>
        <v>3.2883543752342232</v>
      </c>
      <c r="AA178">
        <f t="shared" si="78"/>
        <v>0.90420980988461919</v>
      </c>
      <c r="AB178">
        <f t="shared" si="79"/>
        <v>-118.86042990972308</v>
      </c>
      <c r="AC178">
        <f t="shared" si="80"/>
        <v>-143.70401312453833</v>
      </c>
      <c r="AD178">
        <f t="shared" si="81"/>
        <v>-13.632115635671186</v>
      </c>
      <c r="AE178">
        <f t="shared" si="82"/>
        <v>-8.0659771932602098E-2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52716.518372684353</v>
      </c>
      <c r="AK178">
        <f t="shared" si="86"/>
        <v>1800</v>
      </c>
      <c r="AL178">
        <f t="shared" si="87"/>
        <v>1499.1123438</v>
      </c>
      <c r="AM178">
        <f t="shared" si="88"/>
        <v>0.83284019099999995</v>
      </c>
      <c r="AN178">
        <f t="shared" si="89"/>
        <v>0.15339772161000001</v>
      </c>
      <c r="AO178">
        <v>30</v>
      </c>
      <c r="AP178">
        <v>0.5</v>
      </c>
      <c r="AQ178" t="s">
        <v>331</v>
      </c>
      <c r="AR178">
        <v>2</v>
      </c>
      <c r="AS178">
        <v>1690294010</v>
      </c>
      <c r="AT178">
        <v>357.23399999999998</v>
      </c>
      <c r="AU178">
        <v>800.00400000000002</v>
      </c>
      <c r="AV178">
        <v>26.366599999999998</v>
      </c>
      <c r="AW178">
        <v>0.14111399999999999</v>
      </c>
      <c r="AX178">
        <v>357.42200000000003</v>
      </c>
      <c r="AY178">
        <v>26.215199999999999</v>
      </c>
      <c r="AZ178">
        <v>300.18700000000001</v>
      </c>
      <c r="BA178">
        <v>99.344300000000004</v>
      </c>
      <c r="BB178">
        <v>9.9973800000000002E-2</v>
      </c>
      <c r="BC178">
        <v>25.564900000000002</v>
      </c>
      <c r="BD178">
        <v>26.980799999999999</v>
      </c>
      <c r="BE178">
        <v>26.596299999999999</v>
      </c>
      <c r="BF178">
        <v>0</v>
      </c>
      <c r="BG178">
        <v>0</v>
      </c>
      <c r="BH178">
        <v>9986.8799999999992</v>
      </c>
      <c r="BI178">
        <v>1062.8599999999999</v>
      </c>
      <c r="BJ178">
        <v>2.2426400000000002</v>
      </c>
      <c r="BK178">
        <v>-442.77</v>
      </c>
      <c r="BL178">
        <v>366.90800000000002</v>
      </c>
      <c r="BM178">
        <v>800.11699999999996</v>
      </c>
      <c r="BN178">
        <v>26.2254</v>
      </c>
      <c r="BO178">
        <v>800.00400000000002</v>
      </c>
      <c r="BP178">
        <v>0.14111399999999999</v>
      </c>
      <c r="BQ178">
        <v>2.61937</v>
      </c>
      <c r="BR178">
        <v>1.40188E-2</v>
      </c>
      <c r="BS178">
        <v>21.787800000000001</v>
      </c>
      <c r="BT178">
        <v>-42.790799999999997</v>
      </c>
      <c r="BU178">
        <v>1800</v>
      </c>
      <c r="BV178">
        <v>0.90999399999999997</v>
      </c>
      <c r="BW178">
        <v>3.39975E-2</v>
      </c>
      <c r="BX178">
        <v>2.20038E-2</v>
      </c>
      <c r="BY178">
        <v>3.4004899999999998E-2</v>
      </c>
      <c r="BZ178">
        <v>25.958300000000001</v>
      </c>
      <c r="CA178">
        <v>33528.400000000001</v>
      </c>
      <c r="CB178">
        <v>1690292073.5</v>
      </c>
      <c r="CC178" t="s">
        <v>332</v>
      </c>
      <c r="CD178">
        <v>1690292069.5</v>
      </c>
      <c r="CE178">
        <v>1690292073.5</v>
      </c>
      <c r="CF178">
        <v>4</v>
      </c>
      <c r="CG178">
        <v>-3.6999999999999998E-2</v>
      </c>
      <c r="CH178">
        <v>-1.6E-2</v>
      </c>
      <c r="CI178">
        <v>-0.45200000000000001</v>
      </c>
      <c r="CJ178">
        <v>0.108</v>
      </c>
      <c r="CK178">
        <v>730</v>
      </c>
      <c r="CL178">
        <v>18</v>
      </c>
      <c r="CM178">
        <v>0</v>
      </c>
      <c r="CN178">
        <v>0.01</v>
      </c>
      <c r="CO178">
        <v>-442.10879999999997</v>
      </c>
      <c r="CP178">
        <v>-3.180810506566873</v>
      </c>
      <c r="CQ178">
        <v>0.30976202155849031</v>
      </c>
      <c r="CR178">
        <v>-1</v>
      </c>
      <c r="CS178">
        <v>26.207452499999999</v>
      </c>
      <c r="CT178">
        <v>4.7042026266368553E-2</v>
      </c>
      <c r="CU178">
        <v>5.0575679679069254E-3</v>
      </c>
      <c r="CV178">
        <v>-1</v>
      </c>
      <c r="CW178">
        <v>0</v>
      </c>
      <c r="CX178">
        <v>0</v>
      </c>
      <c r="CY178" t="s">
        <v>333</v>
      </c>
      <c r="CZ178">
        <v>2.36497</v>
      </c>
      <c r="DA178">
        <v>2.7137500000000001</v>
      </c>
      <c r="DB178">
        <v>8.2281099999999996E-2</v>
      </c>
      <c r="DC178">
        <v>0.14644299999999999</v>
      </c>
      <c r="DD178">
        <v>0.122196</v>
      </c>
      <c r="DE178">
        <v>1.19337E-3</v>
      </c>
      <c r="DF178">
        <v>33517.699999999997</v>
      </c>
      <c r="DG178">
        <v>27513</v>
      </c>
      <c r="DH178">
        <v>31178.5</v>
      </c>
      <c r="DI178">
        <v>28086.6</v>
      </c>
      <c r="DJ178">
        <v>37145.9</v>
      </c>
      <c r="DK178">
        <v>39892.9</v>
      </c>
      <c r="DL178">
        <v>44370.6</v>
      </c>
      <c r="DM178">
        <v>42563.199999999997</v>
      </c>
      <c r="DN178">
        <v>1.4897199999999999</v>
      </c>
      <c r="DO178">
        <v>2.0385</v>
      </c>
      <c r="DP178">
        <v>0.125386</v>
      </c>
      <c r="DQ178">
        <v>0.124089</v>
      </c>
      <c r="DR178">
        <v>24.9268</v>
      </c>
      <c r="DS178">
        <v>24.5623</v>
      </c>
      <c r="DT178">
        <v>21.9</v>
      </c>
      <c r="DU178">
        <v>28.8</v>
      </c>
      <c r="DV178">
        <v>8.7642600000000002</v>
      </c>
      <c r="DW178">
        <v>62.0334</v>
      </c>
      <c r="DX178">
        <v>35.220399999999998</v>
      </c>
      <c r="DY178">
        <v>1</v>
      </c>
      <c r="DZ178">
        <v>-0.11391999999999999</v>
      </c>
      <c r="EA178">
        <v>0.19733400000000001</v>
      </c>
      <c r="EB178">
        <v>20.190200000000001</v>
      </c>
      <c r="EC178">
        <v>5.24125</v>
      </c>
      <c r="ED178">
        <v>12.039899999999999</v>
      </c>
      <c r="EE178">
        <v>5.0175000000000001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</v>
      </c>
      <c r="EL178">
        <v>1.8646199999999999</v>
      </c>
      <c r="EM178">
        <v>1.8692</v>
      </c>
      <c r="EN178">
        <v>1.8672200000000001</v>
      </c>
      <c r="EO178">
        <v>1.8633900000000001</v>
      </c>
      <c r="EP178">
        <v>1.8644700000000001</v>
      </c>
      <c r="EQ178">
        <v>1.87015</v>
      </c>
      <c r="ER178">
        <v>1.8693900000000001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-0.188</v>
      </c>
      <c r="FG178">
        <v>0.15140000000000001</v>
      </c>
      <c r="FH178">
        <v>5.0310448532705943E-2</v>
      </c>
      <c r="FI178">
        <v>-6.1462078757559423E-4</v>
      </c>
      <c r="FJ178">
        <v>-1.8861989874597051E-7</v>
      </c>
      <c r="FK178">
        <v>1.1980462299894961E-10</v>
      </c>
      <c r="FL178">
        <v>0.15140825623214971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32.299999999999997</v>
      </c>
      <c r="FU178">
        <v>32.299999999999997</v>
      </c>
      <c r="FV178">
        <v>1.7663599999999999</v>
      </c>
      <c r="FW178">
        <v>2.5878899999999998</v>
      </c>
      <c r="FX178">
        <v>1.5490699999999999</v>
      </c>
      <c r="FY178">
        <v>2.3339799999999999</v>
      </c>
      <c r="FZ178">
        <v>1.50146</v>
      </c>
      <c r="GA178">
        <v>2.2570800000000002</v>
      </c>
      <c r="GB178">
        <v>33.199199999999998</v>
      </c>
      <c r="GC178">
        <v>23.982399999999998</v>
      </c>
      <c r="GD178">
        <v>19</v>
      </c>
      <c r="GE178">
        <v>287.46100000000001</v>
      </c>
      <c r="GF178">
        <v>581.798</v>
      </c>
      <c r="GG178">
        <v>23.712399999999999</v>
      </c>
      <c r="GH178">
        <v>25.947199999999999</v>
      </c>
      <c r="GI178">
        <v>30</v>
      </c>
      <c r="GJ178">
        <v>26.079899999999999</v>
      </c>
      <c r="GK178">
        <v>26.063300000000002</v>
      </c>
      <c r="GL178">
        <v>35.304000000000002</v>
      </c>
      <c r="GM178">
        <v>100</v>
      </c>
      <c r="GN178">
        <v>0</v>
      </c>
      <c r="GO178">
        <v>23.723700000000001</v>
      </c>
      <c r="GP178">
        <v>800</v>
      </c>
      <c r="GQ178">
        <v>0</v>
      </c>
      <c r="GR178">
        <v>99.758799999999994</v>
      </c>
      <c r="GS178">
        <v>99.575900000000004</v>
      </c>
    </row>
    <row r="179" spans="1:201" x14ac:dyDescent="0.25">
      <c r="A179">
        <v>163</v>
      </c>
      <c r="B179">
        <v>1690294020</v>
      </c>
      <c r="C179">
        <v>1749.400000095367</v>
      </c>
      <c r="D179" t="s">
        <v>659</v>
      </c>
      <c r="E179" t="s">
        <v>660</v>
      </c>
      <c r="F179" t="s">
        <v>330</v>
      </c>
      <c r="H179">
        <v>1690294020</v>
      </c>
      <c r="I179">
        <f t="shared" si="60"/>
        <v>2.7009130807480975E-3</v>
      </c>
      <c r="J179">
        <f t="shared" si="61"/>
        <v>2.7009130807480974</v>
      </c>
      <c r="K179">
        <f t="shared" si="62"/>
        <v>43.391722651123274</v>
      </c>
      <c r="L179">
        <f t="shared" si="63"/>
        <v>356.77699999999999</v>
      </c>
      <c r="M179">
        <f t="shared" si="64"/>
        <v>115.66121238846675</v>
      </c>
      <c r="N179">
        <f t="shared" si="65"/>
        <v>11.501338514762681</v>
      </c>
      <c r="O179">
        <f t="shared" si="66"/>
        <v>35.477866490794803</v>
      </c>
      <c r="P179">
        <f t="shared" si="67"/>
        <v>0.31124531194023375</v>
      </c>
      <c r="Q179">
        <f t="shared" si="68"/>
        <v>2.2568416041009338</v>
      </c>
      <c r="R179">
        <f t="shared" si="69"/>
        <v>0.28921434489084508</v>
      </c>
      <c r="S179">
        <f t="shared" si="70"/>
        <v>0.18260824129817307</v>
      </c>
      <c r="T179">
        <f t="shared" si="71"/>
        <v>276.11578533599999</v>
      </c>
      <c r="U179">
        <f t="shared" si="72"/>
        <v>26.749450229403198</v>
      </c>
      <c r="V179">
        <f t="shared" si="73"/>
        <v>26.749450229403198</v>
      </c>
      <c r="W179">
        <f t="shared" si="74"/>
        <v>3.5268279537669418</v>
      </c>
      <c r="X179">
        <f t="shared" si="75"/>
        <v>79.860224531568264</v>
      </c>
      <c r="Y179">
        <f t="shared" si="76"/>
        <v>2.6269135815200402</v>
      </c>
      <c r="Z179">
        <f t="shared" si="77"/>
        <v>3.2893891758113418</v>
      </c>
      <c r="AA179">
        <f t="shared" si="78"/>
        <v>0.89991437224690163</v>
      </c>
      <c r="AB179">
        <f t="shared" si="79"/>
        <v>-119.1102668609911</v>
      </c>
      <c r="AC179">
        <f t="shared" si="80"/>
        <v>-143.48037135940234</v>
      </c>
      <c r="AD179">
        <f t="shared" si="81"/>
        <v>-13.60548787521061</v>
      </c>
      <c r="AE179">
        <f t="shared" si="82"/>
        <v>-8.0340759604041523E-2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52754.364077979277</v>
      </c>
      <c r="AK179">
        <f t="shared" si="86"/>
        <v>1800</v>
      </c>
      <c r="AL179">
        <f t="shared" si="87"/>
        <v>1499.1108695999999</v>
      </c>
      <c r="AM179">
        <f t="shared" si="88"/>
        <v>0.83283937199999991</v>
      </c>
      <c r="AN179">
        <f t="shared" si="89"/>
        <v>0.15339765852000001</v>
      </c>
      <c r="AO179">
        <v>30</v>
      </c>
      <c r="AP179">
        <v>0.5</v>
      </c>
      <c r="AQ179" t="s">
        <v>331</v>
      </c>
      <c r="AR179">
        <v>2</v>
      </c>
      <c r="AS179">
        <v>1690294020</v>
      </c>
      <c r="AT179">
        <v>356.77699999999999</v>
      </c>
      <c r="AU179">
        <v>800.00099999999998</v>
      </c>
      <c r="AV179">
        <v>26.417100000000001</v>
      </c>
      <c r="AW179">
        <v>0.14100399999999999</v>
      </c>
      <c r="AX179">
        <v>356.96499999999997</v>
      </c>
      <c r="AY179">
        <v>26.265599999999999</v>
      </c>
      <c r="AZ179">
        <v>300.22300000000001</v>
      </c>
      <c r="BA179">
        <v>99.3399</v>
      </c>
      <c r="BB179">
        <v>9.9992399999999995E-2</v>
      </c>
      <c r="BC179">
        <v>25.5702</v>
      </c>
      <c r="BD179">
        <v>26.990300000000001</v>
      </c>
      <c r="BE179">
        <v>26.603899999999999</v>
      </c>
      <c r="BF179">
        <v>0</v>
      </c>
      <c r="BG179">
        <v>0</v>
      </c>
      <c r="BH179">
        <v>9995</v>
      </c>
      <c r="BI179">
        <v>1062.92</v>
      </c>
      <c r="BJ179">
        <v>2.2426400000000002</v>
      </c>
      <c r="BK179">
        <v>-443.22300000000001</v>
      </c>
      <c r="BL179">
        <v>366.45800000000003</v>
      </c>
      <c r="BM179">
        <v>800.11400000000003</v>
      </c>
      <c r="BN179">
        <v>26.276</v>
      </c>
      <c r="BO179">
        <v>800.00099999999998</v>
      </c>
      <c r="BP179">
        <v>0.14100399999999999</v>
      </c>
      <c r="BQ179">
        <v>2.6242700000000001</v>
      </c>
      <c r="BR179">
        <v>1.40073E-2</v>
      </c>
      <c r="BS179">
        <v>21.8184</v>
      </c>
      <c r="BT179">
        <v>-42.798400000000001</v>
      </c>
      <c r="BU179">
        <v>1800</v>
      </c>
      <c r="BV179">
        <v>0.90999099999999999</v>
      </c>
      <c r="BW179">
        <v>3.4000500000000003E-2</v>
      </c>
      <c r="BX179">
        <v>2.2003600000000002E-2</v>
      </c>
      <c r="BY179">
        <v>3.4004600000000003E-2</v>
      </c>
      <c r="BZ179">
        <v>25.958300000000001</v>
      </c>
      <c r="CA179">
        <v>33528.400000000001</v>
      </c>
      <c r="CB179">
        <v>1690292073.5</v>
      </c>
      <c r="CC179" t="s">
        <v>332</v>
      </c>
      <c r="CD179">
        <v>1690292069.5</v>
      </c>
      <c r="CE179">
        <v>1690292073.5</v>
      </c>
      <c r="CF179">
        <v>4</v>
      </c>
      <c r="CG179">
        <v>-3.6999999999999998E-2</v>
      </c>
      <c r="CH179">
        <v>-1.6E-2</v>
      </c>
      <c r="CI179">
        <v>-0.45200000000000001</v>
      </c>
      <c r="CJ179">
        <v>0.108</v>
      </c>
      <c r="CK179">
        <v>730</v>
      </c>
      <c r="CL179">
        <v>18</v>
      </c>
      <c r="CM179">
        <v>0</v>
      </c>
      <c r="CN179">
        <v>0.01</v>
      </c>
      <c r="CO179">
        <v>-442.59280487804892</v>
      </c>
      <c r="CP179">
        <v>-2.9442229965159599</v>
      </c>
      <c r="CQ179">
        <v>0.2965308538639424</v>
      </c>
      <c r="CR179">
        <v>-1</v>
      </c>
      <c r="CS179">
        <v>26.226146341463409</v>
      </c>
      <c r="CT179">
        <v>0.18993031358887619</v>
      </c>
      <c r="CU179">
        <v>1.956920300184185E-2</v>
      </c>
      <c r="CV179">
        <v>-1</v>
      </c>
      <c r="CW179">
        <v>0</v>
      </c>
      <c r="CX179">
        <v>0</v>
      </c>
      <c r="CY179" t="s">
        <v>333</v>
      </c>
      <c r="CZ179">
        <v>2.36511</v>
      </c>
      <c r="DA179">
        <v>2.7137799999999999</v>
      </c>
      <c r="DB179">
        <v>8.2194900000000001E-2</v>
      </c>
      <c r="DC179">
        <v>0.14643600000000001</v>
      </c>
      <c r="DD179">
        <v>0.122353</v>
      </c>
      <c r="DE179">
        <v>1.19239E-3</v>
      </c>
      <c r="DF179">
        <v>33521.199999999997</v>
      </c>
      <c r="DG179">
        <v>27513.3</v>
      </c>
      <c r="DH179">
        <v>31178.799999999999</v>
      </c>
      <c r="DI179">
        <v>28086.7</v>
      </c>
      <c r="DJ179">
        <v>37139.599999999999</v>
      </c>
      <c r="DK179">
        <v>39893</v>
      </c>
      <c r="DL179">
        <v>44371</v>
      </c>
      <c r="DM179">
        <v>42563.3</v>
      </c>
      <c r="DN179">
        <v>1.4901800000000001</v>
      </c>
      <c r="DO179">
        <v>2.0384199999999999</v>
      </c>
      <c r="DP179">
        <v>0.125967</v>
      </c>
      <c r="DQ179">
        <v>0.124551</v>
      </c>
      <c r="DR179">
        <v>24.9268</v>
      </c>
      <c r="DS179">
        <v>24.5623</v>
      </c>
      <c r="DT179">
        <v>21.9</v>
      </c>
      <c r="DU179">
        <v>28.8</v>
      </c>
      <c r="DV179">
        <v>8.76492</v>
      </c>
      <c r="DW179">
        <v>61.753399999999999</v>
      </c>
      <c r="DX179">
        <v>35.012</v>
      </c>
      <c r="DY179">
        <v>1</v>
      </c>
      <c r="DZ179">
        <v>-0.113249</v>
      </c>
      <c r="EA179">
        <v>0.22925400000000001</v>
      </c>
      <c r="EB179">
        <v>20.190000000000001</v>
      </c>
      <c r="EC179">
        <v>5.24125</v>
      </c>
      <c r="ED179">
        <v>12.039899999999999</v>
      </c>
      <c r="EE179">
        <v>5.0174000000000003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</v>
      </c>
      <c r="EL179">
        <v>1.8646199999999999</v>
      </c>
      <c r="EM179">
        <v>1.8692</v>
      </c>
      <c r="EN179">
        <v>1.8672200000000001</v>
      </c>
      <c r="EO179">
        <v>1.8633999999999999</v>
      </c>
      <c r="EP179">
        <v>1.86446</v>
      </c>
      <c r="EQ179">
        <v>1.87015</v>
      </c>
      <c r="ER179">
        <v>1.8694299999999999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-0.188</v>
      </c>
      <c r="FG179">
        <v>0.1515</v>
      </c>
      <c r="FH179">
        <v>5.0310448532705943E-2</v>
      </c>
      <c r="FI179">
        <v>-6.1462078757559423E-4</v>
      </c>
      <c r="FJ179">
        <v>-1.8861989874597051E-7</v>
      </c>
      <c r="FK179">
        <v>1.1980462299894961E-10</v>
      </c>
      <c r="FL179">
        <v>0.15140825623214971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32.5</v>
      </c>
      <c r="FU179">
        <v>32.4</v>
      </c>
      <c r="FV179">
        <v>1.7663599999999999</v>
      </c>
      <c r="FW179">
        <v>2.5769000000000002</v>
      </c>
      <c r="FX179">
        <v>1.5490699999999999</v>
      </c>
      <c r="FY179">
        <v>2.3339799999999999</v>
      </c>
      <c r="FZ179">
        <v>1.50146</v>
      </c>
      <c r="GA179">
        <v>2.3815900000000001</v>
      </c>
      <c r="GB179">
        <v>33.199199999999998</v>
      </c>
      <c r="GC179">
        <v>23.991199999999999</v>
      </c>
      <c r="GD179">
        <v>19</v>
      </c>
      <c r="GE179">
        <v>287.66399999999999</v>
      </c>
      <c r="GF179">
        <v>581.73699999999997</v>
      </c>
      <c r="GG179">
        <v>23.744599999999998</v>
      </c>
      <c r="GH179">
        <v>25.949100000000001</v>
      </c>
      <c r="GI179">
        <v>30.0001</v>
      </c>
      <c r="GJ179">
        <v>26.082000000000001</v>
      </c>
      <c r="GK179">
        <v>26.063300000000002</v>
      </c>
      <c r="GL179">
        <v>35.307499999999997</v>
      </c>
      <c r="GM179">
        <v>100</v>
      </c>
      <c r="GN179">
        <v>0</v>
      </c>
      <c r="GO179">
        <v>23.747699999999998</v>
      </c>
      <c r="GP179">
        <v>800</v>
      </c>
      <c r="GQ179">
        <v>0</v>
      </c>
      <c r="GR179">
        <v>99.759799999999998</v>
      </c>
      <c r="GS179">
        <v>99.576300000000003</v>
      </c>
    </row>
    <row r="180" spans="1:201" x14ac:dyDescent="0.25">
      <c r="A180">
        <v>164</v>
      </c>
      <c r="B180">
        <v>1690294030</v>
      </c>
      <c r="C180">
        <v>1759.400000095367</v>
      </c>
      <c r="D180" t="s">
        <v>661</v>
      </c>
      <c r="E180" t="s">
        <v>662</v>
      </c>
      <c r="F180" t="s">
        <v>330</v>
      </c>
      <c r="H180">
        <v>1690294030</v>
      </c>
      <c r="I180">
        <f t="shared" si="60"/>
        <v>2.7029655033760139E-3</v>
      </c>
      <c r="J180">
        <f t="shared" si="61"/>
        <v>2.702965503376014</v>
      </c>
      <c r="K180">
        <f t="shared" si="62"/>
        <v>43.41372964280135</v>
      </c>
      <c r="L180">
        <f t="shared" si="63"/>
        <v>356.23200000000003</v>
      </c>
      <c r="M180">
        <f t="shared" si="64"/>
        <v>115.91811979304666</v>
      </c>
      <c r="N180">
        <f t="shared" si="65"/>
        <v>11.526943446000697</v>
      </c>
      <c r="O180">
        <f t="shared" si="66"/>
        <v>35.423850257292003</v>
      </c>
      <c r="P180">
        <f t="shared" si="67"/>
        <v>0.31250623291142288</v>
      </c>
      <c r="Q180">
        <f t="shared" si="68"/>
        <v>2.2582147980958864</v>
      </c>
      <c r="R180">
        <f t="shared" si="69"/>
        <v>0.29031569811554186</v>
      </c>
      <c r="S180">
        <f t="shared" si="70"/>
        <v>0.18330956309295388</v>
      </c>
      <c r="T180">
        <f t="shared" si="71"/>
        <v>276.115980708</v>
      </c>
      <c r="U180">
        <f t="shared" si="72"/>
        <v>26.754610276820795</v>
      </c>
      <c r="V180">
        <f t="shared" si="73"/>
        <v>26.754610276820795</v>
      </c>
      <c r="W180">
        <f t="shared" si="74"/>
        <v>3.5278989460395107</v>
      </c>
      <c r="X180">
        <f t="shared" si="75"/>
        <v>79.945556760114869</v>
      </c>
      <c r="Y180">
        <f t="shared" si="76"/>
        <v>2.6307353861999001</v>
      </c>
      <c r="Z180">
        <f t="shared" si="77"/>
        <v>3.2906586592344351</v>
      </c>
      <c r="AA180">
        <f t="shared" si="78"/>
        <v>0.8971635598396106</v>
      </c>
      <c r="AB180">
        <f t="shared" si="79"/>
        <v>-119.20077869888222</v>
      </c>
      <c r="AC180">
        <f t="shared" si="80"/>
        <v>-143.40454082030178</v>
      </c>
      <c r="AD180">
        <f t="shared" si="81"/>
        <v>-13.590822719683883</v>
      </c>
      <c r="AE180">
        <f t="shared" si="82"/>
        <v>-8.0161530867911779E-2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52807.139543111312</v>
      </c>
      <c r="AK180">
        <f t="shared" si="86"/>
        <v>1800</v>
      </c>
      <c r="AL180">
        <f t="shared" si="87"/>
        <v>1499.1107238</v>
      </c>
      <c r="AM180">
        <f t="shared" si="88"/>
        <v>0.83283929099999998</v>
      </c>
      <c r="AN180">
        <f t="shared" si="89"/>
        <v>0.15339776706</v>
      </c>
      <c r="AO180">
        <v>30</v>
      </c>
      <c r="AP180">
        <v>0.5</v>
      </c>
      <c r="AQ180" t="s">
        <v>331</v>
      </c>
      <c r="AR180">
        <v>2</v>
      </c>
      <c r="AS180">
        <v>1690294030</v>
      </c>
      <c r="AT180">
        <v>356.23200000000003</v>
      </c>
      <c r="AU180">
        <v>800.00699999999995</v>
      </c>
      <c r="AV180">
        <v>26.455400000000001</v>
      </c>
      <c r="AW180">
        <v>0.14029900000000001</v>
      </c>
      <c r="AX180">
        <v>356.41899999999998</v>
      </c>
      <c r="AY180">
        <v>26.303999999999998</v>
      </c>
      <c r="AZ180">
        <v>299.99400000000003</v>
      </c>
      <c r="BA180">
        <v>99.340400000000002</v>
      </c>
      <c r="BB180">
        <v>9.9993499999999999E-2</v>
      </c>
      <c r="BC180">
        <v>25.576699999999999</v>
      </c>
      <c r="BD180">
        <v>26.985700000000001</v>
      </c>
      <c r="BE180">
        <v>26.6006</v>
      </c>
      <c r="BF180">
        <v>0</v>
      </c>
      <c r="BG180">
        <v>0</v>
      </c>
      <c r="BH180">
        <v>10005.6</v>
      </c>
      <c r="BI180">
        <v>1062.9100000000001</v>
      </c>
      <c r="BJ180">
        <v>2.2426400000000002</v>
      </c>
      <c r="BK180">
        <v>-443.77499999999998</v>
      </c>
      <c r="BL180">
        <v>365.91199999999998</v>
      </c>
      <c r="BM180">
        <v>800.11900000000003</v>
      </c>
      <c r="BN180">
        <v>26.315100000000001</v>
      </c>
      <c r="BO180">
        <v>800.00699999999995</v>
      </c>
      <c r="BP180">
        <v>0.14029900000000001</v>
      </c>
      <c r="BQ180">
        <v>2.6280899999999998</v>
      </c>
      <c r="BR180">
        <v>1.39373E-2</v>
      </c>
      <c r="BS180">
        <v>21.842300000000002</v>
      </c>
      <c r="BT180">
        <v>-42.844999999999999</v>
      </c>
      <c r="BU180">
        <v>1800</v>
      </c>
      <c r="BV180">
        <v>0.90998800000000002</v>
      </c>
      <c r="BW180">
        <v>3.4005000000000001E-2</v>
      </c>
      <c r="BX180">
        <v>2.20033E-2</v>
      </c>
      <c r="BY180">
        <v>3.4004E-2</v>
      </c>
      <c r="BZ180">
        <v>26</v>
      </c>
      <c r="CA180">
        <v>33528.199999999997</v>
      </c>
      <c r="CB180">
        <v>1690292073.5</v>
      </c>
      <c r="CC180" t="s">
        <v>332</v>
      </c>
      <c r="CD180">
        <v>1690292069.5</v>
      </c>
      <c r="CE180">
        <v>1690292073.5</v>
      </c>
      <c r="CF180">
        <v>4</v>
      </c>
      <c r="CG180">
        <v>-3.6999999999999998E-2</v>
      </c>
      <c r="CH180">
        <v>-1.6E-2</v>
      </c>
      <c r="CI180">
        <v>-0.45200000000000001</v>
      </c>
      <c r="CJ180">
        <v>0.108</v>
      </c>
      <c r="CK180">
        <v>730</v>
      </c>
      <c r="CL180">
        <v>18</v>
      </c>
      <c r="CM180">
        <v>0</v>
      </c>
      <c r="CN180">
        <v>0.01</v>
      </c>
      <c r="CO180">
        <v>-443.161225</v>
      </c>
      <c r="CP180">
        <v>-2.98828142589075</v>
      </c>
      <c r="CQ180">
        <v>0.29394842128339599</v>
      </c>
      <c r="CR180">
        <v>-1</v>
      </c>
      <c r="CS180">
        <v>26.2701025</v>
      </c>
      <c r="CT180">
        <v>0.2851913696059335</v>
      </c>
      <c r="CU180">
        <v>2.753425582342851E-2</v>
      </c>
      <c r="CV180">
        <v>-1</v>
      </c>
      <c r="CW180">
        <v>0</v>
      </c>
      <c r="CX180">
        <v>0</v>
      </c>
      <c r="CY180" t="s">
        <v>333</v>
      </c>
      <c r="CZ180">
        <v>2.36436</v>
      </c>
      <c r="DA180">
        <v>2.7137899999999999</v>
      </c>
      <c r="DB180">
        <v>8.2097900000000001E-2</v>
      </c>
      <c r="DC180">
        <v>0.14643900000000001</v>
      </c>
      <c r="DD180">
        <v>0.122479</v>
      </c>
      <c r="DE180">
        <v>1.1865000000000001E-3</v>
      </c>
      <c r="DF180">
        <v>33525</v>
      </c>
      <c r="DG180">
        <v>27513.5</v>
      </c>
      <c r="DH180">
        <v>31179.1</v>
      </c>
      <c r="DI180">
        <v>28086.9</v>
      </c>
      <c r="DJ180">
        <v>37134.400000000001</v>
      </c>
      <c r="DK180">
        <v>39893.800000000003</v>
      </c>
      <c r="DL180">
        <v>44371.3</v>
      </c>
      <c r="DM180">
        <v>42563.8</v>
      </c>
      <c r="DN180">
        <v>1.4894499999999999</v>
      </c>
      <c r="DO180">
        <v>2.0385</v>
      </c>
      <c r="DP180">
        <v>0.12568399999999999</v>
      </c>
      <c r="DQ180">
        <v>0.124484</v>
      </c>
      <c r="DR180">
        <v>24.9268</v>
      </c>
      <c r="DS180">
        <v>24.560099999999998</v>
      </c>
      <c r="DT180">
        <v>21.9</v>
      </c>
      <c r="DU180">
        <v>28.8</v>
      </c>
      <c r="DV180">
        <v>8.7649000000000008</v>
      </c>
      <c r="DW180">
        <v>61.653399999999998</v>
      </c>
      <c r="DX180">
        <v>35.9375</v>
      </c>
      <c r="DY180">
        <v>1</v>
      </c>
      <c r="DZ180">
        <v>-0.112619</v>
      </c>
      <c r="EA180">
        <v>0.21945500000000001</v>
      </c>
      <c r="EB180">
        <v>20.190200000000001</v>
      </c>
      <c r="EC180">
        <v>5.2408000000000001</v>
      </c>
      <c r="ED180">
        <v>12.039899999999999</v>
      </c>
      <c r="EE180">
        <v>5.01715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1.8689100000000001</v>
      </c>
      <c r="EL180">
        <v>1.8646199999999999</v>
      </c>
      <c r="EM180">
        <v>1.8692</v>
      </c>
      <c r="EN180">
        <v>1.8672200000000001</v>
      </c>
      <c r="EO180">
        <v>1.8633900000000001</v>
      </c>
      <c r="EP180">
        <v>1.8644499999999999</v>
      </c>
      <c r="EQ180">
        <v>1.87015</v>
      </c>
      <c r="ER180">
        <v>1.8694200000000001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-0.187</v>
      </c>
      <c r="FG180">
        <v>0.15140000000000001</v>
      </c>
      <c r="FH180">
        <v>5.0310448532705943E-2</v>
      </c>
      <c r="FI180">
        <v>-6.1462078757559423E-4</v>
      </c>
      <c r="FJ180">
        <v>-1.8861989874597051E-7</v>
      </c>
      <c r="FK180">
        <v>1.1980462299894961E-10</v>
      </c>
      <c r="FL180">
        <v>0.15140825623214971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32.700000000000003</v>
      </c>
      <c r="FU180">
        <v>32.6</v>
      </c>
      <c r="FV180">
        <v>1.7663599999999999</v>
      </c>
      <c r="FW180">
        <v>2.5817899999999998</v>
      </c>
      <c r="FX180">
        <v>1.5490699999999999</v>
      </c>
      <c r="FY180">
        <v>2.3339799999999999</v>
      </c>
      <c r="FZ180">
        <v>1.50146</v>
      </c>
      <c r="GA180">
        <v>2.3791500000000001</v>
      </c>
      <c r="GB180">
        <v>33.221600000000002</v>
      </c>
      <c r="GC180">
        <v>23.991199999999999</v>
      </c>
      <c r="GD180">
        <v>19</v>
      </c>
      <c r="GE180">
        <v>287.35199999999998</v>
      </c>
      <c r="GF180">
        <v>581.79899999999998</v>
      </c>
      <c r="GG180">
        <v>23.762899999999998</v>
      </c>
      <c r="GH180">
        <v>25.949400000000001</v>
      </c>
      <c r="GI180">
        <v>30</v>
      </c>
      <c r="GJ180">
        <v>26.082000000000001</v>
      </c>
      <c r="GK180">
        <v>26.063300000000002</v>
      </c>
      <c r="GL180">
        <v>35.3063</v>
      </c>
      <c r="GM180">
        <v>100</v>
      </c>
      <c r="GN180">
        <v>0</v>
      </c>
      <c r="GO180">
        <v>23.7727</v>
      </c>
      <c r="GP180">
        <v>800</v>
      </c>
      <c r="GQ180">
        <v>0</v>
      </c>
      <c r="GR180">
        <v>99.760499999999993</v>
      </c>
      <c r="GS180">
        <v>99.577399999999997</v>
      </c>
    </row>
    <row r="181" spans="1:201" x14ac:dyDescent="0.25">
      <c r="A181">
        <v>165</v>
      </c>
      <c r="B181">
        <v>1690294040</v>
      </c>
      <c r="C181">
        <v>1769.400000095367</v>
      </c>
      <c r="D181" t="s">
        <v>663</v>
      </c>
      <c r="E181" t="s">
        <v>664</v>
      </c>
      <c r="F181" t="s">
        <v>330</v>
      </c>
      <c r="H181">
        <v>1690294040</v>
      </c>
      <c r="I181">
        <f t="shared" si="60"/>
        <v>2.7073060832738405E-3</v>
      </c>
      <c r="J181">
        <f t="shared" si="61"/>
        <v>2.7073060832738407</v>
      </c>
      <c r="K181">
        <f t="shared" si="62"/>
        <v>43.486802577213076</v>
      </c>
      <c r="L181">
        <f t="shared" si="63"/>
        <v>355.68900000000002</v>
      </c>
      <c r="M181">
        <f t="shared" si="64"/>
        <v>115.79473525116346</v>
      </c>
      <c r="N181">
        <f t="shared" si="65"/>
        <v>11.514402279939853</v>
      </c>
      <c r="O181">
        <f t="shared" si="66"/>
        <v>35.369019357107398</v>
      </c>
      <c r="P181">
        <f t="shared" si="67"/>
        <v>0.31367458297836998</v>
      </c>
      <c r="Q181">
        <f t="shared" si="68"/>
        <v>2.2547207188489224</v>
      </c>
      <c r="R181">
        <f t="shared" si="69"/>
        <v>0.291292185568371</v>
      </c>
      <c r="S181">
        <f t="shared" si="70"/>
        <v>0.18393531840253027</v>
      </c>
      <c r="T181">
        <f t="shared" si="71"/>
        <v>276.11421354162491</v>
      </c>
      <c r="U181">
        <f t="shared" si="72"/>
        <v>26.762618058292283</v>
      </c>
      <c r="V181">
        <f t="shared" si="73"/>
        <v>26.762618058292283</v>
      </c>
      <c r="W181">
        <f t="shared" si="74"/>
        <v>3.5295615612261391</v>
      </c>
      <c r="X181">
        <f t="shared" si="75"/>
        <v>80.008150609618696</v>
      </c>
      <c r="Y181">
        <f t="shared" si="76"/>
        <v>2.6340144163873997</v>
      </c>
      <c r="Z181">
        <f t="shared" si="77"/>
        <v>3.2921826042942368</v>
      </c>
      <c r="AA181">
        <f t="shared" si="78"/>
        <v>0.89554714483873932</v>
      </c>
      <c r="AB181">
        <f t="shared" si="79"/>
        <v>-119.39219827237636</v>
      </c>
      <c r="AC181">
        <f t="shared" si="80"/>
        <v>-143.20791175202572</v>
      </c>
      <c r="AD181">
        <f t="shared" si="81"/>
        <v>-13.594297552790247</v>
      </c>
      <c r="AE181">
        <f t="shared" si="82"/>
        <v>-8.0194035567416222E-2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52668.594148545424</v>
      </c>
      <c r="AK181">
        <f t="shared" si="86"/>
        <v>1799.99</v>
      </c>
      <c r="AL181">
        <f t="shared" si="87"/>
        <v>1499.1004154180901</v>
      </c>
      <c r="AM181">
        <f t="shared" si="88"/>
        <v>0.83283819100000001</v>
      </c>
      <c r="AN181">
        <f t="shared" si="89"/>
        <v>0.15339763751000002</v>
      </c>
      <c r="AO181">
        <v>30</v>
      </c>
      <c r="AP181">
        <v>0.5</v>
      </c>
      <c r="AQ181" t="s">
        <v>331</v>
      </c>
      <c r="AR181">
        <v>2</v>
      </c>
      <c r="AS181">
        <v>1690294040</v>
      </c>
      <c r="AT181">
        <v>355.68900000000002</v>
      </c>
      <c r="AU181">
        <v>800.077</v>
      </c>
      <c r="AV181">
        <v>26.489000000000001</v>
      </c>
      <c r="AW181">
        <v>0.13957700000000001</v>
      </c>
      <c r="AX181">
        <v>355.87599999999998</v>
      </c>
      <c r="AY181">
        <v>26.337599999999998</v>
      </c>
      <c r="AZ181">
        <v>300.07400000000001</v>
      </c>
      <c r="BA181">
        <v>99.338099999999997</v>
      </c>
      <c r="BB181">
        <v>9.9946599999999997E-2</v>
      </c>
      <c r="BC181">
        <v>25.584499999999998</v>
      </c>
      <c r="BD181">
        <v>26.994800000000001</v>
      </c>
      <c r="BE181">
        <v>26.6126</v>
      </c>
      <c r="BF181">
        <v>0</v>
      </c>
      <c r="BG181">
        <v>0</v>
      </c>
      <c r="BH181">
        <v>9978.75</v>
      </c>
      <c r="BI181">
        <v>1062.8599999999999</v>
      </c>
      <c r="BJ181">
        <v>2.2426400000000002</v>
      </c>
      <c r="BK181">
        <v>-444.38799999999998</v>
      </c>
      <c r="BL181">
        <v>365.36799999999999</v>
      </c>
      <c r="BM181">
        <v>800.18899999999996</v>
      </c>
      <c r="BN181">
        <v>26.349399999999999</v>
      </c>
      <c r="BO181">
        <v>800.077</v>
      </c>
      <c r="BP181">
        <v>0.13957700000000001</v>
      </c>
      <c r="BQ181">
        <v>2.63137</v>
      </c>
      <c r="BR181">
        <v>1.3865300000000001E-2</v>
      </c>
      <c r="BS181">
        <v>21.8627</v>
      </c>
      <c r="BT181">
        <v>-42.8932</v>
      </c>
      <c r="BU181">
        <v>1799.99</v>
      </c>
      <c r="BV181">
        <v>0.90998500000000004</v>
      </c>
      <c r="BW181">
        <v>3.4008400000000001E-2</v>
      </c>
      <c r="BX181">
        <v>2.2002799999999999E-2</v>
      </c>
      <c r="BY181">
        <v>3.40033E-2</v>
      </c>
      <c r="BZ181">
        <v>25.958300000000001</v>
      </c>
      <c r="CA181">
        <v>33528.199999999997</v>
      </c>
      <c r="CB181">
        <v>1690292073.5</v>
      </c>
      <c r="CC181" t="s">
        <v>332</v>
      </c>
      <c r="CD181">
        <v>1690292069.5</v>
      </c>
      <c r="CE181">
        <v>1690292073.5</v>
      </c>
      <c r="CF181">
        <v>4</v>
      </c>
      <c r="CG181">
        <v>-3.6999999999999998E-2</v>
      </c>
      <c r="CH181">
        <v>-1.6E-2</v>
      </c>
      <c r="CI181">
        <v>-0.45200000000000001</v>
      </c>
      <c r="CJ181">
        <v>0.108</v>
      </c>
      <c r="CK181">
        <v>730</v>
      </c>
      <c r="CL181">
        <v>18</v>
      </c>
      <c r="CM181">
        <v>0</v>
      </c>
      <c r="CN181">
        <v>0.01</v>
      </c>
      <c r="CO181">
        <v>-443.710375</v>
      </c>
      <c r="CP181">
        <v>-3.2956660412743841</v>
      </c>
      <c r="CQ181">
        <v>0.320726806449038</v>
      </c>
      <c r="CR181">
        <v>-1</v>
      </c>
      <c r="CS181">
        <v>26.311675000000001</v>
      </c>
      <c r="CT181">
        <v>0.20721275797370309</v>
      </c>
      <c r="CU181">
        <v>1.9987730611552811E-2</v>
      </c>
      <c r="CV181">
        <v>-1</v>
      </c>
      <c r="CW181">
        <v>0</v>
      </c>
      <c r="CX181">
        <v>0</v>
      </c>
      <c r="CY181" t="s">
        <v>333</v>
      </c>
      <c r="CZ181">
        <v>2.3646199999999999</v>
      </c>
      <c r="DA181">
        <v>2.7137199999999999</v>
      </c>
      <c r="DB181">
        <v>8.1997299999999995E-2</v>
      </c>
      <c r="DC181">
        <v>0.14644299999999999</v>
      </c>
      <c r="DD181">
        <v>0.122583</v>
      </c>
      <c r="DE181">
        <v>1.18042E-3</v>
      </c>
      <c r="DF181">
        <v>33529.4</v>
      </c>
      <c r="DG181">
        <v>27513.8</v>
      </c>
      <c r="DH181">
        <v>31179.8</v>
      </c>
      <c r="DI181">
        <v>28087.4</v>
      </c>
      <c r="DJ181">
        <v>37130.6</v>
      </c>
      <c r="DK181">
        <v>39894.5</v>
      </c>
      <c r="DL181">
        <v>44372.2</v>
      </c>
      <c r="DM181">
        <v>42564.3</v>
      </c>
      <c r="DN181">
        <v>1.4896199999999999</v>
      </c>
      <c r="DO181">
        <v>2.0384500000000001</v>
      </c>
      <c r="DP181">
        <v>0.12624299999999999</v>
      </c>
      <c r="DQ181">
        <v>0.125334</v>
      </c>
      <c r="DR181">
        <v>24.9268</v>
      </c>
      <c r="DS181">
        <v>24.5581</v>
      </c>
      <c r="DT181">
        <v>21.8</v>
      </c>
      <c r="DU181">
        <v>28.8</v>
      </c>
      <c r="DV181">
        <v>8.7249199999999991</v>
      </c>
      <c r="DW181">
        <v>61.913400000000003</v>
      </c>
      <c r="DX181">
        <v>35.420699999999997</v>
      </c>
      <c r="DY181">
        <v>1</v>
      </c>
      <c r="DZ181">
        <v>-0.113176</v>
      </c>
      <c r="EA181">
        <v>0.244259</v>
      </c>
      <c r="EB181">
        <v>20.190100000000001</v>
      </c>
      <c r="EC181">
        <v>5.2411000000000003</v>
      </c>
      <c r="ED181">
        <v>12.039899999999999</v>
      </c>
      <c r="EE181">
        <v>5.0173500000000004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1.8646199999999999</v>
      </c>
      <c r="EM181">
        <v>1.8692</v>
      </c>
      <c r="EN181">
        <v>1.8672200000000001</v>
      </c>
      <c r="EO181">
        <v>1.8633900000000001</v>
      </c>
      <c r="EP181">
        <v>1.86446</v>
      </c>
      <c r="EQ181">
        <v>1.87015</v>
      </c>
      <c r="ER181">
        <v>1.8694200000000001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-0.187</v>
      </c>
      <c r="FG181">
        <v>0.15140000000000001</v>
      </c>
      <c r="FH181">
        <v>5.0310448532705943E-2</v>
      </c>
      <c r="FI181">
        <v>-6.1462078757559423E-4</v>
      </c>
      <c r="FJ181">
        <v>-1.8861989874597051E-7</v>
      </c>
      <c r="FK181">
        <v>1.1980462299894961E-10</v>
      </c>
      <c r="FL181">
        <v>0.15140825623214971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32.799999999999997</v>
      </c>
      <c r="FU181">
        <v>32.799999999999997</v>
      </c>
      <c r="FV181">
        <v>1.7663599999999999</v>
      </c>
      <c r="FW181">
        <v>2.5866699999999998</v>
      </c>
      <c r="FX181">
        <v>1.5490699999999999</v>
      </c>
      <c r="FY181">
        <v>2.3327599999999999</v>
      </c>
      <c r="FZ181">
        <v>1.50146</v>
      </c>
      <c r="GA181">
        <v>2.33521</v>
      </c>
      <c r="GB181">
        <v>33.221600000000002</v>
      </c>
      <c r="GC181">
        <v>23.982399999999998</v>
      </c>
      <c r="GD181">
        <v>19</v>
      </c>
      <c r="GE181">
        <v>287.43599999999998</v>
      </c>
      <c r="GF181">
        <v>581.75800000000004</v>
      </c>
      <c r="GG181">
        <v>23.784199999999998</v>
      </c>
      <c r="GH181">
        <v>25.9497</v>
      </c>
      <c r="GI181">
        <v>29.9999</v>
      </c>
      <c r="GJ181">
        <v>26.083600000000001</v>
      </c>
      <c r="GK181">
        <v>26.063300000000002</v>
      </c>
      <c r="GL181">
        <v>35.305199999999999</v>
      </c>
      <c r="GM181">
        <v>100</v>
      </c>
      <c r="GN181">
        <v>0</v>
      </c>
      <c r="GO181">
        <v>23.780899999999999</v>
      </c>
      <c r="GP181">
        <v>800</v>
      </c>
      <c r="GQ181">
        <v>0</v>
      </c>
      <c r="GR181">
        <v>99.762500000000003</v>
      </c>
      <c r="GS181">
        <v>99.578800000000001</v>
      </c>
    </row>
    <row r="182" spans="1:201" x14ac:dyDescent="0.25">
      <c r="A182">
        <v>166</v>
      </c>
      <c r="B182">
        <v>1690294050</v>
      </c>
      <c r="C182">
        <v>1779.400000095367</v>
      </c>
      <c r="D182" t="s">
        <v>665</v>
      </c>
      <c r="E182" t="s">
        <v>666</v>
      </c>
      <c r="F182" t="s">
        <v>330</v>
      </c>
      <c r="H182">
        <v>1690294050</v>
      </c>
      <c r="I182">
        <f t="shared" si="60"/>
        <v>2.7117303470637491E-3</v>
      </c>
      <c r="J182">
        <f t="shared" si="61"/>
        <v>2.711730347063749</v>
      </c>
      <c r="K182">
        <f t="shared" si="62"/>
        <v>43.562325514746689</v>
      </c>
      <c r="L182">
        <f t="shared" si="63"/>
        <v>355.07400000000001</v>
      </c>
      <c r="M182">
        <f t="shared" si="64"/>
        <v>116.34749897942147</v>
      </c>
      <c r="N182">
        <f t="shared" si="65"/>
        <v>11.569891402898573</v>
      </c>
      <c r="O182">
        <f t="shared" si="66"/>
        <v>35.309462223329994</v>
      </c>
      <c r="P182">
        <f t="shared" si="67"/>
        <v>0.31584159815771556</v>
      </c>
      <c r="Q182">
        <f t="shared" si="68"/>
        <v>2.2602512415264386</v>
      </c>
      <c r="R182">
        <f t="shared" si="69"/>
        <v>0.29321209384547375</v>
      </c>
      <c r="S182">
        <f t="shared" si="70"/>
        <v>0.18515543652799921</v>
      </c>
      <c r="T182">
        <f t="shared" si="71"/>
        <v>276.11564835599995</v>
      </c>
      <c r="U182">
        <f t="shared" si="72"/>
        <v>26.756432866826824</v>
      </c>
      <c r="V182">
        <f t="shared" si="73"/>
        <v>26.756432866826824</v>
      </c>
      <c r="W182">
        <f t="shared" si="74"/>
        <v>3.5282773010755331</v>
      </c>
      <c r="X182">
        <f t="shared" si="75"/>
        <v>80.112070511442269</v>
      </c>
      <c r="Y182">
        <f t="shared" si="76"/>
        <v>2.6371069066004997</v>
      </c>
      <c r="Z182">
        <f t="shared" si="77"/>
        <v>3.2917722507544558</v>
      </c>
      <c r="AA182">
        <f t="shared" si="78"/>
        <v>0.89117039447503332</v>
      </c>
      <c r="AB182">
        <f t="shared" si="79"/>
        <v>-119.58730830551134</v>
      </c>
      <c r="AC182">
        <f t="shared" si="80"/>
        <v>-143.06138160771559</v>
      </c>
      <c r="AD182">
        <f t="shared" si="81"/>
        <v>-13.546595443145835</v>
      </c>
      <c r="AE182">
        <f t="shared" si="82"/>
        <v>-7.963700037282706E-2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52886.186683873864</v>
      </c>
      <c r="AK182">
        <f t="shared" si="86"/>
        <v>1800</v>
      </c>
      <c r="AL182">
        <f t="shared" si="87"/>
        <v>1499.1093125999998</v>
      </c>
      <c r="AM182">
        <f t="shared" si="88"/>
        <v>0.83283850699999995</v>
      </c>
      <c r="AN182">
        <f t="shared" si="89"/>
        <v>0.15339758241999998</v>
      </c>
      <c r="AO182">
        <v>30</v>
      </c>
      <c r="AP182">
        <v>0.5</v>
      </c>
      <c r="AQ182" t="s">
        <v>331</v>
      </c>
      <c r="AR182">
        <v>2</v>
      </c>
      <c r="AS182">
        <v>1690294050</v>
      </c>
      <c r="AT182">
        <v>355.07400000000001</v>
      </c>
      <c r="AU182">
        <v>800.01</v>
      </c>
      <c r="AV182">
        <v>26.518899999999999</v>
      </c>
      <c r="AW182">
        <v>0.13944699999999999</v>
      </c>
      <c r="AX182">
        <v>355.26100000000002</v>
      </c>
      <c r="AY182">
        <v>26.3674</v>
      </c>
      <c r="AZ182">
        <v>300.21300000000002</v>
      </c>
      <c r="BA182">
        <v>99.342500000000001</v>
      </c>
      <c r="BB182">
        <v>0.100045</v>
      </c>
      <c r="BC182">
        <v>25.5824</v>
      </c>
      <c r="BD182">
        <v>26.9922</v>
      </c>
      <c r="BE182">
        <v>26.592300000000002</v>
      </c>
      <c r="BF182">
        <v>0</v>
      </c>
      <c r="BG182">
        <v>0</v>
      </c>
      <c r="BH182">
        <v>10021.200000000001</v>
      </c>
      <c r="BI182">
        <v>1062.83</v>
      </c>
      <c r="BJ182">
        <v>2.2426400000000002</v>
      </c>
      <c r="BK182">
        <v>-444.935</v>
      </c>
      <c r="BL182">
        <v>364.74700000000001</v>
      </c>
      <c r="BM182">
        <v>800.12099999999998</v>
      </c>
      <c r="BN182">
        <v>26.3794</v>
      </c>
      <c r="BO182">
        <v>800.01</v>
      </c>
      <c r="BP182">
        <v>0.13944699999999999</v>
      </c>
      <c r="BQ182">
        <v>2.6344500000000002</v>
      </c>
      <c r="BR182">
        <v>1.3853000000000001E-2</v>
      </c>
      <c r="BS182">
        <v>21.881900000000002</v>
      </c>
      <c r="BT182">
        <v>-42.901499999999999</v>
      </c>
      <c r="BU182">
        <v>1800</v>
      </c>
      <c r="BV182">
        <v>0.90998800000000002</v>
      </c>
      <c r="BW182">
        <v>3.4007299999999997E-2</v>
      </c>
      <c r="BX182">
        <v>2.20021E-2</v>
      </c>
      <c r="BY182">
        <v>3.4002200000000003E-2</v>
      </c>
      <c r="BZ182">
        <v>26</v>
      </c>
      <c r="CA182">
        <v>33528.300000000003</v>
      </c>
      <c r="CB182">
        <v>1690292073.5</v>
      </c>
      <c r="CC182" t="s">
        <v>332</v>
      </c>
      <c r="CD182">
        <v>1690292069.5</v>
      </c>
      <c r="CE182">
        <v>1690292073.5</v>
      </c>
      <c r="CF182">
        <v>4</v>
      </c>
      <c r="CG182">
        <v>-3.6999999999999998E-2</v>
      </c>
      <c r="CH182">
        <v>-1.6E-2</v>
      </c>
      <c r="CI182">
        <v>-0.45200000000000001</v>
      </c>
      <c r="CJ182">
        <v>0.108</v>
      </c>
      <c r="CK182">
        <v>730</v>
      </c>
      <c r="CL182">
        <v>18</v>
      </c>
      <c r="CM182">
        <v>0</v>
      </c>
      <c r="CN182">
        <v>0.01</v>
      </c>
      <c r="CO182">
        <v>-444.21251219512192</v>
      </c>
      <c r="CP182">
        <v>-3.2572055749117772</v>
      </c>
      <c r="CQ182">
        <v>0.3269013517159548</v>
      </c>
      <c r="CR182">
        <v>-1</v>
      </c>
      <c r="CS182">
        <v>26.343526829268288</v>
      </c>
      <c r="CT182">
        <v>0.20413588850180089</v>
      </c>
      <c r="CU182">
        <v>2.0149587230417879E-2</v>
      </c>
      <c r="CV182">
        <v>-1</v>
      </c>
      <c r="CW182">
        <v>0</v>
      </c>
      <c r="CX182">
        <v>0</v>
      </c>
      <c r="CY182" t="s">
        <v>333</v>
      </c>
      <c r="CZ182">
        <v>2.3650799999999998</v>
      </c>
      <c r="DA182">
        <v>2.7138599999999999</v>
      </c>
      <c r="DB182">
        <v>8.1890099999999993E-2</v>
      </c>
      <c r="DC182">
        <v>0.14644199999999999</v>
      </c>
      <c r="DD182">
        <v>0.122685</v>
      </c>
      <c r="DE182">
        <v>1.1793800000000001E-3</v>
      </c>
      <c r="DF182">
        <v>33533</v>
      </c>
      <c r="DG182">
        <v>27514</v>
      </c>
      <c r="DH182">
        <v>31179.5</v>
      </c>
      <c r="DI182">
        <v>28087.5</v>
      </c>
      <c r="DJ182">
        <v>37126</v>
      </c>
      <c r="DK182">
        <v>39894.699999999997</v>
      </c>
      <c r="DL182">
        <v>44371.9</v>
      </c>
      <c r="DM182">
        <v>42564.6</v>
      </c>
      <c r="DN182">
        <v>1.48977</v>
      </c>
      <c r="DO182">
        <v>2.0383300000000002</v>
      </c>
      <c r="DP182">
        <v>0.12598200000000001</v>
      </c>
      <c r="DQ182">
        <v>0.124</v>
      </c>
      <c r="DR182">
        <v>24.9284</v>
      </c>
      <c r="DS182">
        <v>24.559699999999999</v>
      </c>
      <c r="DT182">
        <v>21.8</v>
      </c>
      <c r="DU182">
        <v>28.8</v>
      </c>
      <c r="DV182">
        <v>8.7229500000000009</v>
      </c>
      <c r="DW182">
        <v>61.633400000000002</v>
      </c>
      <c r="DX182">
        <v>35.068100000000001</v>
      </c>
      <c r="DY182">
        <v>1</v>
      </c>
      <c r="DZ182">
        <v>-0.113117</v>
      </c>
      <c r="EA182">
        <v>0.375419</v>
      </c>
      <c r="EB182">
        <v>20.189699999999998</v>
      </c>
      <c r="EC182">
        <v>5.2415500000000002</v>
      </c>
      <c r="ED182">
        <v>12.039899999999999</v>
      </c>
      <c r="EE182">
        <v>5.0175000000000001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1.8646199999999999</v>
      </c>
      <c r="EM182">
        <v>1.8692</v>
      </c>
      <c r="EN182">
        <v>1.8672200000000001</v>
      </c>
      <c r="EO182">
        <v>1.8633999999999999</v>
      </c>
      <c r="EP182">
        <v>1.8644700000000001</v>
      </c>
      <c r="EQ182">
        <v>1.8701399999999999</v>
      </c>
      <c r="ER182">
        <v>1.8694299999999999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-0.187</v>
      </c>
      <c r="FG182">
        <v>0.1515</v>
      </c>
      <c r="FH182">
        <v>5.0310448532705943E-2</v>
      </c>
      <c r="FI182">
        <v>-6.1462078757559423E-4</v>
      </c>
      <c r="FJ182">
        <v>-1.8861989874597051E-7</v>
      </c>
      <c r="FK182">
        <v>1.1980462299894961E-10</v>
      </c>
      <c r="FL182">
        <v>0.15140825623214971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33</v>
      </c>
      <c r="FU182">
        <v>32.9</v>
      </c>
      <c r="FV182">
        <v>1.7663599999999999</v>
      </c>
      <c r="FW182">
        <v>2.5805699999999998</v>
      </c>
      <c r="FX182">
        <v>1.5490699999999999</v>
      </c>
      <c r="FY182">
        <v>2.3339799999999999</v>
      </c>
      <c r="FZ182">
        <v>1.50146</v>
      </c>
      <c r="GA182">
        <v>2.31812</v>
      </c>
      <c r="GB182">
        <v>33.221600000000002</v>
      </c>
      <c r="GC182">
        <v>23.991199999999999</v>
      </c>
      <c r="GD182">
        <v>19</v>
      </c>
      <c r="GE182">
        <v>287.50200000000001</v>
      </c>
      <c r="GF182">
        <v>581.65499999999997</v>
      </c>
      <c r="GG182">
        <v>23.781300000000002</v>
      </c>
      <c r="GH182">
        <v>25.951599999999999</v>
      </c>
      <c r="GI182">
        <v>30.000299999999999</v>
      </c>
      <c r="GJ182">
        <v>26.084199999999999</v>
      </c>
      <c r="GK182">
        <v>26.063300000000002</v>
      </c>
      <c r="GL182">
        <v>35.308700000000002</v>
      </c>
      <c r="GM182">
        <v>100</v>
      </c>
      <c r="GN182">
        <v>0</v>
      </c>
      <c r="GO182">
        <v>23.738099999999999</v>
      </c>
      <c r="GP182">
        <v>800</v>
      </c>
      <c r="GQ182">
        <v>0</v>
      </c>
      <c r="GR182">
        <v>99.761799999999994</v>
      </c>
      <c r="GS182">
        <v>99.579300000000003</v>
      </c>
    </row>
    <row r="183" spans="1:201" x14ac:dyDescent="0.25">
      <c r="A183">
        <v>167</v>
      </c>
      <c r="B183">
        <v>1690294060</v>
      </c>
      <c r="C183">
        <v>1789.400000095367</v>
      </c>
      <c r="D183" t="s">
        <v>667</v>
      </c>
      <c r="E183" t="s">
        <v>668</v>
      </c>
      <c r="F183" t="s">
        <v>330</v>
      </c>
      <c r="H183">
        <v>1690294060</v>
      </c>
      <c r="I183">
        <f t="shared" si="60"/>
        <v>2.7122981375394422E-3</v>
      </c>
      <c r="J183">
        <f t="shared" si="61"/>
        <v>2.7122981375394422</v>
      </c>
      <c r="K183">
        <f t="shared" si="62"/>
        <v>43.582712527302107</v>
      </c>
      <c r="L183">
        <f t="shared" si="63"/>
        <v>354.72899999999998</v>
      </c>
      <c r="M183">
        <f t="shared" si="64"/>
        <v>116.78836181419692</v>
      </c>
      <c r="N183">
        <f t="shared" si="65"/>
        <v>11.613931983648346</v>
      </c>
      <c r="O183">
        <f t="shared" si="66"/>
        <v>35.275762196082006</v>
      </c>
      <c r="P183">
        <f t="shared" si="67"/>
        <v>0.31709936761961</v>
      </c>
      <c r="Q183">
        <f t="shared" si="68"/>
        <v>2.2615598782400981</v>
      </c>
      <c r="R183">
        <f t="shared" si="69"/>
        <v>0.29430842194006374</v>
      </c>
      <c r="S183">
        <f t="shared" si="70"/>
        <v>0.18585375199297813</v>
      </c>
      <c r="T183">
        <f t="shared" si="71"/>
        <v>276.11576514000006</v>
      </c>
      <c r="U183">
        <f t="shared" si="72"/>
        <v>26.748532300878242</v>
      </c>
      <c r="V183">
        <f t="shared" si="73"/>
        <v>26.748532300878242</v>
      </c>
      <c r="W183">
        <f t="shared" si="74"/>
        <v>3.5266374630972015</v>
      </c>
      <c r="X183">
        <f t="shared" si="75"/>
        <v>80.190742837594485</v>
      </c>
      <c r="Y183">
        <f t="shared" si="76"/>
        <v>2.6385843307914003</v>
      </c>
      <c r="Z183">
        <f t="shared" si="77"/>
        <v>3.2903851958762464</v>
      </c>
      <c r="AA183">
        <f t="shared" si="78"/>
        <v>0.88805313230580118</v>
      </c>
      <c r="AB183">
        <f t="shared" si="79"/>
        <v>-119.6123478654894</v>
      </c>
      <c r="AC183">
        <f t="shared" si="80"/>
        <v>-143.04660188540586</v>
      </c>
      <c r="AD183">
        <f t="shared" si="81"/>
        <v>-13.536339899246991</v>
      </c>
      <c r="AE183">
        <f t="shared" si="82"/>
        <v>-7.9524510142164218E-2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52938.934392864459</v>
      </c>
      <c r="AK183">
        <f t="shared" si="86"/>
        <v>1800</v>
      </c>
      <c r="AL183">
        <f t="shared" si="87"/>
        <v>1499.1101460000002</v>
      </c>
      <c r="AM183">
        <f t="shared" si="88"/>
        <v>0.83283897000000007</v>
      </c>
      <c r="AN183">
        <f t="shared" si="89"/>
        <v>0.15339764730000002</v>
      </c>
      <c r="AO183">
        <v>30</v>
      </c>
      <c r="AP183">
        <v>0.5</v>
      </c>
      <c r="AQ183" t="s">
        <v>331</v>
      </c>
      <c r="AR183">
        <v>2</v>
      </c>
      <c r="AS183">
        <v>1690294060</v>
      </c>
      <c r="AT183">
        <v>354.72899999999998</v>
      </c>
      <c r="AU183">
        <v>800.029</v>
      </c>
      <c r="AV183">
        <v>26.533300000000001</v>
      </c>
      <c r="AW183">
        <v>0.13877900000000001</v>
      </c>
      <c r="AX183">
        <v>354.91500000000002</v>
      </c>
      <c r="AY183">
        <v>26.381900000000002</v>
      </c>
      <c r="AZ183">
        <v>300.10000000000002</v>
      </c>
      <c r="BA183">
        <v>99.344200000000001</v>
      </c>
      <c r="BB183">
        <v>0.10005799999999999</v>
      </c>
      <c r="BC183">
        <v>25.575299999999999</v>
      </c>
      <c r="BD183">
        <v>27.0002</v>
      </c>
      <c r="BE183">
        <v>26.600100000000001</v>
      </c>
      <c r="BF183">
        <v>0</v>
      </c>
      <c r="BG183">
        <v>0</v>
      </c>
      <c r="BH183">
        <v>10031.200000000001</v>
      </c>
      <c r="BI183">
        <v>1062.8900000000001</v>
      </c>
      <c r="BJ183">
        <v>2.2426400000000002</v>
      </c>
      <c r="BK183">
        <v>-445.30099999999999</v>
      </c>
      <c r="BL183">
        <v>364.39699999999999</v>
      </c>
      <c r="BM183">
        <v>800.14</v>
      </c>
      <c r="BN183">
        <v>26.394500000000001</v>
      </c>
      <c r="BO183">
        <v>800.029</v>
      </c>
      <c r="BP183">
        <v>0.13877900000000001</v>
      </c>
      <c r="BQ183">
        <v>2.6359300000000001</v>
      </c>
      <c r="BR183">
        <v>1.37869E-2</v>
      </c>
      <c r="BS183">
        <v>21.891100000000002</v>
      </c>
      <c r="BT183">
        <v>-42.945999999999998</v>
      </c>
      <c r="BU183">
        <v>1800</v>
      </c>
      <c r="BV183">
        <v>0.90998900000000005</v>
      </c>
      <c r="BW183">
        <v>3.4007099999999998E-2</v>
      </c>
      <c r="BX183">
        <v>2.2002000000000001E-2</v>
      </c>
      <c r="BY183">
        <v>3.4001999999999998E-2</v>
      </c>
      <c r="BZ183">
        <v>26</v>
      </c>
      <c r="CA183">
        <v>33528.300000000003</v>
      </c>
      <c r="CB183">
        <v>1690292073.5</v>
      </c>
      <c r="CC183" t="s">
        <v>332</v>
      </c>
      <c r="CD183">
        <v>1690292069.5</v>
      </c>
      <c r="CE183">
        <v>1690292073.5</v>
      </c>
      <c r="CF183">
        <v>4</v>
      </c>
      <c r="CG183">
        <v>-3.6999999999999998E-2</v>
      </c>
      <c r="CH183">
        <v>-1.6E-2</v>
      </c>
      <c r="CI183">
        <v>-0.45200000000000001</v>
      </c>
      <c r="CJ183">
        <v>0.108</v>
      </c>
      <c r="CK183">
        <v>730</v>
      </c>
      <c r="CL183">
        <v>18</v>
      </c>
      <c r="CM183">
        <v>0</v>
      </c>
      <c r="CN183">
        <v>0.01</v>
      </c>
      <c r="CO183">
        <v>-444.81004999999999</v>
      </c>
      <c r="CP183">
        <v>-3.2332007504675859</v>
      </c>
      <c r="CQ183">
        <v>0.32049203968273532</v>
      </c>
      <c r="CR183">
        <v>-1</v>
      </c>
      <c r="CS183">
        <v>26.375127500000001</v>
      </c>
      <c r="CT183">
        <v>0.14371069418384341</v>
      </c>
      <c r="CU183">
        <v>1.4020877067786991E-2</v>
      </c>
      <c r="CV183">
        <v>-1</v>
      </c>
      <c r="CW183">
        <v>0</v>
      </c>
      <c r="CX183">
        <v>0</v>
      </c>
      <c r="CY183" t="s">
        <v>333</v>
      </c>
      <c r="CZ183">
        <v>2.3647100000000001</v>
      </c>
      <c r="DA183">
        <v>2.7138800000000001</v>
      </c>
      <c r="DB183">
        <v>8.18276E-2</v>
      </c>
      <c r="DC183">
        <v>0.14644399999999999</v>
      </c>
      <c r="DD183">
        <v>0.12273199999999999</v>
      </c>
      <c r="DE183">
        <v>1.17377E-3</v>
      </c>
      <c r="DF183">
        <v>33534.9</v>
      </c>
      <c r="DG183">
        <v>27513.5</v>
      </c>
      <c r="DH183">
        <v>31179.200000000001</v>
      </c>
      <c r="DI183">
        <v>28087.1</v>
      </c>
      <c r="DJ183">
        <v>37123.4</v>
      </c>
      <c r="DK183">
        <v>39894.400000000001</v>
      </c>
      <c r="DL183">
        <v>44371.199999999997</v>
      </c>
      <c r="DM183">
        <v>42564</v>
      </c>
      <c r="DN183">
        <v>1.4898800000000001</v>
      </c>
      <c r="DO183">
        <v>2.0385</v>
      </c>
      <c r="DP183">
        <v>0.12656999999999999</v>
      </c>
      <c r="DQ183">
        <v>0.124447</v>
      </c>
      <c r="DR183">
        <v>24.9268</v>
      </c>
      <c r="DS183">
        <v>24.560199999999998</v>
      </c>
      <c r="DT183">
        <v>21.8</v>
      </c>
      <c r="DU183">
        <v>28.8</v>
      </c>
      <c r="DV183">
        <v>8.7232099999999999</v>
      </c>
      <c r="DW183">
        <v>61.593400000000003</v>
      </c>
      <c r="DX183">
        <v>35.6571</v>
      </c>
      <c r="DY183">
        <v>1</v>
      </c>
      <c r="DZ183">
        <v>-0.112111</v>
      </c>
      <c r="EA183">
        <v>0.31751600000000002</v>
      </c>
      <c r="EB183">
        <v>20.189699999999998</v>
      </c>
      <c r="EC183">
        <v>5.2416999999999998</v>
      </c>
      <c r="ED183">
        <v>12.039899999999999</v>
      </c>
      <c r="EE183">
        <v>5.0174000000000003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</v>
      </c>
      <c r="EL183">
        <v>1.8646199999999999</v>
      </c>
      <c r="EM183">
        <v>1.8692</v>
      </c>
      <c r="EN183">
        <v>1.8672200000000001</v>
      </c>
      <c r="EO183">
        <v>1.86338</v>
      </c>
      <c r="EP183">
        <v>1.8644700000000001</v>
      </c>
      <c r="EQ183">
        <v>1.8701300000000001</v>
      </c>
      <c r="ER183">
        <v>1.8693900000000001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-0.186</v>
      </c>
      <c r="FG183">
        <v>0.15140000000000001</v>
      </c>
      <c r="FH183">
        <v>5.0310448532705943E-2</v>
      </c>
      <c r="FI183">
        <v>-6.1462078757559423E-4</v>
      </c>
      <c r="FJ183">
        <v>-1.8861989874597051E-7</v>
      </c>
      <c r="FK183">
        <v>1.1980462299894961E-10</v>
      </c>
      <c r="FL183">
        <v>0.15140825623214971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33.200000000000003</v>
      </c>
      <c r="FU183">
        <v>33.1</v>
      </c>
      <c r="FV183">
        <v>1.7663599999999999</v>
      </c>
      <c r="FW183">
        <v>2.5793499999999998</v>
      </c>
      <c r="FX183">
        <v>1.5490699999999999</v>
      </c>
      <c r="FY183">
        <v>2.3327599999999999</v>
      </c>
      <c r="FZ183">
        <v>1.50146</v>
      </c>
      <c r="GA183">
        <v>2.3840300000000001</v>
      </c>
      <c r="GB183">
        <v>33.221600000000002</v>
      </c>
      <c r="GC183">
        <v>23.991199999999999</v>
      </c>
      <c r="GD183">
        <v>19</v>
      </c>
      <c r="GE183">
        <v>287.54500000000002</v>
      </c>
      <c r="GF183">
        <v>581.82399999999996</v>
      </c>
      <c r="GG183">
        <v>23.741199999999999</v>
      </c>
      <c r="GH183">
        <v>25.951599999999999</v>
      </c>
      <c r="GI183">
        <v>30.000399999999999</v>
      </c>
      <c r="GJ183">
        <v>26.084199999999999</v>
      </c>
      <c r="GK183">
        <v>26.0655</v>
      </c>
      <c r="GL183">
        <v>35.305999999999997</v>
      </c>
      <c r="GM183">
        <v>100</v>
      </c>
      <c r="GN183">
        <v>0</v>
      </c>
      <c r="GO183">
        <v>23.7438</v>
      </c>
      <c r="GP183">
        <v>800</v>
      </c>
      <c r="GQ183">
        <v>0</v>
      </c>
      <c r="GR183">
        <v>99.760400000000004</v>
      </c>
      <c r="GS183">
        <v>99.577799999999996</v>
      </c>
    </row>
    <row r="184" spans="1:201" x14ac:dyDescent="0.25">
      <c r="A184">
        <v>168</v>
      </c>
      <c r="B184">
        <v>1690294070</v>
      </c>
      <c r="C184">
        <v>1799.400000095367</v>
      </c>
      <c r="D184" t="s">
        <v>669</v>
      </c>
      <c r="E184" t="s">
        <v>670</v>
      </c>
      <c r="F184" t="s">
        <v>330</v>
      </c>
      <c r="H184">
        <v>1690294070</v>
      </c>
      <c r="I184">
        <f t="shared" si="60"/>
        <v>2.7126231969203459E-3</v>
      </c>
      <c r="J184">
        <f t="shared" si="61"/>
        <v>2.712623196920346</v>
      </c>
      <c r="K184">
        <f t="shared" si="62"/>
        <v>43.620450404578108</v>
      </c>
      <c r="L184">
        <f t="shared" si="63"/>
        <v>354.22899999999998</v>
      </c>
      <c r="M184">
        <f t="shared" si="64"/>
        <v>116.05442629317558</v>
      </c>
      <c r="N184">
        <f t="shared" si="65"/>
        <v>11.540596290190837</v>
      </c>
      <c r="O184">
        <f t="shared" si="66"/>
        <v>35.224971712418004</v>
      </c>
      <c r="P184">
        <f t="shared" si="67"/>
        <v>0.31709068203685409</v>
      </c>
      <c r="Q184">
        <f t="shared" si="68"/>
        <v>2.2564559695996711</v>
      </c>
      <c r="R184">
        <f t="shared" si="69"/>
        <v>0.2942533671995376</v>
      </c>
      <c r="S184">
        <f t="shared" si="70"/>
        <v>0.18582294735080276</v>
      </c>
      <c r="T184">
        <f t="shared" si="71"/>
        <v>276.11581285799997</v>
      </c>
      <c r="U184">
        <f t="shared" si="72"/>
        <v>26.754546306078701</v>
      </c>
      <c r="V184">
        <f t="shared" si="73"/>
        <v>26.754546306078701</v>
      </c>
      <c r="W184">
        <f t="shared" si="74"/>
        <v>3.5278856668710974</v>
      </c>
      <c r="X184">
        <f t="shared" si="75"/>
        <v>80.203937070429191</v>
      </c>
      <c r="Y184">
        <f t="shared" si="76"/>
        <v>2.6395981600206002</v>
      </c>
      <c r="Z184">
        <f t="shared" si="77"/>
        <v>3.2911079635687952</v>
      </c>
      <c r="AA184">
        <f t="shared" si="78"/>
        <v>0.88828750685049718</v>
      </c>
      <c r="AB184">
        <f t="shared" si="79"/>
        <v>-119.62668298418725</v>
      </c>
      <c r="AC184">
        <f t="shared" si="80"/>
        <v>-143.00527188794436</v>
      </c>
      <c r="AD184">
        <f t="shared" si="81"/>
        <v>-13.563698891467512</v>
      </c>
      <c r="AE184">
        <f t="shared" si="82"/>
        <v>-7.9840905599183998E-2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52737.702631729204</v>
      </c>
      <c r="AK184">
        <f t="shared" si="86"/>
        <v>1800</v>
      </c>
      <c r="AL184">
        <f t="shared" si="87"/>
        <v>1499.1106878000001</v>
      </c>
      <c r="AM184">
        <f t="shared" si="88"/>
        <v>0.83283927099999999</v>
      </c>
      <c r="AN184">
        <f t="shared" si="89"/>
        <v>0.15339767381</v>
      </c>
      <c r="AO184">
        <v>30</v>
      </c>
      <c r="AP184">
        <v>0.5</v>
      </c>
      <c r="AQ184" t="s">
        <v>331</v>
      </c>
      <c r="AR184">
        <v>2</v>
      </c>
      <c r="AS184">
        <v>1690294070</v>
      </c>
      <c r="AT184">
        <v>354.22899999999998</v>
      </c>
      <c r="AU184">
        <v>800.03200000000004</v>
      </c>
      <c r="AV184">
        <v>26.5443</v>
      </c>
      <c r="AW184">
        <v>0.13873099999999999</v>
      </c>
      <c r="AX184">
        <v>354.41500000000002</v>
      </c>
      <c r="AY184">
        <v>26.392900000000001</v>
      </c>
      <c r="AZ184">
        <v>300.00700000000001</v>
      </c>
      <c r="BA184">
        <v>99.341200000000001</v>
      </c>
      <c r="BB184">
        <v>0.10004200000000001</v>
      </c>
      <c r="BC184">
        <v>25.579000000000001</v>
      </c>
      <c r="BD184">
        <v>26.997599999999998</v>
      </c>
      <c r="BE184">
        <v>26.586200000000002</v>
      </c>
      <c r="BF184">
        <v>0</v>
      </c>
      <c r="BG184">
        <v>0</v>
      </c>
      <c r="BH184">
        <v>9991.8799999999992</v>
      </c>
      <c r="BI184">
        <v>1062.92</v>
      </c>
      <c r="BJ184">
        <v>2.2426400000000002</v>
      </c>
      <c r="BK184">
        <v>-445.80200000000002</v>
      </c>
      <c r="BL184">
        <v>363.88900000000001</v>
      </c>
      <c r="BM184">
        <v>800.14300000000003</v>
      </c>
      <c r="BN184">
        <v>26.4056</v>
      </c>
      <c r="BO184">
        <v>800.03200000000004</v>
      </c>
      <c r="BP184">
        <v>0.13873099999999999</v>
      </c>
      <c r="BQ184">
        <v>2.6369500000000001</v>
      </c>
      <c r="BR184">
        <v>1.3781699999999999E-2</v>
      </c>
      <c r="BS184">
        <v>21.897400000000001</v>
      </c>
      <c r="BT184">
        <v>-42.9495</v>
      </c>
      <c r="BU184">
        <v>1800</v>
      </c>
      <c r="BV184">
        <v>0.90998999999999997</v>
      </c>
      <c r="BW184">
        <v>3.40069E-2</v>
      </c>
      <c r="BX184">
        <v>2.2001799999999998E-2</v>
      </c>
      <c r="BY184">
        <v>3.4001700000000003E-2</v>
      </c>
      <c r="BZ184">
        <v>26</v>
      </c>
      <c r="CA184">
        <v>33528.300000000003</v>
      </c>
      <c r="CB184">
        <v>1690292073.5</v>
      </c>
      <c r="CC184" t="s">
        <v>332</v>
      </c>
      <c r="CD184">
        <v>1690292069.5</v>
      </c>
      <c r="CE184">
        <v>1690292073.5</v>
      </c>
      <c r="CF184">
        <v>4</v>
      </c>
      <c r="CG184">
        <v>-3.6999999999999998E-2</v>
      </c>
      <c r="CH184">
        <v>-1.6E-2</v>
      </c>
      <c r="CI184">
        <v>-0.45200000000000001</v>
      </c>
      <c r="CJ184">
        <v>0.108</v>
      </c>
      <c r="CK184">
        <v>730</v>
      </c>
      <c r="CL184">
        <v>18</v>
      </c>
      <c r="CM184">
        <v>0</v>
      </c>
      <c r="CN184">
        <v>0.01</v>
      </c>
      <c r="CO184">
        <v>-445.30636585365858</v>
      </c>
      <c r="CP184">
        <v>-2.4607944250883409</v>
      </c>
      <c r="CQ184">
        <v>0.24686460751550071</v>
      </c>
      <c r="CR184">
        <v>-1</v>
      </c>
      <c r="CS184">
        <v>26.39351219512195</v>
      </c>
      <c r="CT184">
        <v>7.6434146341461354E-2</v>
      </c>
      <c r="CU184">
        <v>7.6052355240692439E-3</v>
      </c>
      <c r="CV184">
        <v>-1</v>
      </c>
      <c r="CW184">
        <v>0</v>
      </c>
      <c r="CX184">
        <v>0</v>
      </c>
      <c r="CY184" t="s">
        <v>333</v>
      </c>
      <c r="CZ184">
        <v>2.3643900000000002</v>
      </c>
      <c r="DA184">
        <v>2.7138200000000001</v>
      </c>
      <c r="DB184">
        <v>8.1733899999999998E-2</v>
      </c>
      <c r="DC184">
        <v>0.14643800000000001</v>
      </c>
      <c r="DD184">
        <v>0.122762</v>
      </c>
      <c r="DE184">
        <v>1.17332E-3</v>
      </c>
      <c r="DF184">
        <v>33538.5</v>
      </c>
      <c r="DG184">
        <v>27513.8</v>
      </c>
      <c r="DH184">
        <v>31179.3</v>
      </c>
      <c r="DI184">
        <v>28087.200000000001</v>
      </c>
      <c r="DJ184">
        <v>37122.5</v>
      </c>
      <c r="DK184">
        <v>39894.800000000003</v>
      </c>
      <c r="DL184">
        <v>44371.7</v>
      </c>
      <c r="DM184">
        <v>42564.4</v>
      </c>
      <c r="DN184">
        <v>1.48953</v>
      </c>
      <c r="DO184">
        <v>2.0384199999999999</v>
      </c>
      <c r="DP184">
        <v>0.126414</v>
      </c>
      <c r="DQ184">
        <v>0.123598</v>
      </c>
      <c r="DR184">
        <v>24.9268</v>
      </c>
      <c r="DS184">
        <v>24.560199999999998</v>
      </c>
      <c r="DT184">
        <v>21.7</v>
      </c>
      <c r="DU184">
        <v>28.8</v>
      </c>
      <c r="DV184">
        <v>8.6834600000000002</v>
      </c>
      <c r="DW184">
        <v>61.523400000000002</v>
      </c>
      <c r="DX184">
        <v>35.8934</v>
      </c>
      <c r="DY184">
        <v>1</v>
      </c>
      <c r="DZ184">
        <v>-0.113196</v>
      </c>
      <c r="EA184">
        <v>0.29930800000000002</v>
      </c>
      <c r="EB184">
        <v>20.189800000000002</v>
      </c>
      <c r="EC184">
        <v>5.2406499999999996</v>
      </c>
      <c r="ED184">
        <v>12.039899999999999</v>
      </c>
      <c r="EE184">
        <v>5.0170000000000003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1.8646199999999999</v>
      </c>
      <c r="EM184">
        <v>1.8692</v>
      </c>
      <c r="EN184">
        <v>1.8672200000000001</v>
      </c>
      <c r="EO184">
        <v>1.8633999999999999</v>
      </c>
      <c r="EP184">
        <v>1.8644499999999999</v>
      </c>
      <c r="EQ184">
        <v>1.8701300000000001</v>
      </c>
      <c r="ER184">
        <v>1.86941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-0.186</v>
      </c>
      <c r="FG184">
        <v>0.15140000000000001</v>
      </c>
      <c r="FH184">
        <v>5.0310448532705943E-2</v>
      </c>
      <c r="FI184">
        <v>-6.1462078757559423E-4</v>
      </c>
      <c r="FJ184">
        <v>-1.8861989874597051E-7</v>
      </c>
      <c r="FK184">
        <v>1.1980462299894961E-10</v>
      </c>
      <c r="FL184">
        <v>0.15140825623214971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33.299999999999997</v>
      </c>
      <c r="FU184">
        <v>33.299999999999997</v>
      </c>
      <c r="FV184">
        <v>1.7663599999999999</v>
      </c>
      <c r="FW184">
        <v>2.5842299999999998</v>
      </c>
      <c r="FX184">
        <v>1.5490699999999999</v>
      </c>
      <c r="FY184">
        <v>2.3327599999999999</v>
      </c>
      <c r="FZ184">
        <v>1.50146</v>
      </c>
      <c r="GA184">
        <v>2.35229</v>
      </c>
      <c r="GB184">
        <v>33.221600000000002</v>
      </c>
      <c r="GC184">
        <v>23.982399999999998</v>
      </c>
      <c r="GD184">
        <v>19</v>
      </c>
      <c r="GE184">
        <v>287.39499999999998</v>
      </c>
      <c r="GF184">
        <v>581.76300000000003</v>
      </c>
      <c r="GG184">
        <v>23.7393</v>
      </c>
      <c r="GH184">
        <v>25.951599999999999</v>
      </c>
      <c r="GI184">
        <v>29.999500000000001</v>
      </c>
      <c r="GJ184">
        <v>26.084199999999999</v>
      </c>
      <c r="GK184">
        <v>26.0655</v>
      </c>
      <c r="GL184">
        <v>35.309399999999997</v>
      </c>
      <c r="GM184">
        <v>100</v>
      </c>
      <c r="GN184">
        <v>0</v>
      </c>
      <c r="GO184">
        <v>23.740600000000001</v>
      </c>
      <c r="GP184">
        <v>800</v>
      </c>
      <c r="GQ184">
        <v>0</v>
      </c>
      <c r="GR184">
        <v>99.761300000000006</v>
      </c>
      <c r="GS184">
        <v>99.578699999999998</v>
      </c>
    </row>
    <row r="185" spans="1:201" x14ac:dyDescent="0.25">
      <c r="A185">
        <v>169</v>
      </c>
      <c r="B185">
        <v>1690294080</v>
      </c>
      <c r="C185">
        <v>1809.400000095367</v>
      </c>
      <c r="D185" t="s">
        <v>671</v>
      </c>
      <c r="E185" t="s">
        <v>672</v>
      </c>
      <c r="F185" t="s">
        <v>330</v>
      </c>
      <c r="H185">
        <v>1690294080</v>
      </c>
      <c r="I185">
        <f t="shared" si="60"/>
        <v>2.7154345406666682E-3</v>
      </c>
      <c r="J185">
        <f t="shared" si="61"/>
        <v>2.715434540666668</v>
      </c>
      <c r="K185">
        <f t="shared" si="62"/>
        <v>43.694640113375655</v>
      </c>
      <c r="L185">
        <f t="shared" si="63"/>
        <v>353.77499999999998</v>
      </c>
      <c r="M185">
        <f t="shared" si="64"/>
        <v>116.02931520397799</v>
      </c>
      <c r="N185">
        <f t="shared" si="65"/>
        <v>11.538222690690294</v>
      </c>
      <c r="O185">
        <f t="shared" si="66"/>
        <v>35.180201875904999</v>
      </c>
      <c r="P185">
        <f t="shared" si="67"/>
        <v>0.31822403708463093</v>
      </c>
      <c r="Q185">
        <f t="shared" si="68"/>
        <v>2.2612278276122346</v>
      </c>
      <c r="R185">
        <f t="shared" si="69"/>
        <v>0.29527429730538141</v>
      </c>
      <c r="S185">
        <f t="shared" si="70"/>
        <v>0.18647026794131324</v>
      </c>
      <c r="T185">
        <f t="shared" si="71"/>
        <v>276.11407254840822</v>
      </c>
      <c r="U185">
        <f t="shared" si="72"/>
        <v>26.750237420523391</v>
      </c>
      <c r="V185">
        <f t="shared" si="73"/>
        <v>26.750237420523391</v>
      </c>
      <c r="W185">
        <f t="shared" si="74"/>
        <v>3.5269913206602643</v>
      </c>
      <c r="X185">
        <f t="shared" si="75"/>
        <v>80.247200103180333</v>
      </c>
      <c r="Y185">
        <f t="shared" si="76"/>
        <v>2.64084954883092</v>
      </c>
      <c r="Z185">
        <f t="shared" si="77"/>
        <v>3.2908930722011056</v>
      </c>
      <c r="AA185">
        <f t="shared" si="78"/>
        <v>0.88614177182934428</v>
      </c>
      <c r="AB185">
        <f t="shared" si="79"/>
        <v>-119.75066324340007</v>
      </c>
      <c r="AC185">
        <f t="shared" si="80"/>
        <v>-142.91650679060626</v>
      </c>
      <c r="AD185">
        <f t="shared" si="81"/>
        <v>-13.526306979051951</v>
      </c>
      <c r="AE185">
        <f t="shared" si="82"/>
        <v>-7.9404464650053797E-2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52925.375478140471</v>
      </c>
      <c r="AK185">
        <f t="shared" si="86"/>
        <v>1799.99</v>
      </c>
      <c r="AL185">
        <f t="shared" si="87"/>
        <v>1499.1018140103201</v>
      </c>
      <c r="AM185">
        <f t="shared" si="88"/>
        <v>0.83283896800000001</v>
      </c>
      <c r="AN185">
        <f t="shared" si="89"/>
        <v>0.15339755918</v>
      </c>
      <c r="AO185">
        <v>30</v>
      </c>
      <c r="AP185">
        <v>0.5</v>
      </c>
      <c r="AQ185" t="s">
        <v>331</v>
      </c>
      <c r="AR185">
        <v>2</v>
      </c>
      <c r="AS185">
        <v>1690294080</v>
      </c>
      <c r="AT185">
        <v>353.77499999999998</v>
      </c>
      <c r="AU185">
        <v>800.07799999999997</v>
      </c>
      <c r="AV185">
        <v>26.5566</v>
      </c>
      <c r="AW185">
        <v>0.13817599999999999</v>
      </c>
      <c r="AX185">
        <v>353.96100000000001</v>
      </c>
      <c r="AY185">
        <v>26.405200000000001</v>
      </c>
      <c r="AZ185">
        <v>300.16800000000001</v>
      </c>
      <c r="BA185">
        <v>99.342399999999998</v>
      </c>
      <c r="BB185">
        <v>9.9906200000000001E-2</v>
      </c>
      <c r="BC185">
        <v>25.5779</v>
      </c>
      <c r="BD185">
        <v>27.003499999999999</v>
      </c>
      <c r="BE185">
        <v>26.596399999999999</v>
      </c>
      <c r="BF185">
        <v>0</v>
      </c>
      <c r="BG185">
        <v>0</v>
      </c>
      <c r="BH185">
        <v>10028.799999999999</v>
      </c>
      <c r="BI185">
        <v>1062.96</v>
      </c>
      <c r="BJ185">
        <v>2.2426400000000002</v>
      </c>
      <c r="BK185">
        <v>-446.30200000000002</v>
      </c>
      <c r="BL185">
        <v>363.42700000000002</v>
      </c>
      <c r="BM185">
        <v>800.18799999999999</v>
      </c>
      <c r="BN185">
        <v>26.418399999999998</v>
      </c>
      <c r="BO185">
        <v>800.07799999999997</v>
      </c>
      <c r="BP185">
        <v>0.13817599999999999</v>
      </c>
      <c r="BQ185">
        <v>2.6381899999999998</v>
      </c>
      <c r="BR185">
        <v>1.37267E-2</v>
      </c>
      <c r="BS185">
        <v>21.905100000000001</v>
      </c>
      <c r="BT185">
        <v>-42.986699999999999</v>
      </c>
      <c r="BU185">
        <v>1799.99</v>
      </c>
      <c r="BV185">
        <v>0.90999099999999999</v>
      </c>
      <c r="BW185">
        <v>3.4006300000000003E-2</v>
      </c>
      <c r="BX185">
        <v>2.2001400000000001E-2</v>
      </c>
      <c r="BY185">
        <v>3.4001200000000002E-2</v>
      </c>
      <c r="BZ185">
        <v>26</v>
      </c>
      <c r="CA185">
        <v>33528.199999999997</v>
      </c>
      <c r="CB185">
        <v>1690292073.5</v>
      </c>
      <c r="CC185" t="s">
        <v>332</v>
      </c>
      <c r="CD185">
        <v>1690292069.5</v>
      </c>
      <c r="CE185">
        <v>1690292073.5</v>
      </c>
      <c r="CF185">
        <v>4</v>
      </c>
      <c r="CG185">
        <v>-3.6999999999999998E-2</v>
      </c>
      <c r="CH185">
        <v>-1.6E-2</v>
      </c>
      <c r="CI185">
        <v>-0.45200000000000001</v>
      </c>
      <c r="CJ185">
        <v>0.108</v>
      </c>
      <c r="CK185">
        <v>730</v>
      </c>
      <c r="CL185">
        <v>18</v>
      </c>
      <c r="CM185">
        <v>0</v>
      </c>
      <c r="CN185">
        <v>0.01</v>
      </c>
      <c r="CO185">
        <v>-445.70592682926832</v>
      </c>
      <c r="CP185">
        <v>-2.9691219512190572</v>
      </c>
      <c r="CQ185">
        <v>0.29417311895265902</v>
      </c>
      <c r="CR185">
        <v>-1</v>
      </c>
      <c r="CS185">
        <v>26.403846341463421</v>
      </c>
      <c r="CT185">
        <v>6.4772822299680413E-2</v>
      </c>
      <c r="CU185">
        <v>6.4340973388914641E-3</v>
      </c>
      <c r="CV185">
        <v>-1</v>
      </c>
      <c r="CW185">
        <v>0</v>
      </c>
      <c r="CX185">
        <v>0</v>
      </c>
      <c r="CY185" t="s">
        <v>333</v>
      </c>
      <c r="CZ185">
        <v>2.3649300000000002</v>
      </c>
      <c r="DA185">
        <v>2.7137199999999999</v>
      </c>
      <c r="DB185">
        <v>8.1654500000000005E-2</v>
      </c>
      <c r="DC185">
        <v>0.146449</v>
      </c>
      <c r="DD185">
        <v>0.122806</v>
      </c>
      <c r="DE185">
        <v>1.1687100000000001E-3</v>
      </c>
      <c r="DF185">
        <v>33541.300000000003</v>
      </c>
      <c r="DG185">
        <v>27513.5</v>
      </c>
      <c r="DH185">
        <v>31179.200000000001</v>
      </c>
      <c r="DI185">
        <v>28087.3</v>
      </c>
      <c r="DJ185">
        <v>37120.400000000001</v>
      </c>
      <c r="DK185">
        <v>39895</v>
      </c>
      <c r="DL185">
        <v>44371.4</v>
      </c>
      <c r="DM185">
        <v>42564.4</v>
      </c>
      <c r="DN185">
        <v>1.4898800000000001</v>
      </c>
      <c r="DO185">
        <v>2.0383499999999999</v>
      </c>
      <c r="DP185">
        <v>0.12673400000000001</v>
      </c>
      <c r="DQ185">
        <v>0.12421599999999999</v>
      </c>
      <c r="DR185">
        <v>24.927399999999999</v>
      </c>
      <c r="DS185">
        <v>24.560199999999998</v>
      </c>
      <c r="DT185">
        <v>21.7</v>
      </c>
      <c r="DU185">
        <v>28.8</v>
      </c>
      <c r="DV185">
        <v>8.6836800000000007</v>
      </c>
      <c r="DW185">
        <v>61.183399999999999</v>
      </c>
      <c r="DX185">
        <v>35.015999999999998</v>
      </c>
      <c r="DY185">
        <v>1</v>
      </c>
      <c r="DZ185">
        <v>-0.11326700000000001</v>
      </c>
      <c r="EA185">
        <v>0.26252199999999998</v>
      </c>
      <c r="EB185">
        <v>20.189900000000002</v>
      </c>
      <c r="EC185">
        <v>5.2408000000000001</v>
      </c>
      <c r="ED185">
        <v>12.039899999999999</v>
      </c>
      <c r="EE185">
        <v>5.0165499999999996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1.8646199999999999</v>
      </c>
      <c r="EM185">
        <v>1.8692</v>
      </c>
      <c r="EN185">
        <v>1.8672200000000001</v>
      </c>
      <c r="EO185">
        <v>1.8633999999999999</v>
      </c>
      <c r="EP185">
        <v>1.8644700000000001</v>
      </c>
      <c r="EQ185">
        <v>1.8701399999999999</v>
      </c>
      <c r="ER185">
        <v>1.8694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-0.186</v>
      </c>
      <c r="FG185">
        <v>0.15140000000000001</v>
      </c>
      <c r="FH185">
        <v>5.0310448532705943E-2</v>
      </c>
      <c r="FI185">
        <v>-6.1462078757559423E-4</v>
      </c>
      <c r="FJ185">
        <v>-1.8861989874597051E-7</v>
      </c>
      <c r="FK185">
        <v>1.1980462299894961E-10</v>
      </c>
      <c r="FL185">
        <v>0.15140825623214971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33.5</v>
      </c>
      <c r="FU185">
        <v>33.4</v>
      </c>
      <c r="FV185">
        <v>1.7663599999999999</v>
      </c>
      <c r="FW185">
        <v>2.5830099999999998</v>
      </c>
      <c r="FX185">
        <v>1.5490699999999999</v>
      </c>
      <c r="FY185">
        <v>2.3327599999999999</v>
      </c>
      <c r="FZ185">
        <v>1.50146</v>
      </c>
      <c r="GA185">
        <v>2.3290999999999999</v>
      </c>
      <c r="GB185">
        <v>33.221600000000002</v>
      </c>
      <c r="GC185">
        <v>23.982399999999998</v>
      </c>
      <c r="GD185">
        <v>19</v>
      </c>
      <c r="GE185">
        <v>287.54500000000002</v>
      </c>
      <c r="GF185">
        <v>581.70100000000002</v>
      </c>
      <c r="GG185">
        <v>23.739699999999999</v>
      </c>
      <c r="GH185">
        <v>25.953800000000001</v>
      </c>
      <c r="GI185">
        <v>30</v>
      </c>
      <c r="GJ185">
        <v>26.084199999999999</v>
      </c>
      <c r="GK185">
        <v>26.0655</v>
      </c>
      <c r="GL185">
        <v>35.3078</v>
      </c>
      <c r="GM185">
        <v>100</v>
      </c>
      <c r="GN185">
        <v>0</v>
      </c>
      <c r="GO185">
        <v>23.751999999999999</v>
      </c>
      <c r="GP185">
        <v>800</v>
      </c>
      <c r="GQ185">
        <v>0</v>
      </c>
      <c r="GR185">
        <v>99.760800000000003</v>
      </c>
      <c r="GS185">
        <v>99.578699999999998</v>
      </c>
    </row>
    <row r="186" spans="1:201" x14ac:dyDescent="0.25">
      <c r="A186">
        <v>170</v>
      </c>
      <c r="B186">
        <v>1690294090</v>
      </c>
      <c r="C186">
        <v>1819.400000095367</v>
      </c>
      <c r="D186" t="s">
        <v>673</v>
      </c>
      <c r="E186" t="s">
        <v>674</v>
      </c>
      <c r="F186" t="s">
        <v>330</v>
      </c>
      <c r="H186">
        <v>1690294090</v>
      </c>
      <c r="I186">
        <f t="shared" si="60"/>
        <v>2.7192508348974293E-3</v>
      </c>
      <c r="J186">
        <f t="shared" si="61"/>
        <v>2.7192508348974291</v>
      </c>
      <c r="K186">
        <f t="shared" si="62"/>
        <v>43.734311819027404</v>
      </c>
      <c r="L186">
        <f t="shared" si="63"/>
        <v>353.30399999999997</v>
      </c>
      <c r="M186">
        <f t="shared" si="64"/>
        <v>116.4720484969214</v>
      </c>
      <c r="N186">
        <f t="shared" si="65"/>
        <v>11.582165320380419</v>
      </c>
      <c r="O186">
        <f t="shared" si="66"/>
        <v>35.133110382787201</v>
      </c>
      <c r="P186">
        <f t="shared" si="67"/>
        <v>0.31989159505933368</v>
      </c>
      <c r="Q186">
        <f t="shared" si="68"/>
        <v>2.2562985801902564</v>
      </c>
      <c r="R186">
        <f t="shared" si="69"/>
        <v>0.2966633882994123</v>
      </c>
      <c r="S186">
        <f t="shared" si="70"/>
        <v>0.18736083114400059</v>
      </c>
      <c r="T186">
        <f t="shared" si="71"/>
        <v>276.11393591116729</v>
      </c>
      <c r="U186">
        <f t="shared" si="72"/>
        <v>26.754009776410133</v>
      </c>
      <c r="V186">
        <f t="shared" si="73"/>
        <v>26.754009776410133</v>
      </c>
      <c r="W186">
        <f t="shared" si="74"/>
        <v>3.5277742947389958</v>
      </c>
      <c r="X186">
        <f t="shared" si="75"/>
        <v>80.347357735528959</v>
      </c>
      <c r="Y186">
        <f t="shared" si="76"/>
        <v>2.64456944767656</v>
      </c>
      <c r="Z186">
        <f t="shared" si="77"/>
        <v>3.2914205547137145</v>
      </c>
      <c r="AA186">
        <f t="shared" si="78"/>
        <v>0.88320484706243585</v>
      </c>
      <c r="AB186">
        <f t="shared" si="79"/>
        <v>-119.91896181897663</v>
      </c>
      <c r="AC186">
        <f t="shared" si="80"/>
        <v>-142.73540634725995</v>
      </c>
      <c r="AD186">
        <f t="shared" si="81"/>
        <v>-13.539119168289334</v>
      </c>
      <c r="AE186">
        <f t="shared" si="82"/>
        <v>-7.9551423358651618E-2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52731.252433095964</v>
      </c>
      <c r="AK186">
        <f t="shared" si="86"/>
        <v>1799.99</v>
      </c>
      <c r="AL186">
        <f t="shared" si="87"/>
        <v>1499.1015512117799</v>
      </c>
      <c r="AM186">
        <f t="shared" si="88"/>
        <v>0.83283882199999992</v>
      </c>
      <c r="AN186">
        <f t="shared" si="89"/>
        <v>0.15339748327</v>
      </c>
      <c r="AO186">
        <v>30</v>
      </c>
      <c r="AP186">
        <v>0.5</v>
      </c>
      <c r="AQ186" t="s">
        <v>331</v>
      </c>
      <c r="AR186">
        <v>2</v>
      </c>
      <c r="AS186">
        <v>1690294090</v>
      </c>
      <c r="AT186">
        <v>353.30399999999997</v>
      </c>
      <c r="AU186">
        <v>800.02800000000002</v>
      </c>
      <c r="AV186">
        <v>26.594200000000001</v>
      </c>
      <c r="AW186">
        <v>0.13825899999999999</v>
      </c>
      <c r="AX186">
        <v>353.48899999999998</v>
      </c>
      <c r="AY186">
        <v>26.442799999999998</v>
      </c>
      <c r="AZ186">
        <v>300.15199999999999</v>
      </c>
      <c r="BA186">
        <v>99.3416</v>
      </c>
      <c r="BB186">
        <v>9.9986800000000001E-2</v>
      </c>
      <c r="BC186">
        <v>25.5806</v>
      </c>
      <c r="BD186">
        <v>26.9925</v>
      </c>
      <c r="BE186">
        <v>26.6099</v>
      </c>
      <c r="BF186">
        <v>0</v>
      </c>
      <c r="BG186">
        <v>0</v>
      </c>
      <c r="BH186">
        <v>9990.6200000000008</v>
      </c>
      <c r="BI186">
        <v>1062.8599999999999</v>
      </c>
      <c r="BJ186">
        <v>2.2426400000000002</v>
      </c>
      <c r="BK186">
        <v>-446.72500000000002</v>
      </c>
      <c r="BL186">
        <v>362.95600000000002</v>
      </c>
      <c r="BM186">
        <v>800.13900000000001</v>
      </c>
      <c r="BN186">
        <v>26.456</v>
      </c>
      <c r="BO186">
        <v>800.02800000000002</v>
      </c>
      <c r="BP186">
        <v>0.13825899999999999</v>
      </c>
      <c r="BQ186">
        <v>2.6419100000000002</v>
      </c>
      <c r="BR186">
        <v>1.37348E-2</v>
      </c>
      <c r="BS186">
        <v>21.9282</v>
      </c>
      <c r="BT186">
        <v>-42.981200000000001</v>
      </c>
      <c r="BU186">
        <v>1799.99</v>
      </c>
      <c r="BV186">
        <v>0.90999200000000002</v>
      </c>
      <c r="BW186">
        <v>3.4005800000000003E-2</v>
      </c>
      <c r="BX186">
        <v>2.2001099999999999E-2</v>
      </c>
      <c r="BY186">
        <v>3.4000700000000002E-2</v>
      </c>
      <c r="BZ186">
        <v>26</v>
      </c>
      <c r="CA186">
        <v>33528.199999999997</v>
      </c>
      <c r="CB186">
        <v>1690292073.5</v>
      </c>
      <c r="CC186" t="s">
        <v>332</v>
      </c>
      <c r="CD186">
        <v>1690292069.5</v>
      </c>
      <c r="CE186">
        <v>1690292073.5</v>
      </c>
      <c r="CF186">
        <v>4</v>
      </c>
      <c r="CG186">
        <v>-3.6999999999999998E-2</v>
      </c>
      <c r="CH186">
        <v>-1.6E-2</v>
      </c>
      <c r="CI186">
        <v>-0.45200000000000001</v>
      </c>
      <c r="CJ186">
        <v>0.108</v>
      </c>
      <c r="CK186">
        <v>730</v>
      </c>
      <c r="CL186">
        <v>18</v>
      </c>
      <c r="CM186">
        <v>0</v>
      </c>
      <c r="CN186">
        <v>0.01</v>
      </c>
      <c r="CO186">
        <v>-446.24745000000001</v>
      </c>
      <c r="CP186">
        <v>-2.9352495309548341</v>
      </c>
      <c r="CQ186">
        <v>0.28359918458980338</v>
      </c>
      <c r="CR186">
        <v>-1</v>
      </c>
      <c r="CS186">
        <v>26.422350000000002</v>
      </c>
      <c r="CT186">
        <v>0.15300787992491299</v>
      </c>
      <c r="CU186">
        <v>1.531984007749434E-2</v>
      </c>
      <c r="CV186">
        <v>-1</v>
      </c>
      <c r="CW186">
        <v>0</v>
      </c>
      <c r="CX186">
        <v>0</v>
      </c>
      <c r="CY186" t="s">
        <v>333</v>
      </c>
      <c r="CZ186">
        <v>2.3648799999999999</v>
      </c>
      <c r="DA186">
        <v>2.7137699999999998</v>
      </c>
      <c r="DB186">
        <v>8.1567500000000001E-2</v>
      </c>
      <c r="DC186">
        <v>0.14643999999999999</v>
      </c>
      <c r="DD186">
        <v>0.12292500000000001</v>
      </c>
      <c r="DE186">
        <v>1.16938E-3</v>
      </c>
      <c r="DF186">
        <v>33544.199999999997</v>
      </c>
      <c r="DG186">
        <v>27513.4</v>
      </c>
      <c r="DH186">
        <v>31178.9</v>
      </c>
      <c r="DI186">
        <v>28087</v>
      </c>
      <c r="DJ186">
        <v>37115</v>
      </c>
      <c r="DK186">
        <v>39894.699999999997</v>
      </c>
      <c r="DL186">
        <v>44371</v>
      </c>
      <c r="DM186">
        <v>42564.1</v>
      </c>
      <c r="DN186">
        <v>1.4898</v>
      </c>
      <c r="DO186">
        <v>2.0383499999999999</v>
      </c>
      <c r="DP186">
        <v>0.12590000000000001</v>
      </c>
      <c r="DQ186">
        <v>0.124916</v>
      </c>
      <c r="DR186">
        <v>24.93</v>
      </c>
      <c r="DS186">
        <v>24.5623</v>
      </c>
      <c r="DT186">
        <v>21.7</v>
      </c>
      <c r="DU186">
        <v>28.9</v>
      </c>
      <c r="DV186">
        <v>8.7339699999999993</v>
      </c>
      <c r="DW186">
        <v>61.773400000000002</v>
      </c>
      <c r="DX186">
        <v>35.292499999999997</v>
      </c>
      <c r="DY186">
        <v>1</v>
      </c>
      <c r="DZ186">
        <v>-0.112965</v>
      </c>
      <c r="EA186">
        <v>0.28472799999999998</v>
      </c>
      <c r="EB186">
        <v>20.189900000000002</v>
      </c>
      <c r="EC186">
        <v>5.2406499999999996</v>
      </c>
      <c r="ED186">
        <v>12.039899999999999</v>
      </c>
      <c r="EE186">
        <v>5.0168999999999997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1.8646199999999999</v>
      </c>
      <c r="EM186">
        <v>1.8692</v>
      </c>
      <c r="EN186">
        <v>1.8672299999999999</v>
      </c>
      <c r="EO186">
        <v>1.8633900000000001</v>
      </c>
      <c r="EP186">
        <v>1.8644700000000001</v>
      </c>
      <c r="EQ186">
        <v>1.8701700000000001</v>
      </c>
      <c r="ER186">
        <v>1.8694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-0.185</v>
      </c>
      <c r="FG186">
        <v>0.15140000000000001</v>
      </c>
      <c r="FH186">
        <v>5.0310448532705943E-2</v>
      </c>
      <c r="FI186">
        <v>-6.1462078757559423E-4</v>
      </c>
      <c r="FJ186">
        <v>-1.8861989874597051E-7</v>
      </c>
      <c r="FK186">
        <v>1.1980462299894961E-10</v>
      </c>
      <c r="FL186">
        <v>0.15140825623214971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33.700000000000003</v>
      </c>
      <c r="FU186">
        <v>33.6</v>
      </c>
      <c r="FV186">
        <v>1.7663599999999999</v>
      </c>
      <c r="FW186">
        <v>2.5793499999999998</v>
      </c>
      <c r="FX186">
        <v>1.5490699999999999</v>
      </c>
      <c r="FY186">
        <v>2.3339799999999999</v>
      </c>
      <c r="FZ186">
        <v>1.50146</v>
      </c>
      <c r="GA186">
        <v>2.3767100000000001</v>
      </c>
      <c r="GB186">
        <v>33.221600000000002</v>
      </c>
      <c r="GC186">
        <v>23.991199999999999</v>
      </c>
      <c r="GD186">
        <v>19</v>
      </c>
      <c r="GE186">
        <v>287.52300000000002</v>
      </c>
      <c r="GF186">
        <v>581.70100000000002</v>
      </c>
      <c r="GG186">
        <v>23.752600000000001</v>
      </c>
      <c r="GH186">
        <v>25.953800000000001</v>
      </c>
      <c r="GI186">
        <v>30.000299999999999</v>
      </c>
      <c r="GJ186">
        <v>26.086400000000001</v>
      </c>
      <c r="GK186">
        <v>26.0655</v>
      </c>
      <c r="GL186">
        <v>35.3095</v>
      </c>
      <c r="GM186">
        <v>100</v>
      </c>
      <c r="GN186">
        <v>0</v>
      </c>
      <c r="GO186">
        <v>23.745999999999999</v>
      </c>
      <c r="GP186">
        <v>800</v>
      </c>
      <c r="GQ186">
        <v>0</v>
      </c>
      <c r="GR186">
        <v>99.759900000000002</v>
      </c>
      <c r="GS186">
        <v>99.577799999999996</v>
      </c>
    </row>
    <row r="187" spans="1:201" x14ac:dyDescent="0.25">
      <c r="A187">
        <v>171</v>
      </c>
      <c r="B187">
        <v>1690294100</v>
      </c>
      <c r="C187">
        <v>1829.400000095367</v>
      </c>
      <c r="D187" t="s">
        <v>675</v>
      </c>
      <c r="E187" t="s">
        <v>676</v>
      </c>
      <c r="F187" t="s">
        <v>330</v>
      </c>
      <c r="H187">
        <v>1690294100</v>
      </c>
      <c r="I187">
        <f t="shared" si="60"/>
        <v>2.7206290712076336E-3</v>
      </c>
      <c r="J187">
        <f t="shared" si="61"/>
        <v>2.7206290712076338</v>
      </c>
      <c r="K187">
        <f t="shared" si="62"/>
        <v>43.767974654241883</v>
      </c>
      <c r="L187">
        <f t="shared" si="63"/>
        <v>352.815</v>
      </c>
      <c r="M187">
        <f t="shared" si="64"/>
        <v>116.52638437088835</v>
      </c>
      <c r="N187">
        <f t="shared" si="65"/>
        <v>11.587717276879591</v>
      </c>
      <c r="O187">
        <f t="shared" si="66"/>
        <v>35.084933709345002</v>
      </c>
      <c r="P187">
        <f t="shared" si="67"/>
        <v>0.32091303491116907</v>
      </c>
      <c r="Q187">
        <f t="shared" si="68"/>
        <v>2.2584907997242305</v>
      </c>
      <c r="R187">
        <f t="shared" si="69"/>
        <v>0.29756297550033162</v>
      </c>
      <c r="S187">
        <f t="shared" si="70"/>
        <v>0.18793299221518217</v>
      </c>
      <c r="T187">
        <f t="shared" si="71"/>
        <v>276.11535198600001</v>
      </c>
      <c r="U187">
        <f t="shared" si="72"/>
        <v>26.753722066507791</v>
      </c>
      <c r="V187">
        <f t="shared" si="73"/>
        <v>26.753722066507791</v>
      </c>
      <c r="W187">
        <f t="shared" si="74"/>
        <v>3.5277145735553104</v>
      </c>
      <c r="X187">
        <f t="shared" si="75"/>
        <v>80.407316451044963</v>
      </c>
      <c r="Y187">
        <f t="shared" si="76"/>
        <v>2.6467314644628002</v>
      </c>
      <c r="Z187">
        <f t="shared" si="77"/>
        <v>3.2916550150933479</v>
      </c>
      <c r="AA187">
        <f t="shared" si="78"/>
        <v>0.88098310909251021</v>
      </c>
      <c r="AB187">
        <f t="shared" si="79"/>
        <v>-119.97974204025664</v>
      </c>
      <c r="AC187">
        <f t="shared" si="80"/>
        <v>-142.69294486283141</v>
      </c>
      <c r="AD187">
        <f t="shared" si="81"/>
        <v>-13.52201528886221</v>
      </c>
      <c r="AE187">
        <f t="shared" si="82"/>
        <v>-7.9350205950277086E-2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52817.129652113224</v>
      </c>
      <c r="AK187">
        <f t="shared" si="86"/>
        <v>1800</v>
      </c>
      <c r="AL187">
        <f t="shared" si="87"/>
        <v>1499.1100325999998</v>
      </c>
      <c r="AM187">
        <f t="shared" si="88"/>
        <v>0.83283890699999996</v>
      </c>
      <c r="AN187">
        <f t="shared" si="89"/>
        <v>0.15339741777000002</v>
      </c>
      <c r="AO187">
        <v>30</v>
      </c>
      <c r="AP187">
        <v>0.5</v>
      </c>
      <c r="AQ187" t="s">
        <v>331</v>
      </c>
      <c r="AR187">
        <v>2</v>
      </c>
      <c r="AS187">
        <v>1690294100</v>
      </c>
      <c r="AT187">
        <v>352.815</v>
      </c>
      <c r="AU187">
        <v>800.01900000000001</v>
      </c>
      <c r="AV187">
        <v>26.615600000000001</v>
      </c>
      <c r="AW187">
        <v>0.13783400000000001</v>
      </c>
      <c r="AX187">
        <v>353</v>
      </c>
      <c r="AY187">
        <v>26.464200000000002</v>
      </c>
      <c r="AZ187">
        <v>300.05</v>
      </c>
      <c r="BA187">
        <v>99.342799999999997</v>
      </c>
      <c r="BB187">
        <v>0.100063</v>
      </c>
      <c r="BC187">
        <v>25.581800000000001</v>
      </c>
      <c r="BD187">
        <v>27.0015</v>
      </c>
      <c r="BE187">
        <v>26.596699999999998</v>
      </c>
      <c r="BF187">
        <v>0</v>
      </c>
      <c r="BG187">
        <v>0</v>
      </c>
      <c r="BH187">
        <v>10007.5</v>
      </c>
      <c r="BI187">
        <v>1062.8399999999999</v>
      </c>
      <c r="BJ187">
        <v>2.00156</v>
      </c>
      <c r="BK187">
        <v>-447.20299999999997</v>
      </c>
      <c r="BL187">
        <v>362.46199999999999</v>
      </c>
      <c r="BM187">
        <v>800.12900000000002</v>
      </c>
      <c r="BN187">
        <v>26.477799999999998</v>
      </c>
      <c r="BO187">
        <v>800.01900000000001</v>
      </c>
      <c r="BP187">
        <v>0.13783400000000001</v>
      </c>
      <c r="BQ187">
        <v>2.6440700000000001</v>
      </c>
      <c r="BR187">
        <v>1.36928E-2</v>
      </c>
      <c r="BS187">
        <v>21.941600000000001</v>
      </c>
      <c r="BT187">
        <v>-43.009700000000002</v>
      </c>
      <c r="BU187">
        <v>1800</v>
      </c>
      <c r="BV187">
        <v>0.90999399999999997</v>
      </c>
      <c r="BW187">
        <v>3.4005000000000001E-2</v>
      </c>
      <c r="BX187">
        <v>2.2000599999999999E-2</v>
      </c>
      <c r="BY187">
        <v>3.39999E-2</v>
      </c>
      <c r="BZ187">
        <v>26</v>
      </c>
      <c r="CA187">
        <v>33528.199999999997</v>
      </c>
      <c r="CB187">
        <v>1690292073.5</v>
      </c>
      <c r="CC187" t="s">
        <v>332</v>
      </c>
      <c r="CD187">
        <v>1690292069.5</v>
      </c>
      <c r="CE187">
        <v>1690292073.5</v>
      </c>
      <c r="CF187">
        <v>4</v>
      </c>
      <c r="CG187">
        <v>-3.6999999999999998E-2</v>
      </c>
      <c r="CH187">
        <v>-1.6E-2</v>
      </c>
      <c r="CI187">
        <v>-0.45200000000000001</v>
      </c>
      <c r="CJ187">
        <v>0.108</v>
      </c>
      <c r="CK187">
        <v>730</v>
      </c>
      <c r="CL187">
        <v>18</v>
      </c>
      <c r="CM187">
        <v>0</v>
      </c>
      <c r="CN187">
        <v>0.01</v>
      </c>
      <c r="CO187">
        <v>-446.73485365853662</v>
      </c>
      <c r="CP187">
        <v>-2.8211289198606662</v>
      </c>
      <c r="CQ187">
        <v>0.2814586189725467</v>
      </c>
      <c r="CR187">
        <v>-1</v>
      </c>
      <c r="CS187">
        <v>26.45068292682927</v>
      </c>
      <c r="CT187">
        <v>0.18251916376309649</v>
      </c>
      <c r="CU187">
        <v>1.8260311519783481E-2</v>
      </c>
      <c r="CV187">
        <v>-1</v>
      </c>
      <c r="CW187">
        <v>0</v>
      </c>
      <c r="CX187">
        <v>0</v>
      </c>
      <c r="CY187" t="s">
        <v>333</v>
      </c>
      <c r="CZ187">
        <v>2.3645399999999999</v>
      </c>
      <c r="DA187">
        <v>2.7138599999999999</v>
      </c>
      <c r="DB187">
        <v>8.1480999999999998E-2</v>
      </c>
      <c r="DC187">
        <v>0.14644199999999999</v>
      </c>
      <c r="DD187">
        <v>0.122997</v>
      </c>
      <c r="DE187">
        <v>1.16584E-3</v>
      </c>
      <c r="DF187">
        <v>33547.199999999997</v>
      </c>
      <c r="DG187">
        <v>27512.799999999999</v>
      </c>
      <c r="DH187">
        <v>31178.9</v>
      </c>
      <c r="DI187">
        <v>28086.3</v>
      </c>
      <c r="DJ187">
        <v>37111.800000000003</v>
      </c>
      <c r="DK187">
        <v>39893.9</v>
      </c>
      <c r="DL187">
        <v>44370.9</v>
      </c>
      <c r="DM187">
        <v>42563.1</v>
      </c>
      <c r="DN187">
        <v>1.4898</v>
      </c>
      <c r="DO187">
        <v>2.0381499999999999</v>
      </c>
      <c r="DP187">
        <v>0.12651799999999999</v>
      </c>
      <c r="DQ187">
        <v>0.123985</v>
      </c>
      <c r="DR187">
        <v>24.928899999999999</v>
      </c>
      <c r="DS187">
        <v>24.564299999999999</v>
      </c>
      <c r="DT187">
        <v>21.7</v>
      </c>
      <c r="DU187">
        <v>28.9</v>
      </c>
      <c r="DV187">
        <v>8.7342399999999998</v>
      </c>
      <c r="DW187">
        <v>61.433399999999999</v>
      </c>
      <c r="DX187">
        <v>36.238</v>
      </c>
      <c r="DY187">
        <v>1</v>
      </c>
      <c r="DZ187">
        <v>-0.112599</v>
      </c>
      <c r="EA187">
        <v>0.32474900000000001</v>
      </c>
      <c r="EB187">
        <v>20.189599999999999</v>
      </c>
      <c r="EC187">
        <v>5.2409499999999998</v>
      </c>
      <c r="ED187">
        <v>12.039899999999999</v>
      </c>
      <c r="EE187">
        <v>5.0170000000000003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1.8646199999999999</v>
      </c>
      <c r="EM187">
        <v>1.8692</v>
      </c>
      <c r="EN187">
        <v>1.8672200000000001</v>
      </c>
      <c r="EO187">
        <v>1.8633999999999999</v>
      </c>
      <c r="EP187">
        <v>1.8644700000000001</v>
      </c>
      <c r="EQ187">
        <v>1.8701700000000001</v>
      </c>
      <c r="ER187">
        <v>1.86937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-0.185</v>
      </c>
      <c r="FG187">
        <v>0.15140000000000001</v>
      </c>
      <c r="FH187">
        <v>5.0310448532705943E-2</v>
      </c>
      <c r="FI187">
        <v>-6.1462078757559423E-4</v>
      </c>
      <c r="FJ187">
        <v>-1.8861989874597051E-7</v>
      </c>
      <c r="FK187">
        <v>1.1980462299894961E-10</v>
      </c>
      <c r="FL187">
        <v>0.15140825623214971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33.799999999999997</v>
      </c>
      <c r="FU187">
        <v>33.799999999999997</v>
      </c>
      <c r="FV187">
        <v>1.7663599999999999</v>
      </c>
      <c r="FW187">
        <v>2.5830099999999998</v>
      </c>
      <c r="FX187">
        <v>1.5490699999999999</v>
      </c>
      <c r="FY187">
        <v>2.3339799999999999</v>
      </c>
      <c r="FZ187">
        <v>1.50146</v>
      </c>
      <c r="GA187">
        <v>2.34741</v>
      </c>
      <c r="GB187">
        <v>33.221600000000002</v>
      </c>
      <c r="GC187">
        <v>23.982399999999998</v>
      </c>
      <c r="GD187">
        <v>19</v>
      </c>
      <c r="GE187">
        <v>287.52300000000002</v>
      </c>
      <c r="GF187">
        <v>581.56100000000004</v>
      </c>
      <c r="GG187">
        <v>23.7453</v>
      </c>
      <c r="GH187">
        <v>25.954899999999999</v>
      </c>
      <c r="GI187">
        <v>30.0002</v>
      </c>
      <c r="GJ187">
        <v>26.086400000000001</v>
      </c>
      <c r="GK187">
        <v>26.067599999999999</v>
      </c>
      <c r="GL187">
        <v>35.308</v>
      </c>
      <c r="GM187">
        <v>100</v>
      </c>
      <c r="GN187">
        <v>0</v>
      </c>
      <c r="GO187">
        <v>23.734400000000001</v>
      </c>
      <c r="GP187">
        <v>800</v>
      </c>
      <c r="GQ187">
        <v>0</v>
      </c>
      <c r="GR187">
        <v>99.759699999999995</v>
      </c>
      <c r="GS187">
        <v>99.575599999999994</v>
      </c>
    </row>
    <row r="188" spans="1:201" x14ac:dyDescent="0.25">
      <c r="A188">
        <v>172</v>
      </c>
      <c r="B188">
        <v>1690294110</v>
      </c>
      <c r="C188">
        <v>1839.400000095367</v>
      </c>
      <c r="D188" t="s">
        <v>677</v>
      </c>
      <c r="E188" t="s">
        <v>678</v>
      </c>
      <c r="F188" t="s">
        <v>330</v>
      </c>
      <c r="H188">
        <v>1690294110</v>
      </c>
      <c r="I188">
        <f t="shared" si="60"/>
        <v>2.7233834194240526E-3</v>
      </c>
      <c r="J188">
        <f t="shared" si="61"/>
        <v>2.7233834194240525</v>
      </c>
      <c r="K188">
        <f t="shared" si="62"/>
        <v>43.81902670951137</v>
      </c>
      <c r="L188">
        <f t="shared" si="63"/>
        <v>352.40300000000002</v>
      </c>
      <c r="M188">
        <f t="shared" si="64"/>
        <v>116.78280670985028</v>
      </c>
      <c r="N188">
        <f t="shared" si="65"/>
        <v>11.613546256196777</v>
      </c>
      <c r="O188">
        <f t="shared" si="66"/>
        <v>35.044957872016198</v>
      </c>
      <c r="P188">
        <f t="shared" si="67"/>
        <v>0.32230484403068976</v>
      </c>
      <c r="Q188">
        <f t="shared" si="68"/>
        <v>2.2561917683347028</v>
      </c>
      <c r="R188">
        <f t="shared" si="69"/>
        <v>0.29873765555672815</v>
      </c>
      <c r="S188">
        <f t="shared" si="70"/>
        <v>0.18868464757634726</v>
      </c>
      <c r="T188">
        <f t="shared" si="71"/>
        <v>276.11537072400006</v>
      </c>
      <c r="U188">
        <f t="shared" si="72"/>
        <v>26.75120365832133</v>
      </c>
      <c r="V188">
        <f t="shared" si="73"/>
        <v>26.75120365832133</v>
      </c>
      <c r="W188">
        <f t="shared" si="74"/>
        <v>3.5271918543968859</v>
      </c>
      <c r="X188">
        <f t="shared" si="75"/>
        <v>80.482013064865569</v>
      </c>
      <c r="Y188">
        <f t="shared" si="76"/>
        <v>2.6487656643346198</v>
      </c>
      <c r="Z188">
        <f t="shared" si="77"/>
        <v>3.2911274997555187</v>
      </c>
      <c r="AA188">
        <f t="shared" si="78"/>
        <v>0.87842619006226608</v>
      </c>
      <c r="AB188">
        <f t="shared" si="79"/>
        <v>-120.10120879660072</v>
      </c>
      <c r="AC188">
        <f t="shared" si="80"/>
        <v>-142.56977860408961</v>
      </c>
      <c r="AD188">
        <f t="shared" si="81"/>
        <v>-13.523756720643226</v>
      </c>
      <c r="AE188">
        <f t="shared" si="82"/>
        <v>-7.9373397333483808E-2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52727.414471855715</v>
      </c>
      <c r="AK188">
        <f t="shared" si="86"/>
        <v>1800</v>
      </c>
      <c r="AL188">
        <f t="shared" si="87"/>
        <v>1499.1104484</v>
      </c>
      <c r="AM188">
        <f t="shared" si="88"/>
        <v>0.83283913799999998</v>
      </c>
      <c r="AN188">
        <f t="shared" si="89"/>
        <v>0.15339742818000002</v>
      </c>
      <c r="AO188">
        <v>30</v>
      </c>
      <c r="AP188">
        <v>0.5</v>
      </c>
      <c r="AQ188" t="s">
        <v>331</v>
      </c>
      <c r="AR188">
        <v>2</v>
      </c>
      <c r="AS188">
        <v>1690294110</v>
      </c>
      <c r="AT188">
        <v>352.40300000000002</v>
      </c>
      <c r="AU188">
        <v>800.01300000000003</v>
      </c>
      <c r="AV188">
        <v>26.635300000000001</v>
      </c>
      <c r="AW188">
        <v>0.13735800000000001</v>
      </c>
      <c r="AX188">
        <v>352.58800000000002</v>
      </c>
      <c r="AY188">
        <v>26.483899999999998</v>
      </c>
      <c r="AZ188">
        <v>300.11900000000003</v>
      </c>
      <c r="BA188">
        <v>99.345699999999994</v>
      </c>
      <c r="BB188">
        <v>9.9985400000000002E-2</v>
      </c>
      <c r="BC188">
        <v>25.5791</v>
      </c>
      <c r="BD188">
        <v>27.003799999999998</v>
      </c>
      <c r="BE188">
        <v>26.604600000000001</v>
      </c>
      <c r="BF188">
        <v>0</v>
      </c>
      <c r="BG188">
        <v>0</v>
      </c>
      <c r="BH188">
        <v>9989.3799999999992</v>
      </c>
      <c r="BI188">
        <v>1062.83</v>
      </c>
      <c r="BJ188">
        <v>1.9511000000000001</v>
      </c>
      <c r="BK188">
        <v>-447.61</v>
      </c>
      <c r="BL188">
        <v>362.04599999999999</v>
      </c>
      <c r="BM188">
        <v>800.12300000000005</v>
      </c>
      <c r="BN188">
        <v>26.497900000000001</v>
      </c>
      <c r="BO188">
        <v>800.01300000000003</v>
      </c>
      <c r="BP188">
        <v>0.13735800000000001</v>
      </c>
      <c r="BQ188">
        <v>2.6461000000000001</v>
      </c>
      <c r="BR188">
        <v>1.3646E-2</v>
      </c>
      <c r="BS188">
        <v>21.9542</v>
      </c>
      <c r="BT188">
        <v>-43.041499999999999</v>
      </c>
      <c r="BU188">
        <v>1800</v>
      </c>
      <c r="BV188">
        <v>0.909995</v>
      </c>
      <c r="BW188">
        <v>3.4004699999999999E-2</v>
      </c>
      <c r="BX188">
        <v>2.20004E-2</v>
      </c>
      <c r="BY188">
        <v>3.3999599999999998E-2</v>
      </c>
      <c r="BZ188">
        <v>26</v>
      </c>
      <c r="CA188">
        <v>33528.400000000001</v>
      </c>
      <c r="CB188">
        <v>1690292073.5</v>
      </c>
      <c r="CC188" t="s">
        <v>332</v>
      </c>
      <c r="CD188">
        <v>1690292069.5</v>
      </c>
      <c r="CE188">
        <v>1690292073.5</v>
      </c>
      <c r="CF188">
        <v>4</v>
      </c>
      <c r="CG188">
        <v>-3.6999999999999998E-2</v>
      </c>
      <c r="CH188">
        <v>-1.6E-2</v>
      </c>
      <c r="CI188">
        <v>-0.45200000000000001</v>
      </c>
      <c r="CJ188">
        <v>0.108</v>
      </c>
      <c r="CK188">
        <v>730</v>
      </c>
      <c r="CL188">
        <v>18</v>
      </c>
      <c r="CM188">
        <v>0</v>
      </c>
      <c r="CN188">
        <v>0.01</v>
      </c>
      <c r="CO188">
        <v>-447.16648780487799</v>
      </c>
      <c r="CP188">
        <v>-2.6595052264800891</v>
      </c>
      <c r="CQ188">
        <v>0.26702152301587179</v>
      </c>
      <c r="CR188">
        <v>-1</v>
      </c>
      <c r="CS188">
        <v>26.477251219512191</v>
      </c>
      <c r="CT188">
        <v>0.1342912891985924</v>
      </c>
      <c r="CU188">
        <v>1.32769215126948E-2</v>
      </c>
      <c r="CV188">
        <v>-1</v>
      </c>
      <c r="CW188">
        <v>0</v>
      </c>
      <c r="CX188">
        <v>0</v>
      </c>
      <c r="CY188" t="s">
        <v>333</v>
      </c>
      <c r="CZ188">
        <v>2.36476</v>
      </c>
      <c r="DA188">
        <v>2.7137699999999998</v>
      </c>
      <c r="DB188">
        <v>8.1408599999999998E-2</v>
      </c>
      <c r="DC188">
        <v>0.14644599999999999</v>
      </c>
      <c r="DD188">
        <v>0.12306300000000001</v>
      </c>
      <c r="DE188">
        <v>1.1618900000000001E-3</v>
      </c>
      <c r="DF188">
        <v>33549.5</v>
      </c>
      <c r="DG188">
        <v>27513.1</v>
      </c>
      <c r="DH188">
        <v>31178.5</v>
      </c>
      <c r="DI188">
        <v>28086.7</v>
      </c>
      <c r="DJ188">
        <v>37108.6</v>
      </c>
      <c r="DK188">
        <v>39894.5</v>
      </c>
      <c r="DL188">
        <v>44370.400000000001</v>
      </c>
      <c r="DM188">
        <v>42563.6</v>
      </c>
      <c r="DN188">
        <v>1.49</v>
      </c>
      <c r="DO188">
        <v>2.0381800000000001</v>
      </c>
      <c r="DP188">
        <v>0.12665999999999999</v>
      </c>
      <c r="DQ188">
        <v>0.124343</v>
      </c>
      <c r="DR188">
        <v>24.928899999999999</v>
      </c>
      <c r="DS188">
        <v>24.566400000000002</v>
      </c>
      <c r="DT188">
        <v>21.6</v>
      </c>
      <c r="DU188">
        <v>28.9</v>
      </c>
      <c r="DV188">
        <v>8.6948899999999991</v>
      </c>
      <c r="DW188">
        <v>61.633400000000002</v>
      </c>
      <c r="DX188">
        <v>35.188299999999998</v>
      </c>
      <c r="DY188">
        <v>1</v>
      </c>
      <c r="DZ188">
        <v>-0.112472</v>
      </c>
      <c r="EA188">
        <v>0.33114100000000002</v>
      </c>
      <c r="EB188">
        <v>20.189699999999998</v>
      </c>
      <c r="EC188">
        <v>5.2409499999999998</v>
      </c>
      <c r="ED188">
        <v>12.039899999999999</v>
      </c>
      <c r="EE188">
        <v>5.0170500000000002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1.8692</v>
      </c>
      <c r="EN188">
        <v>1.8672200000000001</v>
      </c>
      <c r="EO188">
        <v>1.8633999999999999</v>
      </c>
      <c r="EP188">
        <v>1.8644700000000001</v>
      </c>
      <c r="EQ188">
        <v>1.87015</v>
      </c>
      <c r="ER188">
        <v>1.8693900000000001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-0.185</v>
      </c>
      <c r="FG188">
        <v>0.15140000000000001</v>
      </c>
      <c r="FH188">
        <v>5.0310448532705943E-2</v>
      </c>
      <c r="FI188">
        <v>-6.1462078757559423E-4</v>
      </c>
      <c r="FJ188">
        <v>-1.8861989874597051E-7</v>
      </c>
      <c r="FK188">
        <v>1.1980462299894961E-10</v>
      </c>
      <c r="FL188">
        <v>0.15140825623214971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34</v>
      </c>
      <c r="FU188">
        <v>33.9</v>
      </c>
      <c r="FV188">
        <v>1.7663599999999999</v>
      </c>
      <c r="FW188">
        <v>2.5891099999999998</v>
      </c>
      <c r="FX188">
        <v>1.5490699999999999</v>
      </c>
      <c r="FY188">
        <v>2.3327599999999999</v>
      </c>
      <c r="FZ188">
        <v>1.50146</v>
      </c>
      <c r="GA188">
        <v>2.2790499999999998</v>
      </c>
      <c r="GB188">
        <v>33.221600000000002</v>
      </c>
      <c r="GC188">
        <v>23.982399999999998</v>
      </c>
      <c r="GD188">
        <v>19</v>
      </c>
      <c r="GE188">
        <v>287.60899999999998</v>
      </c>
      <c r="GF188">
        <v>581.58100000000002</v>
      </c>
      <c r="GG188">
        <v>23.728200000000001</v>
      </c>
      <c r="GH188">
        <v>25.956</v>
      </c>
      <c r="GI188">
        <v>30.0002</v>
      </c>
      <c r="GJ188">
        <v>26.086400000000001</v>
      </c>
      <c r="GK188">
        <v>26.067599999999999</v>
      </c>
      <c r="GL188">
        <v>35.3065</v>
      </c>
      <c r="GM188">
        <v>100</v>
      </c>
      <c r="GN188">
        <v>0</v>
      </c>
      <c r="GO188">
        <v>23.724599999999999</v>
      </c>
      <c r="GP188">
        <v>800</v>
      </c>
      <c r="GQ188">
        <v>0</v>
      </c>
      <c r="GR188">
        <v>99.758499999999998</v>
      </c>
      <c r="GS188">
        <v>99.576800000000006</v>
      </c>
    </row>
    <row r="189" spans="1:201" x14ac:dyDescent="0.25">
      <c r="A189">
        <v>173</v>
      </c>
      <c r="B189">
        <v>1690294120</v>
      </c>
      <c r="C189">
        <v>1849.400000095367</v>
      </c>
      <c r="D189" t="s">
        <v>679</v>
      </c>
      <c r="E189" t="s">
        <v>680</v>
      </c>
      <c r="F189" t="s">
        <v>330</v>
      </c>
      <c r="H189">
        <v>1690294120</v>
      </c>
      <c r="I189">
        <f t="shared" si="60"/>
        <v>2.7265703685462211E-3</v>
      </c>
      <c r="J189">
        <f t="shared" si="61"/>
        <v>2.7265703685462213</v>
      </c>
      <c r="K189">
        <f t="shared" si="62"/>
        <v>43.876412418182689</v>
      </c>
      <c r="L189">
        <f t="shared" si="63"/>
        <v>351.916</v>
      </c>
      <c r="M189">
        <f t="shared" si="64"/>
        <v>116.92405259243814</v>
      </c>
      <c r="N189">
        <f t="shared" si="65"/>
        <v>11.626817904567423</v>
      </c>
      <c r="O189">
        <f t="shared" si="66"/>
        <v>34.994196309343195</v>
      </c>
      <c r="P189">
        <f t="shared" si="67"/>
        <v>0.32369100146474489</v>
      </c>
      <c r="Q189">
        <f t="shared" si="68"/>
        <v>2.2542492454123799</v>
      </c>
      <c r="R189">
        <f t="shared" si="69"/>
        <v>0.29990980629899261</v>
      </c>
      <c r="S189">
        <f t="shared" si="70"/>
        <v>0.18943447044365957</v>
      </c>
      <c r="T189">
        <f t="shared" si="71"/>
        <v>276.11372909231631</v>
      </c>
      <c r="U189">
        <f t="shared" si="72"/>
        <v>26.749958632672087</v>
      </c>
      <c r="V189">
        <f t="shared" si="73"/>
        <v>26.749958632672087</v>
      </c>
      <c r="W189">
        <f t="shared" si="74"/>
        <v>3.5269334626652298</v>
      </c>
      <c r="X189">
        <f t="shared" si="75"/>
        <v>80.554727452706132</v>
      </c>
      <c r="Y189">
        <f t="shared" si="76"/>
        <v>2.6509856814958801</v>
      </c>
      <c r="Z189">
        <f t="shared" si="77"/>
        <v>3.2909126072734587</v>
      </c>
      <c r="AA189">
        <f t="shared" si="78"/>
        <v>0.87594778116934968</v>
      </c>
      <c r="AB189">
        <f t="shared" si="79"/>
        <v>-120.24175325288834</v>
      </c>
      <c r="AC189">
        <f t="shared" si="80"/>
        <v>-142.42940457722588</v>
      </c>
      <c r="AD189">
        <f t="shared" si="81"/>
        <v>-13.521924409228959</v>
      </c>
      <c r="AE189">
        <f t="shared" si="82"/>
        <v>-7.9353147026893112E-2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52651.275360528503</v>
      </c>
      <c r="AK189">
        <f t="shared" si="86"/>
        <v>1799.99</v>
      </c>
      <c r="AL189">
        <f t="shared" si="87"/>
        <v>1499.1019832093798</v>
      </c>
      <c r="AM189">
        <f t="shared" si="88"/>
        <v>0.83283906199999991</v>
      </c>
      <c r="AN189">
        <f t="shared" si="89"/>
        <v>0.15339736837000001</v>
      </c>
      <c r="AO189">
        <v>30</v>
      </c>
      <c r="AP189">
        <v>0.5</v>
      </c>
      <c r="AQ189" t="s">
        <v>331</v>
      </c>
      <c r="AR189">
        <v>2</v>
      </c>
      <c r="AS189">
        <v>1690294120</v>
      </c>
      <c r="AT189">
        <v>351.916</v>
      </c>
      <c r="AU189">
        <v>800.00800000000004</v>
      </c>
      <c r="AV189">
        <v>26.659400000000002</v>
      </c>
      <c r="AW189">
        <v>0.136409</v>
      </c>
      <c r="AX189">
        <v>352.1</v>
      </c>
      <c r="AY189">
        <v>26.507999999999999</v>
      </c>
      <c r="AZ189">
        <v>300.17899999999997</v>
      </c>
      <c r="BA189">
        <v>99.339100000000002</v>
      </c>
      <c r="BB189">
        <v>9.9960199999999999E-2</v>
      </c>
      <c r="BC189">
        <v>25.577999999999999</v>
      </c>
      <c r="BD189">
        <v>26.999400000000001</v>
      </c>
      <c r="BE189">
        <v>26.5977</v>
      </c>
      <c r="BF189">
        <v>0</v>
      </c>
      <c r="BG189">
        <v>0</v>
      </c>
      <c r="BH189">
        <v>9975</v>
      </c>
      <c r="BI189">
        <v>1062.78</v>
      </c>
      <c r="BJ189">
        <v>1.78851</v>
      </c>
      <c r="BK189">
        <v>-448.09199999999998</v>
      </c>
      <c r="BL189">
        <v>361.55500000000001</v>
      </c>
      <c r="BM189">
        <v>800.11699999999996</v>
      </c>
      <c r="BN189">
        <v>26.523</v>
      </c>
      <c r="BO189">
        <v>800.00800000000004</v>
      </c>
      <c r="BP189">
        <v>0.136409</v>
      </c>
      <c r="BQ189">
        <v>2.64832</v>
      </c>
      <c r="BR189">
        <v>1.35508E-2</v>
      </c>
      <c r="BS189">
        <v>21.9679</v>
      </c>
      <c r="BT189">
        <v>-43.106499999999997</v>
      </c>
      <c r="BU189">
        <v>1799.99</v>
      </c>
      <c r="BV189">
        <v>0.90999600000000003</v>
      </c>
      <c r="BW189">
        <v>3.4004300000000001E-2</v>
      </c>
      <c r="BX189">
        <v>2.2000100000000002E-2</v>
      </c>
      <c r="BY189">
        <v>3.3999099999999997E-2</v>
      </c>
      <c r="BZ189">
        <v>26</v>
      </c>
      <c r="CA189">
        <v>33528.199999999997</v>
      </c>
      <c r="CB189">
        <v>1690292073.5</v>
      </c>
      <c r="CC189" t="s">
        <v>332</v>
      </c>
      <c r="CD189">
        <v>1690292069.5</v>
      </c>
      <c r="CE189">
        <v>1690292073.5</v>
      </c>
      <c r="CF189">
        <v>4</v>
      </c>
      <c r="CG189">
        <v>-3.6999999999999998E-2</v>
      </c>
      <c r="CH189">
        <v>-1.6E-2</v>
      </c>
      <c r="CI189">
        <v>-0.45200000000000001</v>
      </c>
      <c r="CJ189">
        <v>0.108</v>
      </c>
      <c r="CK189">
        <v>730</v>
      </c>
      <c r="CL189">
        <v>18</v>
      </c>
      <c r="CM189">
        <v>0</v>
      </c>
      <c r="CN189">
        <v>0.01</v>
      </c>
      <c r="CO189">
        <v>-447.58199999999999</v>
      </c>
      <c r="CP189">
        <v>-2.6494784240134059</v>
      </c>
      <c r="CQ189">
        <v>0.25734723623928613</v>
      </c>
      <c r="CR189">
        <v>-1</v>
      </c>
      <c r="CS189">
        <v>26.497895</v>
      </c>
      <c r="CT189">
        <v>0.121992495309548</v>
      </c>
      <c r="CU189">
        <v>1.181833215813461E-2</v>
      </c>
      <c r="CV189">
        <v>-1</v>
      </c>
      <c r="CW189">
        <v>0</v>
      </c>
      <c r="CX189">
        <v>0</v>
      </c>
      <c r="CY189" t="s">
        <v>333</v>
      </c>
      <c r="CZ189">
        <v>2.36497</v>
      </c>
      <c r="DA189">
        <v>2.71373</v>
      </c>
      <c r="DB189">
        <v>8.1312099999999998E-2</v>
      </c>
      <c r="DC189">
        <v>0.14643</v>
      </c>
      <c r="DD189">
        <v>0.123129</v>
      </c>
      <c r="DE189">
        <v>1.1538099999999999E-3</v>
      </c>
      <c r="DF189">
        <v>33552.9</v>
      </c>
      <c r="DG189">
        <v>27513.7</v>
      </c>
      <c r="DH189">
        <v>31178.400000000001</v>
      </c>
      <c r="DI189">
        <v>28086.9</v>
      </c>
      <c r="DJ189">
        <v>37105.800000000003</v>
      </c>
      <c r="DK189">
        <v>39895.1</v>
      </c>
      <c r="DL189">
        <v>44370.5</v>
      </c>
      <c r="DM189">
        <v>42563.9</v>
      </c>
      <c r="DN189">
        <v>1.4896499999999999</v>
      </c>
      <c r="DO189">
        <v>2.0382199999999999</v>
      </c>
      <c r="DP189">
        <v>0.12626499999999999</v>
      </c>
      <c r="DQ189">
        <v>0.123791</v>
      </c>
      <c r="DR189">
        <v>24.931000000000001</v>
      </c>
      <c r="DS189">
        <v>24.5685</v>
      </c>
      <c r="DT189">
        <v>21.6</v>
      </c>
      <c r="DU189">
        <v>28.9</v>
      </c>
      <c r="DV189">
        <v>8.6938800000000001</v>
      </c>
      <c r="DW189">
        <v>61.623399999999997</v>
      </c>
      <c r="DX189">
        <v>35.064100000000003</v>
      </c>
      <c r="DY189">
        <v>1</v>
      </c>
      <c r="DZ189">
        <v>-0.112609</v>
      </c>
      <c r="EA189">
        <v>0.25992900000000002</v>
      </c>
      <c r="EB189">
        <v>20.190000000000001</v>
      </c>
      <c r="EC189">
        <v>5.2408000000000001</v>
      </c>
      <c r="ED189">
        <v>12.039899999999999</v>
      </c>
      <c r="EE189">
        <v>5.01715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1.8646199999999999</v>
      </c>
      <c r="EM189">
        <v>1.8691899999999999</v>
      </c>
      <c r="EN189">
        <v>1.8672200000000001</v>
      </c>
      <c r="EO189">
        <v>1.8633999999999999</v>
      </c>
      <c r="EP189">
        <v>1.8644700000000001</v>
      </c>
      <c r="EQ189">
        <v>1.8701399999999999</v>
      </c>
      <c r="ER189">
        <v>1.8694500000000001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-0.184</v>
      </c>
      <c r="FG189">
        <v>0.15140000000000001</v>
      </c>
      <c r="FH189">
        <v>5.0310448532705943E-2</v>
      </c>
      <c r="FI189">
        <v>-6.1462078757559423E-4</v>
      </c>
      <c r="FJ189">
        <v>-1.8861989874597051E-7</v>
      </c>
      <c r="FK189">
        <v>1.1980462299894961E-10</v>
      </c>
      <c r="FL189">
        <v>0.15140825623214971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34.200000000000003</v>
      </c>
      <c r="FU189">
        <v>34.1</v>
      </c>
      <c r="FV189">
        <v>1.7663599999999999</v>
      </c>
      <c r="FW189">
        <v>2.5793499999999998</v>
      </c>
      <c r="FX189">
        <v>1.5490699999999999</v>
      </c>
      <c r="FY189">
        <v>2.3339799999999999</v>
      </c>
      <c r="FZ189">
        <v>1.50146</v>
      </c>
      <c r="GA189">
        <v>2.3754900000000001</v>
      </c>
      <c r="GB189">
        <v>33.221600000000002</v>
      </c>
      <c r="GC189">
        <v>23.991199999999999</v>
      </c>
      <c r="GD189">
        <v>19</v>
      </c>
      <c r="GE189">
        <v>287.46600000000001</v>
      </c>
      <c r="GF189">
        <v>581.63400000000001</v>
      </c>
      <c r="GG189">
        <v>23.7332</v>
      </c>
      <c r="GH189">
        <v>25.956</v>
      </c>
      <c r="GI189">
        <v>30.0001</v>
      </c>
      <c r="GJ189">
        <v>26.088100000000001</v>
      </c>
      <c r="GK189">
        <v>26.0687</v>
      </c>
      <c r="GL189">
        <v>35.307200000000002</v>
      </c>
      <c r="GM189">
        <v>100</v>
      </c>
      <c r="GN189">
        <v>0</v>
      </c>
      <c r="GO189">
        <v>23.7441</v>
      </c>
      <c r="GP189">
        <v>800</v>
      </c>
      <c r="GQ189">
        <v>0</v>
      </c>
      <c r="GR189">
        <v>99.758499999999998</v>
      </c>
      <c r="GS189">
        <v>99.577399999999997</v>
      </c>
    </row>
    <row r="190" spans="1:201" x14ac:dyDescent="0.25">
      <c r="A190">
        <v>174</v>
      </c>
      <c r="B190">
        <v>1690294130</v>
      </c>
      <c r="C190">
        <v>1859.400000095367</v>
      </c>
      <c r="D190" t="s">
        <v>681</v>
      </c>
      <c r="E190" t="s">
        <v>682</v>
      </c>
      <c r="F190" t="s">
        <v>330</v>
      </c>
      <c r="H190">
        <v>1690294130</v>
      </c>
      <c r="I190">
        <f t="shared" si="60"/>
        <v>2.7283397562284269E-3</v>
      </c>
      <c r="J190">
        <f t="shared" si="61"/>
        <v>2.7283397562284271</v>
      </c>
      <c r="K190">
        <f t="shared" si="62"/>
        <v>43.901366635031231</v>
      </c>
      <c r="L190">
        <f t="shared" si="63"/>
        <v>351.55</v>
      </c>
      <c r="M190">
        <f t="shared" si="64"/>
        <v>117.27507751876156</v>
      </c>
      <c r="N190">
        <f t="shared" si="65"/>
        <v>11.661896180899443</v>
      </c>
      <c r="O190">
        <f t="shared" si="66"/>
        <v>34.958319270684996</v>
      </c>
      <c r="P190">
        <f t="shared" si="67"/>
        <v>0.32489581325711131</v>
      </c>
      <c r="Q190">
        <f t="shared" si="68"/>
        <v>2.2594283664780725</v>
      </c>
      <c r="R190">
        <f t="shared" si="69"/>
        <v>0.30099484926518588</v>
      </c>
      <c r="S190">
        <f t="shared" si="70"/>
        <v>0.19012245618159956</v>
      </c>
      <c r="T190">
        <f t="shared" si="71"/>
        <v>276.11391170130179</v>
      </c>
      <c r="U190">
        <f t="shared" si="72"/>
        <v>26.750315906972403</v>
      </c>
      <c r="V190">
        <f t="shared" si="73"/>
        <v>26.750315906972403</v>
      </c>
      <c r="W190">
        <f t="shared" si="74"/>
        <v>3.5270076094268989</v>
      </c>
      <c r="X190">
        <f t="shared" si="75"/>
        <v>80.619419821650069</v>
      </c>
      <c r="Y190">
        <f t="shared" si="76"/>
        <v>2.6536501675256599</v>
      </c>
      <c r="Z190">
        <f t="shared" si="77"/>
        <v>3.2915768600123703</v>
      </c>
      <c r="AA190">
        <f t="shared" si="78"/>
        <v>0.8733574419012391</v>
      </c>
      <c r="AB190">
        <f t="shared" si="79"/>
        <v>-120.31978324967362</v>
      </c>
      <c r="AC190">
        <f t="shared" si="80"/>
        <v>-142.38599975028316</v>
      </c>
      <c r="AD190">
        <f t="shared" si="81"/>
        <v>-13.487071597797939</v>
      </c>
      <c r="AE190">
        <f t="shared" si="82"/>
        <v>-7.8942896452900868E-2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52853.983943851679</v>
      </c>
      <c r="AK190">
        <f t="shared" si="86"/>
        <v>1799.99</v>
      </c>
      <c r="AL190">
        <f t="shared" si="87"/>
        <v>1499.1037831993801</v>
      </c>
      <c r="AM190">
        <f t="shared" si="88"/>
        <v>0.83284006200000005</v>
      </c>
      <c r="AN190">
        <f t="shared" si="89"/>
        <v>0.15339746981999999</v>
      </c>
      <c r="AO190">
        <v>30</v>
      </c>
      <c r="AP190">
        <v>0.5</v>
      </c>
      <c r="AQ190" t="s">
        <v>331</v>
      </c>
      <c r="AR190">
        <v>2</v>
      </c>
      <c r="AS190">
        <v>1690294130</v>
      </c>
      <c r="AT190">
        <v>351.55</v>
      </c>
      <c r="AU190">
        <v>800.04899999999998</v>
      </c>
      <c r="AV190">
        <v>26.6858</v>
      </c>
      <c r="AW190">
        <v>0.136765</v>
      </c>
      <c r="AX190">
        <v>351.73399999999998</v>
      </c>
      <c r="AY190">
        <v>26.534400000000002</v>
      </c>
      <c r="AZ190">
        <v>300.07100000000003</v>
      </c>
      <c r="BA190">
        <v>99.340599999999995</v>
      </c>
      <c r="BB190">
        <v>9.9932699999999999E-2</v>
      </c>
      <c r="BC190">
        <v>25.581399999999999</v>
      </c>
      <c r="BD190">
        <v>26.9726</v>
      </c>
      <c r="BE190">
        <v>26.598099999999999</v>
      </c>
      <c r="BF190">
        <v>0</v>
      </c>
      <c r="BG190">
        <v>0</v>
      </c>
      <c r="BH190">
        <v>10015</v>
      </c>
      <c r="BI190">
        <v>1062.69</v>
      </c>
      <c r="BJ190">
        <v>2.1865800000000002</v>
      </c>
      <c r="BK190">
        <v>-448.49900000000002</v>
      </c>
      <c r="BL190">
        <v>361.18900000000002</v>
      </c>
      <c r="BM190">
        <v>800.15899999999999</v>
      </c>
      <c r="BN190">
        <v>26.549099999999999</v>
      </c>
      <c r="BO190">
        <v>800.04899999999998</v>
      </c>
      <c r="BP190">
        <v>0.136765</v>
      </c>
      <c r="BQ190">
        <v>2.6509900000000002</v>
      </c>
      <c r="BR190">
        <v>1.3586300000000001E-2</v>
      </c>
      <c r="BS190">
        <v>21.984400000000001</v>
      </c>
      <c r="BT190">
        <v>-43.0822</v>
      </c>
      <c r="BU190">
        <v>1799.99</v>
      </c>
      <c r="BV190">
        <v>0.909999</v>
      </c>
      <c r="BW190">
        <v>3.4003499999999999E-2</v>
      </c>
      <c r="BX190">
        <v>2.1999600000000001E-2</v>
      </c>
      <c r="BY190">
        <v>3.3998399999999998E-2</v>
      </c>
      <c r="BZ190">
        <v>26</v>
      </c>
      <c r="CA190">
        <v>33528.199999999997</v>
      </c>
      <c r="CB190">
        <v>1690292073.5</v>
      </c>
      <c r="CC190" t="s">
        <v>332</v>
      </c>
      <c r="CD190">
        <v>1690292069.5</v>
      </c>
      <c r="CE190">
        <v>1690292073.5</v>
      </c>
      <c r="CF190">
        <v>4</v>
      </c>
      <c r="CG190">
        <v>-3.6999999999999998E-2</v>
      </c>
      <c r="CH190">
        <v>-1.6E-2</v>
      </c>
      <c r="CI190">
        <v>-0.45200000000000001</v>
      </c>
      <c r="CJ190">
        <v>0.108</v>
      </c>
      <c r="CK190">
        <v>730</v>
      </c>
      <c r="CL190">
        <v>18</v>
      </c>
      <c r="CM190">
        <v>0</v>
      </c>
      <c r="CN190">
        <v>0.01</v>
      </c>
      <c r="CO190">
        <v>-447.99525000000011</v>
      </c>
      <c r="CP190">
        <v>-2.4102889305805042</v>
      </c>
      <c r="CQ190">
        <v>0.23561544410330859</v>
      </c>
      <c r="CR190">
        <v>-1</v>
      </c>
      <c r="CS190">
        <v>26.519970000000001</v>
      </c>
      <c r="CT190">
        <v>0.1505808630393245</v>
      </c>
      <c r="CU190">
        <v>1.4527735542747019E-2</v>
      </c>
      <c r="CV190">
        <v>-1</v>
      </c>
      <c r="CW190">
        <v>0</v>
      </c>
      <c r="CX190">
        <v>0</v>
      </c>
      <c r="CY190" t="s">
        <v>333</v>
      </c>
      <c r="CZ190">
        <v>2.3645900000000002</v>
      </c>
      <c r="DA190">
        <v>2.71374</v>
      </c>
      <c r="DB190">
        <v>8.1247299999999995E-2</v>
      </c>
      <c r="DC190">
        <v>0.14643800000000001</v>
      </c>
      <c r="DD190">
        <v>0.12321600000000001</v>
      </c>
      <c r="DE190">
        <v>1.1568100000000001E-3</v>
      </c>
      <c r="DF190">
        <v>33555</v>
      </c>
      <c r="DG190">
        <v>27512.7</v>
      </c>
      <c r="DH190">
        <v>31178.1</v>
      </c>
      <c r="DI190">
        <v>28086.1</v>
      </c>
      <c r="DJ190">
        <v>37101.800000000003</v>
      </c>
      <c r="DK190">
        <v>39893.9</v>
      </c>
      <c r="DL190">
        <v>44370.1</v>
      </c>
      <c r="DM190">
        <v>42562.7</v>
      </c>
      <c r="DN190">
        <v>1.49003</v>
      </c>
      <c r="DO190">
        <v>2.0382199999999999</v>
      </c>
      <c r="DP190">
        <v>0.12452199999999999</v>
      </c>
      <c r="DQ190">
        <v>0.123821</v>
      </c>
      <c r="DR190">
        <v>24.932700000000001</v>
      </c>
      <c r="DS190">
        <v>24.5685</v>
      </c>
      <c r="DT190">
        <v>21.6</v>
      </c>
      <c r="DU190">
        <v>28.9</v>
      </c>
      <c r="DV190">
        <v>8.6947799999999997</v>
      </c>
      <c r="DW190">
        <v>61.763399999999997</v>
      </c>
      <c r="DX190">
        <v>35.945500000000003</v>
      </c>
      <c r="DY190">
        <v>1</v>
      </c>
      <c r="DZ190">
        <v>-0.112513</v>
      </c>
      <c r="EA190">
        <v>0.25752999999999998</v>
      </c>
      <c r="EB190">
        <v>20.190000000000001</v>
      </c>
      <c r="EC190">
        <v>5.2409499999999998</v>
      </c>
      <c r="ED190">
        <v>12.039899999999999</v>
      </c>
      <c r="EE190">
        <v>5.01715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1.8689100000000001</v>
      </c>
      <c r="EL190">
        <v>1.8646199999999999</v>
      </c>
      <c r="EM190">
        <v>1.8692</v>
      </c>
      <c r="EN190">
        <v>1.8672299999999999</v>
      </c>
      <c r="EO190">
        <v>1.8633999999999999</v>
      </c>
      <c r="EP190">
        <v>1.8644700000000001</v>
      </c>
      <c r="EQ190">
        <v>1.8701399999999999</v>
      </c>
      <c r="ER190">
        <v>1.8693900000000001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-0.184</v>
      </c>
      <c r="FG190">
        <v>0.15140000000000001</v>
      </c>
      <c r="FH190">
        <v>5.0310448532705943E-2</v>
      </c>
      <c r="FI190">
        <v>-6.1462078757559423E-4</v>
      </c>
      <c r="FJ190">
        <v>-1.8861989874597051E-7</v>
      </c>
      <c r="FK190">
        <v>1.1980462299894961E-10</v>
      </c>
      <c r="FL190">
        <v>0.15140825623214971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34.299999999999997</v>
      </c>
      <c r="FU190">
        <v>34.299999999999997</v>
      </c>
      <c r="FV190">
        <v>1.7663599999999999</v>
      </c>
      <c r="FW190">
        <v>2.5817899999999998</v>
      </c>
      <c r="FX190">
        <v>1.5490699999999999</v>
      </c>
      <c r="FY190">
        <v>2.3339799999999999</v>
      </c>
      <c r="FZ190">
        <v>1.50146</v>
      </c>
      <c r="GA190">
        <v>2.3596200000000001</v>
      </c>
      <c r="GB190">
        <v>33.221600000000002</v>
      </c>
      <c r="GC190">
        <v>23.982399999999998</v>
      </c>
      <c r="GD190">
        <v>19</v>
      </c>
      <c r="GE190">
        <v>287.63</v>
      </c>
      <c r="GF190">
        <v>581.64700000000005</v>
      </c>
      <c r="GG190">
        <v>23.7471</v>
      </c>
      <c r="GH190">
        <v>25.958200000000001</v>
      </c>
      <c r="GI190">
        <v>30.0001</v>
      </c>
      <c r="GJ190">
        <v>26.0886</v>
      </c>
      <c r="GK190">
        <v>26.069800000000001</v>
      </c>
      <c r="GL190">
        <v>35.305599999999998</v>
      </c>
      <c r="GM190">
        <v>100</v>
      </c>
      <c r="GN190">
        <v>0</v>
      </c>
      <c r="GO190">
        <v>23.755099999999999</v>
      </c>
      <c r="GP190">
        <v>800</v>
      </c>
      <c r="GQ190">
        <v>0</v>
      </c>
      <c r="GR190">
        <v>99.7577</v>
      </c>
      <c r="GS190">
        <v>99.574700000000007</v>
      </c>
    </row>
    <row r="191" spans="1:201" x14ac:dyDescent="0.25">
      <c r="A191">
        <v>175</v>
      </c>
      <c r="B191">
        <v>1690294140</v>
      </c>
      <c r="C191">
        <v>1869.400000095367</v>
      </c>
      <c r="D191" t="s">
        <v>683</v>
      </c>
      <c r="E191" t="s">
        <v>684</v>
      </c>
      <c r="F191" t="s">
        <v>330</v>
      </c>
      <c r="H191">
        <v>1690294140</v>
      </c>
      <c r="I191">
        <f t="shared" si="60"/>
        <v>2.7321527423302223E-3</v>
      </c>
      <c r="J191">
        <f t="shared" si="61"/>
        <v>2.7321527423302223</v>
      </c>
      <c r="K191">
        <f t="shared" si="62"/>
        <v>43.953269328113016</v>
      </c>
      <c r="L191">
        <f t="shared" si="63"/>
        <v>351.12</v>
      </c>
      <c r="M191">
        <f t="shared" si="64"/>
        <v>117.21893241032619</v>
      </c>
      <c r="N191">
        <f t="shared" si="65"/>
        <v>11.656624203898534</v>
      </c>
      <c r="O191">
        <f t="shared" si="66"/>
        <v>34.916491784327995</v>
      </c>
      <c r="P191">
        <f t="shared" si="67"/>
        <v>0.32588361781355757</v>
      </c>
      <c r="Q191">
        <f t="shared" si="68"/>
        <v>2.2567231835951134</v>
      </c>
      <c r="R191">
        <f t="shared" si="69"/>
        <v>0.30181632113947893</v>
      </c>
      <c r="S191">
        <f t="shared" si="70"/>
        <v>0.19064921993260769</v>
      </c>
      <c r="T191">
        <f t="shared" si="71"/>
        <v>276.11518264199998</v>
      </c>
      <c r="U191">
        <f t="shared" si="72"/>
        <v>26.757835320697485</v>
      </c>
      <c r="V191">
        <f t="shared" si="73"/>
        <v>26.757835320697485</v>
      </c>
      <c r="W191">
        <f t="shared" si="74"/>
        <v>3.5285684633437868</v>
      </c>
      <c r="X191">
        <f t="shared" si="75"/>
        <v>80.666014952365671</v>
      </c>
      <c r="Y191">
        <f t="shared" si="76"/>
        <v>2.6563661857475598</v>
      </c>
      <c r="Z191">
        <f t="shared" si="77"/>
        <v>3.2930425375744399</v>
      </c>
      <c r="AA191">
        <f t="shared" si="78"/>
        <v>0.87220227759622704</v>
      </c>
      <c r="AB191">
        <f t="shared" si="79"/>
        <v>-120.48793593676281</v>
      </c>
      <c r="AC191">
        <f t="shared" si="80"/>
        <v>-142.21788488785106</v>
      </c>
      <c r="AD191">
        <f t="shared" si="81"/>
        <v>-13.48831130040544</v>
      </c>
      <c r="AE191">
        <f t="shared" si="82"/>
        <v>-7.8949483019329136E-2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52746.483877904175</v>
      </c>
      <c r="AK191">
        <f t="shared" si="86"/>
        <v>1800</v>
      </c>
      <c r="AL191">
        <f t="shared" si="87"/>
        <v>1499.1112962</v>
      </c>
      <c r="AM191">
        <f t="shared" si="88"/>
        <v>0.83283960899999998</v>
      </c>
      <c r="AN191">
        <f t="shared" si="89"/>
        <v>0.15339732369</v>
      </c>
      <c r="AO191">
        <v>30</v>
      </c>
      <c r="AP191">
        <v>0.5</v>
      </c>
      <c r="AQ191" t="s">
        <v>331</v>
      </c>
      <c r="AR191">
        <v>2</v>
      </c>
      <c r="AS191">
        <v>1690294140</v>
      </c>
      <c r="AT191">
        <v>351.12</v>
      </c>
      <c r="AU191">
        <v>799.98099999999999</v>
      </c>
      <c r="AV191">
        <v>26.712399999999999</v>
      </c>
      <c r="AW191">
        <v>0.136376</v>
      </c>
      <c r="AX191">
        <v>351.303</v>
      </c>
      <c r="AY191">
        <v>26.561</v>
      </c>
      <c r="AZ191">
        <v>300.17700000000002</v>
      </c>
      <c r="BA191">
        <v>99.343199999999996</v>
      </c>
      <c r="BB191">
        <v>9.9986900000000004E-2</v>
      </c>
      <c r="BC191">
        <v>25.588899999999999</v>
      </c>
      <c r="BD191">
        <v>26.980599999999999</v>
      </c>
      <c r="BE191">
        <v>26.612500000000001</v>
      </c>
      <c r="BF191">
        <v>0</v>
      </c>
      <c r="BG191">
        <v>0</v>
      </c>
      <c r="BH191">
        <v>9993.75</v>
      </c>
      <c r="BI191">
        <v>1062.6199999999999</v>
      </c>
      <c r="BJ191">
        <v>2.2426400000000002</v>
      </c>
      <c r="BK191">
        <v>-448.86200000000002</v>
      </c>
      <c r="BL191">
        <v>360.75599999999997</v>
      </c>
      <c r="BM191">
        <v>800.09</v>
      </c>
      <c r="BN191">
        <v>26.576000000000001</v>
      </c>
      <c r="BO191">
        <v>799.98099999999999</v>
      </c>
      <c r="BP191">
        <v>0.136376</v>
      </c>
      <c r="BQ191">
        <v>2.6537000000000002</v>
      </c>
      <c r="BR191">
        <v>1.3547999999999999E-2</v>
      </c>
      <c r="BS191">
        <v>22.001200000000001</v>
      </c>
      <c r="BT191">
        <v>-43.108400000000003</v>
      </c>
      <c r="BU191">
        <v>1800</v>
      </c>
      <c r="BV191">
        <v>0.91</v>
      </c>
      <c r="BW191">
        <v>3.4002900000000003E-2</v>
      </c>
      <c r="BX191">
        <v>2.19992E-2</v>
      </c>
      <c r="BY191">
        <v>3.3997699999999999E-2</v>
      </c>
      <c r="BZ191">
        <v>26</v>
      </c>
      <c r="CA191">
        <v>33528.300000000003</v>
      </c>
      <c r="CB191">
        <v>1690292073.5</v>
      </c>
      <c r="CC191" t="s">
        <v>332</v>
      </c>
      <c r="CD191">
        <v>1690292069.5</v>
      </c>
      <c r="CE191">
        <v>1690292073.5</v>
      </c>
      <c r="CF191">
        <v>4</v>
      </c>
      <c r="CG191">
        <v>-3.6999999999999998E-2</v>
      </c>
      <c r="CH191">
        <v>-1.6E-2</v>
      </c>
      <c r="CI191">
        <v>-0.45200000000000001</v>
      </c>
      <c r="CJ191">
        <v>0.108</v>
      </c>
      <c r="CK191">
        <v>730</v>
      </c>
      <c r="CL191">
        <v>18</v>
      </c>
      <c r="CM191">
        <v>0</v>
      </c>
      <c r="CN191">
        <v>0.01</v>
      </c>
      <c r="CO191">
        <v>-448.3986585365854</v>
      </c>
      <c r="CP191">
        <v>-2.529721254355302</v>
      </c>
      <c r="CQ191">
        <v>0.25391804033509668</v>
      </c>
      <c r="CR191">
        <v>-1</v>
      </c>
      <c r="CS191">
        <v>26.54376829268293</v>
      </c>
      <c r="CT191">
        <v>0.1568006968641675</v>
      </c>
      <c r="CU191">
        <v>1.55003766913218E-2</v>
      </c>
      <c r="CV191">
        <v>-1</v>
      </c>
      <c r="CW191">
        <v>0</v>
      </c>
      <c r="CX191">
        <v>0</v>
      </c>
      <c r="CY191" t="s">
        <v>333</v>
      </c>
      <c r="CZ191">
        <v>2.36496</v>
      </c>
      <c r="DA191">
        <v>2.7137699999999998</v>
      </c>
      <c r="DB191">
        <v>8.1172499999999995E-2</v>
      </c>
      <c r="DC191">
        <v>0.14643600000000001</v>
      </c>
      <c r="DD191">
        <v>0.123306</v>
      </c>
      <c r="DE191">
        <v>1.1536000000000001E-3</v>
      </c>
      <c r="DF191">
        <v>33557.599999999999</v>
      </c>
      <c r="DG191">
        <v>27513.1</v>
      </c>
      <c r="DH191">
        <v>31178</v>
      </c>
      <c r="DI191">
        <v>28086.5</v>
      </c>
      <c r="DJ191">
        <v>37097.599999999999</v>
      </c>
      <c r="DK191">
        <v>39894.6</v>
      </c>
      <c r="DL191">
        <v>44369.8</v>
      </c>
      <c r="DM191">
        <v>42563.3</v>
      </c>
      <c r="DN191">
        <v>1.49003</v>
      </c>
      <c r="DO191">
        <v>2.0382199999999999</v>
      </c>
      <c r="DP191">
        <v>0.12482</v>
      </c>
      <c r="DQ191">
        <v>0.124596</v>
      </c>
      <c r="DR191">
        <v>24.9358</v>
      </c>
      <c r="DS191">
        <v>24.5701</v>
      </c>
      <c r="DT191">
        <v>21.6</v>
      </c>
      <c r="DU191">
        <v>28.9</v>
      </c>
      <c r="DV191">
        <v>8.6931799999999999</v>
      </c>
      <c r="DW191">
        <v>61.723399999999998</v>
      </c>
      <c r="DX191">
        <v>35.689100000000003</v>
      </c>
      <c r="DY191">
        <v>1</v>
      </c>
      <c r="DZ191">
        <v>-0.112693</v>
      </c>
      <c r="EA191">
        <v>0.17091999999999999</v>
      </c>
      <c r="EB191">
        <v>20.1904</v>
      </c>
      <c r="EC191">
        <v>5.24125</v>
      </c>
      <c r="ED191">
        <v>12.039899999999999</v>
      </c>
      <c r="EE191">
        <v>5.01675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1.8646199999999999</v>
      </c>
      <c r="EM191">
        <v>1.8692</v>
      </c>
      <c r="EN191">
        <v>1.8672200000000001</v>
      </c>
      <c r="EO191">
        <v>1.8633999999999999</v>
      </c>
      <c r="EP191">
        <v>1.8644700000000001</v>
      </c>
      <c r="EQ191">
        <v>1.87016</v>
      </c>
      <c r="ER191">
        <v>1.8694299999999999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-0.183</v>
      </c>
      <c r="FG191">
        <v>0.15140000000000001</v>
      </c>
      <c r="FH191">
        <v>5.0310448532705943E-2</v>
      </c>
      <c r="FI191">
        <v>-6.1462078757559423E-4</v>
      </c>
      <c r="FJ191">
        <v>-1.8861989874597051E-7</v>
      </c>
      <c r="FK191">
        <v>1.1980462299894961E-10</v>
      </c>
      <c r="FL191">
        <v>0.15140825623214971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34.5</v>
      </c>
      <c r="FU191">
        <v>34.4</v>
      </c>
      <c r="FV191">
        <v>1.7663599999999999</v>
      </c>
      <c r="FW191">
        <v>2.5854499999999998</v>
      </c>
      <c r="FX191">
        <v>1.5490699999999999</v>
      </c>
      <c r="FY191">
        <v>2.3327599999999999</v>
      </c>
      <c r="FZ191">
        <v>1.50146</v>
      </c>
      <c r="GA191">
        <v>2.34497</v>
      </c>
      <c r="GB191">
        <v>33.221600000000002</v>
      </c>
      <c r="GC191">
        <v>23.982399999999998</v>
      </c>
      <c r="GD191">
        <v>19</v>
      </c>
      <c r="GE191">
        <v>287.63200000000001</v>
      </c>
      <c r="GF191">
        <v>581.64700000000005</v>
      </c>
      <c r="GG191">
        <v>23.7791</v>
      </c>
      <c r="GH191">
        <v>25.958200000000001</v>
      </c>
      <c r="GI191">
        <v>30</v>
      </c>
      <c r="GJ191">
        <v>26.089200000000002</v>
      </c>
      <c r="GK191">
        <v>26.069800000000001</v>
      </c>
      <c r="GL191">
        <v>35.3078</v>
      </c>
      <c r="GM191">
        <v>100</v>
      </c>
      <c r="GN191">
        <v>0</v>
      </c>
      <c r="GO191">
        <v>23.799099999999999</v>
      </c>
      <c r="GP191">
        <v>800</v>
      </c>
      <c r="GQ191">
        <v>0</v>
      </c>
      <c r="GR191">
        <v>99.757000000000005</v>
      </c>
      <c r="GS191">
        <v>99.576099999999997</v>
      </c>
    </row>
    <row r="192" spans="1:201" x14ac:dyDescent="0.25">
      <c r="A192">
        <v>176</v>
      </c>
      <c r="B192">
        <v>1690294150</v>
      </c>
      <c r="C192">
        <v>1879.400000095367</v>
      </c>
      <c r="D192" t="s">
        <v>685</v>
      </c>
      <c r="E192" t="s">
        <v>686</v>
      </c>
      <c r="F192" t="s">
        <v>330</v>
      </c>
      <c r="H192">
        <v>1690294150</v>
      </c>
      <c r="I192">
        <f t="shared" si="60"/>
        <v>2.7362428939881277E-3</v>
      </c>
      <c r="J192">
        <f t="shared" si="61"/>
        <v>2.7362428939881278</v>
      </c>
      <c r="K192">
        <f t="shared" si="62"/>
        <v>43.997632885124872</v>
      </c>
      <c r="L192">
        <f t="shared" si="63"/>
        <v>350.73</v>
      </c>
      <c r="M192">
        <f t="shared" si="64"/>
        <v>118.13919664866319</v>
      </c>
      <c r="N192">
        <f t="shared" si="65"/>
        <v>11.747983284806381</v>
      </c>
      <c r="O192">
        <f t="shared" si="66"/>
        <v>34.877248994115</v>
      </c>
      <c r="P192">
        <f t="shared" si="67"/>
        <v>0.3281939457867859</v>
      </c>
      <c r="Q192">
        <f t="shared" si="68"/>
        <v>2.2580022715439503</v>
      </c>
      <c r="R192">
        <f t="shared" si="69"/>
        <v>0.3038105983654768</v>
      </c>
      <c r="S192">
        <f t="shared" si="70"/>
        <v>0.19192118624512339</v>
      </c>
      <c r="T192">
        <f t="shared" si="71"/>
        <v>276.11368614455489</v>
      </c>
      <c r="U192">
        <f t="shared" si="72"/>
        <v>26.755365327875477</v>
      </c>
      <c r="V192">
        <f t="shared" si="73"/>
        <v>26.755365327875477</v>
      </c>
      <c r="W192">
        <f t="shared" si="74"/>
        <v>3.52805568427189</v>
      </c>
      <c r="X192">
        <f t="shared" si="75"/>
        <v>80.788139043850975</v>
      </c>
      <c r="Y192">
        <f t="shared" si="76"/>
        <v>2.6603088301261999</v>
      </c>
      <c r="Z192">
        <f t="shared" si="77"/>
        <v>3.2929448080023378</v>
      </c>
      <c r="AA192">
        <f t="shared" si="78"/>
        <v>0.86774685414569008</v>
      </c>
      <c r="AB192">
        <f t="shared" si="79"/>
        <v>-120.66831162487644</v>
      </c>
      <c r="AC192">
        <f t="shared" si="80"/>
        <v>-142.05867859063466</v>
      </c>
      <c r="AD192">
        <f t="shared" si="81"/>
        <v>-13.465378922009588</v>
      </c>
      <c r="AE192">
        <f t="shared" si="82"/>
        <v>-7.8682992965752874E-2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52796.757248465954</v>
      </c>
      <c r="AK192">
        <f t="shared" si="86"/>
        <v>1799.99</v>
      </c>
      <c r="AL192">
        <f t="shared" si="87"/>
        <v>1499.10379939929</v>
      </c>
      <c r="AM192">
        <f t="shared" si="88"/>
        <v>0.83284007100000002</v>
      </c>
      <c r="AN192">
        <f t="shared" si="89"/>
        <v>0.15339734451000001</v>
      </c>
      <c r="AO192">
        <v>30</v>
      </c>
      <c r="AP192">
        <v>0.5</v>
      </c>
      <c r="AQ192" t="s">
        <v>331</v>
      </c>
      <c r="AR192">
        <v>2</v>
      </c>
      <c r="AS192">
        <v>1690294150</v>
      </c>
      <c r="AT192">
        <v>350.73</v>
      </c>
      <c r="AU192">
        <v>800.06799999999998</v>
      </c>
      <c r="AV192">
        <v>26.752400000000002</v>
      </c>
      <c r="AW192">
        <v>0.135911</v>
      </c>
      <c r="AX192">
        <v>350.91399999999999</v>
      </c>
      <c r="AY192">
        <v>26.600999999999999</v>
      </c>
      <c r="AZ192">
        <v>300.15699999999998</v>
      </c>
      <c r="BA192">
        <v>99.341899999999995</v>
      </c>
      <c r="BB192">
        <v>9.9975499999999995E-2</v>
      </c>
      <c r="BC192">
        <v>25.5884</v>
      </c>
      <c r="BD192">
        <v>26.992799999999999</v>
      </c>
      <c r="BE192">
        <v>26.609100000000002</v>
      </c>
      <c r="BF192">
        <v>0</v>
      </c>
      <c r="BG192">
        <v>0</v>
      </c>
      <c r="BH192">
        <v>10003.799999999999</v>
      </c>
      <c r="BI192">
        <v>1062.6400000000001</v>
      </c>
      <c r="BJ192">
        <v>2.2426400000000002</v>
      </c>
      <c r="BK192">
        <v>-449.33800000000002</v>
      </c>
      <c r="BL192">
        <v>360.37099999999998</v>
      </c>
      <c r="BM192">
        <v>800.17700000000002</v>
      </c>
      <c r="BN192">
        <v>26.616499999999998</v>
      </c>
      <c r="BO192">
        <v>800.06799999999998</v>
      </c>
      <c r="BP192">
        <v>0.135911</v>
      </c>
      <c r="BQ192">
        <v>2.6576300000000002</v>
      </c>
      <c r="BR192">
        <v>1.35017E-2</v>
      </c>
      <c r="BS192">
        <v>22.025500000000001</v>
      </c>
      <c r="BT192">
        <v>-43.1402</v>
      </c>
      <c r="BU192">
        <v>1799.99</v>
      </c>
      <c r="BV192">
        <v>0.91000199999999998</v>
      </c>
      <c r="BW192">
        <v>3.4002299999999999E-2</v>
      </c>
      <c r="BX192">
        <v>2.1998799999999999E-2</v>
      </c>
      <c r="BY192">
        <v>3.3997100000000002E-2</v>
      </c>
      <c r="BZ192">
        <v>26</v>
      </c>
      <c r="CA192">
        <v>33528.300000000003</v>
      </c>
      <c r="CB192">
        <v>1690292073.5</v>
      </c>
      <c r="CC192" t="s">
        <v>332</v>
      </c>
      <c r="CD192">
        <v>1690292069.5</v>
      </c>
      <c r="CE192">
        <v>1690292073.5</v>
      </c>
      <c r="CF192">
        <v>4</v>
      </c>
      <c r="CG192">
        <v>-3.6999999999999998E-2</v>
      </c>
      <c r="CH192">
        <v>-1.6E-2</v>
      </c>
      <c r="CI192">
        <v>-0.45200000000000001</v>
      </c>
      <c r="CJ192">
        <v>0.108</v>
      </c>
      <c r="CK192">
        <v>730</v>
      </c>
      <c r="CL192">
        <v>18</v>
      </c>
      <c r="CM192">
        <v>0</v>
      </c>
      <c r="CN192">
        <v>0.01</v>
      </c>
      <c r="CO192">
        <v>-448.85079999999999</v>
      </c>
      <c r="CP192">
        <v>-2.4268592870537451</v>
      </c>
      <c r="CQ192">
        <v>0.23841027662414191</v>
      </c>
      <c r="CR192">
        <v>-1</v>
      </c>
      <c r="CS192">
        <v>26.576112500000001</v>
      </c>
      <c r="CT192">
        <v>0.20250619136952841</v>
      </c>
      <c r="CU192">
        <v>1.9621788750009739E-2</v>
      </c>
      <c r="CV192">
        <v>-1</v>
      </c>
      <c r="CW192">
        <v>0</v>
      </c>
      <c r="CX192">
        <v>0</v>
      </c>
      <c r="CY192" t="s">
        <v>333</v>
      </c>
      <c r="CZ192">
        <v>2.3648799999999999</v>
      </c>
      <c r="DA192">
        <v>2.7137699999999998</v>
      </c>
      <c r="DB192">
        <v>8.1099599999999994E-2</v>
      </c>
      <c r="DC192">
        <v>0.14644199999999999</v>
      </c>
      <c r="DD192">
        <v>0.123431</v>
      </c>
      <c r="DE192">
        <v>1.14967E-3</v>
      </c>
      <c r="DF192">
        <v>33559.800000000003</v>
      </c>
      <c r="DG192">
        <v>27513.1</v>
      </c>
      <c r="DH192">
        <v>31177.599999999999</v>
      </c>
      <c r="DI192">
        <v>28086.7</v>
      </c>
      <c r="DJ192">
        <v>37091.9</v>
      </c>
      <c r="DK192">
        <v>39894.9</v>
      </c>
      <c r="DL192">
        <v>44369.4</v>
      </c>
      <c r="DM192">
        <v>42563.5</v>
      </c>
      <c r="DN192">
        <v>1.48997</v>
      </c>
      <c r="DO192">
        <v>2.0380699999999998</v>
      </c>
      <c r="DP192">
        <v>0.12534899999999999</v>
      </c>
      <c r="DQ192">
        <v>0.124238</v>
      </c>
      <c r="DR192">
        <v>24.939399999999999</v>
      </c>
      <c r="DS192">
        <v>24.572700000000001</v>
      </c>
      <c r="DT192">
        <v>21.5</v>
      </c>
      <c r="DU192">
        <v>28.9</v>
      </c>
      <c r="DV192">
        <v>8.6532400000000003</v>
      </c>
      <c r="DW192">
        <v>61.443399999999997</v>
      </c>
      <c r="DX192">
        <v>35.048099999999998</v>
      </c>
      <c r="DY192">
        <v>1</v>
      </c>
      <c r="DZ192">
        <v>-0.112749</v>
      </c>
      <c r="EA192">
        <v>0.19289500000000001</v>
      </c>
      <c r="EB192">
        <v>20.1906</v>
      </c>
      <c r="EC192">
        <v>5.2411000000000003</v>
      </c>
      <c r="ED192">
        <v>12.039899999999999</v>
      </c>
      <c r="EE192">
        <v>5.0175000000000001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1.8646199999999999</v>
      </c>
      <c r="EM192">
        <v>1.8692</v>
      </c>
      <c r="EN192">
        <v>1.8672299999999999</v>
      </c>
      <c r="EO192">
        <v>1.8633900000000001</v>
      </c>
      <c r="EP192">
        <v>1.8644700000000001</v>
      </c>
      <c r="EQ192">
        <v>1.87016</v>
      </c>
      <c r="ER192">
        <v>1.8694500000000001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-0.184</v>
      </c>
      <c r="FG192">
        <v>0.15140000000000001</v>
      </c>
      <c r="FH192">
        <v>5.0310448532705943E-2</v>
      </c>
      <c r="FI192">
        <v>-6.1462078757559423E-4</v>
      </c>
      <c r="FJ192">
        <v>-1.8861989874597051E-7</v>
      </c>
      <c r="FK192">
        <v>1.1980462299894961E-10</v>
      </c>
      <c r="FL192">
        <v>0.15140825623214971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34.700000000000003</v>
      </c>
      <c r="FU192">
        <v>34.6</v>
      </c>
      <c r="FV192">
        <v>1.7663599999999999</v>
      </c>
      <c r="FW192">
        <v>2.5817899999999998</v>
      </c>
      <c r="FX192">
        <v>1.5490699999999999</v>
      </c>
      <c r="FY192">
        <v>2.3327599999999999</v>
      </c>
      <c r="FZ192">
        <v>1.50146</v>
      </c>
      <c r="GA192">
        <v>2.2875999999999999</v>
      </c>
      <c r="GB192">
        <v>33.244</v>
      </c>
      <c r="GC192">
        <v>23.982399999999998</v>
      </c>
      <c r="GD192">
        <v>19</v>
      </c>
      <c r="GE192">
        <v>287.61799999999999</v>
      </c>
      <c r="GF192">
        <v>581.54200000000003</v>
      </c>
      <c r="GG192">
        <v>23.818000000000001</v>
      </c>
      <c r="GH192">
        <v>25.9604</v>
      </c>
      <c r="GI192">
        <v>30</v>
      </c>
      <c r="GJ192">
        <v>26.090800000000002</v>
      </c>
      <c r="GK192">
        <v>26.071400000000001</v>
      </c>
      <c r="GL192">
        <v>35.307400000000001</v>
      </c>
      <c r="GM192">
        <v>100</v>
      </c>
      <c r="GN192">
        <v>0</v>
      </c>
      <c r="GO192">
        <v>23.819099999999999</v>
      </c>
      <c r="GP192">
        <v>800</v>
      </c>
      <c r="GQ192">
        <v>0</v>
      </c>
      <c r="GR192">
        <v>99.756</v>
      </c>
      <c r="GS192">
        <v>99.576599999999999</v>
      </c>
    </row>
    <row r="193" spans="1:201" x14ac:dyDescent="0.25">
      <c r="A193">
        <v>177</v>
      </c>
      <c r="B193">
        <v>1690294160</v>
      </c>
      <c r="C193">
        <v>1889.400000095367</v>
      </c>
      <c r="D193" t="s">
        <v>687</v>
      </c>
      <c r="E193" t="s">
        <v>688</v>
      </c>
      <c r="F193" t="s">
        <v>330</v>
      </c>
      <c r="H193">
        <v>1690294160</v>
      </c>
      <c r="I193">
        <f t="shared" si="60"/>
        <v>2.7393873525843855E-3</v>
      </c>
      <c r="J193">
        <f t="shared" si="61"/>
        <v>2.7393873525843855</v>
      </c>
      <c r="K193">
        <f t="shared" si="62"/>
        <v>44.038673523920657</v>
      </c>
      <c r="L193">
        <f t="shared" si="63"/>
        <v>350.28399999999999</v>
      </c>
      <c r="M193">
        <f t="shared" si="64"/>
        <v>118.09641173217791</v>
      </c>
      <c r="N193">
        <f t="shared" si="65"/>
        <v>11.743774552923934</v>
      </c>
      <c r="O193">
        <f t="shared" si="66"/>
        <v>34.833034002976007</v>
      </c>
      <c r="P193">
        <f t="shared" si="67"/>
        <v>0.32913782996120966</v>
      </c>
      <c r="Q193">
        <f t="shared" si="68"/>
        <v>2.256871454030668</v>
      </c>
      <c r="R193">
        <f t="shared" si="69"/>
        <v>0.30460833721452674</v>
      </c>
      <c r="S193">
        <f t="shared" si="70"/>
        <v>0.19243152291341237</v>
      </c>
      <c r="T193">
        <f t="shared" si="71"/>
        <v>276.11359659505246</v>
      </c>
      <c r="U193">
        <f t="shared" si="72"/>
        <v>26.763448797889819</v>
      </c>
      <c r="V193">
        <f t="shared" si="73"/>
        <v>26.763448797889819</v>
      </c>
      <c r="W193">
        <f t="shared" si="74"/>
        <v>3.5297340826471126</v>
      </c>
      <c r="X193">
        <f t="shared" si="75"/>
        <v>80.837172845363426</v>
      </c>
      <c r="Y193">
        <f t="shared" si="76"/>
        <v>2.6632826029008001</v>
      </c>
      <c r="Z193">
        <f t="shared" si="77"/>
        <v>3.2946261096927487</v>
      </c>
      <c r="AA193">
        <f t="shared" si="78"/>
        <v>0.86645147974631254</v>
      </c>
      <c r="AB193">
        <f t="shared" si="79"/>
        <v>-120.80698224897141</v>
      </c>
      <c r="AC193">
        <f t="shared" si="80"/>
        <v>-141.92468750595947</v>
      </c>
      <c r="AD193">
        <f t="shared" si="81"/>
        <v>-13.460544626155349</v>
      </c>
      <c r="AE193">
        <f t="shared" si="82"/>
        <v>-7.861778603376024E-2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52750.850514690501</v>
      </c>
      <c r="AK193">
        <f t="shared" si="86"/>
        <v>1799.99</v>
      </c>
      <c r="AL193">
        <f t="shared" si="87"/>
        <v>1499.1040873976901</v>
      </c>
      <c r="AM193">
        <f t="shared" si="88"/>
        <v>0.83284023100000004</v>
      </c>
      <c r="AN193">
        <f t="shared" si="89"/>
        <v>0.15339729476000002</v>
      </c>
      <c r="AO193">
        <v>30</v>
      </c>
      <c r="AP193">
        <v>0.5</v>
      </c>
      <c r="AQ193" t="s">
        <v>331</v>
      </c>
      <c r="AR193">
        <v>2</v>
      </c>
      <c r="AS193">
        <v>1690294160</v>
      </c>
      <c r="AT193">
        <v>350.28399999999999</v>
      </c>
      <c r="AU193">
        <v>800.03399999999999</v>
      </c>
      <c r="AV193">
        <v>26.7822</v>
      </c>
      <c r="AW193">
        <v>0.13576199999999999</v>
      </c>
      <c r="AX193">
        <v>350.46699999999998</v>
      </c>
      <c r="AY193">
        <v>26.630800000000001</v>
      </c>
      <c r="AZ193">
        <v>300.15499999999997</v>
      </c>
      <c r="BA193">
        <v>99.342200000000005</v>
      </c>
      <c r="BB193">
        <v>0.100064</v>
      </c>
      <c r="BC193">
        <v>25.597000000000001</v>
      </c>
      <c r="BD193">
        <v>26.996099999999998</v>
      </c>
      <c r="BE193">
        <v>26.6006</v>
      </c>
      <c r="BF193">
        <v>0</v>
      </c>
      <c r="BG193">
        <v>0</v>
      </c>
      <c r="BH193">
        <v>9995</v>
      </c>
      <c r="BI193">
        <v>1062.6500000000001</v>
      </c>
      <c r="BJ193">
        <v>2.2426400000000002</v>
      </c>
      <c r="BK193">
        <v>-449.75</v>
      </c>
      <c r="BL193">
        <v>359.923</v>
      </c>
      <c r="BM193">
        <v>800.14300000000003</v>
      </c>
      <c r="BN193">
        <v>26.6465</v>
      </c>
      <c r="BO193">
        <v>800.03399999999999</v>
      </c>
      <c r="BP193">
        <v>0.13576199999999999</v>
      </c>
      <c r="BQ193">
        <v>2.6606000000000001</v>
      </c>
      <c r="BR193">
        <v>1.34869E-2</v>
      </c>
      <c r="BS193">
        <v>22.043800000000001</v>
      </c>
      <c r="BT193">
        <v>-43.150300000000001</v>
      </c>
      <c r="BU193">
        <v>1799.99</v>
      </c>
      <c r="BV193">
        <v>0.91000400000000004</v>
      </c>
      <c r="BW193">
        <v>3.4001499999999997E-2</v>
      </c>
      <c r="BX193">
        <v>2.1998299999999998E-2</v>
      </c>
      <c r="BY193">
        <v>3.3996400000000003E-2</v>
      </c>
      <c r="BZ193">
        <v>26</v>
      </c>
      <c r="CA193">
        <v>33528.300000000003</v>
      </c>
      <c r="CB193">
        <v>1690292073.5</v>
      </c>
      <c r="CC193" t="s">
        <v>332</v>
      </c>
      <c r="CD193">
        <v>1690292069.5</v>
      </c>
      <c r="CE193">
        <v>1690292073.5</v>
      </c>
      <c r="CF193">
        <v>4</v>
      </c>
      <c r="CG193">
        <v>-3.6999999999999998E-2</v>
      </c>
      <c r="CH193">
        <v>-1.6E-2</v>
      </c>
      <c r="CI193">
        <v>-0.45200000000000001</v>
      </c>
      <c r="CJ193">
        <v>0.108</v>
      </c>
      <c r="CK193">
        <v>730</v>
      </c>
      <c r="CL193">
        <v>18</v>
      </c>
      <c r="CM193">
        <v>0</v>
      </c>
      <c r="CN193">
        <v>0.01</v>
      </c>
      <c r="CO193">
        <v>-449.26659999999998</v>
      </c>
      <c r="CP193">
        <v>-2.7255309568472881</v>
      </c>
      <c r="CQ193">
        <v>0.26552869901387849</v>
      </c>
      <c r="CR193">
        <v>-1</v>
      </c>
      <c r="CS193">
        <v>26.611622499999999</v>
      </c>
      <c r="CT193">
        <v>0.21842814258902651</v>
      </c>
      <c r="CU193">
        <v>2.1064644401223659E-2</v>
      </c>
      <c r="CV193">
        <v>-1</v>
      </c>
      <c r="CW193">
        <v>0</v>
      </c>
      <c r="CX193">
        <v>0</v>
      </c>
      <c r="CY193" t="s">
        <v>333</v>
      </c>
      <c r="CZ193">
        <v>2.3648699999999998</v>
      </c>
      <c r="DA193">
        <v>2.7138499999999999</v>
      </c>
      <c r="DB193">
        <v>8.1020499999999995E-2</v>
      </c>
      <c r="DC193">
        <v>0.14644199999999999</v>
      </c>
      <c r="DD193">
        <v>0.12353</v>
      </c>
      <c r="DE193">
        <v>1.1484500000000001E-3</v>
      </c>
      <c r="DF193">
        <v>33563</v>
      </c>
      <c r="DG193">
        <v>27513.1</v>
      </c>
      <c r="DH193">
        <v>31177.9</v>
      </c>
      <c r="DI193">
        <v>28086.7</v>
      </c>
      <c r="DJ193">
        <v>37087.9</v>
      </c>
      <c r="DK193">
        <v>39895</v>
      </c>
      <c r="DL193">
        <v>44369.599999999999</v>
      </c>
      <c r="DM193">
        <v>42563.6</v>
      </c>
      <c r="DN193">
        <v>1.49003</v>
      </c>
      <c r="DO193">
        <v>2.0379999999999998</v>
      </c>
      <c r="DP193">
        <v>0.12542300000000001</v>
      </c>
      <c r="DQ193">
        <v>0.12349300000000001</v>
      </c>
      <c r="DR193">
        <v>24.941500000000001</v>
      </c>
      <c r="DS193">
        <v>24.5763</v>
      </c>
      <c r="DT193">
        <v>21.5</v>
      </c>
      <c r="DU193">
        <v>28.9</v>
      </c>
      <c r="DV193">
        <v>8.6551500000000008</v>
      </c>
      <c r="DW193">
        <v>61.823399999999999</v>
      </c>
      <c r="DX193">
        <v>35.476799999999997</v>
      </c>
      <c r="DY193">
        <v>1</v>
      </c>
      <c r="DZ193">
        <v>-0.11228399999999999</v>
      </c>
      <c r="EA193">
        <v>0.34464600000000001</v>
      </c>
      <c r="EB193">
        <v>20.190000000000001</v>
      </c>
      <c r="EC193">
        <v>5.2409499999999998</v>
      </c>
      <c r="ED193">
        <v>12.039899999999999</v>
      </c>
      <c r="EE193">
        <v>5.0171999999999999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1.8646199999999999</v>
      </c>
      <c r="EM193">
        <v>1.8691899999999999</v>
      </c>
      <c r="EN193">
        <v>1.86724</v>
      </c>
      <c r="EO193">
        <v>1.8633999999999999</v>
      </c>
      <c r="EP193">
        <v>1.8644700000000001</v>
      </c>
      <c r="EQ193">
        <v>1.87016</v>
      </c>
      <c r="ER193">
        <v>1.8694200000000001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-0.183</v>
      </c>
      <c r="FG193">
        <v>0.15140000000000001</v>
      </c>
      <c r="FH193">
        <v>5.0310448532705943E-2</v>
      </c>
      <c r="FI193">
        <v>-6.1462078757559423E-4</v>
      </c>
      <c r="FJ193">
        <v>-1.8861989874597051E-7</v>
      </c>
      <c r="FK193">
        <v>1.1980462299894961E-10</v>
      </c>
      <c r="FL193">
        <v>0.15140825623214971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34.799999999999997</v>
      </c>
      <c r="FU193">
        <v>34.799999999999997</v>
      </c>
      <c r="FV193">
        <v>1.7651399999999999</v>
      </c>
      <c r="FW193">
        <v>2.5781200000000002</v>
      </c>
      <c r="FX193">
        <v>1.5490699999999999</v>
      </c>
      <c r="FY193">
        <v>2.3339799999999999</v>
      </c>
      <c r="FZ193">
        <v>1.50146</v>
      </c>
      <c r="GA193">
        <v>2.36572</v>
      </c>
      <c r="GB193">
        <v>33.221600000000002</v>
      </c>
      <c r="GC193">
        <v>23.991199999999999</v>
      </c>
      <c r="GD193">
        <v>19</v>
      </c>
      <c r="GE193">
        <v>287.64499999999998</v>
      </c>
      <c r="GF193">
        <v>581.48699999999997</v>
      </c>
      <c r="GG193">
        <v>23.8233</v>
      </c>
      <c r="GH193">
        <v>25.960599999999999</v>
      </c>
      <c r="GI193">
        <v>30.000299999999999</v>
      </c>
      <c r="GJ193">
        <v>26.091999999999999</v>
      </c>
      <c r="GK193">
        <v>26.071999999999999</v>
      </c>
      <c r="GL193">
        <v>35.305599999999998</v>
      </c>
      <c r="GM193">
        <v>100</v>
      </c>
      <c r="GN193">
        <v>0</v>
      </c>
      <c r="GO193">
        <v>23.780799999999999</v>
      </c>
      <c r="GP193">
        <v>800</v>
      </c>
      <c r="GQ193">
        <v>0</v>
      </c>
      <c r="GR193">
        <v>99.756600000000006</v>
      </c>
      <c r="GS193">
        <v>99.576800000000006</v>
      </c>
    </row>
    <row r="194" spans="1:201" x14ac:dyDescent="0.25">
      <c r="A194">
        <v>178</v>
      </c>
      <c r="B194">
        <v>1690294170</v>
      </c>
      <c r="C194">
        <v>1899.400000095367</v>
      </c>
      <c r="D194" t="s">
        <v>689</v>
      </c>
      <c r="E194" t="s">
        <v>690</v>
      </c>
      <c r="F194" t="s">
        <v>330</v>
      </c>
      <c r="H194">
        <v>1690294170</v>
      </c>
      <c r="I194">
        <f t="shared" si="60"/>
        <v>2.7396232848215874E-3</v>
      </c>
      <c r="J194">
        <f t="shared" si="61"/>
        <v>2.7396232848215876</v>
      </c>
      <c r="K194">
        <f t="shared" si="62"/>
        <v>44.052052841736973</v>
      </c>
      <c r="L194">
        <f t="shared" si="63"/>
        <v>349.95600000000002</v>
      </c>
      <c r="M194">
        <f t="shared" si="64"/>
        <v>117.75047607993228</v>
      </c>
      <c r="N194">
        <f t="shared" si="65"/>
        <v>11.709843658665489</v>
      </c>
      <c r="O194">
        <f t="shared" si="66"/>
        <v>34.801812984859197</v>
      </c>
      <c r="P194">
        <f t="shared" si="67"/>
        <v>0.32918527706086148</v>
      </c>
      <c r="Q194">
        <f t="shared" si="68"/>
        <v>2.2592576686303856</v>
      </c>
      <c r="R194">
        <f t="shared" si="69"/>
        <v>0.30467284160515268</v>
      </c>
      <c r="S194">
        <f t="shared" si="70"/>
        <v>0.19247054016375076</v>
      </c>
      <c r="T194">
        <f t="shared" si="71"/>
        <v>276.11496557999999</v>
      </c>
      <c r="U194">
        <f t="shared" si="72"/>
        <v>26.768448807541393</v>
      </c>
      <c r="V194">
        <f t="shared" si="73"/>
        <v>26.768448807541393</v>
      </c>
      <c r="W194">
        <f t="shared" si="74"/>
        <v>3.5307726005655837</v>
      </c>
      <c r="X194">
        <f t="shared" si="75"/>
        <v>80.841450571728998</v>
      </c>
      <c r="Y194">
        <f t="shared" si="76"/>
        <v>2.66440379423568</v>
      </c>
      <c r="Z194">
        <f t="shared" si="77"/>
        <v>3.2958386760658231</v>
      </c>
      <c r="AA194">
        <f t="shared" si="78"/>
        <v>0.86636880632990376</v>
      </c>
      <c r="AB194">
        <f t="shared" si="79"/>
        <v>-120.817386860632</v>
      </c>
      <c r="AC194">
        <f t="shared" si="80"/>
        <v>-141.92858586943791</v>
      </c>
      <c r="AD194">
        <f t="shared" si="81"/>
        <v>-13.447452006063585</v>
      </c>
      <c r="AE194">
        <f t="shared" si="82"/>
        <v>-7.8459156133504848E-2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52843.543833503158</v>
      </c>
      <c r="AK194">
        <f t="shared" si="86"/>
        <v>1800</v>
      </c>
      <c r="AL194">
        <f t="shared" si="87"/>
        <v>1499.112018</v>
      </c>
      <c r="AM194">
        <f t="shared" si="88"/>
        <v>0.83284000999999996</v>
      </c>
      <c r="AN194">
        <f t="shared" si="89"/>
        <v>0.15339720309999999</v>
      </c>
      <c r="AO194">
        <v>30</v>
      </c>
      <c r="AP194">
        <v>0.5</v>
      </c>
      <c r="AQ194" t="s">
        <v>331</v>
      </c>
      <c r="AR194">
        <v>2</v>
      </c>
      <c r="AS194">
        <v>1690294170</v>
      </c>
      <c r="AT194">
        <v>349.95600000000002</v>
      </c>
      <c r="AU194">
        <v>799.98</v>
      </c>
      <c r="AV194">
        <v>26.792400000000001</v>
      </c>
      <c r="AW194">
        <v>0.135154</v>
      </c>
      <c r="AX194">
        <v>350.13900000000001</v>
      </c>
      <c r="AY194">
        <v>26.640899999999998</v>
      </c>
      <c r="AZ194">
        <v>300.05599999999998</v>
      </c>
      <c r="BA194">
        <v>99.346299999999999</v>
      </c>
      <c r="BB194">
        <v>9.9953200000000006E-2</v>
      </c>
      <c r="BC194">
        <v>25.603200000000001</v>
      </c>
      <c r="BD194">
        <v>27.005099999999999</v>
      </c>
      <c r="BE194">
        <v>26.605899999999998</v>
      </c>
      <c r="BF194">
        <v>0</v>
      </c>
      <c r="BG194">
        <v>0</v>
      </c>
      <c r="BH194">
        <v>10013.1</v>
      </c>
      <c r="BI194">
        <v>1062.6199999999999</v>
      </c>
      <c r="BJ194">
        <v>2.2426400000000002</v>
      </c>
      <c r="BK194">
        <v>-450.024</v>
      </c>
      <c r="BL194">
        <v>359.59</v>
      </c>
      <c r="BM194">
        <v>800.08799999999997</v>
      </c>
      <c r="BN194">
        <v>26.6572</v>
      </c>
      <c r="BO194">
        <v>799.98</v>
      </c>
      <c r="BP194">
        <v>0.135154</v>
      </c>
      <c r="BQ194">
        <v>2.6617199999999999</v>
      </c>
      <c r="BR194">
        <v>1.3427100000000001E-2</v>
      </c>
      <c r="BS194">
        <v>22.050699999999999</v>
      </c>
      <c r="BT194">
        <v>-43.191600000000001</v>
      </c>
      <c r="BU194">
        <v>1800</v>
      </c>
      <c r="BV194">
        <v>0.91000499999999995</v>
      </c>
      <c r="BW194">
        <v>3.4001000000000003E-2</v>
      </c>
      <c r="BX194">
        <v>2.1998E-2</v>
      </c>
      <c r="BY194">
        <v>3.39958E-2</v>
      </c>
      <c r="BZ194">
        <v>26</v>
      </c>
      <c r="CA194">
        <v>33528.400000000001</v>
      </c>
      <c r="CB194">
        <v>1690292073.5</v>
      </c>
      <c r="CC194" t="s">
        <v>332</v>
      </c>
      <c r="CD194">
        <v>1690292069.5</v>
      </c>
      <c r="CE194">
        <v>1690292073.5</v>
      </c>
      <c r="CF194">
        <v>4</v>
      </c>
      <c r="CG194">
        <v>-3.6999999999999998E-2</v>
      </c>
      <c r="CH194">
        <v>-1.6E-2</v>
      </c>
      <c r="CI194">
        <v>-0.45200000000000001</v>
      </c>
      <c r="CJ194">
        <v>0.108</v>
      </c>
      <c r="CK194">
        <v>730</v>
      </c>
      <c r="CL194">
        <v>18</v>
      </c>
      <c r="CM194">
        <v>0</v>
      </c>
      <c r="CN194">
        <v>0.01</v>
      </c>
      <c r="CO194">
        <v>-449.67930000000001</v>
      </c>
      <c r="CP194">
        <v>-2.1998048780489752</v>
      </c>
      <c r="CQ194">
        <v>0.21404452807768759</v>
      </c>
      <c r="CR194">
        <v>-1</v>
      </c>
      <c r="CS194">
        <v>26.640932500000002</v>
      </c>
      <c r="CT194">
        <v>0.12903377110690989</v>
      </c>
      <c r="CU194">
        <v>1.278181105125575E-2</v>
      </c>
      <c r="CV194">
        <v>-1</v>
      </c>
      <c r="CW194">
        <v>0</v>
      </c>
      <c r="CX194">
        <v>0</v>
      </c>
      <c r="CY194" t="s">
        <v>333</v>
      </c>
      <c r="CZ194">
        <v>2.3645700000000001</v>
      </c>
      <c r="DA194">
        <v>2.7137500000000001</v>
      </c>
      <c r="DB194">
        <v>8.0961199999999997E-2</v>
      </c>
      <c r="DC194">
        <v>0.14643600000000001</v>
      </c>
      <c r="DD194">
        <v>0.12356300000000001</v>
      </c>
      <c r="DE194">
        <v>1.14335E-3</v>
      </c>
      <c r="DF194">
        <v>33564.9</v>
      </c>
      <c r="DG194">
        <v>27513.200000000001</v>
      </c>
      <c r="DH194">
        <v>31177.599999999999</v>
      </c>
      <c r="DI194">
        <v>28086.6</v>
      </c>
      <c r="DJ194">
        <v>37086.1</v>
      </c>
      <c r="DK194">
        <v>39895.1</v>
      </c>
      <c r="DL194">
        <v>44369.2</v>
      </c>
      <c r="DM194">
        <v>42563.4</v>
      </c>
      <c r="DN194">
        <v>1.4895799999999999</v>
      </c>
      <c r="DO194">
        <v>2.0377999999999998</v>
      </c>
      <c r="DP194">
        <v>0.125773</v>
      </c>
      <c r="DQ194">
        <v>0.123627</v>
      </c>
      <c r="DR194">
        <v>24.944700000000001</v>
      </c>
      <c r="DS194">
        <v>24.5794</v>
      </c>
      <c r="DT194">
        <v>21.5</v>
      </c>
      <c r="DU194">
        <v>28.9</v>
      </c>
      <c r="DV194">
        <v>8.6531699999999994</v>
      </c>
      <c r="DW194">
        <v>61.3934</v>
      </c>
      <c r="DX194">
        <v>35.997599999999998</v>
      </c>
      <c r="DY194">
        <v>1</v>
      </c>
      <c r="DZ194">
        <v>-0.11187999999999999</v>
      </c>
      <c r="EA194">
        <v>0.27896500000000002</v>
      </c>
      <c r="EB194">
        <v>20.190100000000001</v>
      </c>
      <c r="EC194">
        <v>5.2409499999999998</v>
      </c>
      <c r="ED194">
        <v>12.039899999999999</v>
      </c>
      <c r="EE194">
        <v>5.0174500000000002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1.8646199999999999</v>
      </c>
      <c r="EM194">
        <v>1.8692</v>
      </c>
      <c r="EN194">
        <v>1.8672299999999999</v>
      </c>
      <c r="EO194">
        <v>1.8633900000000001</v>
      </c>
      <c r="EP194">
        <v>1.8644700000000001</v>
      </c>
      <c r="EQ194">
        <v>1.87015</v>
      </c>
      <c r="ER194">
        <v>1.8694599999999999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-0.183</v>
      </c>
      <c r="FG194">
        <v>0.1515</v>
      </c>
      <c r="FH194">
        <v>5.0310448532705943E-2</v>
      </c>
      <c r="FI194">
        <v>-6.1462078757559423E-4</v>
      </c>
      <c r="FJ194">
        <v>-1.8861989874597051E-7</v>
      </c>
      <c r="FK194">
        <v>1.1980462299894961E-10</v>
      </c>
      <c r="FL194">
        <v>0.15140825623214971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35</v>
      </c>
      <c r="FU194">
        <v>34.9</v>
      </c>
      <c r="FV194">
        <v>1.7663599999999999</v>
      </c>
      <c r="FW194">
        <v>2.5842299999999998</v>
      </c>
      <c r="FX194">
        <v>1.5490699999999999</v>
      </c>
      <c r="FY194">
        <v>2.3327599999999999</v>
      </c>
      <c r="FZ194">
        <v>1.50146</v>
      </c>
      <c r="GA194">
        <v>2.4035600000000001</v>
      </c>
      <c r="GB194">
        <v>33.244</v>
      </c>
      <c r="GC194">
        <v>23.982399999999998</v>
      </c>
      <c r="GD194">
        <v>19</v>
      </c>
      <c r="GE194">
        <v>287.45600000000002</v>
      </c>
      <c r="GF194">
        <v>581.32799999999997</v>
      </c>
      <c r="GG194">
        <v>23.7866</v>
      </c>
      <c r="GH194">
        <v>25.962599999999998</v>
      </c>
      <c r="GI194">
        <v>30.0002</v>
      </c>
      <c r="GJ194">
        <v>26.093</v>
      </c>
      <c r="GK194">
        <v>26.072500000000002</v>
      </c>
      <c r="GL194">
        <v>35.307600000000001</v>
      </c>
      <c r="GM194">
        <v>100</v>
      </c>
      <c r="GN194">
        <v>0</v>
      </c>
      <c r="GO194">
        <v>23.7956</v>
      </c>
      <c r="GP194">
        <v>800</v>
      </c>
      <c r="GQ194">
        <v>0</v>
      </c>
      <c r="GR194">
        <v>99.755700000000004</v>
      </c>
      <c r="GS194">
        <v>99.576300000000003</v>
      </c>
    </row>
    <row r="195" spans="1:201" x14ac:dyDescent="0.25">
      <c r="A195">
        <v>179</v>
      </c>
      <c r="B195">
        <v>1690294180</v>
      </c>
      <c r="C195">
        <v>1909.400000095367</v>
      </c>
      <c r="D195" t="s">
        <v>691</v>
      </c>
      <c r="E195" t="s">
        <v>692</v>
      </c>
      <c r="F195" t="s">
        <v>330</v>
      </c>
      <c r="H195">
        <v>1690294180</v>
      </c>
      <c r="I195">
        <f t="shared" si="60"/>
        <v>2.741980320433871E-3</v>
      </c>
      <c r="J195">
        <f t="shared" si="61"/>
        <v>2.7419803204338709</v>
      </c>
      <c r="K195">
        <f t="shared" si="62"/>
        <v>44.105233567189131</v>
      </c>
      <c r="L195">
        <f t="shared" si="63"/>
        <v>349.56</v>
      </c>
      <c r="M195">
        <f t="shared" si="64"/>
        <v>117.7651712481311</v>
      </c>
      <c r="N195">
        <f t="shared" si="65"/>
        <v>11.710894178953554</v>
      </c>
      <c r="O195">
        <f t="shared" si="66"/>
        <v>34.761212723664002</v>
      </c>
      <c r="P195">
        <f t="shared" si="67"/>
        <v>0.33024000525584341</v>
      </c>
      <c r="Q195">
        <f t="shared" si="68"/>
        <v>2.2580912899441019</v>
      </c>
      <c r="R195">
        <f t="shared" si="69"/>
        <v>0.30556482468840823</v>
      </c>
      <c r="S195">
        <f t="shared" si="70"/>
        <v>0.19304111321004286</v>
      </c>
      <c r="T195">
        <f t="shared" si="71"/>
        <v>276.11501266800002</v>
      </c>
      <c r="U195">
        <f t="shared" si="72"/>
        <v>26.766220924056395</v>
      </c>
      <c r="V195">
        <f t="shared" si="73"/>
        <v>26.766220924056395</v>
      </c>
      <c r="W195">
        <f t="shared" si="74"/>
        <v>3.5303098291299677</v>
      </c>
      <c r="X195">
        <f t="shared" si="75"/>
        <v>80.892267256437904</v>
      </c>
      <c r="Y195">
        <f t="shared" si="76"/>
        <v>2.6657621852708</v>
      </c>
      <c r="Z195">
        <f t="shared" si="77"/>
        <v>3.2954474830332345</v>
      </c>
      <c r="AA195">
        <f t="shared" si="78"/>
        <v>0.86454764385916771</v>
      </c>
      <c r="AB195">
        <f t="shared" si="79"/>
        <v>-120.92133213113371</v>
      </c>
      <c r="AC195">
        <f t="shared" si="80"/>
        <v>-141.82757078866948</v>
      </c>
      <c r="AD195">
        <f t="shared" si="81"/>
        <v>-13.444537130273613</v>
      </c>
      <c r="AE195">
        <f t="shared" si="82"/>
        <v>-7.8427382076768026E-2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52798.00908789879</v>
      </c>
      <c r="AK195">
        <f t="shared" si="86"/>
        <v>1800</v>
      </c>
      <c r="AL195">
        <f t="shared" si="87"/>
        <v>1499.1125688</v>
      </c>
      <c r="AM195">
        <f t="shared" si="88"/>
        <v>0.83284031599999997</v>
      </c>
      <c r="AN195">
        <f t="shared" si="89"/>
        <v>0.15339722926000002</v>
      </c>
      <c r="AO195">
        <v>30</v>
      </c>
      <c r="AP195">
        <v>0.5</v>
      </c>
      <c r="AQ195" t="s">
        <v>331</v>
      </c>
      <c r="AR195">
        <v>2</v>
      </c>
      <c r="AS195">
        <v>1690294180</v>
      </c>
      <c r="AT195">
        <v>349.56</v>
      </c>
      <c r="AU195">
        <v>799.98099999999999</v>
      </c>
      <c r="AV195">
        <v>26.806999999999999</v>
      </c>
      <c r="AW195">
        <v>0.135042</v>
      </c>
      <c r="AX195">
        <v>349.74200000000002</v>
      </c>
      <c r="AY195">
        <v>26.6556</v>
      </c>
      <c r="AZ195">
        <v>300.14400000000001</v>
      </c>
      <c r="BA195">
        <v>99.342799999999997</v>
      </c>
      <c r="BB195">
        <v>9.9964399999999995E-2</v>
      </c>
      <c r="BC195">
        <v>25.601199999999999</v>
      </c>
      <c r="BD195">
        <v>27.003399999999999</v>
      </c>
      <c r="BE195">
        <v>26.617799999999999</v>
      </c>
      <c r="BF195">
        <v>0</v>
      </c>
      <c r="BG195">
        <v>0</v>
      </c>
      <c r="BH195">
        <v>10004.4</v>
      </c>
      <c r="BI195">
        <v>1062.77</v>
      </c>
      <c r="BJ195">
        <v>2.2426400000000002</v>
      </c>
      <c r="BK195">
        <v>-450.42099999999999</v>
      </c>
      <c r="BL195">
        <v>359.18900000000002</v>
      </c>
      <c r="BM195">
        <v>800.08900000000006</v>
      </c>
      <c r="BN195">
        <v>26.671900000000001</v>
      </c>
      <c r="BO195">
        <v>799.98099999999999</v>
      </c>
      <c r="BP195">
        <v>0.135042</v>
      </c>
      <c r="BQ195">
        <v>2.6630799999999999</v>
      </c>
      <c r="BR195">
        <v>1.34155E-2</v>
      </c>
      <c r="BS195">
        <v>22.059100000000001</v>
      </c>
      <c r="BT195">
        <v>-43.199599999999997</v>
      </c>
      <c r="BU195">
        <v>1800</v>
      </c>
      <c r="BV195">
        <v>0.91000599999999998</v>
      </c>
      <c r="BW195">
        <v>3.4000700000000002E-2</v>
      </c>
      <c r="BX195">
        <v>2.1997800000000001E-2</v>
      </c>
      <c r="BY195">
        <v>3.3995600000000001E-2</v>
      </c>
      <c r="BZ195">
        <v>26</v>
      </c>
      <c r="CA195">
        <v>33528.5</v>
      </c>
      <c r="CB195">
        <v>1690292073.5</v>
      </c>
      <c r="CC195" t="s">
        <v>332</v>
      </c>
      <c r="CD195">
        <v>1690292069.5</v>
      </c>
      <c r="CE195">
        <v>1690292073.5</v>
      </c>
      <c r="CF195">
        <v>4</v>
      </c>
      <c r="CG195">
        <v>-3.6999999999999998E-2</v>
      </c>
      <c r="CH195">
        <v>-1.6E-2</v>
      </c>
      <c r="CI195">
        <v>-0.45200000000000001</v>
      </c>
      <c r="CJ195">
        <v>0.108</v>
      </c>
      <c r="CK195">
        <v>730</v>
      </c>
      <c r="CL195">
        <v>18</v>
      </c>
      <c r="CM195">
        <v>0</v>
      </c>
      <c r="CN195">
        <v>0.01</v>
      </c>
      <c r="CO195">
        <v>-450.01178048780491</v>
      </c>
      <c r="CP195">
        <v>-2.1187526132415169</v>
      </c>
      <c r="CQ195">
        <v>0.21167330006577539</v>
      </c>
      <c r="CR195">
        <v>-1</v>
      </c>
      <c r="CS195">
        <v>26.655690243902441</v>
      </c>
      <c r="CT195">
        <v>6.2943554006990615E-2</v>
      </c>
      <c r="CU195">
        <v>6.3494883557287064E-3</v>
      </c>
      <c r="CV195">
        <v>-1</v>
      </c>
      <c r="CW195">
        <v>0</v>
      </c>
      <c r="CX195">
        <v>0</v>
      </c>
      <c r="CY195" t="s">
        <v>333</v>
      </c>
      <c r="CZ195">
        <v>2.36483</v>
      </c>
      <c r="DA195">
        <v>2.7137600000000002</v>
      </c>
      <c r="DB195">
        <v>8.0888799999999997E-2</v>
      </c>
      <c r="DC195">
        <v>0.14643500000000001</v>
      </c>
      <c r="DD195">
        <v>0.12361</v>
      </c>
      <c r="DE195">
        <v>1.1424E-3</v>
      </c>
      <c r="DF195">
        <v>33567.5</v>
      </c>
      <c r="DG195">
        <v>27512.799999999999</v>
      </c>
      <c r="DH195">
        <v>31177.599999999999</v>
      </c>
      <c r="DI195">
        <v>28086.2</v>
      </c>
      <c r="DJ195">
        <v>37084.1</v>
      </c>
      <c r="DK195">
        <v>39894.6</v>
      </c>
      <c r="DL195">
        <v>44369.1</v>
      </c>
      <c r="DM195">
        <v>42562.9</v>
      </c>
      <c r="DN195">
        <v>1.48993</v>
      </c>
      <c r="DO195">
        <v>2.03803</v>
      </c>
      <c r="DP195">
        <v>0.125416</v>
      </c>
      <c r="DQ195">
        <v>0.124075</v>
      </c>
      <c r="DR195">
        <v>24.948899999999998</v>
      </c>
      <c r="DS195">
        <v>24.584099999999999</v>
      </c>
      <c r="DT195">
        <v>21.5</v>
      </c>
      <c r="DU195">
        <v>28.9</v>
      </c>
      <c r="DV195">
        <v>8.6533700000000007</v>
      </c>
      <c r="DW195">
        <v>61.413400000000003</v>
      </c>
      <c r="DX195">
        <v>35.192300000000003</v>
      </c>
      <c r="DY195">
        <v>1</v>
      </c>
      <c r="DZ195">
        <v>-0.111743</v>
      </c>
      <c r="EA195">
        <v>0.28655199999999997</v>
      </c>
      <c r="EB195">
        <v>20.190200000000001</v>
      </c>
      <c r="EC195">
        <v>5.2413999999999996</v>
      </c>
      <c r="ED195">
        <v>12.039899999999999</v>
      </c>
      <c r="EE195">
        <v>5.0173500000000004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</v>
      </c>
      <c r="EL195">
        <v>1.8646199999999999</v>
      </c>
      <c r="EM195">
        <v>1.8692</v>
      </c>
      <c r="EN195">
        <v>1.8672200000000001</v>
      </c>
      <c r="EO195">
        <v>1.8633999999999999</v>
      </c>
      <c r="EP195">
        <v>1.8644700000000001</v>
      </c>
      <c r="EQ195">
        <v>1.87015</v>
      </c>
      <c r="ER195">
        <v>1.8694200000000001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-0.182</v>
      </c>
      <c r="FG195">
        <v>0.15140000000000001</v>
      </c>
      <c r="FH195">
        <v>5.0310448532705943E-2</v>
      </c>
      <c r="FI195">
        <v>-6.1462078757559423E-4</v>
      </c>
      <c r="FJ195">
        <v>-1.8861989874597051E-7</v>
      </c>
      <c r="FK195">
        <v>1.1980462299894961E-10</v>
      </c>
      <c r="FL195">
        <v>0.15140825623214971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35.200000000000003</v>
      </c>
      <c r="FU195">
        <v>35.1</v>
      </c>
      <c r="FV195">
        <v>1.7663599999999999</v>
      </c>
      <c r="FW195">
        <v>2.5854499999999998</v>
      </c>
      <c r="FX195">
        <v>1.5490699999999999</v>
      </c>
      <c r="FY195">
        <v>2.3327599999999999</v>
      </c>
      <c r="FZ195">
        <v>1.50146</v>
      </c>
      <c r="GA195">
        <v>2.2814899999999998</v>
      </c>
      <c r="GB195">
        <v>33.244</v>
      </c>
      <c r="GC195">
        <v>23.982399999999998</v>
      </c>
      <c r="GD195">
        <v>19</v>
      </c>
      <c r="GE195">
        <v>287.60700000000003</v>
      </c>
      <c r="GF195">
        <v>581.53200000000004</v>
      </c>
      <c r="GG195">
        <v>23.788900000000002</v>
      </c>
      <c r="GH195">
        <v>25.9648</v>
      </c>
      <c r="GI195">
        <v>30.000299999999999</v>
      </c>
      <c r="GJ195">
        <v>26.093</v>
      </c>
      <c r="GK195">
        <v>26.074200000000001</v>
      </c>
      <c r="GL195">
        <v>35.308199999999999</v>
      </c>
      <c r="GM195">
        <v>100</v>
      </c>
      <c r="GN195">
        <v>0</v>
      </c>
      <c r="GO195">
        <v>23.786899999999999</v>
      </c>
      <c r="GP195">
        <v>800</v>
      </c>
      <c r="GQ195">
        <v>0</v>
      </c>
      <c r="GR195">
        <v>99.755700000000004</v>
      </c>
      <c r="GS195">
        <v>99.575000000000003</v>
      </c>
    </row>
    <row r="196" spans="1:201" x14ac:dyDescent="0.25">
      <c r="A196">
        <v>180</v>
      </c>
      <c r="B196">
        <v>1690294190</v>
      </c>
      <c r="C196">
        <v>1919.400000095367</v>
      </c>
      <c r="D196" t="s">
        <v>693</v>
      </c>
      <c r="E196" t="s">
        <v>694</v>
      </c>
      <c r="F196" t="s">
        <v>330</v>
      </c>
      <c r="H196">
        <v>1690294190</v>
      </c>
      <c r="I196">
        <f t="shared" si="60"/>
        <v>2.7448714949588927E-3</v>
      </c>
      <c r="J196">
        <f t="shared" si="61"/>
        <v>2.7448714949588928</v>
      </c>
      <c r="K196">
        <f t="shared" si="62"/>
        <v>44.165640459028879</v>
      </c>
      <c r="L196">
        <f t="shared" si="63"/>
        <v>349.17200000000003</v>
      </c>
      <c r="M196">
        <f t="shared" si="64"/>
        <v>117.75969423049311</v>
      </c>
      <c r="N196">
        <f t="shared" si="65"/>
        <v>11.710308148422413</v>
      </c>
      <c r="O196">
        <f t="shared" si="66"/>
        <v>34.722506232036004</v>
      </c>
      <c r="P196">
        <f t="shared" si="67"/>
        <v>0.33130131965134801</v>
      </c>
      <c r="Q196">
        <f t="shared" si="68"/>
        <v>2.2581634304071887</v>
      </c>
      <c r="R196">
        <f t="shared" si="69"/>
        <v>0.30647440060672737</v>
      </c>
      <c r="S196">
        <f t="shared" si="70"/>
        <v>0.19362183034661279</v>
      </c>
      <c r="T196">
        <f t="shared" si="71"/>
        <v>276.114894768</v>
      </c>
      <c r="U196">
        <f t="shared" si="72"/>
        <v>26.766427711656164</v>
      </c>
      <c r="V196">
        <f t="shared" si="73"/>
        <v>26.766427711656164</v>
      </c>
      <c r="W196">
        <f t="shared" si="74"/>
        <v>3.5303527804009471</v>
      </c>
      <c r="X196">
        <f t="shared" si="75"/>
        <v>80.938420697976738</v>
      </c>
      <c r="Y196">
        <f t="shared" si="76"/>
        <v>2.6674731190359005</v>
      </c>
      <c r="Z196">
        <f t="shared" si="77"/>
        <v>3.2956821939850136</v>
      </c>
      <c r="AA196">
        <f t="shared" si="78"/>
        <v>0.86287966136504668</v>
      </c>
      <c r="AB196">
        <f t="shared" si="79"/>
        <v>-121.04883292768717</v>
      </c>
      <c r="AC196">
        <f t="shared" si="80"/>
        <v>-141.71118606057678</v>
      </c>
      <c r="AD196">
        <f t="shared" si="81"/>
        <v>-13.433169950776811</v>
      </c>
      <c r="AE196">
        <f t="shared" si="82"/>
        <v>-7.8294171040738547E-2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52800.620997014106</v>
      </c>
      <c r="AK196">
        <f t="shared" si="86"/>
        <v>1800</v>
      </c>
      <c r="AL196">
        <f t="shared" si="87"/>
        <v>1499.1127217999999</v>
      </c>
      <c r="AM196">
        <f t="shared" si="88"/>
        <v>0.83284040100000001</v>
      </c>
      <c r="AN196">
        <f t="shared" si="89"/>
        <v>0.15339716376000001</v>
      </c>
      <c r="AO196">
        <v>30</v>
      </c>
      <c r="AP196">
        <v>0.5</v>
      </c>
      <c r="AQ196" t="s">
        <v>331</v>
      </c>
      <c r="AR196">
        <v>2</v>
      </c>
      <c r="AS196">
        <v>1690294190</v>
      </c>
      <c r="AT196">
        <v>349.17200000000003</v>
      </c>
      <c r="AU196">
        <v>800.03099999999995</v>
      </c>
      <c r="AV196">
        <v>26.824300000000001</v>
      </c>
      <c r="AW196">
        <v>0.13447500000000001</v>
      </c>
      <c r="AX196">
        <v>349.35500000000002</v>
      </c>
      <c r="AY196">
        <v>26.672899999999998</v>
      </c>
      <c r="AZ196">
        <v>300.25400000000002</v>
      </c>
      <c r="BA196">
        <v>99.342399999999998</v>
      </c>
      <c r="BB196">
        <v>0.100013</v>
      </c>
      <c r="BC196">
        <v>25.602399999999999</v>
      </c>
      <c r="BD196">
        <v>27.005199999999999</v>
      </c>
      <c r="BE196">
        <v>26.617999999999999</v>
      </c>
      <c r="BF196">
        <v>0</v>
      </c>
      <c r="BG196">
        <v>0</v>
      </c>
      <c r="BH196">
        <v>10005</v>
      </c>
      <c r="BI196">
        <v>1062.68</v>
      </c>
      <c r="BJ196">
        <v>2.2426400000000002</v>
      </c>
      <c r="BK196">
        <v>-450.858</v>
      </c>
      <c r="BL196">
        <v>358.79700000000003</v>
      </c>
      <c r="BM196">
        <v>800.13900000000001</v>
      </c>
      <c r="BN196">
        <v>26.689800000000002</v>
      </c>
      <c r="BO196">
        <v>800.03099999999995</v>
      </c>
      <c r="BP196">
        <v>0.13447500000000001</v>
      </c>
      <c r="BQ196">
        <v>2.66479</v>
      </c>
      <c r="BR196">
        <v>1.33591E-2</v>
      </c>
      <c r="BS196">
        <v>22.069600000000001</v>
      </c>
      <c r="BT196">
        <v>-43.238700000000001</v>
      </c>
      <c r="BU196">
        <v>1800</v>
      </c>
      <c r="BV196">
        <v>0.91000800000000004</v>
      </c>
      <c r="BW196">
        <v>3.39999E-2</v>
      </c>
      <c r="BX196">
        <v>2.1997300000000001E-2</v>
      </c>
      <c r="BY196">
        <v>3.3994799999999999E-2</v>
      </c>
      <c r="BZ196">
        <v>26</v>
      </c>
      <c r="CA196">
        <v>33528.5</v>
      </c>
      <c r="CB196">
        <v>1690292073.5</v>
      </c>
      <c r="CC196" t="s">
        <v>332</v>
      </c>
      <c r="CD196">
        <v>1690292069.5</v>
      </c>
      <c r="CE196">
        <v>1690292073.5</v>
      </c>
      <c r="CF196">
        <v>4</v>
      </c>
      <c r="CG196">
        <v>-3.6999999999999998E-2</v>
      </c>
      <c r="CH196">
        <v>-1.6E-2</v>
      </c>
      <c r="CI196">
        <v>-0.45200000000000001</v>
      </c>
      <c r="CJ196">
        <v>0.108</v>
      </c>
      <c r="CK196">
        <v>730</v>
      </c>
      <c r="CL196">
        <v>18</v>
      </c>
      <c r="CM196">
        <v>0</v>
      </c>
      <c r="CN196">
        <v>0.01</v>
      </c>
      <c r="CO196">
        <v>-450.41797500000001</v>
      </c>
      <c r="CP196">
        <v>-2.4394559099435509</v>
      </c>
      <c r="CQ196">
        <v>0.23795571935761389</v>
      </c>
      <c r="CR196">
        <v>-1</v>
      </c>
      <c r="CS196">
        <v>26.67167000000001</v>
      </c>
      <c r="CT196">
        <v>0.11676472795491059</v>
      </c>
      <c r="CU196">
        <v>1.134775748771524E-2</v>
      </c>
      <c r="CV196">
        <v>-1</v>
      </c>
      <c r="CW196">
        <v>0</v>
      </c>
      <c r="CX196">
        <v>0</v>
      </c>
      <c r="CY196" t="s">
        <v>333</v>
      </c>
      <c r="CZ196">
        <v>2.3651800000000001</v>
      </c>
      <c r="DA196">
        <v>2.7138100000000001</v>
      </c>
      <c r="DB196">
        <v>8.0817200000000006E-2</v>
      </c>
      <c r="DC196">
        <v>0.14643999999999999</v>
      </c>
      <c r="DD196">
        <v>0.123664</v>
      </c>
      <c r="DE196">
        <v>1.1376299999999999E-3</v>
      </c>
      <c r="DF196">
        <v>33570</v>
      </c>
      <c r="DG196">
        <v>27512.6</v>
      </c>
      <c r="DH196">
        <v>31177.5</v>
      </c>
      <c r="DI196">
        <v>28086.1</v>
      </c>
      <c r="DJ196">
        <v>37081.5</v>
      </c>
      <c r="DK196">
        <v>39894.800000000003</v>
      </c>
      <c r="DL196">
        <v>44368.9</v>
      </c>
      <c r="DM196">
        <v>42562.8</v>
      </c>
      <c r="DN196">
        <v>1.4902</v>
      </c>
      <c r="DO196">
        <v>2.0378500000000002</v>
      </c>
      <c r="DP196">
        <v>0.125337</v>
      </c>
      <c r="DQ196">
        <v>0.123806</v>
      </c>
      <c r="DR196">
        <v>24.952000000000002</v>
      </c>
      <c r="DS196">
        <v>24.588699999999999</v>
      </c>
      <c r="DT196">
        <v>21.5</v>
      </c>
      <c r="DU196">
        <v>28.9</v>
      </c>
      <c r="DV196">
        <v>8.6527799999999999</v>
      </c>
      <c r="DW196">
        <v>61.523400000000002</v>
      </c>
      <c r="DX196">
        <v>34.947899999999997</v>
      </c>
      <c r="DY196">
        <v>1</v>
      </c>
      <c r="DZ196">
        <v>-0.111415</v>
      </c>
      <c r="EA196">
        <v>0.33710499999999999</v>
      </c>
      <c r="EB196">
        <v>20.189900000000002</v>
      </c>
      <c r="EC196">
        <v>5.24125</v>
      </c>
      <c r="ED196">
        <v>12.039899999999999</v>
      </c>
      <c r="EE196">
        <v>5.0172499999999998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1.8646199999999999</v>
      </c>
      <c r="EM196">
        <v>1.8692</v>
      </c>
      <c r="EN196">
        <v>1.8672200000000001</v>
      </c>
      <c r="EO196">
        <v>1.86338</v>
      </c>
      <c r="EP196">
        <v>1.8644700000000001</v>
      </c>
      <c r="EQ196">
        <v>1.87018</v>
      </c>
      <c r="ER196">
        <v>1.8694200000000001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-0.183</v>
      </c>
      <c r="FG196">
        <v>0.15140000000000001</v>
      </c>
      <c r="FH196">
        <v>5.0310448532705943E-2</v>
      </c>
      <c r="FI196">
        <v>-6.1462078757559423E-4</v>
      </c>
      <c r="FJ196">
        <v>-1.8861989874597051E-7</v>
      </c>
      <c r="FK196">
        <v>1.1980462299894961E-10</v>
      </c>
      <c r="FL196">
        <v>0.15140825623214971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35.299999999999997</v>
      </c>
      <c r="FU196">
        <v>35.299999999999997</v>
      </c>
      <c r="FV196">
        <v>1.7663599999999999</v>
      </c>
      <c r="FW196">
        <v>2.5781200000000002</v>
      </c>
      <c r="FX196">
        <v>1.5490699999999999</v>
      </c>
      <c r="FY196">
        <v>2.3339799999999999</v>
      </c>
      <c r="FZ196">
        <v>1.50146</v>
      </c>
      <c r="GA196">
        <v>2.36816</v>
      </c>
      <c r="GB196">
        <v>33.244</v>
      </c>
      <c r="GC196">
        <v>23.991199999999999</v>
      </c>
      <c r="GD196">
        <v>19</v>
      </c>
      <c r="GE196">
        <v>287.73500000000001</v>
      </c>
      <c r="GF196">
        <v>581.38800000000003</v>
      </c>
      <c r="GG196">
        <v>23.781300000000002</v>
      </c>
      <c r="GH196">
        <v>25.9648</v>
      </c>
      <c r="GI196">
        <v>30.000299999999999</v>
      </c>
      <c r="GJ196">
        <v>26.095099999999999</v>
      </c>
      <c r="GK196">
        <v>26.074200000000001</v>
      </c>
      <c r="GL196">
        <v>35.305399999999999</v>
      </c>
      <c r="GM196">
        <v>100</v>
      </c>
      <c r="GN196">
        <v>0</v>
      </c>
      <c r="GO196">
        <v>23.7639</v>
      </c>
      <c r="GP196">
        <v>800</v>
      </c>
      <c r="GQ196">
        <v>0</v>
      </c>
      <c r="GR196">
        <v>99.755099999999999</v>
      </c>
      <c r="GS196">
        <v>99.5749</v>
      </c>
    </row>
    <row r="197" spans="1:201" x14ac:dyDescent="0.25">
      <c r="A197">
        <v>181</v>
      </c>
      <c r="B197">
        <v>1690294200</v>
      </c>
      <c r="C197">
        <v>1929.400000095367</v>
      </c>
      <c r="D197" t="s">
        <v>695</v>
      </c>
      <c r="E197" t="s">
        <v>696</v>
      </c>
      <c r="F197" t="s">
        <v>330</v>
      </c>
      <c r="H197">
        <v>1690294200</v>
      </c>
      <c r="I197">
        <f t="shared" si="60"/>
        <v>2.7452235804411892E-3</v>
      </c>
      <c r="J197">
        <f t="shared" si="61"/>
        <v>2.7452235804411891</v>
      </c>
      <c r="K197">
        <f t="shared" si="62"/>
        <v>44.185300734324954</v>
      </c>
      <c r="L197">
        <f t="shared" si="63"/>
        <v>348.82900000000001</v>
      </c>
      <c r="M197">
        <f t="shared" si="64"/>
        <v>117.67956782612831</v>
      </c>
      <c r="N197">
        <f t="shared" si="65"/>
        <v>11.702162489279946</v>
      </c>
      <c r="O197">
        <f t="shared" si="66"/>
        <v>34.687870752587003</v>
      </c>
      <c r="P197">
        <f t="shared" si="67"/>
        <v>0.33182828914208767</v>
      </c>
      <c r="Q197">
        <f t="shared" si="68"/>
        <v>2.26087388097273</v>
      </c>
      <c r="R197">
        <f t="shared" si="69"/>
        <v>0.30695296476328271</v>
      </c>
      <c r="S197">
        <f t="shared" si="70"/>
        <v>0.19392492325503086</v>
      </c>
      <c r="T197">
        <f t="shared" si="71"/>
        <v>276.1132718768564</v>
      </c>
      <c r="U197">
        <f t="shared" si="72"/>
        <v>26.765423270707661</v>
      </c>
      <c r="V197">
        <f t="shared" si="73"/>
        <v>26.765423270707661</v>
      </c>
      <c r="W197">
        <f t="shared" si="74"/>
        <v>3.5301441550693209</v>
      </c>
      <c r="X197">
        <f t="shared" si="75"/>
        <v>80.968158136831505</v>
      </c>
      <c r="Y197">
        <f t="shared" si="76"/>
        <v>2.6685165201856003</v>
      </c>
      <c r="Z197">
        <f t="shared" si="77"/>
        <v>3.2957604342141038</v>
      </c>
      <c r="AA197">
        <f t="shared" si="78"/>
        <v>0.86162763488372063</v>
      </c>
      <c r="AB197">
        <f t="shared" si="79"/>
        <v>-121.06435989745644</v>
      </c>
      <c r="AC197">
        <f t="shared" si="80"/>
        <v>-141.71009572873672</v>
      </c>
      <c r="AD197">
        <f t="shared" si="81"/>
        <v>-13.416921570496926</v>
      </c>
      <c r="AE197">
        <f t="shared" si="82"/>
        <v>-7.8105319833667863E-2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52907.013079858974</v>
      </c>
      <c r="AK197">
        <f t="shared" si="86"/>
        <v>1799.99</v>
      </c>
      <c r="AL197">
        <f t="shared" si="87"/>
        <v>1499.1046723944398</v>
      </c>
      <c r="AM197">
        <f t="shared" si="88"/>
        <v>0.83284055599999995</v>
      </c>
      <c r="AN197">
        <f t="shared" si="89"/>
        <v>0.15339711436</v>
      </c>
      <c r="AO197">
        <v>30</v>
      </c>
      <c r="AP197">
        <v>0.5</v>
      </c>
      <c r="AQ197" t="s">
        <v>331</v>
      </c>
      <c r="AR197">
        <v>2</v>
      </c>
      <c r="AS197">
        <v>1690294200</v>
      </c>
      <c r="AT197">
        <v>348.82900000000001</v>
      </c>
      <c r="AU197">
        <v>800.01300000000003</v>
      </c>
      <c r="AV197">
        <v>26.8352</v>
      </c>
      <c r="AW197">
        <v>0.134158</v>
      </c>
      <c r="AX197">
        <v>349.012</v>
      </c>
      <c r="AY197">
        <v>26.683800000000002</v>
      </c>
      <c r="AZ197">
        <v>300.16300000000001</v>
      </c>
      <c r="BA197">
        <v>99.340900000000005</v>
      </c>
      <c r="BB197">
        <v>0.10000299999999999</v>
      </c>
      <c r="BC197">
        <v>25.602799999999998</v>
      </c>
      <c r="BD197">
        <v>26.986499999999999</v>
      </c>
      <c r="BE197">
        <v>26.6175</v>
      </c>
      <c r="BF197">
        <v>0</v>
      </c>
      <c r="BG197">
        <v>0</v>
      </c>
      <c r="BH197">
        <v>10026.200000000001</v>
      </c>
      <c r="BI197">
        <v>1062.76</v>
      </c>
      <c r="BJ197">
        <v>2.2426400000000002</v>
      </c>
      <c r="BK197">
        <v>-451.18400000000003</v>
      </c>
      <c r="BL197">
        <v>358.44799999999998</v>
      </c>
      <c r="BM197">
        <v>800.12099999999998</v>
      </c>
      <c r="BN197">
        <v>26.7011</v>
      </c>
      <c r="BO197">
        <v>800.01300000000003</v>
      </c>
      <c r="BP197">
        <v>0.134158</v>
      </c>
      <c r="BQ197">
        <v>2.6658400000000002</v>
      </c>
      <c r="BR197">
        <v>1.33274E-2</v>
      </c>
      <c r="BS197">
        <v>22.076000000000001</v>
      </c>
      <c r="BT197">
        <v>-43.2607</v>
      </c>
      <c r="BU197">
        <v>1799.99</v>
      </c>
      <c r="BV197">
        <v>0.91000999999999999</v>
      </c>
      <c r="BW197">
        <v>3.39992E-2</v>
      </c>
      <c r="BX197">
        <v>2.19968E-2</v>
      </c>
      <c r="BY197">
        <v>3.3994000000000003E-2</v>
      </c>
      <c r="BZ197">
        <v>26</v>
      </c>
      <c r="CA197">
        <v>33528.300000000003</v>
      </c>
      <c r="CB197">
        <v>1690292073.5</v>
      </c>
      <c r="CC197" t="s">
        <v>332</v>
      </c>
      <c r="CD197">
        <v>1690292069.5</v>
      </c>
      <c r="CE197">
        <v>1690292073.5</v>
      </c>
      <c r="CF197">
        <v>4</v>
      </c>
      <c r="CG197">
        <v>-3.6999999999999998E-2</v>
      </c>
      <c r="CH197">
        <v>-1.6E-2</v>
      </c>
      <c r="CI197">
        <v>-0.45200000000000001</v>
      </c>
      <c r="CJ197">
        <v>0.108</v>
      </c>
      <c r="CK197">
        <v>730</v>
      </c>
      <c r="CL197">
        <v>18</v>
      </c>
      <c r="CM197">
        <v>0</v>
      </c>
      <c r="CN197">
        <v>0.01</v>
      </c>
      <c r="CO197">
        <v>-450.77319512195118</v>
      </c>
      <c r="CP197">
        <v>-2.1662090592343142</v>
      </c>
      <c r="CQ197">
        <v>0.21741678750363211</v>
      </c>
      <c r="CR197">
        <v>-1</v>
      </c>
      <c r="CS197">
        <v>26.686602439024391</v>
      </c>
      <c r="CT197">
        <v>8.0454355400694774E-2</v>
      </c>
      <c r="CU197">
        <v>8.2161793923487946E-3</v>
      </c>
      <c r="CV197">
        <v>-1</v>
      </c>
      <c r="CW197">
        <v>0</v>
      </c>
      <c r="CX197">
        <v>0</v>
      </c>
      <c r="CY197" t="s">
        <v>333</v>
      </c>
      <c r="CZ197">
        <v>2.3648899999999999</v>
      </c>
      <c r="DA197">
        <v>2.7138200000000001</v>
      </c>
      <c r="DB197">
        <v>8.0753500000000006E-2</v>
      </c>
      <c r="DC197">
        <v>0.14643500000000001</v>
      </c>
      <c r="DD197">
        <v>0.123697</v>
      </c>
      <c r="DE197">
        <v>1.13495E-3</v>
      </c>
      <c r="DF197">
        <v>33572</v>
      </c>
      <c r="DG197">
        <v>27513</v>
      </c>
      <c r="DH197">
        <v>31177.200000000001</v>
      </c>
      <c r="DI197">
        <v>28086.400000000001</v>
      </c>
      <c r="DJ197">
        <v>37080</v>
      </c>
      <c r="DK197">
        <v>39895</v>
      </c>
      <c r="DL197">
        <v>44368.7</v>
      </c>
      <c r="DM197">
        <v>42563</v>
      </c>
      <c r="DN197">
        <v>1.49</v>
      </c>
      <c r="DO197">
        <v>2.0376300000000001</v>
      </c>
      <c r="DP197">
        <v>0.12393999999999999</v>
      </c>
      <c r="DQ197">
        <v>0.123553</v>
      </c>
      <c r="DR197">
        <v>24.956199999999999</v>
      </c>
      <c r="DS197">
        <v>24.592300000000002</v>
      </c>
      <c r="DT197">
        <v>21.4</v>
      </c>
      <c r="DU197">
        <v>28.9</v>
      </c>
      <c r="DV197">
        <v>8.6142000000000003</v>
      </c>
      <c r="DW197">
        <v>61.303400000000003</v>
      </c>
      <c r="DX197">
        <v>35.9375</v>
      </c>
      <c r="DY197">
        <v>1</v>
      </c>
      <c r="DZ197">
        <v>-0.111288</v>
      </c>
      <c r="EA197">
        <v>0.28012799999999999</v>
      </c>
      <c r="EB197">
        <v>20.189900000000002</v>
      </c>
      <c r="EC197">
        <v>5.2415500000000002</v>
      </c>
      <c r="ED197">
        <v>12.039899999999999</v>
      </c>
      <c r="EE197">
        <v>5.0170500000000002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</v>
      </c>
      <c r="EL197">
        <v>1.8646199999999999</v>
      </c>
      <c r="EM197">
        <v>1.8692</v>
      </c>
      <c r="EN197">
        <v>1.8672299999999999</v>
      </c>
      <c r="EO197">
        <v>1.86338</v>
      </c>
      <c r="EP197">
        <v>1.8644700000000001</v>
      </c>
      <c r="EQ197">
        <v>1.87018</v>
      </c>
      <c r="ER197">
        <v>1.8694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-0.183</v>
      </c>
      <c r="FG197">
        <v>0.15140000000000001</v>
      </c>
      <c r="FH197">
        <v>5.0310448532705943E-2</v>
      </c>
      <c r="FI197">
        <v>-6.1462078757559423E-4</v>
      </c>
      <c r="FJ197">
        <v>-1.8861989874597051E-7</v>
      </c>
      <c r="FK197">
        <v>1.1980462299894961E-10</v>
      </c>
      <c r="FL197">
        <v>0.15140825623214971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35.5</v>
      </c>
      <c r="FU197">
        <v>35.4</v>
      </c>
      <c r="FV197">
        <v>1.7663599999999999</v>
      </c>
      <c r="FW197">
        <v>2.5817899999999998</v>
      </c>
      <c r="FX197">
        <v>1.5490699999999999</v>
      </c>
      <c r="FY197">
        <v>2.3327599999999999</v>
      </c>
      <c r="FZ197">
        <v>1.50146</v>
      </c>
      <c r="GA197">
        <v>2.3535200000000001</v>
      </c>
      <c r="GB197">
        <v>33.244</v>
      </c>
      <c r="GC197">
        <v>23.991199999999999</v>
      </c>
      <c r="GD197">
        <v>19</v>
      </c>
      <c r="GE197">
        <v>287.649</v>
      </c>
      <c r="GF197">
        <v>581.22799999999995</v>
      </c>
      <c r="GG197">
        <v>23.759899999999998</v>
      </c>
      <c r="GH197">
        <v>25.966999999999999</v>
      </c>
      <c r="GI197">
        <v>30.0002</v>
      </c>
      <c r="GJ197">
        <v>26.095099999999999</v>
      </c>
      <c r="GK197">
        <v>26.0764</v>
      </c>
      <c r="GL197">
        <v>35.3063</v>
      </c>
      <c r="GM197">
        <v>100</v>
      </c>
      <c r="GN197">
        <v>0</v>
      </c>
      <c r="GO197">
        <v>23.775099999999998</v>
      </c>
      <c r="GP197">
        <v>800</v>
      </c>
      <c r="GQ197">
        <v>0</v>
      </c>
      <c r="GR197">
        <v>99.754599999999996</v>
      </c>
      <c r="GS197">
        <v>99.575500000000005</v>
      </c>
    </row>
    <row r="198" spans="1:201" x14ac:dyDescent="0.25">
      <c r="A198">
        <v>182</v>
      </c>
      <c r="B198">
        <v>1690294210</v>
      </c>
      <c r="C198">
        <v>1939.400000095367</v>
      </c>
      <c r="D198" t="s">
        <v>697</v>
      </c>
      <c r="E198" t="s">
        <v>698</v>
      </c>
      <c r="F198" t="s">
        <v>330</v>
      </c>
      <c r="H198">
        <v>1690294210</v>
      </c>
      <c r="I198">
        <f t="shared" si="60"/>
        <v>2.7471668912716586E-3</v>
      </c>
      <c r="J198">
        <f t="shared" si="61"/>
        <v>2.7471668912716587</v>
      </c>
      <c r="K198">
        <f t="shared" si="62"/>
        <v>44.218845777409335</v>
      </c>
      <c r="L198">
        <f t="shared" si="63"/>
        <v>348.42200000000003</v>
      </c>
      <c r="M198">
        <f t="shared" si="64"/>
        <v>117.52840406173681</v>
      </c>
      <c r="N198">
        <f t="shared" si="65"/>
        <v>11.687447249568521</v>
      </c>
      <c r="O198">
        <f t="shared" si="66"/>
        <v>34.648336953934006</v>
      </c>
      <c r="P198">
        <f t="shared" si="67"/>
        <v>0.33255591137420598</v>
      </c>
      <c r="Q198">
        <f t="shared" si="68"/>
        <v>2.2539031509081737</v>
      </c>
      <c r="R198">
        <f t="shared" si="69"/>
        <v>0.30750475296642754</v>
      </c>
      <c r="S198">
        <f t="shared" si="70"/>
        <v>0.19428372344683961</v>
      </c>
      <c r="T198">
        <f t="shared" si="71"/>
        <v>276.11318232735397</v>
      </c>
      <c r="U198">
        <f t="shared" si="72"/>
        <v>26.771260411824731</v>
      </c>
      <c r="V198">
        <f t="shared" si="73"/>
        <v>26.771260411824731</v>
      </c>
      <c r="W198">
        <f t="shared" si="74"/>
        <v>3.5313566968921903</v>
      </c>
      <c r="X198">
        <f t="shared" si="75"/>
        <v>81.017723811556522</v>
      </c>
      <c r="Y198">
        <f t="shared" si="76"/>
        <v>2.6706572410320004</v>
      </c>
      <c r="Z198">
        <f t="shared" si="77"/>
        <v>3.2963864144638593</v>
      </c>
      <c r="AA198">
        <f t="shared" si="78"/>
        <v>0.86069945586018992</v>
      </c>
      <c r="AB198">
        <f t="shared" si="79"/>
        <v>-121.15005990508014</v>
      </c>
      <c r="AC198">
        <f t="shared" si="80"/>
        <v>-141.59362034535894</v>
      </c>
      <c r="AD198">
        <f t="shared" si="81"/>
        <v>-13.44796426732497</v>
      </c>
      <c r="AE198">
        <f t="shared" si="82"/>
        <v>-7.8462190410050425E-2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52632.865022718157</v>
      </c>
      <c r="AK198">
        <f t="shared" si="86"/>
        <v>1799.99</v>
      </c>
      <c r="AL198">
        <f t="shared" si="87"/>
        <v>1499.10496039284</v>
      </c>
      <c r="AM198">
        <f t="shared" si="88"/>
        <v>0.83284071599999998</v>
      </c>
      <c r="AN198">
        <f t="shared" si="89"/>
        <v>0.15339706461000002</v>
      </c>
      <c r="AO198">
        <v>30</v>
      </c>
      <c r="AP198">
        <v>0.5</v>
      </c>
      <c r="AQ198" t="s">
        <v>331</v>
      </c>
      <c r="AR198">
        <v>2</v>
      </c>
      <c r="AS198">
        <v>1690294210</v>
      </c>
      <c r="AT198">
        <v>348.42200000000003</v>
      </c>
      <c r="AU198">
        <v>799.98199999999997</v>
      </c>
      <c r="AV198">
        <v>26.856000000000002</v>
      </c>
      <c r="AW198">
        <v>0.13395699999999999</v>
      </c>
      <c r="AX198">
        <v>348.60399999999998</v>
      </c>
      <c r="AY198">
        <v>26.704499999999999</v>
      </c>
      <c r="AZ198">
        <v>300.13299999999998</v>
      </c>
      <c r="BA198">
        <v>99.343500000000006</v>
      </c>
      <c r="BB198">
        <v>0.10009700000000001</v>
      </c>
      <c r="BC198">
        <v>25.606000000000002</v>
      </c>
      <c r="BD198">
        <v>26.986899999999999</v>
      </c>
      <c r="BE198">
        <v>26.627800000000001</v>
      </c>
      <c r="BF198">
        <v>0</v>
      </c>
      <c r="BG198">
        <v>0</v>
      </c>
      <c r="BH198">
        <v>9971.8799999999992</v>
      </c>
      <c r="BI198">
        <v>1062.6500000000001</v>
      </c>
      <c r="BJ198">
        <v>2.2426400000000002</v>
      </c>
      <c r="BK198">
        <v>-451.55900000000003</v>
      </c>
      <c r="BL198">
        <v>358.03800000000001</v>
      </c>
      <c r="BM198">
        <v>800.08900000000006</v>
      </c>
      <c r="BN198">
        <v>26.722000000000001</v>
      </c>
      <c r="BO198">
        <v>799.98199999999997</v>
      </c>
      <c r="BP198">
        <v>0.13395699999999999</v>
      </c>
      <c r="BQ198">
        <v>2.6679599999999999</v>
      </c>
      <c r="BR198">
        <v>1.33078E-2</v>
      </c>
      <c r="BS198">
        <v>22.089099999999998</v>
      </c>
      <c r="BT198">
        <v>-43.274299999999997</v>
      </c>
      <c r="BU198">
        <v>1799.99</v>
      </c>
      <c r="BV198">
        <v>0.91001200000000004</v>
      </c>
      <c r="BW198">
        <v>3.3998399999999998E-2</v>
      </c>
      <c r="BX198">
        <v>2.19963E-2</v>
      </c>
      <c r="BY198">
        <v>3.3993299999999997E-2</v>
      </c>
      <c r="BZ198">
        <v>26</v>
      </c>
      <c r="CA198">
        <v>33528.400000000001</v>
      </c>
      <c r="CB198">
        <v>1690292073.5</v>
      </c>
      <c r="CC198" t="s">
        <v>332</v>
      </c>
      <c r="CD198">
        <v>1690292069.5</v>
      </c>
      <c r="CE198">
        <v>1690292073.5</v>
      </c>
      <c r="CF198">
        <v>4</v>
      </c>
      <c r="CG198">
        <v>-3.6999999999999998E-2</v>
      </c>
      <c r="CH198">
        <v>-1.6E-2</v>
      </c>
      <c r="CI198">
        <v>-0.45200000000000001</v>
      </c>
      <c r="CJ198">
        <v>0.108</v>
      </c>
      <c r="CK198">
        <v>730</v>
      </c>
      <c r="CL198">
        <v>18</v>
      </c>
      <c r="CM198">
        <v>0</v>
      </c>
      <c r="CN198">
        <v>0.01</v>
      </c>
      <c r="CO198">
        <v>-451.13342499999999</v>
      </c>
      <c r="CP198">
        <v>-1.7928292682918301</v>
      </c>
      <c r="CQ198">
        <v>0.17578820886225449</v>
      </c>
      <c r="CR198">
        <v>-1</v>
      </c>
      <c r="CS198">
        <v>26.701309999999999</v>
      </c>
      <c r="CT198">
        <v>8.9520450281340799E-2</v>
      </c>
      <c r="CU198">
        <v>8.7447641477629359E-3</v>
      </c>
      <c r="CV198">
        <v>-1</v>
      </c>
      <c r="CW198">
        <v>0</v>
      </c>
      <c r="CX198">
        <v>0</v>
      </c>
      <c r="CY198" t="s">
        <v>333</v>
      </c>
      <c r="CZ198">
        <v>2.3647900000000002</v>
      </c>
      <c r="DA198">
        <v>2.7138599999999999</v>
      </c>
      <c r="DB198">
        <v>8.0681299999999997E-2</v>
      </c>
      <c r="DC198">
        <v>0.14643500000000001</v>
      </c>
      <c r="DD198">
        <v>0.123766</v>
      </c>
      <c r="DE198">
        <v>1.1333000000000001E-3</v>
      </c>
      <c r="DF198">
        <v>33574.9</v>
      </c>
      <c r="DG198">
        <v>27513.1</v>
      </c>
      <c r="DH198">
        <v>31177.5</v>
      </c>
      <c r="DI198">
        <v>28086.5</v>
      </c>
      <c r="DJ198">
        <v>37077.300000000003</v>
      </c>
      <c r="DK198">
        <v>39895.5</v>
      </c>
      <c r="DL198">
        <v>44369.1</v>
      </c>
      <c r="DM198">
        <v>42563.4</v>
      </c>
      <c r="DN198">
        <v>1.4899500000000001</v>
      </c>
      <c r="DO198">
        <v>2.03783</v>
      </c>
      <c r="DP198">
        <v>0.123739</v>
      </c>
      <c r="DQ198">
        <v>0.123866</v>
      </c>
      <c r="DR198">
        <v>24.959900000000001</v>
      </c>
      <c r="DS198">
        <v>24.5975</v>
      </c>
      <c r="DT198">
        <v>21.4</v>
      </c>
      <c r="DU198">
        <v>28.9</v>
      </c>
      <c r="DV198">
        <v>8.6132500000000007</v>
      </c>
      <c r="DW198">
        <v>61.863399999999999</v>
      </c>
      <c r="DX198">
        <v>35.584899999999998</v>
      </c>
      <c r="DY198">
        <v>1</v>
      </c>
      <c r="DZ198">
        <v>-0.11157300000000001</v>
      </c>
      <c r="EA198">
        <v>0.24676500000000001</v>
      </c>
      <c r="EB198">
        <v>20.190200000000001</v>
      </c>
      <c r="EC198">
        <v>5.24125</v>
      </c>
      <c r="ED198">
        <v>12.039899999999999</v>
      </c>
      <c r="EE198">
        <v>5.0168999999999997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1.8689100000000001</v>
      </c>
      <c r="EL198">
        <v>1.8646199999999999</v>
      </c>
      <c r="EM198">
        <v>1.8692</v>
      </c>
      <c r="EN198">
        <v>1.8672200000000001</v>
      </c>
      <c r="EO198">
        <v>1.86338</v>
      </c>
      <c r="EP198">
        <v>1.8644700000000001</v>
      </c>
      <c r="EQ198">
        <v>1.8701700000000001</v>
      </c>
      <c r="ER198">
        <v>1.86944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-0.182</v>
      </c>
      <c r="FG198">
        <v>0.1515</v>
      </c>
      <c r="FH198">
        <v>5.0310448532705943E-2</v>
      </c>
      <c r="FI198">
        <v>-6.1462078757559423E-4</v>
      </c>
      <c r="FJ198">
        <v>-1.8861989874597051E-7</v>
      </c>
      <c r="FK198">
        <v>1.1980462299894961E-10</v>
      </c>
      <c r="FL198">
        <v>0.15140825623214971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35.700000000000003</v>
      </c>
      <c r="FU198">
        <v>35.6</v>
      </c>
      <c r="FV198">
        <v>1.7663599999999999</v>
      </c>
      <c r="FW198">
        <v>2.5854499999999998</v>
      </c>
      <c r="FX198">
        <v>1.5490699999999999</v>
      </c>
      <c r="FY198">
        <v>2.3327599999999999</v>
      </c>
      <c r="FZ198">
        <v>1.50146</v>
      </c>
      <c r="GA198">
        <v>2.3107899999999999</v>
      </c>
      <c r="GB198">
        <v>33.244</v>
      </c>
      <c r="GC198">
        <v>23.982399999999998</v>
      </c>
      <c r="GD198">
        <v>19</v>
      </c>
      <c r="GE198">
        <v>287.63</v>
      </c>
      <c r="GF198">
        <v>581.39200000000005</v>
      </c>
      <c r="GG198">
        <v>23.781600000000001</v>
      </c>
      <c r="GH198">
        <v>25.967700000000001</v>
      </c>
      <c r="GI198">
        <v>29.9999</v>
      </c>
      <c r="GJ198">
        <v>26.095700000000001</v>
      </c>
      <c r="GK198">
        <v>26.0764</v>
      </c>
      <c r="GL198">
        <v>35.307400000000001</v>
      </c>
      <c r="GM198">
        <v>100</v>
      </c>
      <c r="GN198">
        <v>0</v>
      </c>
      <c r="GO198">
        <v>23.787500000000001</v>
      </c>
      <c r="GP198">
        <v>800</v>
      </c>
      <c r="GQ198">
        <v>0</v>
      </c>
      <c r="GR198">
        <v>99.755399999999995</v>
      </c>
      <c r="GS198">
        <v>99.576099999999997</v>
      </c>
    </row>
    <row r="199" spans="1:201" x14ac:dyDescent="0.25">
      <c r="A199">
        <v>183</v>
      </c>
      <c r="B199">
        <v>1690294220</v>
      </c>
      <c r="C199">
        <v>1949.400000095367</v>
      </c>
      <c r="D199" t="s">
        <v>699</v>
      </c>
      <c r="E199" t="s">
        <v>700</v>
      </c>
      <c r="F199" t="s">
        <v>330</v>
      </c>
      <c r="H199">
        <v>1690294220</v>
      </c>
      <c r="I199">
        <f t="shared" si="60"/>
        <v>2.7509983161602396E-3</v>
      </c>
      <c r="J199">
        <f t="shared" si="61"/>
        <v>2.7509983161602398</v>
      </c>
      <c r="K199">
        <f t="shared" si="62"/>
        <v>44.261793011422455</v>
      </c>
      <c r="L199">
        <f t="shared" si="63"/>
        <v>348.26499999999999</v>
      </c>
      <c r="M199">
        <f t="shared" si="64"/>
        <v>118.17945494544998</v>
      </c>
      <c r="N199">
        <f t="shared" si="65"/>
        <v>11.752385560093463</v>
      </c>
      <c r="O199">
        <f t="shared" si="66"/>
        <v>34.633300339515003</v>
      </c>
      <c r="P199">
        <f t="shared" si="67"/>
        <v>0.33408956543323159</v>
      </c>
      <c r="Q199">
        <f t="shared" si="68"/>
        <v>2.2606981154418988</v>
      </c>
      <c r="R199">
        <f t="shared" si="69"/>
        <v>0.30888604708954098</v>
      </c>
      <c r="S199">
        <f t="shared" si="70"/>
        <v>0.19515953058174557</v>
      </c>
      <c r="T199">
        <f t="shared" si="71"/>
        <v>276.11321980314574</v>
      </c>
      <c r="U199">
        <f t="shared" si="72"/>
        <v>26.769689645140922</v>
      </c>
      <c r="V199">
        <f t="shared" si="73"/>
        <v>26.769689645140922</v>
      </c>
      <c r="W199">
        <f t="shared" si="74"/>
        <v>3.5310303677951111</v>
      </c>
      <c r="X199">
        <f t="shared" si="75"/>
        <v>81.074201224607549</v>
      </c>
      <c r="Y199">
        <f t="shared" si="76"/>
        <v>2.6729789571039002</v>
      </c>
      <c r="Z199">
        <f t="shared" si="77"/>
        <v>3.2969537987783473</v>
      </c>
      <c r="AA199">
        <f t="shared" si="78"/>
        <v>0.85805141069121094</v>
      </c>
      <c r="AB199">
        <f t="shared" si="79"/>
        <v>-121.31902574266657</v>
      </c>
      <c r="AC199">
        <f t="shared" si="80"/>
        <v>-141.47559885574489</v>
      </c>
      <c r="AD199">
        <f t="shared" si="81"/>
        <v>-13.396457210460781</v>
      </c>
      <c r="AE199">
        <f t="shared" si="82"/>
        <v>-7.7862005726473171E-2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52899.117724218995</v>
      </c>
      <c r="AK199">
        <f t="shared" si="86"/>
        <v>1799.99</v>
      </c>
      <c r="AL199">
        <f t="shared" si="87"/>
        <v>1499.1057919882201</v>
      </c>
      <c r="AM199">
        <f t="shared" si="88"/>
        <v>0.83284117800000002</v>
      </c>
      <c r="AN199">
        <f t="shared" si="89"/>
        <v>0.15339708543000002</v>
      </c>
      <c r="AO199">
        <v>30</v>
      </c>
      <c r="AP199">
        <v>0.5</v>
      </c>
      <c r="AQ199" t="s">
        <v>331</v>
      </c>
      <c r="AR199">
        <v>2</v>
      </c>
      <c r="AS199">
        <v>1690294220</v>
      </c>
      <c r="AT199">
        <v>348.26499999999999</v>
      </c>
      <c r="AU199">
        <v>800.03</v>
      </c>
      <c r="AV199">
        <v>26.878900000000002</v>
      </c>
      <c r="AW199">
        <v>0.13403000000000001</v>
      </c>
      <c r="AX199">
        <v>348.44600000000003</v>
      </c>
      <c r="AY199">
        <v>26.727499999999999</v>
      </c>
      <c r="AZ199">
        <v>300.28800000000001</v>
      </c>
      <c r="BA199">
        <v>99.345200000000006</v>
      </c>
      <c r="BB199">
        <v>0.100051</v>
      </c>
      <c r="BC199">
        <v>25.608899999999998</v>
      </c>
      <c r="BD199">
        <v>27.017099999999999</v>
      </c>
      <c r="BE199">
        <v>26.6265</v>
      </c>
      <c r="BF199">
        <v>0</v>
      </c>
      <c r="BG199">
        <v>0</v>
      </c>
      <c r="BH199">
        <v>10024.4</v>
      </c>
      <c r="BI199">
        <v>1062.55</v>
      </c>
      <c r="BJ199">
        <v>2.2426400000000002</v>
      </c>
      <c r="BK199">
        <v>-451.76499999999999</v>
      </c>
      <c r="BL199">
        <v>357.88400000000001</v>
      </c>
      <c r="BM199">
        <v>800.13699999999994</v>
      </c>
      <c r="BN199">
        <v>26.744900000000001</v>
      </c>
      <c r="BO199">
        <v>800.03</v>
      </c>
      <c r="BP199">
        <v>0.13403000000000001</v>
      </c>
      <c r="BQ199">
        <v>2.6702900000000001</v>
      </c>
      <c r="BR199">
        <v>1.33153E-2</v>
      </c>
      <c r="BS199">
        <v>22.103400000000001</v>
      </c>
      <c r="BT199">
        <v>-43.269100000000002</v>
      </c>
      <c r="BU199">
        <v>1799.99</v>
      </c>
      <c r="BV199">
        <v>0.91001399999999999</v>
      </c>
      <c r="BW199">
        <v>3.3997800000000002E-2</v>
      </c>
      <c r="BX199">
        <v>2.1995899999999999E-2</v>
      </c>
      <c r="BY199">
        <v>3.3992700000000001E-2</v>
      </c>
      <c r="BZ199">
        <v>26</v>
      </c>
      <c r="CA199">
        <v>33528.300000000003</v>
      </c>
      <c r="CB199">
        <v>1690292073.5</v>
      </c>
      <c r="CC199" t="s">
        <v>332</v>
      </c>
      <c r="CD199">
        <v>1690292069.5</v>
      </c>
      <c r="CE199">
        <v>1690292073.5</v>
      </c>
      <c r="CF199">
        <v>4</v>
      </c>
      <c r="CG199">
        <v>-3.6999999999999998E-2</v>
      </c>
      <c r="CH199">
        <v>-1.6E-2</v>
      </c>
      <c r="CI199">
        <v>-0.45200000000000001</v>
      </c>
      <c r="CJ199">
        <v>0.108</v>
      </c>
      <c r="CK199">
        <v>730</v>
      </c>
      <c r="CL199">
        <v>18</v>
      </c>
      <c r="CM199">
        <v>0</v>
      </c>
      <c r="CN199">
        <v>0.01</v>
      </c>
      <c r="CO199">
        <v>-451.48227500000002</v>
      </c>
      <c r="CP199">
        <v>-2.0775647279539302</v>
      </c>
      <c r="CQ199">
        <v>0.21116367910935649</v>
      </c>
      <c r="CR199">
        <v>-1</v>
      </c>
      <c r="CS199">
        <v>26.720289999999999</v>
      </c>
      <c r="CT199">
        <v>0.1350416510318419</v>
      </c>
      <c r="CU199">
        <v>1.301658173254411E-2</v>
      </c>
      <c r="CV199">
        <v>-1</v>
      </c>
      <c r="CW199">
        <v>0</v>
      </c>
      <c r="CX199">
        <v>0</v>
      </c>
      <c r="CY199" t="s">
        <v>333</v>
      </c>
      <c r="CZ199">
        <v>2.3652899999999999</v>
      </c>
      <c r="DA199">
        <v>2.71387</v>
      </c>
      <c r="DB199">
        <v>8.0653699999999995E-2</v>
      </c>
      <c r="DC199">
        <v>0.14644299999999999</v>
      </c>
      <c r="DD199">
        <v>0.12384199999999999</v>
      </c>
      <c r="DE199">
        <v>1.1339200000000001E-3</v>
      </c>
      <c r="DF199">
        <v>33576.6</v>
      </c>
      <c r="DG199">
        <v>27513.1</v>
      </c>
      <c r="DH199">
        <v>31178.1</v>
      </c>
      <c r="DI199">
        <v>28086.7</v>
      </c>
      <c r="DJ199">
        <v>37074.800000000003</v>
      </c>
      <c r="DK199">
        <v>39895.800000000003</v>
      </c>
      <c r="DL199">
        <v>44370</v>
      </c>
      <c r="DM199">
        <v>42563.8</v>
      </c>
      <c r="DN199">
        <v>1.49047</v>
      </c>
      <c r="DO199">
        <v>2.03775</v>
      </c>
      <c r="DP199">
        <v>0.12543099999999999</v>
      </c>
      <c r="DQ199">
        <v>0.123505</v>
      </c>
      <c r="DR199">
        <v>24.962499999999999</v>
      </c>
      <c r="DS199">
        <v>24.6022</v>
      </c>
      <c r="DT199">
        <v>21.4</v>
      </c>
      <c r="DU199">
        <v>28.9</v>
      </c>
      <c r="DV199">
        <v>8.6128999999999998</v>
      </c>
      <c r="DW199">
        <v>61.163400000000003</v>
      </c>
      <c r="DX199">
        <v>35.012</v>
      </c>
      <c r="DY199">
        <v>1</v>
      </c>
      <c r="DZ199">
        <v>-0.11178100000000001</v>
      </c>
      <c r="EA199">
        <v>0.22040000000000001</v>
      </c>
      <c r="EB199">
        <v>20.190100000000001</v>
      </c>
      <c r="EC199">
        <v>5.2413999999999996</v>
      </c>
      <c r="ED199">
        <v>12.039899999999999</v>
      </c>
      <c r="EE199">
        <v>5.0170000000000003</v>
      </c>
      <c r="EF199">
        <v>3.2879700000000001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1.8646199999999999</v>
      </c>
      <c r="EM199">
        <v>1.8692</v>
      </c>
      <c r="EN199">
        <v>1.86724</v>
      </c>
      <c r="EO199">
        <v>1.86338</v>
      </c>
      <c r="EP199">
        <v>1.8644700000000001</v>
      </c>
      <c r="EQ199">
        <v>1.87019</v>
      </c>
      <c r="ER199">
        <v>1.8694200000000001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-0.18099999999999999</v>
      </c>
      <c r="FG199">
        <v>0.15140000000000001</v>
      </c>
      <c r="FH199">
        <v>5.0310448532705943E-2</v>
      </c>
      <c r="FI199">
        <v>-6.1462078757559423E-4</v>
      </c>
      <c r="FJ199">
        <v>-1.8861989874597051E-7</v>
      </c>
      <c r="FK199">
        <v>1.1980462299894961E-10</v>
      </c>
      <c r="FL199">
        <v>0.15140825623214971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35.799999999999997</v>
      </c>
      <c r="FU199">
        <v>35.799999999999997</v>
      </c>
      <c r="FV199">
        <v>1.7663599999999999</v>
      </c>
      <c r="FW199">
        <v>2.5805699999999998</v>
      </c>
      <c r="FX199">
        <v>1.5490699999999999</v>
      </c>
      <c r="FY199">
        <v>2.3339799999999999</v>
      </c>
      <c r="FZ199">
        <v>1.50146</v>
      </c>
      <c r="GA199">
        <v>2.3144499999999999</v>
      </c>
      <c r="GB199">
        <v>33.244</v>
      </c>
      <c r="GC199">
        <v>23.991199999999999</v>
      </c>
      <c r="GD199">
        <v>19</v>
      </c>
      <c r="GE199">
        <v>287.863</v>
      </c>
      <c r="GF199">
        <v>581.33500000000004</v>
      </c>
      <c r="GG199">
        <v>23.799600000000002</v>
      </c>
      <c r="GH199">
        <v>25.969100000000001</v>
      </c>
      <c r="GI199">
        <v>30</v>
      </c>
      <c r="GJ199">
        <v>26.097300000000001</v>
      </c>
      <c r="GK199">
        <v>26.076799999999999</v>
      </c>
      <c r="GL199">
        <v>35.304400000000001</v>
      </c>
      <c r="GM199">
        <v>100</v>
      </c>
      <c r="GN199">
        <v>0</v>
      </c>
      <c r="GO199">
        <v>23.807300000000001</v>
      </c>
      <c r="GP199">
        <v>800</v>
      </c>
      <c r="GQ199">
        <v>0</v>
      </c>
      <c r="GR199">
        <v>99.757499999999993</v>
      </c>
      <c r="GS199">
        <v>99.577100000000002</v>
      </c>
    </row>
    <row r="200" spans="1:201" x14ac:dyDescent="0.25">
      <c r="A200">
        <v>184</v>
      </c>
      <c r="B200">
        <v>1690294230</v>
      </c>
      <c r="C200">
        <v>1959.400000095367</v>
      </c>
      <c r="D200" t="s">
        <v>701</v>
      </c>
      <c r="E200" t="s">
        <v>702</v>
      </c>
      <c r="F200" t="s">
        <v>330</v>
      </c>
      <c r="H200">
        <v>1690294230</v>
      </c>
      <c r="I200">
        <f t="shared" si="60"/>
        <v>2.753372457252109E-3</v>
      </c>
      <c r="J200">
        <f t="shared" si="61"/>
        <v>2.7533724572521092</v>
      </c>
      <c r="K200">
        <f t="shared" si="62"/>
        <v>44.29086105254612</v>
      </c>
      <c r="L200">
        <f t="shared" si="63"/>
        <v>347.82100000000003</v>
      </c>
      <c r="M200">
        <f t="shared" si="64"/>
        <v>118.21056860079585</v>
      </c>
      <c r="N200">
        <f t="shared" si="65"/>
        <v>11.755279664897847</v>
      </c>
      <c r="O200">
        <f t="shared" si="66"/>
        <v>34.588558169721104</v>
      </c>
      <c r="P200">
        <f t="shared" si="67"/>
        <v>0.33507766544393436</v>
      </c>
      <c r="Q200">
        <f t="shared" si="68"/>
        <v>2.2590680535635261</v>
      </c>
      <c r="R200">
        <f t="shared" si="69"/>
        <v>0.30971409567945685</v>
      </c>
      <c r="S200">
        <f t="shared" si="70"/>
        <v>0.19568989100945333</v>
      </c>
      <c r="T200">
        <f t="shared" si="71"/>
        <v>276.11458878599996</v>
      </c>
      <c r="U200">
        <f t="shared" si="72"/>
        <v>26.776273108903631</v>
      </c>
      <c r="V200">
        <f t="shared" si="73"/>
        <v>26.776273108903631</v>
      </c>
      <c r="W200">
        <f t="shared" si="74"/>
        <v>3.5323982681971042</v>
      </c>
      <c r="X200">
        <f t="shared" si="75"/>
        <v>81.13212776450564</v>
      </c>
      <c r="Y200">
        <f t="shared" si="76"/>
        <v>2.6759366761778103</v>
      </c>
      <c r="Z200">
        <f t="shared" si="77"/>
        <v>3.2982454052542445</v>
      </c>
      <c r="AA200">
        <f t="shared" si="78"/>
        <v>0.85646159201929395</v>
      </c>
      <c r="AB200">
        <f t="shared" si="79"/>
        <v>-121.42372536481801</v>
      </c>
      <c r="AC200">
        <f t="shared" si="80"/>
        <v>-141.37157481962669</v>
      </c>
      <c r="AD200">
        <f t="shared" si="81"/>
        <v>-13.397151823401854</v>
      </c>
      <c r="AE200">
        <f t="shared" si="82"/>
        <v>-7.7863221846570241E-2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52833.859317979099</v>
      </c>
      <c r="AK200">
        <f t="shared" si="86"/>
        <v>1800</v>
      </c>
      <c r="AL200">
        <f t="shared" si="87"/>
        <v>1499.1137225999998</v>
      </c>
      <c r="AM200">
        <f t="shared" si="88"/>
        <v>0.83284095699999994</v>
      </c>
      <c r="AN200">
        <f t="shared" si="89"/>
        <v>0.15339699376999999</v>
      </c>
      <c r="AO200">
        <v>30</v>
      </c>
      <c r="AP200">
        <v>0.5</v>
      </c>
      <c r="AQ200" t="s">
        <v>331</v>
      </c>
      <c r="AR200">
        <v>2</v>
      </c>
      <c r="AS200">
        <v>1690294230</v>
      </c>
      <c r="AT200">
        <v>347.82100000000003</v>
      </c>
      <c r="AU200">
        <v>800.01400000000001</v>
      </c>
      <c r="AV200">
        <v>26.909099999999999</v>
      </c>
      <c r="AW200">
        <v>0.13359799999999999</v>
      </c>
      <c r="AX200">
        <v>348.00200000000001</v>
      </c>
      <c r="AY200">
        <v>26.7577</v>
      </c>
      <c r="AZ200">
        <v>300.19400000000002</v>
      </c>
      <c r="BA200">
        <v>99.343599999999995</v>
      </c>
      <c r="BB200">
        <v>9.9959099999999995E-2</v>
      </c>
      <c r="BC200">
        <v>25.615500000000001</v>
      </c>
      <c r="BD200">
        <v>27.0061</v>
      </c>
      <c r="BE200">
        <v>26.647099999999998</v>
      </c>
      <c r="BF200">
        <v>0</v>
      </c>
      <c r="BG200">
        <v>0</v>
      </c>
      <c r="BH200">
        <v>10011.9</v>
      </c>
      <c r="BI200">
        <v>1062.57</v>
      </c>
      <c r="BJ200">
        <v>2.2426400000000002</v>
      </c>
      <c r="BK200">
        <v>-452.19299999999998</v>
      </c>
      <c r="BL200">
        <v>357.43900000000002</v>
      </c>
      <c r="BM200">
        <v>800.12099999999998</v>
      </c>
      <c r="BN200">
        <v>26.775500000000001</v>
      </c>
      <c r="BO200">
        <v>800.01400000000001</v>
      </c>
      <c r="BP200">
        <v>0.13359799999999999</v>
      </c>
      <c r="BQ200">
        <v>2.6732499999999999</v>
      </c>
      <c r="BR200">
        <v>1.32721E-2</v>
      </c>
      <c r="BS200">
        <v>22.121600000000001</v>
      </c>
      <c r="BT200">
        <v>-43.299199999999999</v>
      </c>
      <c r="BU200">
        <v>1800</v>
      </c>
      <c r="BV200">
        <v>0.91001500000000002</v>
      </c>
      <c r="BW200">
        <v>3.3997300000000001E-2</v>
      </c>
      <c r="BX200">
        <v>2.1995600000000001E-2</v>
      </c>
      <c r="BY200">
        <v>3.3992099999999997E-2</v>
      </c>
      <c r="BZ200">
        <v>26</v>
      </c>
      <c r="CA200">
        <v>33528.5</v>
      </c>
      <c r="CB200">
        <v>1690292073.5</v>
      </c>
      <c r="CC200" t="s">
        <v>332</v>
      </c>
      <c r="CD200">
        <v>1690292069.5</v>
      </c>
      <c r="CE200">
        <v>1690292073.5</v>
      </c>
      <c r="CF200">
        <v>4</v>
      </c>
      <c r="CG200">
        <v>-3.6999999999999998E-2</v>
      </c>
      <c r="CH200">
        <v>-1.6E-2</v>
      </c>
      <c r="CI200">
        <v>-0.45200000000000001</v>
      </c>
      <c r="CJ200">
        <v>0.108</v>
      </c>
      <c r="CK200">
        <v>730</v>
      </c>
      <c r="CL200">
        <v>18</v>
      </c>
      <c r="CM200">
        <v>0</v>
      </c>
      <c r="CN200">
        <v>0.01</v>
      </c>
      <c r="CO200">
        <v>-451.84285365853663</v>
      </c>
      <c r="CP200">
        <v>-1.8587874564462299</v>
      </c>
      <c r="CQ200">
        <v>0.1933547934372237</v>
      </c>
      <c r="CR200">
        <v>-1</v>
      </c>
      <c r="CS200">
        <v>26.74544634146342</v>
      </c>
      <c r="CT200">
        <v>0.1598905923345679</v>
      </c>
      <c r="CU200">
        <v>1.5843227337533392E-2</v>
      </c>
      <c r="CV200">
        <v>-1</v>
      </c>
      <c r="CW200">
        <v>0</v>
      </c>
      <c r="CX200">
        <v>0</v>
      </c>
      <c r="CY200" t="s">
        <v>333</v>
      </c>
      <c r="CZ200">
        <v>2.3650000000000002</v>
      </c>
      <c r="DA200">
        <v>2.7137600000000002</v>
      </c>
      <c r="DB200">
        <v>8.0571500000000004E-2</v>
      </c>
      <c r="DC200">
        <v>0.14643800000000001</v>
      </c>
      <c r="DD200">
        <v>0.123936</v>
      </c>
      <c r="DE200">
        <v>1.1302700000000001E-3</v>
      </c>
      <c r="DF200">
        <v>33578.9</v>
      </c>
      <c r="DG200">
        <v>27512.799999999999</v>
      </c>
      <c r="DH200">
        <v>31177.4</v>
      </c>
      <c r="DI200">
        <v>28086.3</v>
      </c>
      <c r="DJ200">
        <v>37069.9</v>
      </c>
      <c r="DK200">
        <v>39895.5</v>
      </c>
      <c r="DL200">
        <v>44369</v>
      </c>
      <c r="DM200">
        <v>42563.3</v>
      </c>
      <c r="DN200">
        <v>1.49003</v>
      </c>
      <c r="DO200">
        <v>2.0376500000000002</v>
      </c>
      <c r="DP200">
        <v>0.12468899999999999</v>
      </c>
      <c r="DQ200">
        <v>0.124544</v>
      </c>
      <c r="DR200">
        <v>24.9636</v>
      </c>
      <c r="DS200">
        <v>24.605699999999999</v>
      </c>
      <c r="DT200">
        <v>21.4</v>
      </c>
      <c r="DU200">
        <v>28.9</v>
      </c>
      <c r="DV200">
        <v>8.6138600000000007</v>
      </c>
      <c r="DW200">
        <v>61.423400000000001</v>
      </c>
      <c r="DX200">
        <v>35.248399999999997</v>
      </c>
      <c r="DY200">
        <v>1</v>
      </c>
      <c r="DZ200">
        <v>-0.111308</v>
      </c>
      <c r="EA200">
        <v>0.358265</v>
      </c>
      <c r="EB200">
        <v>20.189699999999998</v>
      </c>
      <c r="EC200">
        <v>5.2416999999999998</v>
      </c>
      <c r="ED200">
        <v>12.039899999999999</v>
      </c>
      <c r="EE200">
        <v>5.0167000000000002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1.8646199999999999</v>
      </c>
      <c r="EM200">
        <v>1.8692</v>
      </c>
      <c r="EN200">
        <v>1.8672299999999999</v>
      </c>
      <c r="EO200">
        <v>1.86338</v>
      </c>
      <c r="EP200">
        <v>1.8644700000000001</v>
      </c>
      <c r="EQ200">
        <v>1.87016</v>
      </c>
      <c r="ER200">
        <v>1.8694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-0.18099999999999999</v>
      </c>
      <c r="FG200">
        <v>0.15140000000000001</v>
      </c>
      <c r="FH200">
        <v>5.0310448532705943E-2</v>
      </c>
      <c r="FI200">
        <v>-6.1462078757559423E-4</v>
      </c>
      <c r="FJ200">
        <v>-1.8861989874597051E-7</v>
      </c>
      <c r="FK200">
        <v>1.1980462299894961E-10</v>
      </c>
      <c r="FL200">
        <v>0.15140825623214971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36</v>
      </c>
      <c r="FU200">
        <v>35.9</v>
      </c>
      <c r="FV200">
        <v>1.7663599999999999</v>
      </c>
      <c r="FW200">
        <v>2.5805699999999998</v>
      </c>
      <c r="FX200">
        <v>1.5490699999999999</v>
      </c>
      <c r="FY200">
        <v>2.3327599999999999</v>
      </c>
      <c r="FZ200">
        <v>1.50146</v>
      </c>
      <c r="GA200">
        <v>2.3815900000000001</v>
      </c>
      <c r="GB200">
        <v>33.244</v>
      </c>
      <c r="GC200">
        <v>23.991199999999999</v>
      </c>
      <c r="GD200">
        <v>19</v>
      </c>
      <c r="GE200">
        <v>287.67200000000003</v>
      </c>
      <c r="GF200">
        <v>581.27200000000005</v>
      </c>
      <c r="GG200">
        <v>23.794799999999999</v>
      </c>
      <c r="GH200">
        <v>25.971299999999999</v>
      </c>
      <c r="GI200">
        <v>30.0002</v>
      </c>
      <c r="GJ200">
        <v>26.097899999999999</v>
      </c>
      <c r="GK200">
        <v>26.078499999999998</v>
      </c>
      <c r="GL200">
        <v>35.304600000000001</v>
      </c>
      <c r="GM200">
        <v>100</v>
      </c>
      <c r="GN200">
        <v>0</v>
      </c>
      <c r="GO200">
        <v>23.770800000000001</v>
      </c>
      <c r="GP200">
        <v>800</v>
      </c>
      <c r="GQ200">
        <v>0</v>
      </c>
      <c r="GR200">
        <v>99.755200000000002</v>
      </c>
      <c r="GS200">
        <v>99.575800000000001</v>
      </c>
    </row>
    <row r="201" spans="1:201" x14ac:dyDescent="0.25">
      <c r="A201">
        <v>185</v>
      </c>
      <c r="B201">
        <v>1690294240</v>
      </c>
      <c r="C201">
        <v>1969.400000095367</v>
      </c>
      <c r="D201" t="s">
        <v>703</v>
      </c>
      <c r="E201" t="s">
        <v>704</v>
      </c>
      <c r="F201" t="s">
        <v>330</v>
      </c>
      <c r="H201">
        <v>1690294240</v>
      </c>
      <c r="I201">
        <f t="shared" si="60"/>
        <v>2.7536673758791416E-3</v>
      </c>
      <c r="J201">
        <f t="shared" si="61"/>
        <v>2.7536673758791417</v>
      </c>
      <c r="K201">
        <f t="shared" si="62"/>
        <v>44.315971220918165</v>
      </c>
      <c r="L201">
        <f t="shared" si="63"/>
        <v>347.44900000000001</v>
      </c>
      <c r="M201">
        <f t="shared" si="64"/>
        <v>118.15429401807508</v>
      </c>
      <c r="N201">
        <f t="shared" si="65"/>
        <v>11.74966743930581</v>
      </c>
      <c r="O201">
        <f t="shared" si="66"/>
        <v>34.551517877926997</v>
      </c>
      <c r="P201">
        <f t="shared" si="67"/>
        <v>0.33582753608604654</v>
      </c>
      <c r="Q201">
        <f t="shared" si="68"/>
        <v>2.2533356750346765</v>
      </c>
      <c r="R201">
        <f t="shared" si="69"/>
        <v>0.31029541621012857</v>
      </c>
      <c r="S201">
        <f t="shared" si="70"/>
        <v>0.19606658308492211</v>
      </c>
      <c r="T201">
        <f t="shared" si="71"/>
        <v>276.1130129842947</v>
      </c>
      <c r="U201">
        <f t="shared" si="72"/>
        <v>26.774266179370557</v>
      </c>
      <c r="V201">
        <f t="shared" si="73"/>
        <v>26.774266179370557</v>
      </c>
      <c r="W201">
        <f t="shared" si="74"/>
        <v>3.5319812229342542</v>
      </c>
      <c r="X201">
        <f t="shared" si="75"/>
        <v>81.187643867347091</v>
      </c>
      <c r="Y201">
        <f t="shared" si="76"/>
        <v>2.6770368358445999</v>
      </c>
      <c r="Z201">
        <f t="shared" si="77"/>
        <v>3.2973451480112224</v>
      </c>
      <c r="AA201">
        <f t="shared" si="78"/>
        <v>0.85494438708965426</v>
      </c>
      <c r="AB201">
        <f t="shared" si="79"/>
        <v>-121.43673127627015</v>
      </c>
      <c r="AC201">
        <f t="shared" si="80"/>
        <v>-141.32785581831183</v>
      </c>
      <c r="AD201">
        <f t="shared" si="81"/>
        <v>-13.426635426040853</v>
      </c>
      <c r="AE201">
        <f t="shared" si="82"/>
        <v>-7.8209536328131435E-2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52609.758362024288</v>
      </c>
      <c r="AK201">
        <f t="shared" si="86"/>
        <v>1799.99</v>
      </c>
      <c r="AL201">
        <f t="shared" si="87"/>
        <v>1499.10622398582</v>
      </c>
      <c r="AM201">
        <f t="shared" si="88"/>
        <v>0.832841418</v>
      </c>
      <c r="AN201">
        <f t="shared" si="89"/>
        <v>0.15339697053000001</v>
      </c>
      <c r="AO201">
        <v>30</v>
      </c>
      <c r="AP201">
        <v>0.5</v>
      </c>
      <c r="AQ201" t="s">
        <v>331</v>
      </c>
      <c r="AR201">
        <v>2</v>
      </c>
      <c r="AS201">
        <v>1690294240</v>
      </c>
      <c r="AT201">
        <v>347.44900000000001</v>
      </c>
      <c r="AU201">
        <v>800.03599999999994</v>
      </c>
      <c r="AV201">
        <v>26.920200000000001</v>
      </c>
      <c r="AW201">
        <v>0.13312299999999999</v>
      </c>
      <c r="AX201">
        <v>347.63099999999997</v>
      </c>
      <c r="AY201">
        <v>26.768699999999999</v>
      </c>
      <c r="AZ201">
        <v>300.09300000000002</v>
      </c>
      <c r="BA201">
        <v>99.343400000000003</v>
      </c>
      <c r="BB201">
        <v>0.100023</v>
      </c>
      <c r="BC201">
        <v>25.610900000000001</v>
      </c>
      <c r="BD201">
        <v>26.991399999999999</v>
      </c>
      <c r="BE201">
        <v>26.624300000000002</v>
      </c>
      <c r="BF201">
        <v>0</v>
      </c>
      <c r="BG201">
        <v>0</v>
      </c>
      <c r="BH201">
        <v>9967.5</v>
      </c>
      <c r="BI201">
        <v>1062.53</v>
      </c>
      <c r="BJ201">
        <v>2.2426400000000002</v>
      </c>
      <c r="BK201">
        <v>-452.58600000000001</v>
      </c>
      <c r="BL201">
        <v>357.06200000000001</v>
      </c>
      <c r="BM201">
        <v>800.14200000000005</v>
      </c>
      <c r="BN201">
        <v>26.786999999999999</v>
      </c>
      <c r="BO201">
        <v>800.03599999999994</v>
      </c>
      <c r="BP201">
        <v>0.13312299999999999</v>
      </c>
      <c r="BQ201">
        <v>2.6743399999999999</v>
      </c>
      <c r="BR201">
        <v>1.32249E-2</v>
      </c>
      <c r="BS201">
        <v>22.128299999999999</v>
      </c>
      <c r="BT201">
        <v>-43.3322</v>
      </c>
      <c r="BU201">
        <v>1799.99</v>
      </c>
      <c r="BV201">
        <v>0.91001799999999999</v>
      </c>
      <c r="BW201">
        <v>3.39963E-2</v>
      </c>
      <c r="BX201">
        <v>2.1994900000000001E-2</v>
      </c>
      <c r="BY201">
        <v>3.3991100000000003E-2</v>
      </c>
      <c r="BZ201">
        <v>26</v>
      </c>
      <c r="CA201">
        <v>33528.400000000001</v>
      </c>
      <c r="CB201">
        <v>1690292073.5</v>
      </c>
      <c r="CC201" t="s">
        <v>332</v>
      </c>
      <c r="CD201">
        <v>1690292069.5</v>
      </c>
      <c r="CE201">
        <v>1690292073.5</v>
      </c>
      <c r="CF201">
        <v>4</v>
      </c>
      <c r="CG201">
        <v>-3.6999999999999998E-2</v>
      </c>
      <c r="CH201">
        <v>-1.6E-2</v>
      </c>
      <c r="CI201">
        <v>-0.45200000000000001</v>
      </c>
      <c r="CJ201">
        <v>0.108</v>
      </c>
      <c r="CK201">
        <v>730</v>
      </c>
      <c r="CL201">
        <v>18</v>
      </c>
      <c r="CM201">
        <v>0</v>
      </c>
      <c r="CN201">
        <v>0.01</v>
      </c>
      <c r="CO201">
        <v>-452.11768292682939</v>
      </c>
      <c r="CP201">
        <v>-2.0993519163760861</v>
      </c>
      <c r="CQ201">
        <v>0.2115173335484217</v>
      </c>
      <c r="CR201">
        <v>-1</v>
      </c>
      <c r="CS201">
        <v>26.767399999999999</v>
      </c>
      <c r="CT201">
        <v>0.1386188153310266</v>
      </c>
      <c r="CU201">
        <v>1.40825614355259E-2</v>
      </c>
      <c r="CV201">
        <v>-1</v>
      </c>
      <c r="CW201">
        <v>0</v>
      </c>
      <c r="CX201">
        <v>0</v>
      </c>
      <c r="CY201" t="s">
        <v>333</v>
      </c>
      <c r="CZ201">
        <v>2.3646500000000001</v>
      </c>
      <c r="DA201">
        <v>2.7137799999999999</v>
      </c>
      <c r="DB201">
        <v>8.05033E-2</v>
      </c>
      <c r="DC201">
        <v>0.14644099999999999</v>
      </c>
      <c r="DD201">
        <v>0.123971</v>
      </c>
      <c r="DE201">
        <v>1.1262900000000001E-3</v>
      </c>
      <c r="DF201">
        <v>33581.199999999997</v>
      </c>
      <c r="DG201">
        <v>27512.2</v>
      </c>
      <c r="DH201">
        <v>31177.200000000001</v>
      </c>
      <c r="DI201">
        <v>28085.8</v>
      </c>
      <c r="DJ201">
        <v>37068.1</v>
      </c>
      <c r="DK201">
        <v>39894.9</v>
      </c>
      <c r="DL201">
        <v>44368.6</v>
      </c>
      <c r="DM201">
        <v>42562.5</v>
      </c>
      <c r="DN201">
        <v>1.48983</v>
      </c>
      <c r="DO201">
        <v>2.0375999999999999</v>
      </c>
      <c r="DP201">
        <v>0.123598</v>
      </c>
      <c r="DQ201">
        <v>0.123028</v>
      </c>
      <c r="DR201">
        <v>24.966699999999999</v>
      </c>
      <c r="DS201">
        <v>24.607800000000001</v>
      </c>
      <c r="DT201">
        <v>21.3</v>
      </c>
      <c r="DU201">
        <v>28.9</v>
      </c>
      <c r="DV201">
        <v>8.5750499999999992</v>
      </c>
      <c r="DW201">
        <v>61.503399999999999</v>
      </c>
      <c r="DX201">
        <v>35.9816</v>
      </c>
      <c r="DY201">
        <v>1</v>
      </c>
      <c r="DZ201">
        <v>-0.111014</v>
      </c>
      <c r="EA201">
        <v>0.30013600000000001</v>
      </c>
      <c r="EB201">
        <v>20.189800000000002</v>
      </c>
      <c r="EC201">
        <v>5.2416999999999998</v>
      </c>
      <c r="ED201">
        <v>12.039899999999999</v>
      </c>
      <c r="EE201">
        <v>5.0170500000000002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1.8646199999999999</v>
      </c>
      <c r="EM201">
        <v>1.8691899999999999</v>
      </c>
      <c r="EN201">
        <v>1.8672200000000001</v>
      </c>
      <c r="EO201">
        <v>1.8633900000000001</v>
      </c>
      <c r="EP201">
        <v>1.8644700000000001</v>
      </c>
      <c r="EQ201">
        <v>1.87016</v>
      </c>
      <c r="ER201">
        <v>1.8694299999999999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-0.182</v>
      </c>
      <c r="FG201">
        <v>0.1515</v>
      </c>
      <c r="FH201">
        <v>5.0310448532705943E-2</v>
      </c>
      <c r="FI201">
        <v>-6.1462078757559423E-4</v>
      </c>
      <c r="FJ201">
        <v>-1.8861989874597051E-7</v>
      </c>
      <c r="FK201">
        <v>1.1980462299894961E-10</v>
      </c>
      <c r="FL201">
        <v>0.15140825623214971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36.200000000000003</v>
      </c>
      <c r="FU201">
        <v>36.1</v>
      </c>
      <c r="FV201">
        <v>1.7663599999999999</v>
      </c>
      <c r="FW201">
        <v>2.5842299999999998</v>
      </c>
      <c r="FX201">
        <v>1.5490699999999999</v>
      </c>
      <c r="FY201">
        <v>2.3327599999999999</v>
      </c>
      <c r="FZ201">
        <v>1.50146</v>
      </c>
      <c r="GA201">
        <v>2.33643</v>
      </c>
      <c r="GB201">
        <v>33.244</v>
      </c>
      <c r="GC201">
        <v>23.982399999999998</v>
      </c>
      <c r="GD201">
        <v>19</v>
      </c>
      <c r="GE201">
        <v>287.59300000000002</v>
      </c>
      <c r="GF201">
        <v>581.23099999999999</v>
      </c>
      <c r="GG201">
        <v>23.761199999999999</v>
      </c>
      <c r="GH201">
        <v>25.971299999999999</v>
      </c>
      <c r="GI201">
        <v>30.0001</v>
      </c>
      <c r="GJ201">
        <v>26.099499999999999</v>
      </c>
      <c r="GK201">
        <v>26.078499999999998</v>
      </c>
      <c r="GL201">
        <v>35.305700000000002</v>
      </c>
      <c r="GM201">
        <v>100</v>
      </c>
      <c r="GN201">
        <v>0</v>
      </c>
      <c r="GO201">
        <v>23.777200000000001</v>
      </c>
      <c r="GP201">
        <v>800</v>
      </c>
      <c r="GQ201">
        <v>0</v>
      </c>
      <c r="GR201">
        <v>99.754499999999993</v>
      </c>
      <c r="GS201">
        <v>99.573999999999998</v>
      </c>
    </row>
    <row r="202" spans="1:201" x14ac:dyDescent="0.25">
      <c r="A202">
        <v>186</v>
      </c>
      <c r="B202">
        <v>1690294250</v>
      </c>
      <c r="C202">
        <v>1979.400000095367</v>
      </c>
      <c r="D202" t="s">
        <v>705</v>
      </c>
      <c r="E202" t="s">
        <v>706</v>
      </c>
      <c r="F202" t="s">
        <v>330</v>
      </c>
      <c r="H202">
        <v>1690294250</v>
      </c>
      <c r="I202">
        <f t="shared" si="60"/>
        <v>2.7554427458590046E-3</v>
      </c>
      <c r="J202">
        <f t="shared" si="61"/>
        <v>2.7554427458590047</v>
      </c>
      <c r="K202">
        <f t="shared" si="62"/>
        <v>44.34187174329692</v>
      </c>
      <c r="L202">
        <f t="shared" si="63"/>
        <v>347.26100000000002</v>
      </c>
      <c r="M202">
        <f t="shared" si="64"/>
        <v>118.2730136659568</v>
      </c>
      <c r="N202">
        <f t="shared" si="65"/>
        <v>11.762203000999033</v>
      </c>
      <c r="O202">
        <f t="shared" si="66"/>
        <v>34.534964906416405</v>
      </c>
      <c r="P202">
        <f t="shared" si="67"/>
        <v>0.33650192530081985</v>
      </c>
      <c r="Q202">
        <f t="shared" si="68"/>
        <v>2.2549512983079874</v>
      </c>
      <c r="R202">
        <f t="shared" si="69"/>
        <v>0.31088821651431814</v>
      </c>
      <c r="S202">
        <f t="shared" si="70"/>
        <v>0.19644370267586647</v>
      </c>
      <c r="T202">
        <f t="shared" si="71"/>
        <v>276.11432076600005</v>
      </c>
      <c r="U202">
        <f t="shared" si="72"/>
        <v>26.776122660884521</v>
      </c>
      <c r="V202">
        <f t="shared" si="73"/>
        <v>26.776122660884521</v>
      </c>
      <c r="W202">
        <f t="shared" si="74"/>
        <v>3.5323670032104557</v>
      </c>
      <c r="X202">
        <f t="shared" si="75"/>
        <v>81.215258244634754</v>
      </c>
      <c r="Y202">
        <f t="shared" si="76"/>
        <v>2.6784559821907199</v>
      </c>
      <c r="Z202">
        <f t="shared" si="77"/>
        <v>3.2979713911919557</v>
      </c>
      <c r="AA202">
        <f t="shared" si="78"/>
        <v>0.85391102101973582</v>
      </c>
      <c r="AB202">
        <f t="shared" si="79"/>
        <v>-121.5150250923821</v>
      </c>
      <c r="AC202">
        <f t="shared" si="80"/>
        <v>-141.26585662585344</v>
      </c>
      <c r="AD202">
        <f t="shared" si="81"/>
        <v>-13.411469483458355</v>
      </c>
      <c r="AE202">
        <f t="shared" si="82"/>
        <v>-7.8030435693847267E-2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52672.661042669199</v>
      </c>
      <c r="AK202">
        <f t="shared" si="86"/>
        <v>1800</v>
      </c>
      <c r="AL202">
        <f t="shared" si="87"/>
        <v>1499.1145775999998</v>
      </c>
      <c r="AM202">
        <f t="shared" si="88"/>
        <v>0.83284143199999994</v>
      </c>
      <c r="AN202">
        <f t="shared" si="89"/>
        <v>0.15339684487000002</v>
      </c>
      <c r="AO202">
        <v>30</v>
      </c>
      <c r="AP202">
        <v>0.5</v>
      </c>
      <c r="AQ202" t="s">
        <v>331</v>
      </c>
      <c r="AR202">
        <v>2</v>
      </c>
      <c r="AS202">
        <v>1690294250</v>
      </c>
      <c r="AT202">
        <v>347.26100000000002</v>
      </c>
      <c r="AU202">
        <v>800.03700000000003</v>
      </c>
      <c r="AV202">
        <v>26.9328</v>
      </c>
      <c r="AW202">
        <v>0.132997</v>
      </c>
      <c r="AX202">
        <v>347.44099999999997</v>
      </c>
      <c r="AY202">
        <v>26.781400000000001</v>
      </c>
      <c r="AZ202">
        <v>300.14</v>
      </c>
      <c r="BA202">
        <v>99.349599999999995</v>
      </c>
      <c r="BB202">
        <v>9.9992399999999995E-2</v>
      </c>
      <c r="BC202">
        <v>25.614100000000001</v>
      </c>
      <c r="BD202">
        <v>27.0017</v>
      </c>
      <c r="BE202">
        <v>26.614699999999999</v>
      </c>
      <c r="BF202">
        <v>0</v>
      </c>
      <c r="BG202">
        <v>0</v>
      </c>
      <c r="BH202">
        <v>9979.3799999999992</v>
      </c>
      <c r="BI202">
        <v>1062.49</v>
      </c>
      <c r="BJ202">
        <v>2.2426400000000002</v>
      </c>
      <c r="BK202">
        <v>-452.77600000000001</v>
      </c>
      <c r="BL202">
        <v>356.87200000000001</v>
      </c>
      <c r="BM202">
        <v>800.14300000000003</v>
      </c>
      <c r="BN202">
        <v>26.799800000000001</v>
      </c>
      <c r="BO202">
        <v>800.03700000000003</v>
      </c>
      <c r="BP202">
        <v>0.132997</v>
      </c>
      <c r="BQ202">
        <v>2.67577</v>
      </c>
      <c r="BR202">
        <v>1.32132E-2</v>
      </c>
      <c r="BS202">
        <v>22.137</v>
      </c>
      <c r="BT202">
        <v>-43.340400000000002</v>
      </c>
      <c r="BU202">
        <v>1800</v>
      </c>
      <c r="BV202">
        <v>0.91002099999999997</v>
      </c>
      <c r="BW202">
        <v>3.3994999999999997E-2</v>
      </c>
      <c r="BX202">
        <v>2.1994099999999999E-2</v>
      </c>
      <c r="BY202">
        <v>3.3989900000000003E-2</v>
      </c>
      <c r="BZ202">
        <v>26</v>
      </c>
      <c r="CA202">
        <v>33528.5</v>
      </c>
      <c r="CB202">
        <v>1690292073.5</v>
      </c>
      <c r="CC202" t="s">
        <v>332</v>
      </c>
      <c r="CD202">
        <v>1690292069.5</v>
      </c>
      <c r="CE202">
        <v>1690292073.5</v>
      </c>
      <c r="CF202">
        <v>4</v>
      </c>
      <c r="CG202">
        <v>-3.6999999999999998E-2</v>
      </c>
      <c r="CH202">
        <v>-1.6E-2</v>
      </c>
      <c r="CI202">
        <v>-0.45200000000000001</v>
      </c>
      <c r="CJ202">
        <v>0.108</v>
      </c>
      <c r="CK202">
        <v>730</v>
      </c>
      <c r="CL202">
        <v>18</v>
      </c>
      <c r="CM202">
        <v>0</v>
      </c>
      <c r="CN202">
        <v>0.01</v>
      </c>
      <c r="CO202">
        <v>-452.45064999999988</v>
      </c>
      <c r="CP202">
        <v>-1.641545966227278</v>
      </c>
      <c r="CQ202">
        <v>0.16498296124145739</v>
      </c>
      <c r="CR202">
        <v>-1</v>
      </c>
      <c r="CS202">
        <v>26.786539999999999</v>
      </c>
      <c r="CT202">
        <v>7.0529831144383034E-2</v>
      </c>
      <c r="CU202">
        <v>6.8464516357012086E-3</v>
      </c>
      <c r="CV202">
        <v>-1</v>
      </c>
      <c r="CW202">
        <v>0</v>
      </c>
      <c r="CX202">
        <v>0</v>
      </c>
      <c r="CY202" t="s">
        <v>333</v>
      </c>
      <c r="CZ202">
        <v>2.36483</v>
      </c>
      <c r="DA202">
        <v>2.7137600000000002</v>
      </c>
      <c r="DB202">
        <v>8.0473699999999995E-2</v>
      </c>
      <c r="DC202">
        <v>0.146449</v>
      </c>
      <c r="DD202">
        <v>0.124019</v>
      </c>
      <c r="DE202">
        <v>1.1252899999999999E-3</v>
      </c>
      <c r="DF202">
        <v>33582.199999999997</v>
      </c>
      <c r="DG202">
        <v>27512.2</v>
      </c>
      <c r="DH202">
        <v>31177.200000000001</v>
      </c>
      <c r="DI202">
        <v>28086</v>
      </c>
      <c r="DJ202">
        <v>37066</v>
      </c>
      <c r="DK202">
        <v>39895.300000000003</v>
      </c>
      <c r="DL202">
        <v>44368.5</v>
      </c>
      <c r="DM202">
        <v>42562.9</v>
      </c>
      <c r="DN202">
        <v>1.4898</v>
      </c>
      <c r="DO202">
        <v>2.0375200000000002</v>
      </c>
      <c r="DP202">
        <v>0.124101</v>
      </c>
      <c r="DQ202">
        <v>0.122312</v>
      </c>
      <c r="DR202">
        <v>24.968800000000002</v>
      </c>
      <c r="DS202">
        <v>24.6099</v>
      </c>
      <c r="DT202">
        <v>21.3</v>
      </c>
      <c r="DU202">
        <v>28.9</v>
      </c>
      <c r="DV202">
        <v>8.5728899999999992</v>
      </c>
      <c r="DW202">
        <v>61.763399999999997</v>
      </c>
      <c r="DX202">
        <v>35.252400000000002</v>
      </c>
      <c r="DY202">
        <v>1</v>
      </c>
      <c r="DZ202">
        <v>-0.11138000000000001</v>
      </c>
      <c r="EA202">
        <v>0.283279</v>
      </c>
      <c r="EB202">
        <v>20.190000000000001</v>
      </c>
      <c r="EC202">
        <v>5.24125</v>
      </c>
      <c r="ED202">
        <v>12.039899999999999</v>
      </c>
      <c r="EE202">
        <v>5.0170500000000002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</v>
      </c>
      <c r="EL202">
        <v>1.8646199999999999</v>
      </c>
      <c r="EM202">
        <v>1.8692</v>
      </c>
      <c r="EN202">
        <v>1.8672200000000001</v>
      </c>
      <c r="EO202">
        <v>1.8633999999999999</v>
      </c>
      <c r="EP202">
        <v>1.86446</v>
      </c>
      <c r="EQ202">
        <v>1.87018</v>
      </c>
      <c r="ER202">
        <v>1.8694200000000001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-0.18</v>
      </c>
      <c r="FG202">
        <v>0.15140000000000001</v>
      </c>
      <c r="FH202">
        <v>5.0310448532705943E-2</v>
      </c>
      <c r="FI202">
        <v>-6.1462078757559423E-4</v>
      </c>
      <c r="FJ202">
        <v>-1.8861989874597051E-7</v>
      </c>
      <c r="FK202">
        <v>1.1980462299894961E-10</v>
      </c>
      <c r="FL202">
        <v>0.15140825623214971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36.299999999999997</v>
      </c>
      <c r="FU202">
        <v>36.299999999999997</v>
      </c>
      <c r="FV202">
        <v>1.7663599999999999</v>
      </c>
      <c r="FW202">
        <v>2.5903299999999998</v>
      </c>
      <c r="FX202">
        <v>1.5490699999999999</v>
      </c>
      <c r="FY202">
        <v>2.3327599999999999</v>
      </c>
      <c r="FZ202">
        <v>1.50146</v>
      </c>
      <c r="GA202">
        <v>2.2668499999999998</v>
      </c>
      <c r="GB202">
        <v>33.244</v>
      </c>
      <c r="GC202">
        <v>23.982399999999998</v>
      </c>
      <c r="GD202">
        <v>19</v>
      </c>
      <c r="GE202">
        <v>287.58199999999999</v>
      </c>
      <c r="GF202">
        <v>581.19399999999996</v>
      </c>
      <c r="GG202">
        <v>23.7789</v>
      </c>
      <c r="GH202">
        <v>25.973099999999999</v>
      </c>
      <c r="GI202">
        <v>30</v>
      </c>
      <c r="GJ202">
        <v>26.099499999999999</v>
      </c>
      <c r="GK202">
        <v>26.0807</v>
      </c>
      <c r="GL202">
        <v>35.305700000000002</v>
      </c>
      <c r="GM202">
        <v>100</v>
      </c>
      <c r="GN202">
        <v>0</v>
      </c>
      <c r="GO202">
        <v>23.777200000000001</v>
      </c>
      <c r="GP202">
        <v>800</v>
      </c>
      <c r="GQ202">
        <v>0</v>
      </c>
      <c r="GR202">
        <v>99.754300000000001</v>
      </c>
      <c r="GS202">
        <v>99.574799999999996</v>
      </c>
    </row>
    <row r="203" spans="1:201" x14ac:dyDescent="0.25">
      <c r="A203">
        <v>187</v>
      </c>
      <c r="B203">
        <v>1690294260</v>
      </c>
      <c r="C203">
        <v>1989.400000095367</v>
      </c>
      <c r="D203" t="s">
        <v>707</v>
      </c>
      <c r="E203" t="s">
        <v>708</v>
      </c>
      <c r="F203" t="s">
        <v>330</v>
      </c>
      <c r="H203">
        <v>1690294260</v>
      </c>
      <c r="I203">
        <f t="shared" si="60"/>
        <v>2.7581450046335228E-3</v>
      </c>
      <c r="J203">
        <f t="shared" si="61"/>
        <v>2.7581450046335227</v>
      </c>
      <c r="K203">
        <f t="shared" si="62"/>
        <v>44.393354267687499</v>
      </c>
      <c r="L203">
        <f t="shared" si="63"/>
        <v>346.92899999999997</v>
      </c>
      <c r="M203">
        <f t="shared" si="64"/>
        <v>118.25626188662881</v>
      </c>
      <c r="N203">
        <f t="shared" si="65"/>
        <v>11.760187430560249</v>
      </c>
      <c r="O203">
        <f t="shared" si="66"/>
        <v>34.500921980843998</v>
      </c>
      <c r="P203">
        <f t="shared" si="67"/>
        <v>0.33745556566687218</v>
      </c>
      <c r="Q203">
        <f t="shared" si="68"/>
        <v>2.2508695465665634</v>
      </c>
      <c r="R203">
        <f t="shared" si="69"/>
        <v>0.31165954780112148</v>
      </c>
      <c r="S203">
        <f t="shared" si="70"/>
        <v>0.19694030360764303</v>
      </c>
      <c r="T203">
        <f t="shared" si="71"/>
        <v>276.11416538999998</v>
      </c>
      <c r="U203">
        <f t="shared" si="72"/>
        <v>26.775850784359193</v>
      </c>
      <c r="V203">
        <f t="shared" si="73"/>
        <v>26.775850784359193</v>
      </c>
      <c r="W203">
        <f t="shared" si="74"/>
        <v>3.532310504468922</v>
      </c>
      <c r="X203">
        <f t="shared" si="75"/>
        <v>81.259518918645696</v>
      </c>
      <c r="Y203">
        <f t="shared" si="76"/>
        <v>2.6797089429831997</v>
      </c>
      <c r="Z203">
        <f t="shared" si="77"/>
        <v>3.2977169673697362</v>
      </c>
      <c r="AA203">
        <f t="shared" si="78"/>
        <v>0.8526015614857223</v>
      </c>
      <c r="AB203">
        <f t="shared" si="79"/>
        <v>-121.63419470433836</v>
      </c>
      <c r="AC203">
        <f t="shared" si="80"/>
        <v>-141.13490889565801</v>
      </c>
      <c r="AD203">
        <f t="shared" si="81"/>
        <v>-13.423229864433766</v>
      </c>
      <c r="AE203">
        <f t="shared" si="82"/>
        <v>-7.8168074430180923E-2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52512.898431484929</v>
      </c>
      <c r="AK203">
        <f t="shared" si="86"/>
        <v>1800</v>
      </c>
      <c r="AL203">
        <f t="shared" si="87"/>
        <v>1499.1138989999997</v>
      </c>
      <c r="AM203">
        <f t="shared" si="88"/>
        <v>0.83284105499999983</v>
      </c>
      <c r="AN203">
        <f t="shared" si="89"/>
        <v>0.15339675854999998</v>
      </c>
      <c r="AO203">
        <v>30</v>
      </c>
      <c r="AP203">
        <v>0.5</v>
      </c>
      <c r="AQ203" t="s">
        <v>331</v>
      </c>
      <c r="AR203">
        <v>2</v>
      </c>
      <c r="AS203">
        <v>1690294260</v>
      </c>
      <c r="AT203">
        <v>346.92899999999997</v>
      </c>
      <c r="AU203">
        <v>800.01300000000003</v>
      </c>
      <c r="AV203">
        <v>26.946200000000001</v>
      </c>
      <c r="AW203">
        <v>0.13272300000000001</v>
      </c>
      <c r="AX203">
        <v>347.11</v>
      </c>
      <c r="AY203">
        <v>26.794799999999999</v>
      </c>
      <c r="AZ203">
        <v>300.27699999999999</v>
      </c>
      <c r="BA203">
        <v>99.346599999999995</v>
      </c>
      <c r="BB203">
        <v>0.100036</v>
      </c>
      <c r="BC203">
        <v>25.6128</v>
      </c>
      <c r="BD203">
        <v>27.0124</v>
      </c>
      <c r="BE203">
        <v>26.6173</v>
      </c>
      <c r="BF203">
        <v>0</v>
      </c>
      <c r="BG203">
        <v>0</v>
      </c>
      <c r="BH203">
        <v>9948.1200000000008</v>
      </c>
      <c r="BI203">
        <v>1062.48</v>
      </c>
      <c r="BJ203">
        <v>2.2426400000000002</v>
      </c>
      <c r="BK203">
        <v>-453.084</v>
      </c>
      <c r="BL203">
        <v>356.53699999999998</v>
      </c>
      <c r="BM203">
        <v>800.11900000000003</v>
      </c>
      <c r="BN203">
        <v>26.813500000000001</v>
      </c>
      <c r="BO203">
        <v>800.01300000000003</v>
      </c>
      <c r="BP203">
        <v>0.13272300000000001</v>
      </c>
      <c r="BQ203">
        <v>2.6770200000000002</v>
      </c>
      <c r="BR203">
        <v>1.3185499999999999E-2</v>
      </c>
      <c r="BS203">
        <v>22.1447</v>
      </c>
      <c r="BT203">
        <v>-43.3598</v>
      </c>
      <c r="BU203">
        <v>1800</v>
      </c>
      <c r="BV203">
        <v>0.91002099999999997</v>
      </c>
      <c r="BW203">
        <v>3.3994799999999999E-2</v>
      </c>
      <c r="BX203">
        <v>2.1994E-2</v>
      </c>
      <c r="BY203">
        <v>3.3989699999999998E-2</v>
      </c>
      <c r="BZ203">
        <v>26</v>
      </c>
      <c r="CA203">
        <v>33528.5</v>
      </c>
      <c r="CB203">
        <v>1690292073.5</v>
      </c>
      <c r="CC203" t="s">
        <v>332</v>
      </c>
      <c r="CD203">
        <v>1690292069.5</v>
      </c>
      <c r="CE203">
        <v>1690292073.5</v>
      </c>
      <c r="CF203">
        <v>4</v>
      </c>
      <c r="CG203">
        <v>-3.6999999999999998E-2</v>
      </c>
      <c r="CH203">
        <v>-1.6E-2</v>
      </c>
      <c r="CI203">
        <v>-0.45200000000000001</v>
      </c>
      <c r="CJ203">
        <v>0.108</v>
      </c>
      <c r="CK203">
        <v>730</v>
      </c>
      <c r="CL203">
        <v>18</v>
      </c>
      <c r="CM203">
        <v>0</v>
      </c>
      <c r="CN203">
        <v>0.01</v>
      </c>
      <c r="CO203">
        <v>-452.72785365853662</v>
      </c>
      <c r="CP203">
        <v>-1.677595818815881</v>
      </c>
      <c r="CQ203">
        <v>0.1713068222945707</v>
      </c>
      <c r="CR203">
        <v>-1</v>
      </c>
      <c r="CS203">
        <v>26.798465853658541</v>
      </c>
      <c r="CT203">
        <v>8.284808362365674E-2</v>
      </c>
      <c r="CU203">
        <v>8.19903652150826E-3</v>
      </c>
      <c r="CV203">
        <v>-1</v>
      </c>
      <c r="CW203">
        <v>0</v>
      </c>
      <c r="CX203">
        <v>0</v>
      </c>
      <c r="CY203" t="s">
        <v>333</v>
      </c>
      <c r="CZ203">
        <v>2.36524</v>
      </c>
      <c r="DA203">
        <v>2.7137799999999999</v>
      </c>
      <c r="DB203">
        <v>8.0410400000000007E-2</v>
      </c>
      <c r="DC203">
        <v>0.14644199999999999</v>
      </c>
      <c r="DD203">
        <v>0.124058</v>
      </c>
      <c r="DE203">
        <v>1.1229499999999999E-3</v>
      </c>
      <c r="DF203">
        <v>33584.400000000001</v>
      </c>
      <c r="DG203">
        <v>27512.9</v>
      </c>
      <c r="DH203">
        <v>31177.1</v>
      </c>
      <c r="DI203">
        <v>28086.6</v>
      </c>
      <c r="DJ203">
        <v>37064.300000000003</v>
      </c>
      <c r="DK203">
        <v>39896</v>
      </c>
      <c r="DL203">
        <v>44368.5</v>
      </c>
      <c r="DM203">
        <v>42563.6</v>
      </c>
      <c r="DN203">
        <v>1.4900500000000001</v>
      </c>
      <c r="DO203">
        <v>2.03748</v>
      </c>
      <c r="DP203">
        <v>0.124529</v>
      </c>
      <c r="DQ203">
        <v>0.122346</v>
      </c>
      <c r="DR203">
        <v>24.9725</v>
      </c>
      <c r="DS203">
        <v>24.611899999999999</v>
      </c>
      <c r="DT203">
        <v>21.3</v>
      </c>
      <c r="DU203">
        <v>28.9</v>
      </c>
      <c r="DV203">
        <v>8.5726800000000001</v>
      </c>
      <c r="DW203">
        <v>61.9634</v>
      </c>
      <c r="DX203">
        <v>34.779600000000002</v>
      </c>
      <c r="DY203">
        <v>1</v>
      </c>
      <c r="DZ203">
        <v>-0.110912</v>
      </c>
      <c r="EA203">
        <v>0.33571099999999998</v>
      </c>
      <c r="EB203">
        <v>20.189800000000002</v>
      </c>
      <c r="EC203">
        <v>5.2413999999999996</v>
      </c>
      <c r="ED203">
        <v>12.039899999999999</v>
      </c>
      <c r="EE203">
        <v>5.0171000000000001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1.8646199999999999</v>
      </c>
      <c r="EM203">
        <v>1.8692</v>
      </c>
      <c r="EN203">
        <v>1.8672299999999999</v>
      </c>
      <c r="EO203">
        <v>1.8633900000000001</v>
      </c>
      <c r="EP203">
        <v>1.8644700000000001</v>
      </c>
      <c r="EQ203">
        <v>1.8702000000000001</v>
      </c>
      <c r="ER203">
        <v>1.8694299999999999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-0.18099999999999999</v>
      </c>
      <c r="FG203">
        <v>0.15140000000000001</v>
      </c>
      <c r="FH203">
        <v>5.0310448532705943E-2</v>
      </c>
      <c r="FI203">
        <v>-6.1462078757559423E-4</v>
      </c>
      <c r="FJ203">
        <v>-1.8861989874597051E-7</v>
      </c>
      <c r="FK203">
        <v>1.1980462299894961E-10</v>
      </c>
      <c r="FL203">
        <v>0.15140825623214971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36.5</v>
      </c>
      <c r="FU203">
        <v>36.4</v>
      </c>
      <c r="FV203">
        <v>1.7651399999999999</v>
      </c>
      <c r="FW203">
        <v>2.5793499999999998</v>
      </c>
      <c r="FX203">
        <v>1.5490699999999999</v>
      </c>
      <c r="FY203">
        <v>2.3339799999999999</v>
      </c>
      <c r="FZ203">
        <v>1.50146</v>
      </c>
      <c r="GA203">
        <v>2.4096700000000002</v>
      </c>
      <c r="GB203">
        <v>33.266300000000001</v>
      </c>
      <c r="GC203">
        <v>23.991199999999999</v>
      </c>
      <c r="GD203">
        <v>19</v>
      </c>
      <c r="GE203">
        <v>287.7</v>
      </c>
      <c r="GF203">
        <v>581.15300000000002</v>
      </c>
      <c r="GG203">
        <v>23.770900000000001</v>
      </c>
      <c r="GH203">
        <v>25.973500000000001</v>
      </c>
      <c r="GI203">
        <v>30</v>
      </c>
      <c r="GJ203">
        <v>26.101700000000001</v>
      </c>
      <c r="GK203">
        <v>26.0807</v>
      </c>
      <c r="GL203">
        <v>35.304000000000002</v>
      </c>
      <c r="GM203">
        <v>100</v>
      </c>
      <c r="GN203">
        <v>0</v>
      </c>
      <c r="GO203">
        <v>23.760200000000001</v>
      </c>
      <c r="GP203">
        <v>800</v>
      </c>
      <c r="GQ203">
        <v>0</v>
      </c>
      <c r="GR203">
        <v>99.754199999999997</v>
      </c>
      <c r="GS203">
        <v>99.576499999999996</v>
      </c>
    </row>
    <row r="204" spans="1:201" x14ac:dyDescent="0.25">
      <c r="A204">
        <v>188</v>
      </c>
      <c r="B204">
        <v>1690294270</v>
      </c>
      <c r="C204">
        <v>1999.400000095367</v>
      </c>
      <c r="D204" t="s">
        <v>709</v>
      </c>
      <c r="E204" t="s">
        <v>710</v>
      </c>
      <c r="F204" t="s">
        <v>330</v>
      </c>
      <c r="H204">
        <v>1690294270</v>
      </c>
      <c r="I204">
        <f t="shared" si="60"/>
        <v>2.758341587035233E-3</v>
      </c>
      <c r="J204">
        <f t="shared" si="61"/>
        <v>2.758341587035233</v>
      </c>
      <c r="K204">
        <f t="shared" si="62"/>
        <v>44.405754947532344</v>
      </c>
      <c r="L204">
        <f t="shared" si="63"/>
        <v>346.68900000000002</v>
      </c>
      <c r="M204">
        <f t="shared" si="64"/>
        <v>118.59071941710408</v>
      </c>
      <c r="N204">
        <f t="shared" si="65"/>
        <v>11.793168446216354</v>
      </c>
      <c r="O204">
        <f t="shared" si="66"/>
        <v>34.476237226204205</v>
      </c>
      <c r="P204">
        <f t="shared" si="67"/>
        <v>0.33834583584815076</v>
      </c>
      <c r="Q204">
        <f t="shared" si="68"/>
        <v>2.2622940371786182</v>
      </c>
      <c r="R204">
        <f t="shared" si="69"/>
        <v>0.31253936146367844</v>
      </c>
      <c r="S204">
        <f t="shared" si="70"/>
        <v>0.19749142795926183</v>
      </c>
      <c r="T204">
        <f t="shared" si="71"/>
        <v>276.11417451600005</v>
      </c>
      <c r="U204">
        <f t="shared" si="72"/>
        <v>26.769218766515085</v>
      </c>
      <c r="V204">
        <f t="shared" si="73"/>
        <v>26.769218766515085</v>
      </c>
      <c r="W204">
        <f t="shared" si="74"/>
        <v>3.5309325471947424</v>
      </c>
      <c r="X204">
        <f t="shared" si="75"/>
        <v>81.295044455928149</v>
      </c>
      <c r="Y204">
        <f t="shared" si="76"/>
        <v>2.6806895633712604</v>
      </c>
      <c r="Z204">
        <f t="shared" si="77"/>
        <v>3.2974821298296004</v>
      </c>
      <c r="AA204">
        <f t="shared" si="78"/>
        <v>0.85024298382348196</v>
      </c>
      <c r="AB204">
        <f t="shared" si="79"/>
        <v>-121.64286398825378</v>
      </c>
      <c r="AC204">
        <f t="shared" si="80"/>
        <v>-141.18873685702229</v>
      </c>
      <c r="AD204">
        <f t="shared" si="81"/>
        <v>-13.360011723651215</v>
      </c>
      <c r="AE204">
        <f t="shared" si="82"/>
        <v>-7.7438052927249146E-2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52961.375685806881</v>
      </c>
      <c r="AK204">
        <f t="shared" si="86"/>
        <v>1800</v>
      </c>
      <c r="AL204">
        <f t="shared" si="87"/>
        <v>1499.1145956</v>
      </c>
      <c r="AM204">
        <f t="shared" si="88"/>
        <v>0.83284144199999999</v>
      </c>
      <c r="AN204">
        <f t="shared" si="89"/>
        <v>0.15339676362000002</v>
      </c>
      <c r="AO204">
        <v>30</v>
      </c>
      <c r="AP204">
        <v>0.5</v>
      </c>
      <c r="AQ204" t="s">
        <v>331</v>
      </c>
      <c r="AR204">
        <v>2</v>
      </c>
      <c r="AS204">
        <v>1690294270</v>
      </c>
      <c r="AT204">
        <v>346.68900000000002</v>
      </c>
      <c r="AU204">
        <v>800.05100000000004</v>
      </c>
      <c r="AV204">
        <v>26.956700000000001</v>
      </c>
      <c r="AW204">
        <v>0.132132</v>
      </c>
      <c r="AX204">
        <v>346.86900000000003</v>
      </c>
      <c r="AY204">
        <v>26.805299999999999</v>
      </c>
      <c r="AZ204">
        <v>300.17099999999999</v>
      </c>
      <c r="BA204">
        <v>99.344300000000004</v>
      </c>
      <c r="BB204">
        <v>9.9977800000000006E-2</v>
      </c>
      <c r="BC204">
        <v>25.611599999999999</v>
      </c>
      <c r="BD204">
        <v>26.9908</v>
      </c>
      <c r="BE204">
        <v>26.606300000000001</v>
      </c>
      <c r="BF204">
        <v>0</v>
      </c>
      <c r="BG204">
        <v>0</v>
      </c>
      <c r="BH204">
        <v>10036.9</v>
      </c>
      <c r="BI204">
        <v>1062.56</v>
      </c>
      <c r="BJ204">
        <v>2.1571400000000001</v>
      </c>
      <c r="BK204">
        <v>-453.36200000000002</v>
      </c>
      <c r="BL204">
        <v>356.29300000000001</v>
      </c>
      <c r="BM204">
        <v>800.15599999999995</v>
      </c>
      <c r="BN204">
        <v>26.8246</v>
      </c>
      <c r="BO204">
        <v>800.05100000000004</v>
      </c>
      <c r="BP204">
        <v>0.132132</v>
      </c>
      <c r="BQ204">
        <v>2.6779999999999999</v>
      </c>
      <c r="BR204">
        <v>1.3126499999999999E-2</v>
      </c>
      <c r="BS204">
        <v>22.150700000000001</v>
      </c>
      <c r="BT204">
        <v>-43.401299999999999</v>
      </c>
      <c r="BU204">
        <v>1800</v>
      </c>
      <c r="BV204">
        <v>0.91002300000000003</v>
      </c>
      <c r="BW204">
        <v>3.3994200000000002E-2</v>
      </c>
      <c r="BX204">
        <v>2.1993599999999999E-2</v>
      </c>
      <c r="BY204">
        <v>3.3988999999999998E-2</v>
      </c>
      <c r="BZ204">
        <v>26</v>
      </c>
      <c r="CA204">
        <v>33528.5</v>
      </c>
      <c r="CB204">
        <v>1690292073.5</v>
      </c>
      <c r="CC204" t="s">
        <v>332</v>
      </c>
      <c r="CD204">
        <v>1690292069.5</v>
      </c>
      <c r="CE204">
        <v>1690292073.5</v>
      </c>
      <c r="CF204">
        <v>4</v>
      </c>
      <c r="CG204">
        <v>-3.6999999999999998E-2</v>
      </c>
      <c r="CH204">
        <v>-1.6E-2</v>
      </c>
      <c r="CI204">
        <v>-0.45200000000000001</v>
      </c>
      <c r="CJ204">
        <v>0.108</v>
      </c>
      <c r="CK204">
        <v>730</v>
      </c>
      <c r="CL204">
        <v>18</v>
      </c>
      <c r="CM204">
        <v>0</v>
      </c>
      <c r="CN204">
        <v>0.01</v>
      </c>
      <c r="CO204">
        <v>-453.05226829268281</v>
      </c>
      <c r="CP204">
        <v>-1.814905923344694</v>
      </c>
      <c r="CQ204">
        <v>0.1865088795885583</v>
      </c>
      <c r="CR204">
        <v>-1</v>
      </c>
      <c r="CS204">
        <v>26.812385365853661</v>
      </c>
      <c r="CT204">
        <v>7.0873170731688945E-2</v>
      </c>
      <c r="CU204">
        <v>7.0416032326210904E-3</v>
      </c>
      <c r="CV204">
        <v>-1</v>
      </c>
      <c r="CW204">
        <v>0</v>
      </c>
      <c r="CX204">
        <v>0</v>
      </c>
      <c r="CY204" t="s">
        <v>333</v>
      </c>
      <c r="CZ204">
        <v>2.3649300000000002</v>
      </c>
      <c r="DA204">
        <v>2.7138</v>
      </c>
      <c r="DB204">
        <v>8.0364699999999997E-2</v>
      </c>
      <c r="DC204">
        <v>0.14644199999999999</v>
      </c>
      <c r="DD204">
        <v>0.124088</v>
      </c>
      <c r="DE204">
        <v>1.1179600000000001E-3</v>
      </c>
      <c r="DF204">
        <v>33585.800000000003</v>
      </c>
      <c r="DG204">
        <v>27512.9</v>
      </c>
      <c r="DH204">
        <v>31176.9</v>
      </c>
      <c r="DI204">
        <v>28086.5</v>
      </c>
      <c r="DJ204">
        <v>37062.699999999997</v>
      </c>
      <c r="DK204">
        <v>39896.300000000003</v>
      </c>
      <c r="DL204">
        <v>44368.2</v>
      </c>
      <c r="DM204">
        <v>42563.6</v>
      </c>
      <c r="DN204">
        <v>1.49003</v>
      </c>
      <c r="DO204">
        <v>2.03755</v>
      </c>
      <c r="DP204">
        <v>0.122949</v>
      </c>
      <c r="DQ204">
        <v>0.121545</v>
      </c>
      <c r="DR204">
        <v>24.976700000000001</v>
      </c>
      <c r="DS204">
        <v>24.614000000000001</v>
      </c>
      <c r="DT204">
        <v>21.3</v>
      </c>
      <c r="DU204">
        <v>28.9</v>
      </c>
      <c r="DV204">
        <v>8.5742999999999991</v>
      </c>
      <c r="DW204">
        <v>61.113399999999999</v>
      </c>
      <c r="DX204">
        <v>35.4968</v>
      </c>
      <c r="DY204">
        <v>1</v>
      </c>
      <c r="DZ204">
        <v>-0.110831</v>
      </c>
      <c r="EA204">
        <v>0.30248399999999998</v>
      </c>
      <c r="EB204">
        <v>20.189800000000002</v>
      </c>
      <c r="EC204">
        <v>5.24125</v>
      </c>
      <c r="ED204">
        <v>12.039899999999999</v>
      </c>
      <c r="EE204">
        <v>5.0170000000000003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1.8646199999999999</v>
      </c>
      <c r="EM204">
        <v>1.8692</v>
      </c>
      <c r="EN204">
        <v>1.8672299999999999</v>
      </c>
      <c r="EO204">
        <v>1.8633900000000001</v>
      </c>
      <c r="EP204">
        <v>1.8644700000000001</v>
      </c>
      <c r="EQ204">
        <v>1.8702099999999999</v>
      </c>
      <c r="ER204">
        <v>1.8694200000000001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-0.18</v>
      </c>
      <c r="FG204">
        <v>0.15140000000000001</v>
      </c>
      <c r="FH204">
        <v>5.0310448532705943E-2</v>
      </c>
      <c r="FI204">
        <v>-6.1462078757559423E-4</v>
      </c>
      <c r="FJ204">
        <v>-1.8861989874597051E-7</v>
      </c>
      <c r="FK204">
        <v>1.1980462299894961E-10</v>
      </c>
      <c r="FL204">
        <v>0.15140825623214971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36.700000000000003</v>
      </c>
      <c r="FU204">
        <v>36.6</v>
      </c>
      <c r="FV204">
        <v>1.7663599999999999</v>
      </c>
      <c r="FW204">
        <v>2.5842299999999998</v>
      </c>
      <c r="FX204">
        <v>1.5490699999999999</v>
      </c>
      <c r="FY204">
        <v>2.3327599999999999</v>
      </c>
      <c r="FZ204">
        <v>1.50146</v>
      </c>
      <c r="GA204">
        <v>2.3754900000000001</v>
      </c>
      <c r="GB204">
        <v>33.266300000000001</v>
      </c>
      <c r="GC204">
        <v>23.991199999999999</v>
      </c>
      <c r="GD204">
        <v>19</v>
      </c>
      <c r="GE204">
        <v>287.68900000000002</v>
      </c>
      <c r="GF204">
        <v>581.24</v>
      </c>
      <c r="GG204">
        <v>23.752400000000002</v>
      </c>
      <c r="GH204">
        <v>25.9757</v>
      </c>
      <c r="GI204">
        <v>30.0001</v>
      </c>
      <c r="GJ204">
        <v>26.101700000000001</v>
      </c>
      <c r="GK204">
        <v>26.082899999999999</v>
      </c>
      <c r="GL204">
        <v>35.305599999999998</v>
      </c>
      <c r="GM204">
        <v>100</v>
      </c>
      <c r="GN204">
        <v>0</v>
      </c>
      <c r="GO204">
        <v>23.765599999999999</v>
      </c>
      <c r="GP204">
        <v>800</v>
      </c>
      <c r="GQ204">
        <v>0</v>
      </c>
      <c r="GR204">
        <v>99.753399999999999</v>
      </c>
      <c r="GS204">
        <v>99.576599999999999</v>
      </c>
    </row>
    <row r="205" spans="1:201" x14ac:dyDescent="0.25">
      <c r="A205">
        <v>189</v>
      </c>
      <c r="B205">
        <v>1690294280</v>
      </c>
      <c r="C205">
        <v>2009.400000095367</v>
      </c>
      <c r="D205" t="s">
        <v>711</v>
      </c>
      <c r="E205" t="s">
        <v>712</v>
      </c>
      <c r="F205" t="s">
        <v>330</v>
      </c>
      <c r="H205">
        <v>1690294280</v>
      </c>
      <c r="I205">
        <f t="shared" si="60"/>
        <v>2.7581667002319495E-3</v>
      </c>
      <c r="J205">
        <f t="shared" si="61"/>
        <v>2.7581667002319494</v>
      </c>
      <c r="K205">
        <f t="shared" si="62"/>
        <v>44.407116140541561</v>
      </c>
      <c r="L205">
        <f t="shared" si="63"/>
        <v>346.34300000000002</v>
      </c>
      <c r="M205">
        <f t="shared" si="64"/>
        <v>118.35736378978416</v>
      </c>
      <c r="N205">
        <f t="shared" si="65"/>
        <v>11.770054954145133</v>
      </c>
      <c r="O205">
        <f t="shared" si="66"/>
        <v>34.442099861431203</v>
      </c>
      <c r="P205">
        <f t="shared" si="67"/>
        <v>0.33857561746290465</v>
      </c>
      <c r="Q205">
        <f t="shared" si="68"/>
        <v>2.2578762308951132</v>
      </c>
      <c r="R205">
        <f t="shared" si="69"/>
        <v>0.31268909459107191</v>
      </c>
      <c r="S205">
        <f t="shared" si="70"/>
        <v>0.19759129313523971</v>
      </c>
      <c r="T205">
        <f t="shared" si="71"/>
        <v>276.11264054836386</v>
      </c>
      <c r="U205">
        <f t="shared" si="72"/>
        <v>26.773832551584906</v>
      </c>
      <c r="V205">
        <f t="shared" si="73"/>
        <v>26.773832551584906</v>
      </c>
      <c r="W205">
        <f t="shared" si="74"/>
        <v>3.5318911195814575</v>
      </c>
      <c r="X205">
        <f t="shared" si="75"/>
        <v>81.326138494044017</v>
      </c>
      <c r="Y205">
        <f t="shared" si="76"/>
        <v>2.6821127810947201</v>
      </c>
      <c r="Z205">
        <f t="shared" si="77"/>
        <v>3.2979713911919557</v>
      </c>
      <c r="AA205">
        <f t="shared" si="78"/>
        <v>0.84977833848673745</v>
      </c>
      <c r="AB205">
        <f t="shared" si="79"/>
        <v>-121.63515148022897</v>
      </c>
      <c r="AC205">
        <f t="shared" si="80"/>
        <v>-141.17032750512772</v>
      </c>
      <c r="AD205">
        <f t="shared" si="81"/>
        <v>-13.384884340554212</v>
      </c>
      <c r="AE205">
        <f t="shared" si="82"/>
        <v>-7.7722777547023725E-2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52787.334189394358</v>
      </c>
      <c r="AK205">
        <f t="shared" si="86"/>
        <v>1799.99</v>
      </c>
      <c r="AL205">
        <f t="shared" si="87"/>
        <v>1499.10626718558</v>
      </c>
      <c r="AM205">
        <f t="shared" si="88"/>
        <v>0.83284144199999999</v>
      </c>
      <c r="AN205">
        <f t="shared" si="89"/>
        <v>0.15339676362000002</v>
      </c>
      <c r="AO205">
        <v>30</v>
      </c>
      <c r="AP205">
        <v>0.5</v>
      </c>
      <c r="AQ205" t="s">
        <v>331</v>
      </c>
      <c r="AR205">
        <v>2</v>
      </c>
      <c r="AS205">
        <v>1690294280</v>
      </c>
      <c r="AT205">
        <v>346.34300000000002</v>
      </c>
      <c r="AU205">
        <v>799.98199999999997</v>
      </c>
      <c r="AV205">
        <v>26.970800000000001</v>
      </c>
      <c r="AW205">
        <v>0.13213800000000001</v>
      </c>
      <c r="AX205">
        <v>346.52300000000002</v>
      </c>
      <c r="AY205">
        <v>26.819299999999998</v>
      </c>
      <c r="AZ205">
        <v>299.99</v>
      </c>
      <c r="BA205">
        <v>99.345100000000002</v>
      </c>
      <c r="BB205">
        <v>9.9958400000000003E-2</v>
      </c>
      <c r="BC205">
        <v>25.614100000000001</v>
      </c>
      <c r="BD205">
        <v>26.982900000000001</v>
      </c>
      <c r="BE205">
        <v>26.6145</v>
      </c>
      <c r="BF205">
        <v>0</v>
      </c>
      <c r="BG205">
        <v>0</v>
      </c>
      <c r="BH205">
        <v>10002.5</v>
      </c>
      <c r="BI205">
        <v>1062.51</v>
      </c>
      <c r="BJ205">
        <v>2.1305100000000001</v>
      </c>
      <c r="BK205">
        <v>-453.63900000000001</v>
      </c>
      <c r="BL205">
        <v>355.94299999999998</v>
      </c>
      <c r="BM205">
        <v>800.08699999999999</v>
      </c>
      <c r="BN205">
        <v>26.8386</v>
      </c>
      <c r="BO205">
        <v>799.98199999999997</v>
      </c>
      <c r="BP205">
        <v>0.13213800000000001</v>
      </c>
      <c r="BQ205">
        <v>2.6794099999999998</v>
      </c>
      <c r="BR205">
        <v>1.31273E-2</v>
      </c>
      <c r="BS205">
        <v>22.159400000000002</v>
      </c>
      <c r="BT205">
        <v>-43.400799999999997</v>
      </c>
      <c r="BU205">
        <v>1799.99</v>
      </c>
      <c r="BV205">
        <v>0.91002300000000003</v>
      </c>
      <c r="BW205">
        <v>3.3994200000000002E-2</v>
      </c>
      <c r="BX205">
        <v>2.1993599999999999E-2</v>
      </c>
      <c r="BY205">
        <v>3.3988999999999998E-2</v>
      </c>
      <c r="BZ205">
        <v>26</v>
      </c>
      <c r="CA205">
        <v>33528.400000000001</v>
      </c>
      <c r="CB205">
        <v>1690292073.5</v>
      </c>
      <c r="CC205" t="s">
        <v>332</v>
      </c>
      <c r="CD205">
        <v>1690292069.5</v>
      </c>
      <c r="CE205">
        <v>1690292073.5</v>
      </c>
      <c r="CF205">
        <v>4</v>
      </c>
      <c r="CG205">
        <v>-3.6999999999999998E-2</v>
      </c>
      <c r="CH205">
        <v>-1.6E-2</v>
      </c>
      <c r="CI205">
        <v>-0.45200000000000001</v>
      </c>
      <c r="CJ205">
        <v>0.108</v>
      </c>
      <c r="CK205">
        <v>730</v>
      </c>
      <c r="CL205">
        <v>18</v>
      </c>
      <c r="CM205">
        <v>0</v>
      </c>
      <c r="CN205">
        <v>0.01</v>
      </c>
      <c r="CO205">
        <v>-453.31670731707322</v>
      </c>
      <c r="CP205">
        <v>-1.588285714286626</v>
      </c>
      <c r="CQ205">
        <v>0.16782049700424889</v>
      </c>
      <c r="CR205">
        <v>-1</v>
      </c>
      <c r="CS205">
        <v>26.82423414634146</v>
      </c>
      <c r="CT205">
        <v>7.377073170730683E-2</v>
      </c>
      <c r="CU205">
        <v>7.2948230810255211E-3</v>
      </c>
      <c r="CV205">
        <v>-1</v>
      </c>
      <c r="CW205">
        <v>0</v>
      </c>
      <c r="CX205">
        <v>0</v>
      </c>
      <c r="CY205" t="s">
        <v>333</v>
      </c>
      <c r="CZ205">
        <v>2.3643299999999998</v>
      </c>
      <c r="DA205">
        <v>2.7137500000000001</v>
      </c>
      <c r="DB205">
        <v>8.0301899999999996E-2</v>
      </c>
      <c r="DC205">
        <v>0.14643500000000001</v>
      </c>
      <c r="DD205">
        <v>0.12413399999999999</v>
      </c>
      <c r="DE205">
        <v>1.1180299999999999E-3</v>
      </c>
      <c r="DF205">
        <v>33588.300000000003</v>
      </c>
      <c r="DG205">
        <v>27513.3</v>
      </c>
      <c r="DH205">
        <v>31177.1</v>
      </c>
      <c r="DI205">
        <v>28086.7</v>
      </c>
      <c r="DJ205">
        <v>37060.6</v>
      </c>
      <c r="DK205">
        <v>39896.5</v>
      </c>
      <c r="DL205">
        <v>44368</v>
      </c>
      <c r="DM205">
        <v>42563.9</v>
      </c>
      <c r="DN205">
        <v>1.4897199999999999</v>
      </c>
      <c r="DO205">
        <v>2.0379299999999998</v>
      </c>
      <c r="DP205">
        <v>0.122312</v>
      </c>
      <c r="DQ205">
        <v>0.121921</v>
      </c>
      <c r="DR205">
        <v>24.979299999999999</v>
      </c>
      <c r="DS205">
        <v>24.616099999999999</v>
      </c>
      <c r="DT205">
        <v>21.3</v>
      </c>
      <c r="DU205">
        <v>28.9</v>
      </c>
      <c r="DV205">
        <v>8.5742700000000003</v>
      </c>
      <c r="DW205">
        <v>61.763399999999997</v>
      </c>
      <c r="DX205">
        <v>36.137799999999999</v>
      </c>
      <c r="DY205">
        <v>1</v>
      </c>
      <c r="DZ205">
        <v>-0.11085100000000001</v>
      </c>
      <c r="EA205">
        <v>0.275648</v>
      </c>
      <c r="EB205">
        <v>20.190000000000001</v>
      </c>
      <c r="EC205">
        <v>5.2409499999999998</v>
      </c>
      <c r="ED205">
        <v>12.039899999999999</v>
      </c>
      <c r="EE205">
        <v>5.0172499999999998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1.8689100000000001</v>
      </c>
      <c r="EL205">
        <v>1.8646199999999999</v>
      </c>
      <c r="EM205">
        <v>1.8692</v>
      </c>
      <c r="EN205">
        <v>1.8672200000000001</v>
      </c>
      <c r="EO205">
        <v>1.8633999999999999</v>
      </c>
      <c r="EP205">
        <v>1.8644700000000001</v>
      </c>
      <c r="EQ205">
        <v>1.87016</v>
      </c>
      <c r="ER205">
        <v>1.8693900000000001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-0.18</v>
      </c>
      <c r="FG205">
        <v>0.1515</v>
      </c>
      <c r="FH205">
        <v>5.0310448532705943E-2</v>
      </c>
      <c r="FI205">
        <v>-6.1462078757559423E-4</v>
      </c>
      <c r="FJ205">
        <v>-1.8861989874597051E-7</v>
      </c>
      <c r="FK205">
        <v>1.1980462299894961E-10</v>
      </c>
      <c r="FL205">
        <v>0.15140825623214971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36.799999999999997</v>
      </c>
      <c r="FU205">
        <v>36.799999999999997</v>
      </c>
      <c r="FV205">
        <v>1.7663599999999999</v>
      </c>
      <c r="FW205">
        <v>2.5878899999999998</v>
      </c>
      <c r="FX205">
        <v>1.5490699999999999</v>
      </c>
      <c r="FY205">
        <v>2.3339799999999999</v>
      </c>
      <c r="FZ205">
        <v>1.50146</v>
      </c>
      <c r="GA205">
        <v>2.33643</v>
      </c>
      <c r="GB205">
        <v>33.266300000000001</v>
      </c>
      <c r="GC205">
        <v>23.982399999999998</v>
      </c>
      <c r="GD205">
        <v>19</v>
      </c>
      <c r="GE205">
        <v>287.565</v>
      </c>
      <c r="GF205">
        <v>581.54899999999998</v>
      </c>
      <c r="GG205">
        <v>23.769400000000001</v>
      </c>
      <c r="GH205">
        <v>25.9757</v>
      </c>
      <c r="GI205">
        <v>30.0002</v>
      </c>
      <c r="GJ205">
        <v>26.102799999999998</v>
      </c>
      <c r="GK205">
        <v>26.082899999999999</v>
      </c>
      <c r="GL205">
        <v>35.306800000000003</v>
      </c>
      <c r="GM205">
        <v>100</v>
      </c>
      <c r="GN205">
        <v>0</v>
      </c>
      <c r="GO205">
        <v>23.772400000000001</v>
      </c>
      <c r="GP205">
        <v>800</v>
      </c>
      <c r="GQ205">
        <v>0</v>
      </c>
      <c r="GR205">
        <v>99.753500000000003</v>
      </c>
      <c r="GS205">
        <v>99.577200000000005</v>
      </c>
    </row>
    <row r="206" spans="1:201" x14ac:dyDescent="0.25">
      <c r="A206">
        <v>190</v>
      </c>
      <c r="B206">
        <v>1690294290</v>
      </c>
      <c r="C206">
        <v>2019.400000095367</v>
      </c>
      <c r="D206" t="s">
        <v>713</v>
      </c>
      <c r="E206" t="s">
        <v>714</v>
      </c>
      <c r="F206" t="s">
        <v>330</v>
      </c>
      <c r="H206">
        <v>1690294290</v>
      </c>
      <c r="I206">
        <f t="shared" si="60"/>
        <v>2.7620731476727979E-3</v>
      </c>
      <c r="J206">
        <f t="shared" si="61"/>
        <v>2.762073147672798</v>
      </c>
      <c r="K206">
        <f t="shared" si="62"/>
        <v>44.459376603370046</v>
      </c>
      <c r="L206">
        <f t="shared" si="63"/>
        <v>346.06200000000001</v>
      </c>
      <c r="M206">
        <f t="shared" si="64"/>
        <v>118.95166861098878</v>
      </c>
      <c r="N206">
        <f t="shared" si="65"/>
        <v>11.829076540832764</v>
      </c>
      <c r="O206">
        <f t="shared" si="66"/>
        <v>34.413925703396998</v>
      </c>
      <c r="P206">
        <f t="shared" si="67"/>
        <v>0.34041232111368686</v>
      </c>
      <c r="Q206">
        <f t="shared" si="68"/>
        <v>2.2573024092521425</v>
      </c>
      <c r="R206">
        <f t="shared" si="69"/>
        <v>0.31424969747026804</v>
      </c>
      <c r="S206">
        <f t="shared" si="70"/>
        <v>0.1985888409884902</v>
      </c>
      <c r="T206">
        <f t="shared" si="71"/>
        <v>276.11413268399997</v>
      </c>
      <c r="U206">
        <f t="shared" si="72"/>
        <v>26.770621731007939</v>
      </c>
      <c r="V206">
        <f t="shared" si="73"/>
        <v>26.770621731007939</v>
      </c>
      <c r="W206">
        <f t="shared" si="74"/>
        <v>3.5312240068335834</v>
      </c>
      <c r="X206">
        <f t="shared" si="75"/>
        <v>81.408590390897757</v>
      </c>
      <c r="Y206">
        <f t="shared" si="76"/>
        <v>2.6844815136537998</v>
      </c>
      <c r="Z206">
        <f t="shared" si="77"/>
        <v>3.2975408378449824</v>
      </c>
      <c r="AA206">
        <f t="shared" si="78"/>
        <v>0.84674249317978356</v>
      </c>
      <c r="AB206">
        <f t="shared" si="79"/>
        <v>-121.80742581237038</v>
      </c>
      <c r="AC206">
        <f t="shared" si="80"/>
        <v>-141.01143766183498</v>
      </c>
      <c r="AD206">
        <f t="shared" si="81"/>
        <v>-13.372855243629182</v>
      </c>
      <c r="AE206">
        <f t="shared" si="82"/>
        <v>-7.7586033834592172E-2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52765.180815114327</v>
      </c>
      <c r="AK206">
        <f t="shared" si="86"/>
        <v>1800</v>
      </c>
      <c r="AL206">
        <f t="shared" si="87"/>
        <v>1499.1154254</v>
      </c>
      <c r="AM206">
        <f t="shared" si="88"/>
        <v>0.83284190300000005</v>
      </c>
      <c r="AN206">
        <f t="shared" si="89"/>
        <v>0.15339674037999998</v>
      </c>
      <c r="AO206">
        <v>30</v>
      </c>
      <c r="AP206">
        <v>0.5</v>
      </c>
      <c r="AQ206" t="s">
        <v>331</v>
      </c>
      <c r="AR206">
        <v>2</v>
      </c>
      <c r="AS206">
        <v>1690294290</v>
      </c>
      <c r="AT206">
        <v>346.06200000000001</v>
      </c>
      <c r="AU206">
        <v>800.01300000000003</v>
      </c>
      <c r="AV206">
        <v>26.994800000000001</v>
      </c>
      <c r="AW206">
        <v>0.13159399999999999</v>
      </c>
      <c r="AX206">
        <v>346.24200000000002</v>
      </c>
      <c r="AY206">
        <v>26.843399999999999</v>
      </c>
      <c r="AZ206">
        <v>300.13299999999998</v>
      </c>
      <c r="BA206">
        <v>99.344399999999993</v>
      </c>
      <c r="BB206">
        <v>9.9993499999999999E-2</v>
      </c>
      <c r="BC206">
        <v>25.611899999999999</v>
      </c>
      <c r="BD206">
        <v>26.999400000000001</v>
      </c>
      <c r="BE206">
        <v>26.6206</v>
      </c>
      <c r="BF206">
        <v>0</v>
      </c>
      <c r="BG206">
        <v>0</v>
      </c>
      <c r="BH206">
        <v>9998.1200000000008</v>
      </c>
      <c r="BI206">
        <v>1062.6500000000001</v>
      </c>
      <c r="BJ206">
        <v>1.97072</v>
      </c>
      <c r="BK206">
        <v>-453.95100000000002</v>
      </c>
      <c r="BL206">
        <v>355.66300000000001</v>
      </c>
      <c r="BM206">
        <v>800.11800000000005</v>
      </c>
      <c r="BN206">
        <v>26.863199999999999</v>
      </c>
      <c r="BO206">
        <v>800.01300000000003</v>
      </c>
      <c r="BP206">
        <v>0.13159399999999999</v>
      </c>
      <c r="BQ206">
        <v>2.6817899999999999</v>
      </c>
      <c r="BR206">
        <v>1.3073100000000001E-2</v>
      </c>
      <c r="BS206">
        <v>22.1739</v>
      </c>
      <c r="BT206">
        <v>-43.439</v>
      </c>
      <c r="BU206">
        <v>1800</v>
      </c>
      <c r="BV206">
        <v>0.910026</v>
      </c>
      <c r="BW206">
        <v>3.3993200000000001E-2</v>
      </c>
      <c r="BX206">
        <v>2.1992899999999999E-2</v>
      </c>
      <c r="BY206">
        <v>3.3987999999999997E-2</v>
      </c>
      <c r="BZ206">
        <v>26</v>
      </c>
      <c r="CA206">
        <v>33528.5</v>
      </c>
      <c r="CB206">
        <v>1690292073.5</v>
      </c>
      <c r="CC206" t="s">
        <v>332</v>
      </c>
      <c r="CD206">
        <v>1690292069.5</v>
      </c>
      <c r="CE206">
        <v>1690292073.5</v>
      </c>
      <c r="CF206">
        <v>4</v>
      </c>
      <c r="CG206">
        <v>-3.6999999999999998E-2</v>
      </c>
      <c r="CH206">
        <v>-1.6E-2</v>
      </c>
      <c r="CI206">
        <v>-0.45200000000000001</v>
      </c>
      <c r="CJ206">
        <v>0.108</v>
      </c>
      <c r="CK206">
        <v>730</v>
      </c>
      <c r="CL206">
        <v>18</v>
      </c>
      <c r="CM206">
        <v>0</v>
      </c>
      <c r="CN206">
        <v>0.01</v>
      </c>
      <c r="CO206">
        <v>-453.58251219512198</v>
      </c>
      <c r="CP206">
        <v>-1.628362369338642</v>
      </c>
      <c r="CQ206">
        <v>0.1642579948607302</v>
      </c>
      <c r="CR206">
        <v>-1</v>
      </c>
      <c r="CS206">
        <v>26.840360975609759</v>
      </c>
      <c r="CT206">
        <v>0.1171818815331325</v>
      </c>
      <c r="CU206">
        <v>1.171677717381636E-2</v>
      </c>
      <c r="CV206">
        <v>-1</v>
      </c>
      <c r="CW206">
        <v>0</v>
      </c>
      <c r="CX206">
        <v>0</v>
      </c>
      <c r="CY206" t="s">
        <v>333</v>
      </c>
      <c r="CZ206">
        <v>2.3647900000000002</v>
      </c>
      <c r="DA206">
        <v>2.7137799999999999</v>
      </c>
      <c r="DB206">
        <v>8.0249899999999999E-2</v>
      </c>
      <c r="DC206">
        <v>0.14643700000000001</v>
      </c>
      <c r="DD206">
        <v>0.12421</v>
      </c>
      <c r="DE206">
        <v>1.11344E-3</v>
      </c>
      <c r="DF206">
        <v>33590.400000000001</v>
      </c>
      <c r="DG206">
        <v>27512.9</v>
      </c>
      <c r="DH206">
        <v>31177.3</v>
      </c>
      <c r="DI206">
        <v>28086.400000000001</v>
      </c>
      <c r="DJ206">
        <v>37057.800000000003</v>
      </c>
      <c r="DK206">
        <v>39896.199999999997</v>
      </c>
      <c r="DL206">
        <v>44368.5</v>
      </c>
      <c r="DM206">
        <v>42563.3</v>
      </c>
      <c r="DN206">
        <v>1.4900500000000001</v>
      </c>
      <c r="DO206">
        <v>2.03755</v>
      </c>
      <c r="DP206">
        <v>0.123195</v>
      </c>
      <c r="DQ206">
        <v>0.122171</v>
      </c>
      <c r="DR206">
        <v>24.981400000000001</v>
      </c>
      <c r="DS206">
        <v>24.618200000000002</v>
      </c>
      <c r="DT206">
        <v>21.3</v>
      </c>
      <c r="DU206">
        <v>28.9</v>
      </c>
      <c r="DV206">
        <v>8.5732199999999992</v>
      </c>
      <c r="DW206">
        <v>61.3934</v>
      </c>
      <c r="DX206">
        <v>35.060099999999998</v>
      </c>
      <c r="DY206">
        <v>1</v>
      </c>
      <c r="DZ206">
        <v>-0.11132400000000001</v>
      </c>
      <c r="EA206">
        <v>0.25378299999999998</v>
      </c>
      <c r="EB206">
        <v>20.190000000000001</v>
      </c>
      <c r="EC206">
        <v>5.2411000000000003</v>
      </c>
      <c r="ED206">
        <v>12.039899999999999</v>
      </c>
      <c r="EE206">
        <v>5.0171000000000001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</v>
      </c>
      <c r="EL206">
        <v>1.8646199999999999</v>
      </c>
      <c r="EM206">
        <v>1.8692</v>
      </c>
      <c r="EN206">
        <v>1.8672200000000001</v>
      </c>
      <c r="EO206">
        <v>1.8633999999999999</v>
      </c>
      <c r="EP206">
        <v>1.8644700000000001</v>
      </c>
      <c r="EQ206">
        <v>1.87018</v>
      </c>
      <c r="ER206">
        <v>1.8694200000000001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-0.18</v>
      </c>
      <c r="FG206">
        <v>0.15140000000000001</v>
      </c>
      <c r="FH206">
        <v>5.0310448532705943E-2</v>
      </c>
      <c r="FI206">
        <v>-6.1462078757559423E-4</v>
      </c>
      <c r="FJ206">
        <v>-1.8861989874597051E-7</v>
      </c>
      <c r="FK206">
        <v>1.1980462299894961E-10</v>
      </c>
      <c r="FL206">
        <v>0.15140825623214971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37</v>
      </c>
      <c r="FU206">
        <v>36.9</v>
      </c>
      <c r="FV206">
        <v>1.7663599999999999</v>
      </c>
      <c r="FW206">
        <v>2.5817899999999998</v>
      </c>
      <c r="FX206">
        <v>1.5490699999999999</v>
      </c>
      <c r="FY206">
        <v>2.3327599999999999</v>
      </c>
      <c r="FZ206">
        <v>1.50146</v>
      </c>
      <c r="GA206">
        <v>2.3156699999999999</v>
      </c>
      <c r="GB206">
        <v>33.266300000000001</v>
      </c>
      <c r="GC206">
        <v>23.982399999999998</v>
      </c>
      <c r="GD206">
        <v>19</v>
      </c>
      <c r="GE206">
        <v>287.70999999999998</v>
      </c>
      <c r="GF206">
        <v>581.26400000000001</v>
      </c>
      <c r="GG206">
        <v>23.788</v>
      </c>
      <c r="GH206">
        <v>25.977900000000002</v>
      </c>
      <c r="GI206">
        <v>30.0001</v>
      </c>
      <c r="GJ206">
        <v>26.103899999999999</v>
      </c>
      <c r="GK206">
        <v>26.085100000000001</v>
      </c>
      <c r="GL206">
        <v>35.304699999999997</v>
      </c>
      <c r="GM206">
        <v>100</v>
      </c>
      <c r="GN206">
        <v>0</v>
      </c>
      <c r="GO206">
        <v>23.789400000000001</v>
      </c>
      <c r="GP206">
        <v>800</v>
      </c>
      <c r="GQ206">
        <v>0</v>
      </c>
      <c r="GR206">
        <v>99.754400000000004</v>
      </c>
      <c r="GS206">
        <v>99.575999999999993</v>
      </c>
    </row>
    <row r="207" spans="1:201" x14ac:dyDescent="0.25">
      <c r="A207">
        <v>191</v>
      </c>
      <c r="B207">
        <v>1690294300</v>
      </c>
      <c r="C207">
        <v>2029.400000095367</v>
      </c>
      <c r="D207" t="s">
        <v>715</v>
      </c>
      <c r="E207" t="s">
        <v>716</v>
      </c>
      <c r="F207" t="s">
        <v>330</v>
      </c>
      <c r="H207">
        <v>1690294300</v>
      </c>
      <c r="I207">
        <f t="shared" si="60"/>
        <v>2.7657901637394532E-3</v>
      </c>
      <c r="J207">
        <f t="shared" si="61"/>
        <v>2.7657901637394531</v>
      </c>
      <c r="K207">
        <f t="shared" si="62"/>
        <v>44.486828020139576</v>
      </c>
      <c r="L207">
        <f t="shared" si="63"/>
        <v>345.91800000000001</v>
      </c>
      <c r="M207">
        <f t="shared" si="64"/>
        <v>119.34381904535256</v>
      </c>
      <c r="N207">
        <f t="shared" si="65"/>
        <v>11.867964861375865</v>
      </c>
      <c r="O207">
        <f t="shared" si="66"/>
        <v>34.399290233517</v>
      </c>
      <c r="P207">
        <f t="shared" si="67"/>
        <v>0.34148333563699163</v>
      </c>
      <c r="Q207">
        <f t="shared" si="68"/>
        <v>2.2595432795922212</v>
      </c>
      <c r="R207">
        <f t="shared" si="69"/>
        <v>0.31518659322637516</v>
      </c>
      <c r="S207">
        <f t="shared" si="70"/>
        <v>0.19918525628704678</v>
      </c>
      <c r="T207">
        <f t="shared" si="71"/>
        <v>276.1124808172512</v>
      </c>
      <c r="U207">
        <f t="shared" si="72"/>
        <v>26.776421215685854</v>
      </c>
      <c r="V207">
        <f t="shared" si="73"/>
        <v>26.776421215685854</v>
      </c>
      <c r="W207">
        <f t="shared" si="74"/>
        <v>3.532429046881322</v>
      </c>
      <c r="X207">
        <f t="shared" si="75"/>
        <v>81.448598894349246</v>
      </c>
      <c r="Y207">
        <f t="shared" si="76"/>
        <v>2.6870921466559503</v>
      </c>
      <c r="Z207">
        <f t="shared" si="77"/>
        <v>3.2991262994486892</v>
      </c>
      <c r="AA207">
        <f t="shared" si="78"/>
        <v>0.84533690022537167</v>
      </c>
      <c r="AB207">
        <f t="shared" si="79"/>
        <v>-121.97134622090988</v>
      </c>
      <c r="AC207">
        <f t="shared" si="80"/>
        <v>-140.87118188597245</v>
      </c>
      <c r="AD207">
        <f t="shared" si="81"/>
        <v>-13.347234763260129</v>
      </c>
      <c r="AE207">
        <f t="shared" si="82"/>
        <v>-7.728205289126322E-2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52851.730304370976</v>
      </c>
      <c r="AK207">
        <f t="shared" si="86"/>
        <v>1799.99</v>
      </c>
      <c r="AL207">
        <f t="shared" si="87"/>
        <v>1499.1072499801198</v>
      </c>
      <c r="AM207">
        <f t="shared" si="88"/>
        <v>0.83284198799999987</v>
      </c>
      <c r="AN207">
        <f t="shared" si="89"/>
        <v>0.15339667488</v>
      </c>
      <c r="AO207">
        <v>30</v>
      </c>
      <c r="AP207">
        <v>0.5</v>
      </c>
      <c r="AQ207" t="s">
        <v>331</v>
      </c>
      <c r="AR207">
        <v>2</v>
      </c>
      <c r="AS207">
        <v>1690294300</v>
      </c>
      <c r="AT207">
        <v>345.91800000000001</v>
      </c>
      <c r="AU207">
        <v>800.00400000000002</v>
      </c>
      <c r="AV207">
        <v>27.0213</v>
      </c>
      <c r="AW207">
        <v>0.13145599999999999</v>
      </c>
      <c r="AX207">
        <v>346.09800000000001</v>
      </c>
      <c r="AY207">
        <v>26.869800000000001</v>
      </c>
      <c r="AZ207">
        <v>300.23099999999999</v>
      </c>
      <c r="BA207">
        <v>99.343500000000006</v>
      </c>
      <c r="BB207">
        <v>9.9981500000000001E-2</v>
      </c>
      <c r="BC207">
        <v>25.62</v>
      </c>
      <c r="BD207">
        <v>27.011099999999999</v>
      </c>
      <c r="BE207">
        <v>26.6264</v>
      </c>
      <c r="BF207">
        <v>0</v>
      </c>
      <c r="BG207">
        <v>0</v>
      </c>
      <c r="BH207">
        <v>10015.6</v>
      </c>
      <c r="BI207">
        <v>1062.57</v>
      </c>
      <c r="BJ207">
        <v>2.2426400000000002</v>
      </c>
      <c r="BK207">
        <v>-454.08600000000001</v>
      </c>
      <c r="BL207">
        <v>355.52499999999998</v>
      </c>
      <c r="BM207">
        <v>800.10900000000004</v>
      </c>
      <c r="BN207">
        <v>26.889800000000001</v>
      </c>
      <c r="BO207">
        <v>800.00400000000002</v>
      </c>
      <c r="BP207">
        <v>0.13145599999999999</v>
      </c>
      <c r="BQ207">
        <v>2.6843900000000001</v>
      </c>
      <c r="BR207">
        <v>1.3059299999999999E-2</v>
      </c>
      <c r="BS207">
        <v>22.189900000000002</v>
      </c>
      <c r="BT207">
        <v>-43.448799999999999</v>
      </c>
      <c r="BU207">
        <v>1799.99</v>
      </c>
      <c r="BV207">
        <v>0.91002799999999995</v>
      </c>
      <c r="BW207">
        <v>3.3992399999999999E-2</v>
      </c>
      <c r="BX207">
        <v>2.1992399999999999E-2</v>
      </c>
      <c r="BY207">
        <v>3.3987200000000002E-2</v>
      </c>
      <c r="BZ207">
        <v>26</v>
      </c>
      <c r="CA207">
        <v>33528.5</v>
      </c>
      <c r="CB207">
        <v>1690292073.5</v>
      </c>
      <c r="CC207" t="s">
        <v>332</v>
      </c>
      <c r="CD207">
        <v>1690292069.5</v>
      </c>
      <c r="CE207">
        <v>1690292073.5</v>
      </c>
      <c r="CF207">
        <v>4</v>
      </c>
      <c r="CG207">
        <v>-3.6999999999999998E-2</v>
      </c>
      <c r="CH207">
        <v>-1.6E-2</v>
      </c>
      <c r="CI207">
        <v>-0.45200000000000001</v>
      </c>
      <c r="CJ207">
        <v>0.108</v>
      </c>
      <c r="CK207">
        <v>730</v>
      </c>
      <c r="CL207">
        <v>18</v>
      </c>
      <c r="CM207">
        <v>0</v>
      </c>
      <c r="CN207">
        <v>0.01</v>
      </c>
      <c r="CO207">
        <v>-453.84222499999998</v>
      </c>
      <c r="CP207">
        <v>-1.2802288930560719</v>
      </c>
      <c r="CQ207">
        <v>0.13471571688188619</v>
      </c>
      <c r="CR207">
        <v>-1</v>
      </c>
      <c r="CS207">
        <v>26.861532499999999</v>
      </c>
      <c r="CT207">
        <v>0.14487016885550921</v>
      </c>
      <c r="CU207">
        <v>1.3955794271555961E-2</v>
      </c>
      <c r="CV207">
        <v>-1</v>
      </c>
      <c r="CW207">
        <v>0</v>
      </c>
      <c r="CX207">
        <v>0</v>
      </c>
      <c r="CY207" t="s">
        <v>333</v>
      </c>
      <c r="CZ207">
        <v>2.3650899999999999</v>
      </c>
      <c r="DA207">
        <v>2.7137899999999999</v>
      </c>
      <c r="DB207">
        <v>8.0222600000000005E-2</v>
      </c>
      <c r="DC207">
        <v>0.14643500000000001</v>
      </c>
      <c r="DD207">
        <v>0.124293</v>
      </c>
      <c r="DE207">
        <v>1.11228E-3</v>
      </c>
      <c r="DF207">
        <v>33590.6</v>
      </c>
      <c r="DG207">
        <v>27513.200000000001</v>
      </c>
      <c r="DH207">
        <v>31176.5</v>
      </c>
      <c r="DI207">
        <v>28086.6</v>
      </c>
      <c r="DJ207">
        <v>37053.4</v>
      </c>
      <c r="DK207">
        <v>39896.699999999997</v>
      </c>
      <c r="DL207">
        <v>44367.5</v>
      </c>
      <c r="DM207">
        <v>42563.8</v>
      </c>
      <c r="DN207">
        <v>1.4900500000000001</v>
      </c>
      <c r="DO207">
        <v>2.03755</v>
      </c>
      <c r="DP207">
        <v>0.123776</v>
      </c>
      <c r="DQ207">
        <v>0.122394</v>
      </c>
      <c r="DR207">
        <v>24.983599999999999</v>
      </c>
      <c r="DS207">
        <v>24.620200000000001</v>
      </c>
      <c r="DT207">
        <v>21.2</v>
      </c>
      <c r="DU207">
        <v>28.9</v>
      </c>
      <c r="DV207">
        <v>8.5336099999999995</v>
      </c>
      <c r="DW207">
        <v>61.323399999999999</v>
      </c>
      <c r="DX207">
        <v>35.0441</v>
      </c>
      <c r="DY207">
        <v>1</v>
      </c>
      <c r="DZ207">
        <v>-0.110767</v>
      </c>
      <c r="EA207">
        <v>0.31304999999999999</v>
      </c>
      <c r="EB207">
        <v>20.190200000000001</v>
      </c>
      <c r="EC207">
        <v>5.2409499999999998</v>
      </c>
      <c r="ED207">
        <v>12.039899999999999</v>
      </c>
      <c r="EE207">
        <v>5.0169499999999996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1.8646199999999999</v>
      </c>
      <c r="EM207">
        <v>1.8692</v>
      </c>
      <c r="EN207">
        <v>1.8672200000000001</v>
      </c>
      <c r="EO207">
        <v>1.86338</v>
      </c>
      <c r="EP207">
        <v>1.8644700000000001</v>
      </c>
      <c r="EQ207">
        <v>1.87018</v>
      </c>
      <c r="ER207">
        <v>1.8693900000000001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-0.18</v>
      </c>
      <c r="FG207">
        <v>0.1515</v>
      </c>
      <c r="FH207">
        <v>5.0310448532705943E-2</v>
      </c>
      <c r="FI207">
        <v>-6.1462078757559423E-4</v>
      </c>
      <c r="FJ207">
        <v>-1.8861989874597051E-7</v>
      </c>
      <c r="FK207">
        <v>1.1980462299894961E-10</v>
      </c>
      <c r="FL207">
        <v>0.15140825623214971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37.200000000000003</v>
      </c>
      <c r="FU207">
        <v>37.1</v>
      </c>
      <c r="FV207">
        <v>1.7663599999999999</v>
      </c>
      <c r="FW207">
        <v>2.5830099999999998</v>
      </c>
      <c r="FX207">
        <v>1.5490699999999999</v>
      </c>
      <c r="FY207">
        <v>2.3327599999999999</v>
      </c>
      <c r="FZ207">
        <v>1.50146</v>
      </c>
      <c r="GA207">
        <v>2.3547400000000001</v>
      </c>
      <c r="GB207">
        <v>33.266300000000001</v>
      </c>
      <c r="GC207">
        <v>23.991199999999999</v>
      </c>
      <c r="GD207">
        <v>19</v>
      </c>
      <c r="GE207">
        <v>287.72000000000003</v>
      </c>
      <c r="GF207">
        <v>581.26400000000001</v>
      </c>
      <c r="GG207">
        <v>23.791399999999999</v>
      </c>
      <c r="GH207">
        <v>25.9786</v>
      </c>
      <c r="GI207">
        <v>30.0002</v>
      </c>
      <c r="GJ207">
        <v>26.106100000000001</v>
      </c>
      <c r="GK207">
        <v>26.085100000000001</v>
      </c>
      <c r="GL207">
        <v>35.306600000000003</v>
      </c>
      <c r="GM207">
        <v>100</v>
      </c>
      <c r="GN207">
        <v>0</v>
      </c>
      <c r="GO207">
        <v>23.7789</v>
      </c>
      <c r="GP207">
        <v>800</v>
      </c>
      <c r="GQ207">
        <v>0</v>
      </c>
      <c r="GR207">
        <v>99.752099999999999</v>
      </c>
      <c r="GS207">
        <v>99.576800000000006</v>
      </c>
    </row>
    <row r="208" spans="1:201" x14ac:dyDescent="0.25">
      <c r="A208">
        <v>192</v>
      </c>
      <c r="B208">
        <v>1690294310</v>
      </c>
      <c r="C208">
        <v>2039.400000095367</v>
      </c>
      <c r="D208" t="s">
        <v>717</v>
      </c>
      <c r="E208" t="s">
        <v>718</v>
      </c>
      <c r="F208" t="s">
        <v>330</v>
      </c>
      <c r="H208">
        <v>1690294310</v>
      </c>
      <c r="I208">
        <f t="shared" si="60"/>
        <v>2.7668966691933414E-3</v>
      </c>
      <c r="J208">
        <f t="shared" si="61"/>
        <v>2.7668966691933412</v>
      </c>
      <c r="K208">
        <f t="shared" si="62"/>
        <v>44.483822935090068</v>
      </c>
      <c r="L208">
        <f t="shared" si="63"/>
        <v>345.61900000000003</v>
      </c>
      <c r="M208">
        <f t="shared" si="64"/>
        <v>119.93920177887892</v>
      </c>
      <c r="N208">
        <f t="shared" si="65"/>
        <v>11.927314460903229</v>
      </c>
      <c r="O208">
        <f t="shared" si="66"/>
        <v>34.369967746348998</v>
      </c>
      <c r="P208">
        <f t="shared" si="67"/>
        <v>0.34294639592817411</v>
      </c>
      <c r="Q208">
        <f t="shared" si="68"/>
        <v>2.2565813843540865</v>
      </c>
      <c r="R208">
        <f t="shared" si="69"/>
        <v>0.31640129262298083</v>
      </c>
      <c r="S208">
        <f t="shared" si="70"/>
        <v>0.19996428129460908</v>
      </c>
      <c r="T208">
        <f t="shared" si="71"/>
        <v>276.11400454199998</v>
      </c>
      <c r="U208">
        <f t="shared" si="72"/>
        <v>26.77535527597167</v>
      </c>
      <c r="V208">
        <f t="shared" si="73"/>
        <v>26.77535527597167</v>
      </c>
      <c r="W208">
        <f t="shared" si="74"/>
        <v>3.5322075347528674</v>
      </c>
      <c r="X208">
        <f t="shared" si="75"/>
        <v>81.540215094313723</v>
      </c>
      <c r="Y208">
        <f t="shared" si="76"/>
        <v>2.6897794612079995</v>
      </c>
      <c r="Z208">
        <f t="shared" si="77"/>
        <v>3.2987151899180773</v>
      </c>
      <c r="AA208">
        <f t="shared" si="78"/>
        <v>0.84242807354486793</v>
      </c>
      <c r="AB208">
        <f t="shared" si="79"/>
        <v>-122.02014311142635</v>
      </c>
      <c r="AC208">
        <f t="shared" si="80"/>
        <v>-140.81232306637486</v>
      </c>
      <c r="AD208">
        <f t="shared" si="81"/>
        <v>-13.358957779685886</v>
      </c>
      <c r="AE208">
        <f t="shared" si="82"/>
        <v>-7.7419415487156584E-2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52735.829434535364</v>
      </c>
      <c r="AK208">
        <f t="shared" si="86"/>
        <v>1800</v>
      </c>
      <c r="AL208">
        <f t="shared" si="87"/>
        <v>1499.1158681999998</v>
      </c>
      <c r="AM208">
        <f t="shared" si="88"/>
        <v>0.83284214899999987</v>
      </c>
      <c r="AN208">
        <f t="shared" si="89"/>
        <v>0.15339666919</v>
      </c>
      <c r="AO208">
        <v>30</v>
      </c>
      <c r="AP208">
        <v>0.5</v>
      </c>
      <c r="AQ208" t="s">
        <v>331</v>
      </c>
      <c r="AR208">
        <v>2</v>
      </c>
      <c r="AS208">
        <v>1690294310</v>
      </c>
      <c r="AT208">
        <v>345.61900000000003</v>
      </c>
      <c r="AU208">
        <v>799.952</v>
      </c>
      <c r="AV208">
        <v>27.047999999999998</v>
      </c>
      <c r="AW208">
        <v>0.13146099999999999</v>
      </c>
      <c r="AX208">
        <v>345.798</v>
      </c>
      <c r="AY208">
        <v>26.896599999999999</v>
      </c>
      <c r="AZ208">
        <v>300.04500000000002</v>
      </c>
      <c r="BA208">
        <v>99.344700000000003</v>
      </c>
      <c r="BB208">
        <v>9.9971000000000004E-2</v>
      </c>
      <c r="BC208">
        <v>25.617899999999999</v>
      </c>
      <c r="BD208">
        <v>27.0413</v>
      </c>
      <c r="BE208">
        <v>26.618400000000001</v>
      </c>
      <c r="BF208">
        <v>0</v>
      </c>
      <c r="BG208">
        <v>0</v>
      </c>
      <c r="BH208">
        <v>9992.5</v>
      </c>
      <c r="BI208">
        <v>1062.48</v>
      </c>
      <c r="BJ208">
        <v>2.22723</v>
      </c>
      <c r="BK208">
        <v>-454.33300000000003</v>
      </c>
      <c r="BL208">
        <v>355.22699999999998</v>
      </c>
      <c r="BM208">
        <v>800.05700000000002</v>
      </c>
      <c r="BN208">
        <v>26.916499999999999</v>
      </c>
      <c r="BO208">
        <v>799.952</v>
      </c>
      <c r="BP208">
        <v>0.13146099999999999</v>
      </c>
      <c r="BQ208">
        <v>2.6870699999999998</v>
      </c>
      <c r="BR208">
        <v>1.306E-2</v>
      </c>
      <c r="BS208">
        <v>22.206299999999999</v>
      </c>
      <c r="BT208">
        <v>-43.448399999999999</v>
      </c>
      <c r="BU208">
        <v>1800</v>
      </c>
      <c r="BV208">
        <v>0.91002899999999998</v>
      </c>
      <c r="BW208">
        <v>3.3992000000000001E-2</v>
      </c>
      <c r="BX208">
        <v>2.19922E-2</v>
      </c>
      <c r="BY208">
        <v>3.39869E-2</v>
      </c>
      <c r="BZ208">
        <v>26</v>
      </c>
      <c r="CA208">
        <v>33528.6</v>
      </c>
      <c r="CB208">
        <v>1690292073.5</v>
      </c>
      <c r="CC208" t="s">
        <v>332</v>
      </c>
      <c r="CD208">
        <v>1690292069.5</v>
      </c>
      <c r="CE208">
        <v>1690292073.5</v>
      </c>
      <c r="CF208">
        <v>4</v>
      </c>
      <c r="CG208">
        <v>-3.6999999999999998E-2</v>
      </c>
      <c r="CH208">
        <v>-1.6E-2</v>
      </c>
      <c r="CI208">
        <v>-0.45200000000000001</v>
      </c>
      <c r="CJ208">
        <v>0.108</v>
      </c>
      <c r="CK208">
        <v>730</v>
      </c>
      <c r="CL208">
        <v>18</v>
      </c>
      <c r="CM208">
        <v>0</v>
      </c>
      <c r="CN208">
        <v>0.01</v>
      </c>
      <c r="CO208">
        <v>-454.08870000000002</v>
      </c>
      <c r="CP208">
        <v>-1.3874971857393941</v>
      </c>
      <c r="CQ208">
        <v>0.1467034764414282</v>
      </c>
      <c r="CR208">
        <v>-1</v>
      </c>
      <c r="CS208">
        <v>26.887807500000001</v>
      </c>
      <c r="CT208">
        <v>0.1666682926828876</v>
      </c>
      <c r="CU208">
        <v>1.6078905241029409E-2</v>
      </c>
      <c r="CV208">
        <v>-1</v>
      </c>
      <c r="CW208">
        <v>0</v>
      </c>
      <c r="CX208">
        <v>0</v>
      </c>
      <c r="CY208" t="s">
        <v>333</v>
      </c>
      <c r="CZ208">
        <v>2.3645100000000001</v>
      </c>
      <c r="DA208">
        <v>2.7137500000000001</v>
      </c>
      <c r="DB208">
        <v>8.0168900000000001E-2</v>
      </c>
      <c r="DC208">
        <v>0.146429</v>
      </c>
      <c r="DD208">
        <v>0.12438</v>
      </c>
      <c r="DE208">
        <v>1.11232E-3</v>
      </c>
      <c r="DF208">
        <v>33592.199999999997</v>
      </c>
      <c r="DG208">
        <v>27513.1</v>
      </c>
      <c r="DH208">
        <v>31176.2</v>
      </c>
      <c r="DI208">
        <v>28086.400000000001</v>
      </c>
      <c r="DJ208">
        <v>37049.199999999997</v>
      </c>
      <c r="DK208">
        <v>39896.400000000001</v>
      </c>
      <c r="DL208">
        <v>44367</v>
      </c>
      <c r="DM208">
        <v>42563.5</v>
      </c>
      <c r="DN208">
        <v>1.4899500000000001</v>
      </c>
      <c r="DO208">
        <v>2.03755</v>
      </c>
      <c r="DP208">
        <v>0.125501</v>
      </c>
      <c r="DQ208">
        <v>0.12178700000000001</v>
      </c>
      <c r="DR208">
        <v>24.985600000000002</v>
      </c>
      <c r="DS208">
        <v>24.622299999999999</v>
      </c>
      <c r="DT208">
        <v>21.2</v>
      </c>
      <c r="DU208">
        <v>28.9</v>
      </c>
      <c r="DV208">
        <v>8.5328400000000002</v>
      </c>
      <c r="DW208">
        <v>61.343400000000003</v>
      </c>
      <c r="DX208">
        <v>35.9054</v>
      </c>
      <c r="DY208">
        <v>1</v>
      </c>
      <c r="DZ208">
        <v>-0.110399</v>
      </c>
      <c r="EA208">
        <v>0.417298</v>
      </c>
      <c r="EB208">
        <v>20.189299999999999</v>
      </c>
      <c r="EC208">
        <v>5.2409499999999998</v>
      </c>
      <c r="ED208">
        <v>12.039899999999999</v>
      </c>
      <c r="EE208">
        <v>5.0172999999999996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1.8689100000000001</v>
      </c>
      <c r="EL208">
        <v>1.8646199999999999</v>
      </c>
      <c r="EM208">
        <v>1.8692</v>
      </c>
      <c r="EN208">
        <v>1.8672200000000001</v>
      </c>
      <c r="EO208">
        <v>1.8633999999999999</v>
      </c>
      <c r="EP208">
        <v>1.86446</v>
      </c>
      <c r="EQ208">
        <v>1.87019</v>
      </c>
      <c r="ER208">
        <v>1.8694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-0.17899999999999999</v>
      </c>
      <c r="FG208">
        <v>0.15140000000000001</v>
      </c>
      <c r="FH208">
        <v>5.0310448532705943E-2</v>
      </c>
      <c r="FI208">
        <v>-6.1462078757559423E-4</v>
      </c>
      <c r="FJ208">
        <v>-1.8861989874597051E-7</v>
      </c>
      <c r="FK208">
        <v>1.1980462299894961E-10</v>
      </c>
      <c r="FL208">
        <v>0.15140825623214971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37.299999999999997</v>
      </c>
      <c r="FU208">
        <v>37.299999999999997</v>
      </c>
      <c r="FV208">
        <v>1.7663599999999999</v>
      </c>
      <c r="FW208">
        <v>2.5830099999999998</v>
      </c>
      <c r="FX208">
        <v>1.5490699999999999</v>
      </c>
      <c r="FY208">
        <v>2.3327599999999999</v>
      </c>
      <c r="FZ208">
        <v>1.50146</v>
      </c>
      <c r="GA208">
        <v>2.36816</v>
      </c>
      <c r="GB208">
        <v>33.266300000000001</v>
      </c>
      <c r="GC208">
        <v>23.982399999999998</v>
      </c>
      <c r="GD208">
        <v>19</v>
      </c>
      <c r="GE208">
        <v>287.67700000000002</v>
      </c>
      <c r="GF208">
        <v>581.28800000000001</v>
      </c>
      <c r="GG208">
        <v>23.7621</v>
      </c>
      <c r="GH208">
        <v>25.9801</v>
      </c>
      <c r="GI208">
        <v>30.000299999999999</v>
      </c>
      <c r="GJ208">
        <v>26.106100000000001</v>
      </c>
      <c r="GK208">
        <v>26.087199999999999</v>
      </c>
      <c r="GL208">
        <v>35.308</v>
      </c>
      <c r="GM208">
        <v>100</v>
      </c>
      <c r="GN208">
        <v>0</v>
      </c>
      <c r="GO208">
        <v>23.735399999999998</v>
      </c>
      <c r="GP208">
        <v>800</v>
      </c>
      <c r="GQ208">
        <v>0</v>
      </c>
      <c r="GR208">
        <v>99.750900000000001</v>
      </c>
      <c r="GS208">
        <v>99.576099999999997</v>
      </c>
    </row>
    <row r="209" spans="1:201" x14ac:dyDescent="0.25">
      <c r="A209">
        <v>193</v>
      </c>
      <c r="B209">
        <v>1690294320</v>
      </c>
      <c r="C209">
        <v>2049.400000095367</v>
      </c>
      <c r="D209" t="s">
        <v>719</v>
      </c>
      <c r="E209" t="s">
        <v>720</v>
      </c>
      <c r="F209" t="s">
        <v>330</v>
      </c>
      <c r="H209">
        <v>1690294320</v>
      </c>
      <c r="I209">
        <f t="shared" ref="I209:I272" si="90">(J209)/1000</f>
        <v>2.7680944160849799E-3</v>
      </c>
      <c r="J209">
        <f t="shared" ref="J209:J226" si="91">1000*AZ209*AH209*(AV209-AW209)/(100*AO209*(1000-AH209*AV209))</f>
        <v>2.7680944160849799</v>
      </c>
      <c r="K209">
        <f t="shared" ref="K209:K226" si="92">AZ209*AH209*(AU209-AT209*(1000-AH209*AW209)/(1000-AH209*AV209))/(100*AO209)</f>
        <v>44.506074865402695</v>
      </c>
      <c r="L209">
        <f t="shared" ref="L209:L272" si="93">AT209 - IF(AH209&gt;1, K209*AO209*100/(AJ209*BH209), 0)</f>
        <v>345.46300000000002</v>
      </c>
      <c r="M209">
        <f t="shared" ref="M209:M272" si="94">((S209-I209/2)*L209-K209)/(S209+I209/2)</f>
        <v>119.88356870060221</v>
      </c>
      <c r="N209">
        <f t="shared" ref="N209:N272" si="95">M209*(BA209+BB209)/1000</f>
        <v>11.922014382093426</v>
      </c>
      <c r="O209">
        <f t="shared" ref="O209:O226" si="96">(AT209 - IF(AH209&gt;1, K209*AO209*100/(AJ209*BH209), 0))*(BA209+BB209)/1000</f>
        <v>34.355123884967</v>
      </c>
      <c r="P209">
        <f t="shared" ref="P209:P272" si="97">2/((1/R209-1/Q209)+SIGN(R209)*SQRT((1/R209-1/Q209)*(1/R209-1/Q209) + 4*AP209/((AP209+1)*(AP209+1))*(2*1/R209*1/Q209-1/Q209*1/Q209)))</f>
        <v>0.34326626717251152</v>
      </c>
      <c r="Q209">
        <f t="shared" ref="Q209:Q226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2.2588622376485721</v>
      </c>
      <c r="R209">
        <f t="shared" ref="R209:R226" si="99">I209*(1000-(1000*0.61365*EXP(17.502*V209/(240.97+V209))/(BA209+BB209)+AV209)/2)/(1000*0.61365*EXP(17.502*V209/(240.97+V209))/(BA209+BB209)-AV209)</f>
        <v>0.31669830457513959</v>
      </c>
      <c r="S209">
        <f t="shared" ref="S209:S226" si="100">1/((AP209+1)/(P209/1.6)+1/(Q209/1.37)) + AP209/((AP209+1)/(P209/1.6) + AP209/(Q209/1.37))</f>
        <v>0.2001518322149678</v>
      </c>
      <c r="T209">
        <f t="shared" ref="T209:T226" si="101">(AK209*AN209)</f>
        <v>276.11397901800001</v>
      </c>
      <c r="U209">
        <f t="shared" ref="U209:U272" si="102">(BC209+(T209+2*0.95*0.0000000567*(((BC209+$B$7)+273)^4-(BC209+273)^4)-44100*I209)/(1.84*29.3*Q209+8*0.95*0.0000000567*(BC209+273)^3))</f>
        <v>26.776587912421562</v>
      </c>
      <c r="V209">
        <f t="shared" ref="V209:V272" si="103">($C$7*BD209+$D$7*BE209+$E$7*U209)</f>
        <v>26.776587912421562</v>
      </c>
      <c r="W209">
        <f t="shared" ref="W209:W272" si="104">0.61365*EXP(17.502*V209/(240.97+V209))</f>
        <v>3.5324636891008758</v>
      </c>
      <c r="X209">
        <f t="shared" ref="X209:X272" si="105">(Y209/Z209*100)</f>
        <v>81.547428404110448</v>
      </c>
      <c r="Y209">
        <f t="shared" ref="Y209:Y226" si="106">AV209*(BA209+BB209)/1000</f>
        <v>2.6904484492077998</v>
      </c>
      <c r="Z209">
        <f t="shared" ref="Z209:Z226" si="107">0.61365*EXP(17.502*BC209/(240.97+BC209))</f>
        <v>3.2992437675351467</v>
      </c>
      <c r="AA209">
        <f t="shared" ref="AA209:AA226" si="108">(W209-AV209*(BA209+BB209)/1000)</f>
        <v>0.84201523989307603</v>
      </c>
      <c r="AB209">
        <f t="shared" ref="AB209:AB226" si="109">(-I209*44100)</f>
        <v>-122.07296374934761</v>
      </c>
      <c r="AC209">
        <f t="shared" ref="AC209:AC226" si="110">2*29.3*Q209*0.92*(BC209-V209)</f>
        <v>-140.77595476260848</v>
      </c>
      <c r="AD209">
        <f t="shared" ref="AD209:AD226" si="111">2*0.95*0.0000000567*(((BC209+$B$7)+273)^4-(V209+273)^4)</f>
        <v>-13.342284890922159</v>
      </c>
      <c r="AE209">
        <f t="shared" ref="AE209:AE272" si="112">T209+AD209+AB209+AC209</f>
        <v>-7.722438487820682E-2</v>
      </c>
      <c r="AF209">
        <v>0</v>
      </c>
      <c r="AG209">
        <v>0</v>
      </c>
      <c r="AH209">
        <f t="shared" ref="AH209:AH226" si="113">IF(AF209*$H$13&gt;=AJ209,1,(AJ209/(AJ209-AF209*$H$13)))</f>
        <v>1</v>
      </c>
      <c r="AI209">
        <f t="shared" ref="AI209:AI272" si="114">(AH209-1)*100</f>
        <v>0</v>
      </c>
      <c r="AJ209">
        <f t="shared" ref="AJ209:AJ226" si="115">MAX(0,($B$13+$C$13*BH209)/(1+$D$13*BH209)*BA209/(BC209+273)*$E$13)</f>
        <v>52824.938241537115</v>
      </c>
      <c r="AK209">
        <f t="shared" ref="AK209:AK226" si="116">$B$11*BI209+$C$11*BJ209+$D$11*BU209</f>
        <v>1800</v>
      </c>
      <c r="AL209">
        <f t="shared" ref="AL209:AL272" si="117">AK209*AM209</f>
        <v>1499.1154397999999</v>
      </c>
      <c r="AM209">
        <f t="shared" ref="AM209:AM226" si="118">($B$11*$D$9+$C$11*$D$9+$D$11*(BV209*$E$9+BW209*$F$9+BX209*$G$9+BY209*$H$9))/($B$11+$C$11+$D$11)</f>
        <v>0.83284191099999993</v>
      </c>
      <c r="AN209">
        <f t="shared" ref="AN209:AN226" si="119">($B$11*$K$9+$C$11*$K$9+$D$11*(BV209*$L$9+BW209*$M$9+BX209*$N$9+BY209*$O$9))/($B$11+$C$11+$D$11)</f>
        <v>0.15339665500999999</v>
      </c>
      <c r="AO209">
        <v>30</v>
      </c>
      <c r="AP209">
        <v>0.5</v>
      </c>
      <c r="AQ209" t="s">
        <v>331</v>
      </c>
      <c r="AR209">
        <v>2</v>
      </c>
      <c r="AS209">
        <v>1690294320</v>
      </c>
      <c r="AT209">
        <v>345.46300000000002</v>
      </c>
      <c r="AU209">
        <v>799.93499999999995</v>
      </c>
      <c r="AV209">
        <v>27.054200000000002</v>
      </c>
      <c r="AW209">
        <v>0.13111600000000001</v>
      </c>
      <c r="AX209">
        <v>345.64299999999997</v>
      </c>
      <c r="AY209">
        <v>26.902799999999999</v>
      </c>
      <c r="AZ209">
        <v>300.10000000000002</v>
      </c>
      <c r="BA209">
        <v>99.346599999999995</v>
      </c>
      <c r="BB209">
        <v>0.100009</v>
      </c>
      <c r="BC209">
        <v>25.6206</v>
      </c>
      <c r="BD209">
        <v>27.028700000000001</v>
      </c>
      <c r="BE209">
        <v>26.620799999999999</v>
      </c>
      <c r="BF209">
        <v>0</v>
      </c>
      <c r="BG209">
        <v>0</v>
      </c>
      <c r="BH209">
        <v>10010</v>
      </c>
      <c r="BI209">
        <v>1062.6099999999999</v>
      </c>
      <c r="BJ209">
        <v>2.1431300000000002</v>
      </c>
      <c r="BK209">
        <v>-454.47199999999998</v>
      </c>
      <c r="BL209">
        <v>355.06900000000002</v>
      </c>
      <c r="BM209">
        <v>800.04</v>
      </c>
      <c r="BN209">
        <v>26.923100000000002</v>
      </c>
      <c r="BO209">
        <v>799.93499999999995</v>
      </c>
      <c r="BP209">
        <v>0.13111600000000001</v>
      </c>
      <c r="BQ209">
        <v>2.6877399999999998</v>
      </c>
      <c r="BR209">
        <v>1.30259E-2</v>
      </c>
      <c r="BS209">
        <v>22.2104</v>
      </c>
      <c r="BT209">
        <v>-43.472499999999997</v>
      </c>
      <c r="BU209">
        <v>1800</v>
      </c>
      <c r="BV209">
        <v>0.91002799999999995</v>
      </c>
      <c r="BW209">
        <v>3.3994000000000003E-2</v>
      </c>
      <c r="BX209">
        <v>2.1991799999999999E-2</v>
      </c>
      <c r="BY209">
        <v>3.3986299999999997E-2</v>
      </c>
      <c r="BZ209">
        <v>26</v>
      </c>
      <c r="CA209">
        <v>33528.6</v>
      </c>
      <c r="CB209">
        <v>1690292073.5</v>
      </c>
      <c r="CC209" t="s">
        <v>332</v>
      </c>
      <c r="CD209">
        <v>1690292069.5</v>
      </c>
      <c r="CE209">
        <v>1690292073.5</v>
      </c>
      <c r="CF209">
        <v>4</v>
      </c>
      <c r="CG209">
        <v>-3.6999999999999998E-2</v>
      </c>
      <c r="CH209">
        <v>-1.6E-2</v>
      </c>
      <c r="CI209">
        <v>-0.45200000000000001</v>
      </c>
      <c r="CJ209">
        <v>0.108</v>
      </c>
      <c r="CK209">
        <v>730</v>
      </c>
      <c r="CL209">
        <v>18</v>
      </c>
      <c r="CM209">
        <v>0</v>
      </c>
      <c r="CN209">
        <v>0.01</v>
      </c>
      <c r="CO209">
        <v>-454.35230000000001</v>
      </c>
      <c r="CP209">
        <v>-1.616983114444547</v>
      </c>
      <c r="CQ209">
        <v>0.16611775943588919</v>
      </c>
      <c r="CR209">
        <v>-1</v>
      </c>
      <c r="CS209">
        <v>26.9135375</v>
      </c>
      <c r="CT209">
        <v>0.13100600375232771</v>
      </c>
      <c r="CU209">
        <v>1.2939526411348981E-2</v>
      </c>
      <c r="CV209">
        <v>-1</v>
      </c>
      <c r="CW209">
        <v>0</v>
      </c>
      <c r="CX209">
        <v>0</v>
      </c>
      <c r="CY209" t="s">
        <v>333</v>
      </c>
      <c r="CZ209">
        <v>2.3646699999999998</v>
      </c>
      <c r="DA209">
        <v>2.7138100000000001</v>
      </c>
      <c r="DB209">
        <v>8.0141500000000004E-2</v>
      </c>
      <c r="DC209">
        <v>0.14643</v>
      </c>
      <c r="DD209">
        <v>0.124401</v>
      </c>
      <c r="DE209">
        <v>1.1094500000000001E-3</v>
      </c>
      <c r="DF209">
        <v>33593.4</v>
      </c>
      <c r="DG209">
        <v>27512.799999999999</v>
      </c>
      <c r="DH209">
        <v>31176.400000000001</v>
      </c>
      <c r="DI209">
        <v>28086.1</v>
      </c>
      <c r="DJ209">
        <v>37048.6</v>
      </c>
      <c r="DK209">
        <v>39896</v>
      </c>
      <c r="DL209">
        <v>44367.3</v>
      </c>
      <c r="DM209">
        <v>42563</v>
      </c>
      <c r="DN209">
        <v>1.4897199999999999</v>
      </c>
      <c r="DO209">
        <v>2.0374300000000001</v>
      </c>
      <c r="DP209">
        <v>0.1246</v>
      </c>
      <c r="DQ209">
        <v>0.12180199999999999</v>
      </c>
      <c r="DR209">
        <v>24.9877</v>
      </c>
      <c r="DS209">
        <v>24.624400000000001</v>
      </c>
      <c r="DT209">
        <v>21.2</v>
      </c>
      <c r="DU209">
        <v>28.9</v>
      </c>
      <c r="DV209">
        <v>8.5316100000000006</v>
      </c>
      <c r="DW209">
        <v>61.483400000000003</v>
      </c>
      <c r="DX209">
        <v>35.6691</v>
      </c>
      <c r="DY209">
        <v>1</v>
      </c>
      <c r="DZ209">
        <v>-0.110234</v>
      </c>
      <c r="EA209">
        <v>0.49951299999999998</v>
      </c>
      <c r="EB209">
        <v>20.1892</v>
      </c>
      <c r="EC209">
        <v>5.2409499999999998</v>
      </c>
      <c r="ED209">
        <v>12.039899999999999</v>
      </c>
      <c r="EE209">
        <v>5.0170500000000002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</v>
      </c>
      <c r="EL209">
        <v>1.8646199999999999</v>
      </c>
      <c r="EM209">
        <v>1.8692</v>
      </c>
      <c r="EN209">
        <v>1.8672200000000001</v>
      </c>
      <c r="EO209">
        <v>1.8633999999999999</v>
      </c>
      <c r="EP209">
        <v>1.8644700000000001</v>
      </c>
      <c r="EQ209">
        <v>1.8701700000000001</v>
      </c>
      <c r="ER209">
        <v>1.8694299999999999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-0.18</v>
      </c>
      <c r="FG209">
        <v>0.15140000000000001</v>
      </c>
      <c r="FH209">
        <v>5.0310448532705943E-2</v>
      </c>
      <c r="FI209">
        <v>-6.1462078757559423E-4</v>
      </c>
      <c r="FJ209">
        <v>-1.8861989874597051E-7</v>
      </c>
      <c r="FK209">
        <v>1.1980462299894961E-10</v>
      </c>
      <c r="FL209">
        <v>0.15140825623214971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37.5</v>
      </c>
      <c r="FU209">
        <v>37.4</v>
      </c>
      <c r="FV209">
        <v>1.7663599999999999</v>
      </c>
      <c r="FW209">
        <v>2.5878899999999998</v>
      </c>
      <c r="FX209">
        <v>1.5490699999999999</v>
      </c>
      <c r="FY209">
        <v>2.3327599999999999</v>
      </c>
      <c r="FZ209">
        <v>1.50146</v>
      </c>
      <c r="GA209">
        <v>2.3095699999999999</v>
      </c>
      <c r="GB209">
        <v>33.266300000000001</v>
      </c>
      <c r="GC209">
        <v>23.973700000000001</v>
      </c>
      <c r="GD209">
        <v>19</v>
      </c>
      <c r="GE209">
        <v>287.58999999999997</v>
      </c>
      <c r="GF209">
        <v>581.18600000000004</v>
      </c>
      <c r="GG209">
        <v>23.695499999999999</v>
      </c>
      <c r="GH209">
        <v>25.982299999999999</v>
      </c>
      <c r="GI209">
        <v>30.0001</v>
      </c>
      <c r="GJ209">
        <v>26.1082</v>
      </c>
      <c r="GK209">
        <v>26.087199999999999</v>
      </c>
      <c r="GL209">
        <v>35.308500000000002</v>
      </c>
      <c r="GM209">
        <v>100</v>
      </c>
      <c r="GN209">
        <v>0</v>
      </c>
      <c r="GO209">
        <v>23.680700000000002</v>
      </c>
      <c r="GP209">
        <v>800</v>
      </c>
      <c r="GQ209">
        <v>0</v>
      </c>
      <c r="GR209">
        <v>99.7517</v>
      </c>
      <c r="GS209">
        <v>99.575100000000006</v>
      </c>
    </row>
    <row r="210" spans="1:201" x14ac:dyDescent="0.25">
      <c r="A210">
        <v>194</v>
      </c>
      <c r="B210">
        <v>1690294330</v>
      </c>
      <c r="C210">
        <v>2059.400000095367</v>
      </c>
      <c r="D210" t="s">
        <v>721</v>
      </c>
      <c r="E210" t="s">
        <v>722</v>
      </c>
      <c r="F210" t="s">
        <v>330</v>
      </c>
      <c r="H210">
        <v>1690294330</v>
      </c>
      <c r="I210">
        <f t="shared" si="90"/>
        <v>2.7658560254357725E-3</v>
      </c>
      <c r="J210">
        <f t="shared" si="91"/>
        <v>2.7658560254357725</v>
      </c>
      <c r="K210">
        <f t="shared" si="92"/>
        <v>44.552926776237129</v>
      </c>
      <c r="L210">
        <f t="shared" si="93"/>
        <v>345.13900000000001</v>
      </c>
      <c r="M210">
        <f t="shared" si="94"/>
        <v>118.80335032952398</v>
      </c>
      <c r="N210">
        <f t="shared" si="95"/>
        <v>11.814217071744128</v>
      </c>
      <c r="O210">
        <f t="shared" si="96"/>
        <v>34.321818825940795</v>
      </c>
      <c r="P210">
        <f t="shared" si="97"/>
        <v>0.3424850822800824</v>
      </c>
      <c r="Q210">
        <f t="shared" si="98"/>
        <v>2.2508293474657841</v>
      </c>
      <c r="R210">
        <f t="shared" si="99"/>
        <v>0.31594634649727149</v>
      </c>
      <c r="S210">
        <f t="shared" si="100"/>
        <v>0.19967921851724679</v>
      </c>
      <c r="T210">
        <f t="shared" si="101"/>
        <v>276.11383325400004</v>
      </c>
      <c r="U210">
        <f t="shared" si="102"/>
        <v>26.771708612648027</v>
      </c>
      <c r="V210">
        <f t="shared" si="103"/>
        <v>26.771708612648027</v>
      </c>
      <c r="W210">
        <f t="shared" si="104"/>
        <v>3.5314498161028984</v>
      </c>
      <c r="X210">
        <f t="shared" si="105"/>
        <v>81.522497437917423</v>
      </c>
      <c r="Y210">
        <f t="shared" si="106"/>
        <v>2.6881259723102402</v>
      </c>
      <c r="Z210">
        <f t="shared" si="107"/>
        <v>3.2974038538961019</v>
      </c>
      <c r="AA210">
        <f t="shared" si="108"/>
        <v>0.84332384379265823</v>
      </c>
      <c r="AB210">
        <f t="shared" si="109"/>
        <v>-121.97425072171757</v>
      </c>
      <c r="AC210">
        <f t="shared" si="110"/>
        <v>-140.82390413787547</v>
      </c>
      <c r="AD210">
        <f t="shared" si="111"/>
        <v>-13.393503851719871</v>
      </c>
      <c r="AE210">
        <f t="shared" si="112"/>
        <v>-7.7825457312854951E-2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52511.54118755219</v>
      </c>
      <c r="AK210">
        <f t="shared" si="116"/>
        <v>1800</v>
      </c>
      <c r="AL210">
        <f t="shared" si="117"/>
        <v>1499.1144804</v>
      </c>
      <c r="AM210">
        <f t="shared" si="118"/>
        <v>0.83284137800000002</v>
      </c>
      <c r="AN210">
        <f t="shared" si="119"/>
        <v>0.15339657403000001</v>
      </c>
      <c r="AO210">
        <v>30</v>
      </c>
      <c r="AP210">
        <v>0.5</v>
      </c>
      <c r="AQ210" t="s">
        <v>331</v>
      </c>
      <c r="AR210">
        <v>2</v>
      </c>
      <c r="AS210">
        <v>1690294330</v>
      </c>
      <c r="AT210">
        <v>345.13900000000001</v>
      </c>
      <c r="AU210">
        <v>800.04600000000005</v>
      </c>
      <c r="AV210">
        <v>27.031700000000001</v>
      </c>
      <c r="AW210">
        <v>0.13075100000000001</v>
      </c>
      <c r="AX210">
        <v>345.31900000000002</v>
      </c>
      <c r="AY210">
        <v>26.880299999999998</v>
      </c>
      <c r="AZ210">
        <v>300.11099999999999</v>
      </c>
      <c r="BA210">
        <v>99.343500000000006</v>
      </c>
      <c r="BB210">
        <v>9.9967200000000006E-2</v>
      </c>
      <c r="BC210">
        <v>25.6112</v>
      </c>
      <c r="BD210">
        <v>27.018899999999999</v>
      </c>
      <c r="BE210">
        <v>26.610600000000002</v>
      </c>
      <c r="BF210">
        <v>0</v>
      </c>
      <c r="BG210">
        <v>0</v>
      </c>
      <c r="BH210">
        <v>9948.1200000000008</v>
      </c>
      <c r="BI210">
        <v>1062.74</v>
      </c>
      <c r="BJ210">
        <v>2.1305100000000001</v>
      </c>
      <c r="BK210">
        <v>-454.90600000000001</v>
      </c>
      <c r="BL210">
        <v>354.72800000000001</v>
      </c>
      <c r="BM210">
        <v>800.15</v>
      </c>
      <c r="BN210">
        <v>26.9009</v>
      </c>
      <c r="BO210">
        <v>800.04600000000005</v>
      </c>
      <c r="BP210">
        <v>0.13075100000000001</v>
      </c>
      <c r="BQ210">
        <v>2.6854200000000001</v>
      </c>
      <c r="BR210">
        <v>1.29893E-2</v>
      </c>
      <c r="BS210">
        <v>22.196200000000001</v>
      </c>
      <c r="BT210">
        <v>-43.498600000000003</v>
      </c>
      <c r="BU210">
        <v>1800</v>
      </c>
      <c r="BV210">
        <v>0.91002700000000003</v>
      </c>
      <c r="BW210">
        <v>3.3994099999999999E-2</v>
      </c>
      <c r="BX210">
        <v>2.1991900000000002E-2</v>
      </c>
      <c r="BY210">
        <v>3.3986500000000003E-2</v>
      </c>
      <c r="BZ210">
        <v>26</v>
      </c>
      <c r="CA210">
        <v>33528.5</v>
      </c>
      <c r="CB210">
        <v>1690292073.5</v>
      </c>
      <c r="CC210" t="s">
        <v>332</v>
      </c>
      <c r="CD210">
        <v>1690292069.5</v>
      </c>
      <c r="CE210">
        <v>1690292073.5</v>
      </c>
      <c r="CF210">
        <v>4</v>
      </c>
      <c r="CG210">
        <v>-3.6999999999999998E-2</v>
      </c>
      <c r="CH210">
        <v>-1.6E-2</v>
      </c>
      <c r="CI210">
        <v>-0.45200000000000001</v>
      </c>
      <c r="CJ210">
        <v>0.108</v>
      </c>
      <c r="CK210">
        <v>730</v>
      </c>
      <c r="CL210">
        <v>18</v>
      </c>
      <c r="CM210">
        <v>0</v>
      </c>
      <c r="CN210">
        <v>0.01</v>
      </c>
      <c r="CO210">
        <v>-454.56517500000001</v>
      </c>
      <c r="CP210">
        <v>-1.0235684802999869</v>
      </c>
      <c r="CQ210">
        <v>0.1159943721695165</v>
      </c>
      <c r="CR210">
        <v>-1</v>
      </c>
      <c r="CS210">
        <v>26.919350000000001</v>
      </c>
      <c r="CT210">
        <v>-5.7699061913797867E-2</v>
      </c>
      <c r="CU210">
        <v>7.767657304490385E-3</v>
      </c>
      <c r="CV210">
        <v>-1</v>
      </c>
      <c r="CW210">
        <v>0</v>
      </c>
      <c r="CX210">
        <v>0</v>
      </c>
      <c r="CY210" t="s">
        <v>333</v>
      </c>
      <c r="CZ210">
        <v>2.3647</v>
      </c>
      <c r="DA210">
        <v>2.7137099999999998</v>
      </c>
      <c r="DB210">
        <v>8.0079600000000001E-2</v>
      </c>
      <c r="DC210">
        <v>0.14643800000000001</v>
      </c>
      <c r="DD210">
        <v>0.124325</v>
      </c>
      <c r="DE210">
        <v>1.1063399999999999E-3</v>
      </c>
      <c r="DF210">
        <v>33596.1</v>
      </c>
      <c r="DG210">
        <v>27512.2</v>
      </c>
      <c r="DH210">
        <v>31176.799999999999</v>
      </c>
      <c r="DI210">
        <v>28085.7</v>
      </c>
      <c r="DJ210">
        <v>37052.300000000003</v>
      </c>
      <c r="DK210">
        <v>39895.699999999997</v>
      </c>
      <c r="DL210">
        <v>44367.9</v>
      </c>
      <c r="DM210">
        <v>42562.5</v>
      </c>
      <c r="DN210">
        <v>1.4896199999999999</v>
      </c>
      <c r="DO210">
        <v>2.0376799999999999</v>
      </c>
      <c r="DP210">
        <v>0.123963</v>
      </c>
      <c r="DQ210">
        <v>0.12118</v>
      </c>
      <c r="DR210">
        <v>24.988299999999999</v>
      </c>
      <c r="DS210">
        <v>24.624400000000001</v>
      </c>
      <c r="DT210">
        <v>21.2</v>
      </c>
      <c r="DU210">
        <v>28.9</v>
      </c>
      <c r="DV210">
        <v>8.5336300000000005</v>
      </c>
      <c r="DW210">
        <v>61.713500000000003</v>
      </c>
      <c r="DX210">
        <v>35.012</v>
      </c>
      <c r="DY210">
        <v>1</v>
      </c>
      <c r="DZ210">
        <v>-0.110236</v>
      </c>
      <c r="EA210">
        <v>0.57829799999999998</v>
      </c>
      <c r="EB210">
        <v>20.188800000000001</v>
      </c>
      <c r="EC210">
        <v>5.2411000000000003</v>
      </c>
      <c r="ED210">
        <v>12.039899999999999</v>
      </c>
      <c r="EE210">
        <v>5.0171999999999999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1.8689100000000001</v>
      </c>
      <c r="EL210">
        <v>1.8646199999999999</v>
      </c>
      <c r="EM210">
        <v>1.8692</v>
      </c>
      <c r="EN210">
        <v>1.8672200000000001</v>
      </c>
      <c r="EO210">
        <v>1.8633999999999999</v>
      </c>
      <c r="EP210">
        <v>1.8644700000000001</v>
      </c>
      <c r="EQ210">
        <v>1.87018</v>
      </c>
      <c r="ER210">
        <v>1.8694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-0.18</v>
      </c>
      <c r="FG210">
        <v>0.15140000000000001</v>
      </c>
      <c r="FH210">
        <v>5.0310448532705943E-2</v>
      </c>
      <c r="FI210">
        <v>-6.1462078757559423E-4</v>
      </c>
      <c r="FJ210">
        <v>-1.8861989874597051E-7</v>
      </c>
      <c r="FK210">
        <v>1.1980462299894961E-10</v>
      </c>
      <c r="FL210">
        <v>0.15140825623214971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37.700000000000003</v>
      </c>
      <c r="FU210">
        <v>37.6</v>
      </c>
      <c r="FV210">
        <v>1.7651399999999999</v>
      </c>
      <c r="FW210">
        <v>2.5793499999999998</v>
      </c>
      <c r="FX210">
        <v>1.5490699999999999</v>
      </c>
      <c r="FY210">
        <v>2.3339799999999999</v>
      </c>
      <c r="FZ210">
        <v>1.50146</v>
      </c>
      <c r="GA210">
        <v>2.32422</v>
      </c>
      <c r="GB210">
        <v>33.266300000000001</v>
      </c>
      <c r="GC210">
        <v>23.991199999999999</v>
      </c>
      <c r="GD210">
        <v>19</v>
      </c>
      <c r="GE210">
        <v>287.54700000000003</v>
      </c>
      <c r="GF210">
        <v>581.41700000000003</v>
      </c>
      <c r="GG210">
        <v>23.634</v>
      </c>
      <c r="GH210">
        <v>25.982299999999999</v>
      </c>
      <c r="GI210">
        <v>30.0001</v>
      </c>
      <c r="GJ210">
        <v>26.1082</v>
      </c>
      <c r="GK210">
        <v>26.089400000000001</v>
      </c>
      <c r="GL210">
        <v>35.305199999999999</v>
      </c>
      <c r="GM210">
        <v>100</v>
      </c>
      <c r="GN210">
        <v>0</v>
      </c>
      <c r="GO210">
        <v>23.6038</v>
      </c>
      <c r="GP210">
        <v>800</v>
      </c>
      <c r="GQ210">
        <v>0</v>
      </c>
      <c r="GR210">
        <v>99.753</v>
      </c>
      <c r="GS210">
        <v>99.573800000000006</v>
      </c>
    </row>
    <row r="211" spans="1:201" x14ac:dyDescent="0.25">
      <c r="A211">
        <v>195</v>
      </c>
      <c r="B211">
        <v>1690294340</v>
      </c>
      <c r="C211">
        <v>2069.400000095367</v>
      </c>
      <c r="D211" t="s">
        <v>723</v>
      </c>
      <c r="E211" t="s">
        <v>724</v>
      </c>
      <c r="F211" t="s">
        <v>330</v>
      </c>
      <c r="H211">
        <v>1690294340</v>
      </c>
      <c r="I211">
        <f t="shared" si="90"/>
        <v>2.764367092859355E-3</v>
      </c>
      <c r="J211">
        <f t="shared" si="91"/>
        <v>2.7643670928593549</v>
      </c>
      <c r="K211">
        <f t="shared" si="92"/>
        <v>44.568672918166079</v>
      </c>
      <c r="L211">
        <f t="shared" si="93"/>
        <v>344.99400000000003</v>
      </c>
      <c r="M211">
        <f t="shared" si="94"/>
        <v>119.09025616791601</v>
      </c>
      <c r="N211">
        <f t="shared" si="95"/>
        <v>11.842920044675866</v>
      </c>
      <c r="O211">
        <f t="shared" si="96"/>
        <v>34.30789797052801</v>
      </c>
      <c r="P211">
        <f t="shared" si="97"/>
        <v>0.34322909786392153</v>
      </c>
      <c r="Q211">
        <f t="shared" si="98"/>
        <v>2.2585953717852991</v>
      </c>
      <c r="R211">
        <f t="shared" si="99"/>
        <v>0.31666377182279493</v>
      </c>
      <c r="S211">
        <f t="shared" si="100"/>
        <v>0.20013002783523354</v>
      </c>
      <c r="T211">
        <f t="shared" si="101"/>
        <v>276.113876796</v>
      </c>
      <c r="U211">
        <f t="shared" si="102"/>
        <v>26.753170471647721</v>
      </c>
      <c r="V211">
        <f t="shared" si="103"/>
        <v>26.753170471647721</v>
      </c>
      <c r="W211">
        <f t="shared" si="104"/>
        <v>3.5276000791025646</v>
      </c>
      <c r="X211">
        <f t="shared" si="105"/>
        <v>81.550834853293324</v>
      </c>
      <c r="Y211">
        <f t="shared" si="106"/>
        <v>2.6866037425919997</v>
      </c>
      <c r="Z211">
        <f t="shared" si="107"/>
        <v>3.2943914644467984</v>
      </c>
      <c r="AA211">
        <f t="shared" si="108"/>
        <v>0.84099633651056482</v>
      </c>
      <c r="AB211">
        <f t="shared" si="109"/>
        <v>-121.90858879509756</v>
      </c>
      <c r="AC211">
        <f t="shared" si="110"/>
        <v>-140.92767111806154</v>
      </c>
      <c r="AD211">
        <f t="shared" si="111"/>
        <v>-13.355013497024379</v>
      </c>
      <c r="AE211">
        <f t="shared" si="112"/>
        <v>-7.7396614183498968E-2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52818.806253283088</v>
      </c>
      <c r="AK211">
        <f t="shared" si="116"/>
        <v>1800</v>
      </c>
      <c r="AL211">
        <f t="shared" si="117"/>
        <v>1499.1143436000002</v>
      </c>
      <c r="AM211">
        <f t="shared" si="118"/>
        <v>0.83284130200000006</v>
      </c>
      <c r="AN211">
        <f t="shared" si="119"/>
        <v>0.15339659821999999</v>
      </c>
      <c r="AO211">
        <v>30</v>
      </c>
      <c r="AP211">
        <v>0.5</v>
      </c>
      <c r="AQ211" t="s">
        <v>331</v>
      </c>
      <c r="AR211">
        <v>2</v>
      </c>
      <c r="AS211">
        <v>1690294340</v>
      </c>
      <c r="AT211">
        <v>344.99400000000003</v>
      </c>
      <c r="AU211">
        <v>800.02499999999998</v>
      </c>
      <c r="AV211">
        <v>27.015999999999998</v>
      </c>
      <c r="AW211">
        <v>0.13053200000000001</v>
      </c>
      <c r="AX211">
        <v>345.173</v>
      </c>
      <c r="AY211">
        <v>26.864599999999999</v>
      </c>
      <c r="AZ211">
        <v>300.12700000000001</v>
      </c>
      <c r="BA211">
        <v>99.344899999999996</v>
      </c>
      <c r="BB211">
        <v>0.100012</v>
      </c>
      <c r="BC211">
        <v>25.595800000000001</v>
      </c>
      <c r="BD211">
        <v>26.984400000000001</v>
      </c>
      <c r="BE211">
        <v>26.586600000000001</v>
      </c>
      <c r="BF211">
        <v>0</v>
      </c>
      <c r="BG211">
        <v>0</v>
      </c>
      <c r="BH211">
        <v>10008.1</v>
      </c>
      <c r="BI211">
        <v>1062.6500000000001</v>
      </c>
      <c r="BJ211">
        <v>2.1865800000000002</v>
      </c>
      <c r="BK211">
        <v>-455.03100000000001</v>
      </c>
      <c r="BL211">
        <v>354.57299999999998</v>
      </c>
      <c r="BM211">
        <v>800.12900000000002</v>
      </c>
      <c r="BN211">
        <v>26.885400000000001</v>
      </c>
      <c r="BO211">
        <v>800.02499999999998</v>
      </c>
      <c r="BP211">
        <v>0.13053200000000001</v>
      </c>
      <c r="BQ211">
        <v>2.6839</v>
      </c>
      <c r="BR211">
        <v>1.29677E-2</v>
      </c>
      <c r="BS211">
        <v>22.186900000000001</v>
      </c>
      <c r="BT211">
        <v>-43.514000000000003</v>
      </c>
      <c r="BU211">
        <v>1800</v>
      </c>
      <c r="BV211">
        <v>0.910026</v>
      </c>
      <c r="BW211">
        <v>3.3996100000000001E-2</v>
      </c>
      <c r="BX211">
        <v>2.19916E-2</v>
      </c>
      <c r="BY211">
        <v>3.3986000000000002E-2</v>
      </c>
      <c r="BZ211">
        <v>26</v>
      </c>
      <c r="CA211">
        <v>33528.6</v>
      </c>
      <c r="CB211">
        <v>1690292073.5</v>
      </c>
      <c r="CC211" t="s">
        <v>332</v>
      </c>
      <c r="CD211">
        <v>1690292069.5</v>
      </c>
      <c r="CE211">
        <v>1690292073.5</v>
      </c>
      <c r="CF211">
        <v>4</v>
      </c>
      <c r="CG211">
        <v>-3.6999999999999998E-2</v>
      </c>
      <c r="CH211">
        <v>-1.6E-2</v>
      </c>
      <c r="CI211">
        <v>-0.45200000000000001</v>
      </c>
      <c r="CJ211">
        <v>0.108</v>
      </c>
      <c r="CK211">
        <v>730</v>
      </c>
      <c r="CL211">
        <v>18</v>
      </c>
      <c r="CM211">
        <v>0</v>
      </c>
      <c r="CN211">
        <v>0.01</v>
      </c>
      <c r="CO211">
        <v>-454.78444999999999</v>
      </c>
      <c r="CP211">
        <v>-1.5831669793602761</v>
      </c>
      <c r="CQ211">
        <v>0.16603899391407859</v>
      </c>
      <c r="CR211">
        <v>-1</v>
      </c>
      <c r="CS211">
        <v>26.904742500000001</v>
      </c>
      <c r="CT211">
        <v>-0.106148217636009</v>
      </c>
      <c r="CU211">
        <v>1.034531022976121E-2</v>
      </c>
      <c r="CV211">
        <v>-1</v>
      </c>
      <c r="CW211">
        <v>0</v>
      </c>
      <c r="CX211">
        <v>0</v>
      </c>
      <c r="CY211" t="s">
        <v>333</v>
      </c>
      <c r="CZ211">
        <v>2.36477</v>
      </c>
      <c r="DA211">
        <v>2.7138100000000001</v>
      </c>
      <c r="DB211">
        <v>8.0053899999999997E-2</v>
      </c>
      <c r="DC211">
        <v>0.14643800000000001</v>
      </c>
      <c r="DD211">
        <v>0.124277</v>
      </c>
      <c r="DE211">
        <v>1.1045199999999999E-3</v>
      </c>
      <c r="DF211">
        <v>33596.9</v>
      </c>
      <c r="DG211">
        <v>27512.7</v>
      </c>
      <c r="DH211">
        <v>31176.7</v>
      </c>
      <c r="DI211">
        <v>28086.3</v>
      </c>
      <c r="DJ211">
        <v>37054.199999999997</v>
      </c>
      <c r="DK211">
        <v>39896.199999999997</v>
      </c>
      <c r="DL211">
        <v>44367.7</v>
      </c>
      <c r="DM211">
        <v>42563</v>
      </c>
      <c r="DN211">
        <v>1.4896199999999999</v>
      </c>
      <c r="DO211">
        <v>2.0373299999999999</v>
      </c>
      <c r="DP211">
        <v>0.12176099999999999</v>
      </c>
      <c r="DQ211">
        <v>0.119712</v>
      </c>
      <c r="DR211">
        <v>24.989799999999999</v>
      </c>
      <c r="DS211">
        <v>24.624400000000001</v>
      </c>
      <c r="DT211">
        <v>21.2</v>
      </c>
      <c r="DU211">
        <v>28.9</v>
      </c>
      <c r="DV211">
        <v>8.5342300000000009</v>
      </c>
      <c r="DW211">
        <v>61.673499999999997</v>
      </c>
      <c r="DX211">
        <v>35.468800000000002</v>
      </c>
      <c r="DY211">
        <v>1</v>
      </c>
      <c r="DZ211">
        <v>-0.110404</v>
      </c>
      <c r="EA211">
        <v>0.25889400000000001</v>
      </c>
      <c r="EB211">
        <v>20.189699999999998</v>
      </c>
      <c r="EC211">
        <v>5.2406499999999996</v>
      </c>
      <c r="ED211">
        <v>12.039899999999999</v>
      </c>
      <c r="EE211">
        <v>5.0172999999999996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1.8646199999999999</v>
      </c>
      <c r="EM211">
        <v>1.8692</v>
      </c>
      <c r="EN211">
        <v>1.8672200000000001</v>
      </c>
      <c r="EO211">
        <v>1.8633999999999999</v>
      </c>
      <c r="EP211">
        <v>1.8644700000000001</v>
      </c>
      <c r="EQ211">
        <v>1.87015</v>
      </c>
      <c r="ER211">
        <v>1.86937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-0.17899999999999999</v>
      </c>
      <c r="FG211">
        <v>0.15140000000000001</v>
      </c>
      <c r="FH211">
        <v>5.0310448532705943E-2</v>
      </c>
      <c r="FI211">
        <v>-6.1462078757559423E-4</v>
      </c>
      <c r="FJ211">
        <v>-1.8861989874597051E-7</v>
      </c>
      <c r="FK211">
        <v>1.1980462299894961E-10</v>
      </c>
      <c r="FL211">
        <v>0.15140825623214971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37.799999999999997</v>
      </c>
      <c r="FU211">
        <v>37.799999999999997</v>
      </c>
      <c r="FV211">
        <v>1.7663599999999999</v>
      </c>
      <c r="FW211">
        <v>2.5781200000000002</v>
      </c>
      <c r="FX211">
        <v>1.5490699999999999</v>
      </c>
      <c r="FY211">
        <v>2.3327599999999999</v>
      </c>
      <c r="FZ211">
        <v>1.50146</v>
      </c>
      <c r="GA211">
        <v>2.3999000000000001</v>
      </c>
      <c r="GB211">
        <v>33.266300000000001</v>
      </c>
      <c r="GC211">
        <v>23.991199999999999</v>
      </c>
      <c r="GD211">
        <v>19</v>
      </c>
      <c r="GE211">
        <v>287.54700000000003</v>
      </c>
      <c r="GF211">
        <v>581.12900000000002</v>
      </c>
      <c r="GG211">
        <v>23.582699999999999</v>
      </c>
      <c r="GH211">
        <v>25.984500000000001</v>
      </c>
      <c r="GI211">
        <v>30.0001</v>
      </c>
      <c r="GJ211">
        <v>26.1082</v>
      </c>
      <c r="GK211">
        <v>26.089400000000001</v>
      </c>
      <c r="GL211">
        <v>35.3065</v>
      </c>
      <c r="GM211">
        <v>100</v>
      </c>
      <c r="GN211">
        <v>0</v>
      </c>
      <c r="GO211">
        <v>23.680099999999999</v>
      </c>
      <c r="GP211">
        <v>800</v>
      </c>
      <c r="GQ211">
        <v>0</v>
      </c>
      <c r="GR211">
        <v>99.752600000000001</v>
      </c>
      <c r="GS211">
        <v>99.575299999999999</v>
      </c>
    </row>
    <row r="212" spans="1:201" x14ac:dyDescent="0.25">
      <c r="A212">
        <v>196</v>
      </c>
      <c r="B212">
        <v>1690294350</v>
      </c>
      <c r="C212">
        <v>2079.400000095367</v>
      </c>
      <c r="D212" t="s">
        <v>725</v>
      </c>
      <c r="E212" t="s">
        <v>726</v>
      </c>
      <c r="F212" t="s">
        <v>330</v>
      </c>
      <c r="H212">
        <v>1690294350</v>
      </c>
      <c r="I212">
        <f t="shared" si="90"/>
        <v>2.7642854049443341E-3</v>
      </c>
      <c r="J212">
        <f t="shared" si="91"/>
        <v>2.7642854049443342</v>
      </c>
      <c r="K212">
        <f t="shared" si="92"/>
        <v>44.583371351824169</v>
      </c>
      <c r="L212">
        <f t="shared" si="93"/>
        <v>344.71199999999999</v>
      </c>
      <c r="M212">
        <f t="shared" si="94"/>
        <v>118.49732973998128</v>
      </c>
      <c r="N212">
        <f t="shared" si="95"/>
        <v>11.783952902209132</v>
      </c>
      <c r="O212">
        <f t="shared" si="96"/>
        <v>34.2798439571568</v>
      </c>
      <c r="P212">
        <f t="shared" si="97"/>
        <v>0.34286540560284251</v>
      </c>
      <c r="Q212">
        <f t="shared" si="98"/>
        <v>2.2556160320668326</v>
      </c>
      <c r="R212">
        <f t="shared" si="99"/>
        <v>0.3163219051744085</v>
      </c>
      <c r="S212">
        <f t="shared" si="100"/>
        <v>0.19991450021636437</v>
      </c>
      <c r="T212">
        <f t="shared" si="101"/>
        <v>276.11254741688123</v>
      </c>
      <c r="U212">
        <f t="shared" si="102"/>
        <v>26.759779264067689</v>
      </c>
      <c r="V212">
        <f t="shared" si="103"/>
        <v>26.759779264067689</v>
      </c>
      <c r="W212">
        <f t="shared" si="104"/>
        <v>3.5289720784806442</v>
      </c>
      <c r="X212">
        <f t="shared" si="105"/>
        <v>81.540733102005092</v>
      </c>
      <c r="Y212">
        <f t="shared" si="106"/>
        <v>2.6871001403094001</v>
      </c>
      <c r="Z212">
        <f t="shared" si="107"/>
        <v>3.2954083659609927</v>
      </c>
      <c r="AA212">
        <f t="shared" si="108"/>
        <v>0.84187193817124406</v>
      </c>
      <c r="AB212">
        <f t="shared" si="109"/>
        <v>-121.90498635804514</v>
      </c>
      <c r="AC212">
        <f t="shared" si="110"/>
        <v>-140.91308764997717</v>
      </c>
      <c r="AD212">
        <f t="shared" si="111"/>
        <v>-13.372061500212119</v>
      </c>
      <c r="AE212">
        <f t="shared" si="112"/>
        <v>-7.7588091353192112E-2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52700.943025011453</v>
      </c>
      <c r="AK212">
        <f t="shared" si="116"/>
        <v>1799.99</v>
      </c>
      <c r="AL212">
        <f t="shared" si="117"/>
        <v>1499.1048559934197</v>
      </c>
      <c r="AM212">
        <f t="shared" si="118"/>
        <v>0.83284065799999984</v>
      </c>
      <c r="AN212">
        <f t="shared" si="119"/>
        <v>0.15339671188000001</v>
      </c>
      <c r="AO212">
        <v>30</v>
      </c>
      <c r="AP212">
        <v>0.5</v>
      </c>
      <c r="AQ212" t="s">
        <v>331</v>
      </c>
      <c r="AR212">
        <v>2</v>
      </c>
      <c r="AS212">
        <v>1690294350</v>
      </c>
      <c r="AT212">
        <v>344.71199999999999</v>
      </c>
      <c r="AU212">
        <v>799.98500000000001</v>
      </c>
      <c r="AV212">
        <v>27.021000000000001</v>
      </c>
      <c r="AW212">
        <v>0.13037199999999999</v>
      </c>
      <c r="AX212">
        <v>344.89100000000002</v>
      </c>
      <c r="AY212">
        <v>26.869599999999998</v>
      </c>
      <c r="AZ212">
        <v>300.05900000000003</v>
      </c>
      <c r="BA212">
        <v>99.344899999999996</v>
      </c>
      <c r="BB212">
        <v>9.9981399999999998E-2</v>
      </c>
      <c r="BC212">
        <v>25.600999999999999</v>
      </c>
      <c r="BD212">
        <v>27.005400000000002</v>
      </c>
      <c r="BE212">
        <v>26.5838</v>
      </c>
      <c r="BF212">
        <v>0</v>
      </c>
      <c r="BG212">
        <v>0</v>
      </c>
      <c r="BH212">
        <v>9985</v>
      </c>
      <c r="BI212">
        <v>1062.68</v>
      </c>
      <c r="BJ212">
        <v>2.1865800000000002</v>
      </c>
      <c r="BK212">
        <v>-455.27300000000002</v>
      </c>
      <c r="BL212">
        <v>354.28500000000003</v>
      </c>
      <c r="BM212">
        <v>800.08900000000006</v>
      </c>
      <c r="BN212">
        <v>26.890599999999999</v>
      </c>
      <c r="BO212">
        <v>799.98500000000001</v>
      </c>
      <c r="BP212">
        <v>0.13037199999999999</v>
      </c>
      <c r="BQ212">
        <v>2.6844000000000001</v>
      </c>
      <c r="BR212">
        <v>1.2951799999999999E-2</v>
      </c>
      <c r="BS212">
        <v>22.189900000000002</v>
      </c>
      <c r="BT212">
        <v>-43.525300000000001</v>
      </c>
      <c r="BU212">
        <v>1799.99</v>
      </c>
      <c r="BV212">
        <v>0.91001699999999996</v>
      </c>
      <c r="BW212">
        <v>3.3998300000000002E-2</v>
      </c>
      <c r="BX212">
        <v>2.1991400000000001E-2</v>
      </c>
      <c r="BY212">
        <v>3.39934E-2</v>
      </c>
      <c r="BZ212">
        <v>26</v>
      </c>
      <c r="CA212">
        <v>33528.300000000003</v>
      </c>
      <c r="CB212">
        <v>1690292073.5</v>
      </c>
      <c r="CC212" t="s">
        <v>332</v>
      </c>
      <c r="CD212">
        <v>1690292069.5</v>
      </c>
      <c r="CE212">
        <v>1690292073.5</v>
      </c>
      <c r="CF212">
        <v>4</v>
      </c>
      <c r="CG212">
        <v>-3.6999999999999998E-2</v>
      </c>
      <c r="CH212">
        <v>-1.6E-2</v>
      </c>
      <c r="CI212">
        <v>-0.45200000000000001</v>
      </c>
      <c r="CJ212">
        <v>0.108</v>
      </c>
      <c r="CK212">
        <v>730</v>
      </c>
      <c r="CL212">
        <v>18</v>
      </c>
      <c r="CM212">
        <v>0</v>
      </c>
      <c r="CN212">
        <v>0.01</v>
      </c>
      <c r="CO212">
        <v>-455.03565853658529</v>
      </c>
      <c r="CP212">
        <v>-1.0075191637640879</v>
      </c>
      <c r="CQ212">
        <v>0.11357207011432641</v>
      </c>
      <c r="CR212">
        <v>-1</v>
      </c>
      <c r="CS212">
        <v>26.88893902439024</v>
      </c>
      <c r="CT212">
        <v>-6.3535191637543453E-2</v>
      </c>
      <c r="CU212">
        <v>7.4211917407559069E-3</v>
      </c>
      <c r="CV212">
        <v>-1</v>
      </c>
      <c r="CW212">
        <v>0</v>
      </c>
      <c r="CX212">
        <v>0</v>
      </c>
      <c r="CY212" t="s">
        <v>333</v>
      </c>
      <c r="CZ212">
        <v>2.3645399999999999</v>
      </c>
      <c r="DA212">
        <v>2.7137600000000002</v>
      </c>
      <c r="DB212">
        <v>8.0001799999999998E-2</v>
      </c>
      <c r="DC212">
        <v>0.14643200000000001</v>
      </c>
      <c r="DD212">
        <v>0.124292</v>
      </c>
      <c r="DE212">
        <v>1.1031700000000001E-3</v>
      </c>
      <c r="DF212">
        <v>33599</v>
      </c>
      <c r="DG212">
        <v>27513.200000000001</v>
      </c>
      <c r="DH212">
        <v>31176.9</v>
      </c>
      <c r="DI212">
        <v>28086.5</v>
      </c>
      <c r="DJ212">
        <v>37053.800000000003</v>
      </c>
      <c r="DK212">
        <v>39896.800000000003</v>
      </c>
      <c r="DL212">
        <v>44367.9</v>
      </c>
      <c r="DM212">
        <v>42563.6</v>
      </c>
      <c r="DN212">
        <v>1.4901500000000001</v>
      </c>
      <c r="DO212">
        <v>2.03748</v>
      </c>
      <c r="DP212">
        <v>0.122916</v>
      </c>
      <c r="DQ212">
        <v>0.11954099999999999</v>
      </c>
      <c r="DR212">
        <v>24.991900000000001</v>
      </c>
      <c r="DS212">
        <v>24.624400000000001</v>
      </c>
      <c r="DT212">
        <v>21.2</v>
      </c>
      <c r="DU212">
        <v>28.9</v>
      </c>
      <c r="DV212">
        <v>8.5337999999999994</v>
      </c>
      <c r="DW212">
        <v>61.6935</v>
      </c>
      <c r="DX212">
        <v>35.913499999999999</v>
      </c>
      <c r="DY212">
        <v>1</v>
      </c>
      <c r="DZ212">
        <v>-0.110625</v>
      </c>
      <c r="EA212">
        <v>0.24649499999999999</v>
      </c>
      <c r="EB212">
        <v>20.190000000000001</v>
      </c>
      <c r="EC212">
        <v>5.2411000000000003</v>
      </c>
      <c r="ED212">
        <v>12.039899999999999</v>
      </c>
      <c r="EE212">
        <v>5.0168999999999997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1.8646199999999999</v>
      </c>
      <c r="EM212">
        <v>1.8692</v>
      </c>
      <c r="EN212">
        <v>1.8672200000000001</v>
      </c>
      <c r="EO212">
        <v>1.8633999999999999</v>
      </c>
      <c r="EP212">
        <v>1.8644700000000001</v>
      </c>
      <c r="EQ212">
        <v>1.8701700000000001</v>
      </c>
      <c r="ER212">
        <v>1.8694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-0.17899999999999999</v>
      </c>
      <c r="FG212">
        <v>0.15140000000000001</v>
      </c>
      <c r="FH212">
        <v>5.0310448532705943E-2</v>
      </c>
      <c r="FI212">
        <v>-6.1462078757559423E-4</v>
      </c>
      <c r="FJ212">
        <v>-1.8861989874597051E-7</v>
      </c>
      <c r="FK212">
        <v>1.1980462299894961E-10</v>
      </c>
      <c r="FL212">
        <v>0.15140825623214971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38</v>
      </c>
      <c r="FU212">
        <v>37.9</v>
      </c>
      <c r="FV212">
        <v>1.7663599999999999</v>
      </c>
      <c r="FW212">
        <v>2.5854499999999998</v>
      </c>
      <c r="FX212">
        <v>1.5490699999999999</v>
      </c>
      <c r="FY212">
        <v>2.3327599999999999</v>
      </c>
      <c r="FZ212">
        <v>1.50146</v>
      </c>
      <c r="GA212">
        <v>2.36572</v>
      </c>
      <c r="GB212">
        <v>33.266300000000001</v>
      </c>
      <c r="GC212">
        <v>23.982399999999998</v>
      </c>
      <c r="GD212">
        <v>19</v>
      </c>
      <c r="GE212">
        <v>287.78300000000002</v>
      </c>
      <c r="GF212">
        <v>581.27700000000004</v>
      </c>
      <c r="GG212">
        <v>23.695499999999999</v>
      </c>
      <c r="GH212">
        <v>25.985700000000001</v>
      </c>
      <c r="GI212">
        <v>30.0002</v>
      </c>
      <c r="GJ212">
        <v>26.110399999999998</v>
      </c>
      <c r="GK212">
        <v>26.0916</v>
      </c>
      <c r="GL212">
        <v>35.307200000000002</v>
      </c>
      <c r="GM212">
        <v>100</v>
      </c>
      <c r="GN212">
        <v>0</v>
      </c>
      <c r="GO212">
        <v>23.6967</v>
      </c>
      <c r="GP212">
        <v>800</v>
      </c>
      <c r="GQ212">
        <v>0</v>
      </c>
      <c r="GR212">
        <v>99.753100000000003</v>
      </c>
      <c r="GS212">
        <v>99.576400000000007</v>
      </c>
    </row>
    <row r="213" spans="1:201" x14ac:dyDescent="0.25">
      <c r="A213">
        <v>197</v>
      </c>
      <c r="B213">
        <v>1690294360</v>
      </c>
      <c r="C213">
        <v>2089.400000095367</v>
      </c>
      <c r="D213" t="s">
        <v>727</v>
      </c>
      <c r="E213" t="s">
        <v>728</v>
      </c>
      <c r="F213" t="s">
        <v>330</v>
      </c>
      <c r="H213">
        <v>1690294360</v>
      </c>
      <c r="I213">
        <f t="shared" si="90"/>
        <v>2.7685712092297434E-3</v>
      </c>
      <c r="J213">
        <f t="shared" si="91"/>
        <v>2.7685712092297434</v>
      </c>
      <c r="K213">
        <f t="shared" si="92"/>
        <v>44.611447404149331</v>
      </c>
      <c r="L213">
        <f t="shared" si="93"/>
        <v>344.56700000000001</v>
      </c>
      <c r="M213">
        <f t="shared" si="94"/>
        <v>119.4089184471655</v>
      </c>
      <c r="N213">
        <f t="shared" si="95"/>
        <v>11.87460938699355</v>
      </c>
      <c r="O213">
        <f t="shared" si="96"/>
        <v>34.265434993104002</v>
      </c>
      <c r="P213">
        <f t="shared" si="97"/>
        <v>0.34478742365684656</v>
      </c>
      <c r="Q213">
        <f t="shared" si="98"/>
        <v>2.2600507057524117</v>
      </c>
      <c r="R213">
        <f t="shared" si="99"/>
        <v>0.31800623258422989</v>
      </c>
      <c r="S213">
        <f t="shared" si="100"/>
        <v>0.2009864459531944</v>
      </c>
      <c r="T213">
        <f t="shared" si="101"/>
        <v>276.11413696799997</v>
      </c>
      <c r="U213">
        <f t="shared" si="102"/>
        <v>26.760391299802468</v>
      </c>
      <c r="V213">
        <f t="shared" si="103"/>
        <v>26.760391299802468</v>
      </c>
      <c r="W213">
        <f t="shared" si="104"/>
        <v>3.5290991619686749</v>
      </c>
      <c r="X213">
        <f t="shared" si="105"/>
        <v>81.621081635811692</v>
      </c>
      <c r="Y213">
        <f t="shared" si="106"/>
        <v>2.6904025382304004</v>
      </c>
      <c r="Z213">
        <f t="shared" si="107"/>
        <v>3.2962103470213902</v>
      </c>
      <c r="AA213">
        <f t="shared" si="108"/>
        <v>0.83869662373827447</v>
      </c>
      <c r="AB213">
        <f t="shared" si="109"/>
        <v>-122.09399032703169</v>
      </c>
      <c r="AC213">
        <f t="shared" si="110"/>
        <v>-140.76514405454495</v>
      </c>
      <c r="AD213">
        <f t="shared" si="111"/>
        <v>-13.332125810213794</v>
      </c>
      <c r="AE213">
        <f t="shared" si="112"/>
        <v>-7.7123223790437123E-2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52874.337807043965</v>
      </c>
      <c r="AK213">
        <f t="shared" si="116"/>
        <v>1800</v>
      </c>
      <c r="AL213">
        <f t="shared" si="117"/>
        <v>1499.1117408000002</v>
      </c>
      <c r="AM213">
        <f t="shared" si="118"/>
        <v>0.8328398560000001</v>
      </c>
      <c r="AN213">
        <f t="shared" si="119"/>
        <v>0.15339674275999998</v>
      </c>
      <c r="AO213">
        <v>30</v>
      </c>
      <c r="AP213">
        <v>0.5</v>
      </c>
      <c r="AQ213" t="s">
        <v>331</v>
      </c>
      <c r="AR213">
        <v>2</v>
      </c>
      <c r="AS213">
        <v>1690294360</v>
      </c>
      <c r="AT213">
        <v>344.56700000000001</v>
      </c>
      <c r="AU213">
        <v>800.00699999999995</v>
      </c>
      <c r="AV213">
        <v>27.054200000000002</v>
      </c>
      <c r="AW213">
        <v>0.13015699999999999</v>
      </c>
      <c r="AX213">
        <v>344.74599999999998</v>
      </c>
      <c r="AY213">
        <v>26.902799999999999</v>
      </c>
      <c r="AZ213">
        <v>300.14100000000002</v>
      </c>
      <c r="BA213">
        <v>99.344899999999996</v>
      </c>
      <c r="BB213">
        <v>0.100012</v>
      </c>
      <c r="BC213">
        <v>25.6051</v>
      </c>
      <c r="BD213">
        <v>27.0061</v>
      </c>
      <c r="BE213">
        <v>26.609200000000001</v>
      </c>
      <c r="BF213">
        <v>0</v>
      </c>
      <c r="BG213">
        <v>0</v>
      </c>
      <c r="BH213">
        <v>10019.4</v>
      </c>
      <c r="BI213">
        <v>1062.8</v>
      </c>
      <c r="BJ213">
        <v>2.2132100000000001</v>
      </c>
      <c r="BK213">
        <v>-455.44</v>
      </c>
      <c r="BL213">
        <v>354.14800000000002</v>
      </c>
      <c r="BM213">
        <v>800.11099999999999</v>
      </c>
      <c r="BN213">
        <v>26.923999999999999</v>
      </c>
      <c r="BO213">
        <v>800.00699999999995</v>
      </c>
      <c r="BP213">
        <v>0.13015699999999999</v>
      </c>
      <c r="BQ213">
        <v>2.6876899999999999</v>
      </c>
      <c r="BR213">
        <v>1.29304E-2</v>
      </c>
      <c r="BS213">
        <v>22.210100000000001</v>
      </c>
      <c r="BT213">
        <v>-43.540599999999998</v>
      </c>
      <c r="BU213">
        <v>1800</v>
      </c>
      <c r="BV213">
        <v>0.91000899999999996</v>
      </c>
      <c r="BW213">
        <v>3.4000000000000002E-2</v>
      </c>
      <c r="BX213">
        <v>2.1990800000000001E-2</v>
      </c>
      <c r="BY213">
        <v>3.40004E-2</v>
      </c>
      <c r="BZ213">
        <v>26</v>
      </c>
      <c r="CA213">
        <v>33528.5</v>
      </c>
      <c r="CB213">
        <v>1690292073.5</v>
      </c>
      <c r="CC213" t="s">
        <v>332</v>
      </c>
      <c r="CD213">
        <v>1690292069.5</v>
      </c>
      <c r="CE213">
        <v>1690292073.5</v>
      </c>
      <c r="CF213">
        <v>4</v>
      </c>
      <c r="CG213">
        <v>-3.6999999999999998E-2</v>
      </c>
      <c r="CH213">
        <v>-1.6E-2</v>
      </c>
      <c r="CI213">
        <v>-0.45200000000000001</v>
      </c>
      <c r="CJ213">
        <v>0.108</v>
      </c>
      <c r="CK213">
        <v>730</v>
      </c>
      <c r="CL213">
        <v>18</v>
      </c>
      <c r="CM213">
        <v>0</v>
      </c>
      <c r="CN213">
        <v>0.01</v>
      </c>
      <c r="CO213">
        <v>-455.22187804878052</v>
      </c>
      <c r="CP213">
        <v>-1.2321114982598289</v>
      </c>
      <c r="CQ213">
        <v>0.12928927579353491</v>
      </c>
      <c r="CR213">
        <v>-1</v>
      </c>
      <c r="CS213">
        <v>26.89224390243902</v>
      </c>
      <c r="CT213">
        <v>0.1056731707316748</v>
      </c>
      <c r="CU213">
        <v>1.196111685747986E-2</v>
      </c>
      <c r="CV213">
        <v>-1</v>
      </c>
      <c r="CW213">
        <v>0</v>
      </c>
      <c r="CX213">
        <v>0</v>
      </c>
      <c r="CY213" t="s">
        <v>333</v>
      </c>
      <c r="CZ213">
        <v>2.3647900000000002</v>
      </c>
      <c r="DA213">
        <v>2.7138200000000001</v>
      </c>
      <c r="DB213">
        <v>7.9975000000000004E-2</v>
      </c>
      <c r="DC213">
        <v>0.14643400000000001</v>
      </c>
      <c r="DD213">
        <v>0.12439799999999999</v>
      </c>
      <c r="DE213">
        <v>1.10136E-3</v>
      </c>
      <c r="DF213">
        <v>33599.599999999999</v>
      </c>
      <c r="DG213">
        <v>27513.4</v>
      </c>
      <c r="DH213">
        <v>31176.5</v>
      </c>
      <c r="DI213">
        <v>28086.799999999999</v>
      </c>
      <c r="DJ213">
        <v>37048.800000000003</v>
      </c>
      <c r="DK213">
        <v>39897.300000000003</v>
      </c>
      <c r="DL213">
        <v>44367.4</v>
      </c>
      <c r="DM213">
        <v>42564</v>
      </c>
      <c r="DN213">
        <v>1.4901</v>
      </c>
      <c r="DO213">
        <v>2.0373299999999999</v>
      </c>
      <c r="DP213">
        <v>0.122834</v>
      </c>
      <c r="DQ213">
        <v>0.12096800000000001</v>
      </c>
      <c r="DR213">
        <v>24.994</v>
      </c>
      <c r="DS213">
        <v>24.6264</v>
      </c>
      <c r="DT213">
        <v>21.1</v>
      </c>
      <c r="DU213">
        <v>29</v>
      </c>
      <c r="DV213">
        <v>8.5410500000000003</v>
      </c>
      <c r="DW213">
        <v>61.413499999999999</v>
      </c>
      <c r="DX213">
        <v>35.236400000000003</v>
      </c>
      <c r="DY213">
        <v>1</v>
      </c>
      <c r="DZ213">
        <v>-0.109815</v>
      </c>
      <c r="EA213">
        <v>0.34564499999999998</v>
      </c>
      <c r="EB213">
        <v>20.189900000000002</v>
      </c>
      <c r="EC213">
        <v>5.24125</v>
      </c>
      <c r="ED213">
        <v>12.039899999999999</v>
      </c>
      <c r="EE213">
        <v>5.0175999999999998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1.8689100000000001</v>
      </c>
      <c r="EL213">
        <v>1.8646199999999999</v>
      </c>
      <c r="EM213">
        <v>1.8692</v>
      </c>
      <c r="EN213">
        <v>1.8672299999999999</v>
      </c>
      <c r="EO213">
        <v>1.8633999999999999</v>
      </c>
      <c r="EP213">
        <v>1.8644700000000001</v>
      </c>
      <c r="EQ213">
        <v>1.87015</v>
      </c>
      <c r="ER213">
        <v>1.8693900000000001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-0.17899999999999999</v>
      </c>
      <c r="FG213">
        <v>0.15140000000000001</v>
      </c>
      <c r="FH213">
        <v>5.0310448532705943E-2</v>
      </c>
      <c r="FI213">
        <v>-6.1462078757559423E-4</v>
      </c>
      <c r="FJ213">
        <v>-1.8861989874597051E-7</v>
      </c>
      <c r="FK213">
        <v>1.1980462299894961E-10</v>
      </c>
      <c r="FL213">
        <v>0.15140825623214971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38.200000000000003</v>
      </c>
      <c r="FU213">
        <v>38.1</v>
      </c>
      <c r="FV213">
        <v>1.7663599999999999</v>
      </c>
      <c r="FW213">
        <v>2.5817899999999998</v>
      </c>
      <c r="FX213">
        <v>1.5490699999999999</v>
      </c>
      <c r="FY213">
        <v>2.3327599999999999</v>
      </c>
      <c r="FZ213">
        <v>1.50146</v>
      </c>
      <c r="GA213">
        <v>2.2766099999999998</v>
      </c>
      <c r="GB213">
        <v>33.266300000000001</v>
      </c>
      <c r="GC213">
        <v>23.982399999999998</v>
      </c>
      <c r="GD213">
        <v>19</v>
      </c>
      <c r="GE213">
        <v>287.77100000000002</v>
      </c>
      <c r="GF213">
        <v>581.16499999999996</v>
      </c>
      <c r="GG213">
        <v>23.700600000000001</v>
      </c>
      <c r="GH213">
        <v>25.986599999999999</v>
      </c>
      <c r="GI213">
        <v>30.000399999999999</v>
      </c>
      <c r="GJ213">
        <v>26.1126</v>
      </c>
      <c r="GK213">
        <v>26.092600000000001</v>
      </c>
      <c r="GL213">
        <v>35.307499999999997</v>
      </c>
      <c r="GM213">
        <v>100</v>
      </c>
      <c r="GN213">
        <v>0</v>
      </c>
      <c r="GO213">
        <v>23.697500000000002</v>
      </c>
      <c r="GP213">
        <v>800</v>
      </c>
      <c r="GQ213">
        <v>0</v>
      </c>
      <c r="GR213">
        <v>99.751999999999995</v>
      </c>
      <c r="GS213">
        <v>99.577500000000001</v>
      </c>
    </row>
    <row r="214" spans="1:201" x14ac:dyDescent="0.25">
      <c r="A214">
        <v>198</v>
      </c>
      <c r="B214">
        <v>1690294370</v>
      </c>
      <c r="C214">
        <v>2099.400000095367</v>
      </c>
      <c r="D214" t="s">
        <v>729</v>
      </c>
      <c r="E214" t="s">
        <v>730</v>
      </c>
      <c r="F214" t="s">
        <v>330</v>
      </c>
      <c r="H214">
        <v>1690294370</v>
      </c>
      <c r="I214">
        <f t="shared" si="90"/>
        <v>2.7725533848933486E-3</v>
      </c>
      <c r="J214">
        <f t="shared" si="91"/>
        <v>2.7725533848933486</v>
      </c>
      <c r="K214">
        <f t="shared" si="92"/>
        <v>44.644510375197136</v>
      </c>
      <c r="L214">
        <f t="shared" si="93"/>
        <v>344.37900000000002</v>
      </c>
      <c r="M214">
        <f t="shared" si="94"/>
        <v>120.00480280354398</v>
      </c>
      <c r="N214">
        <f t="shared" si="95"/>
        <v>11.933954297867423</v>
      </c>
      <c r="O214">
        <f t="shared" si="96"/>
        <v>34.246989713181001</v>
      </c>
      <c r="P214">
        <f t="shared" si="97"/>
        <v>0.34639495448481583</v>
      </c>
      <c r="Q214">
        <f t="shared" si="98"/>
        <v>2.2570768112733259</v>
      </c>
      <c r="R214">
        <f t="shared" si="99"/>
        <v>0.31934130927061394</v>
      </c>
      <c r="S214">
        <f t="shared" si="100"/>
        <v>0.20184261552018051</v>
      </c>
      <c r="T214">
        <f t="shared" si="101"/>
        <v>276.11413696799997</v>
      </c>
      <c r="U214">
        <f t="shared" si="102"/>
        <v>26.762661287178815</v>
      </c>
      <c r="V214">
        <f t="shared" si="103"/>
        <v>26.762661287178815</v>
      </c>
      <c r="W214">
        <f t="shared" si="104"/>
        <v>3.5295705384773894</v>
      </c>
      <c r="X214">
        <f t="shared" si="105"/>
        <v>81.694882784413991</v>
      </c>
      <c r="Y214">
        <f t="shared" si="106"/>
        <v>2.6931867953979998</v>
      </c>
      <c r="Z214">
        <f t="shared" si="107"/>
        <v>3.2966407486073468</v>
      </c>
      <c r="AA214">
        <f t="shared" si="108"/>
        <v>0.83638374307938967</v>
      </c>
      <c r="AB214">
        <f t="shared" si="109"/>
        <v>-122.26960427379667</v>
      </c>
      <c r="AC214">
        <f t="shared" si="110"/>
        <v>-140.58843412949309</v>
      </c>
      <c r="AD214">
        <f t="shared" si="111"/>
        <v>-13.33323228015704</v>
      </c>
      <c r="AE214">
        <f t="shared" si="112"/>
        <v>-7.7133715446876749E-2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52757.164486287475</v>
      </c>
      <c r="AK214">
        <f t="shared" si="116"/>
        <v>1800</v>
      </c>
      <c r="AL214">
        <f t="shared" si="117"/>
        <v>1499.1117408000002</v>
      </c>
      <c r="AM214">
        <f t="shared" si="118"/>
        <v>0.8328398560000001</v>
      </c>
      <c r="AN214">
        <f t="shared" si="119"/>
        <v>0.15339674275999998</v>
      </c>
      <c r="AO214">
        <v>30</v>
      </c>
      <c r="AP214">
        <v>0.5</v>
      </c>
      <c r="AQ214" t="s">
        <v>331</v>
      </c>
      <c r="AR214">
        <v>2</v>
      </c>
      <c r="AS214">
        <v>1690294370</v>
      </c>
      <c r="AT214">
        <v>344.37900000000002</v>
      </c>
      <c r="AU214">
        <v>799.99099999999999</v>
      </c>
      <c r="AV214">
        <v>27.082000000000001</v>
      </c>
      <c r="AW214">
        <v>0.12987899999999999</v>
      </c>
      <c r="AX214">
        <v>344.55799999999999</v>
      </c>
      <c r="AY214">
        <v>26.930599999999998</v>
      </c>
      <c r="AZ214">
        <v>300.25099999999998</v>
      </c>
      <c r="BA214">
        <v>99.345600000000005</v>
      </c>
      <c r="BB214">
        <v>0.100039</v>
      </c>
      <c r="BC214">
        <v>25.607299999999999</v>
      </c>
      <c r="BD214">
        <v>26.9938</v>
      </c>
      <c r="BE214">
        <v>26.6144</v>
      </c>
      <c r="BF214">
        <v>0</v>
      </c>
      <c r="BG214">
        <v>0</v>
      </c>
      <c r="BH214">
        <v>9996.25</v>
      </c>
      <c r="BI214">
        <v>1062.74</v>
      </c>
      <c r="BJ214">
        <v>2.17116</v>
      </c>
      <c r="BK214">
        <v>-455.61200000000002</v>
      </c>
      <c r="BL214">
        <v>353.96499999999997</v>
      </c>
      <c r="BM214">
        <v>800.09500000000003</v>
      </c>
      <c r="BN214">
        <v>26.952100000000002</v>
      </c>
      <c r="BO214">
        <v>799.99099999999999</v>
      </c>
      <c r="BP214">
        <v>0.12987899999999999</v>
      </c>
      <c r="BQ214">
        <v>2.69048</v>
      </c>
      <c r="BR214">
        <v>1.29029E-2</v>
      </c>
      <c r="BS214">
        <v>22.2271</v>
      </c>
      <c r="BT214">
        <v>-43.560200000000002</v>
      </c>
      <c r="BU214">
        <v>1800</v>
      </c>
      <c r="BV214">
        <v>0.91000899999999996</v>
      </c>
      <c r="BW214">
        <v>3.4000000000000002E-2</v>
      </c>
      <c r="BX214">
        <v>2.1990800000000001E-2</v>
      </c>
      <c r="BY214">
        <v>3.40004E-2</v>
      </c>
      <c r="BZ214">
        <v>26</v>
      </c>
      <c r="CA214">
        <v>33528.5</v>
      </c>
      <c r="CB214">
        <v>1690292073.5</v>
      </c>
      <c r="CC214" t="s">
        <v>332</v>
      </c>
      <c r="CD214">
        <v>1690292069.5</v>
      </c>
      <c r="CE214">
        <v>1690292073.5</v>
      </c>
      <c r="CF214">
        <v>4</v>
      </c>
      <c r="CG214">
        <v>-3.6999999999999998E-2</v>
      </c>
      <c r="CH214">
        <v>-1.6E-2</v>
      </c>
      <c r="CI214">
        <v>-0.45200000000000001</v>
      </c>
      <c r="CJ214">
        <v>0.108</v>
      </c>
      <c r="CK214">
        <v>730</v>
      </c>
      <c r="CL214">
        <v>18</v>
      </c>
      <c r="CM214">
        <v>0</v>
      </c>
      <c r="CN214">
        <v>0.01</v>
      </c>
      <c r="CO214">
        <v>-455.43407500000001</v>
      </c>
      <c r="CP214">
        <v>-0.97613133208147551</v>
      </c>
      <c r="CQ214">
        <v>9.6893340199414757E-2</v>
      </c>
      <c r="CR214">
        <v>-1</v>
      </c>
      <c r="CS214">
        <v>26.920970000000001</v>
      </c>
      <c r="CT214">
        <v>0.19671894934326251</v>
      </c>
      <c r="CU214">
        <v>1.8992172071672121E-2</v>
      </c>
      <c r="CV214">
        <v>-1</v>
      </c>
      <c r="CW214">
        <v>0</v>
      </c>
      <c r="CX214">
        <v>0</v>
      </c>
      <c r="CY214" t="s">
        <v>333</v>
      </c>
      <c r="CZ214">
        <v>2.3651499999999999</v>
      </c>
      <c r="DA214">
        <v>2.7138300000000002</v>
      </c>
      <c r="DB214">
        <v>7.9940899999999995E-2</v>
      </c>
      <c r="DC214">
        <v>0.14643300000000001</v>
      </c>
      <c r="DD214">
        <v>0.124487</v>
      </c>
      <c r="DE214">
        <v>1.09903E-3</v>
      </c>
      <c r="DF214">
        <v>33600.6</v>
      </c>
      <c r="DG214">
        <v>27512.799999999999</v>
      </c>
      <c r="DH214">
        <v>31176.2</v>
      </c>
      <c r="DI214">
        <v>28086.2</v>
      </c>
      <c r="DJ214">
        <v>37044.699999999997</v>
      </c>
      <c r="DK214">
        <v>39896.6</v>
      </c>
      <c r="DL214">
        <v>44367.1</v>
      </c>
      <c r="DM214">
        <v>42563.199999999997</v>
      </c>
      <c r="DN214">
        <v>1.4901199999999999</v>
      </c>
      <c r="DO214">
        <v>2.0374500000000002</v>
      </c>
      <c r="DP214">
        <v>0.121951</v>
      </c>
      <c r="DQ214">
        <v>0.121284</v>
      </c>
      <c r="DR214">
        <v>24.996200000000002</v>
      </c>
      <c r="DS214">
        <v>24.6264</v>
      </c>
      <c r="DT214">
        <v>21.1</v>
      </c>
      <c r="DU214">
        <v>29</v>
      </c>
      <c r="DV214">
        <v>8.5425799999999992</v>
      </c>
      <c r="DW214">
        <v>61.823500000000003</v>
      </c>
      <c r="DX214">
        <v>34.9679</v>
      </c>
      <c r="DY214">
        <v>1</v>
      </c>
      <c r="DZ214">
        <v>-0.109642</v>
      </c>
      <c r="EA214">
        <v>0.37233100000000002</v>
      </c>
      <c r="EB214">
        <v>20.189599999999999</v>
      </c>
      <c r="EC214">
        <v>5.2408000000000001</v>
      </c>
      <c r="ED214">
        <v>12.039899999999999</v>
      </c>
      <c r="EE214">
        <v>5.0170500000000002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1.8689100000000001</v>
      </c>
      <c r="EL214">
        <v>1.8646199999999999</v>
      </c>
      <c r="EM214">
        <v>1.8692</v>
      </c>
      <c r="EN214">
        <v>1.8672200000000001</v>
      </c>
      <c r="EO214">
        <v>1.8633999999999999</v>
      </c>
      <c r="EP214">
        <v>1.8644700000000001</v>
      </c>
      <c r="EQ214">
        <v>1.87016</v>
      </c>
      <c r="ER214">
        <v>1.86941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-0.17899999999999999</v>
      </c>
      <c r="FG214">
        <v>0.15140000000000001</v>
      </c>
      <c r="FH214">
        <v>5.0310448532705943E-2</v>
      </c>
      <c r="FI214">
        <v>-6.1462078757559423E-4</v>
      </c>
      <c r="FJ214">
        <v>-1.8861989874597051E-7</v>
      </c>
      <c r="FK214">
        <v>1.1980462299894961E-10</v>
      </c>
      <c r="FL214">
        <v>0.15140825623214971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38.299999999999997</v>
      </c>
      <c r="FU214">
        <v>38.299999999999997</v>
      </c>
      <c r="FV214">
        <v>1.7663599999999999</v>
      </c>
      <c r="FW214">
        <v>2.5781200000000002</v>
      </c>
      <c r="FX214">
        <v>1.5490699999999999</v>
      </c>
      <c r="FY214">
        <v>2.3339799999999999</v>
      </c>
      <c r="FZ214">
        <v>1.50146</v>
      </c>
      <c r="GA214">
        <v>2.3864700000000001</v>
      </c>
      <c r="GB214">
        <v>33.288699999999999</v>
      </c>
      <c r="GC214">
        <v>23.991199999999999</v>
      </c>
      <c r="GD214">
        <v>19</v>
      </c>
      <c r="GE214">
        <v>287.79199999999997</v>
      </c>
      <c r="GF214">
        <v>581.28099999999995</v>
      </c>
      <c r="GG214">
        <v>23.700399999999998</v>
      </c>
      <c r="GH214">
        <v>25.988800000000001</v>
      </c>
      <c r="GI214">
        <v>30.0001</v>
      </c>
      <c r="GJ214">
        <v>26.114899999999999</v>
      </c>
      <c r="GK214">
        <v>26.093800000000002</v>
      </c>
      <c r="GL214">
        <v>35.306600000000003</v>
      </c>
      <c r="GM214">
        <v>100</v>
      </c>
      <c r="GN214">
        <v>0</v>
      </c>
      <c r="GO214">
        <v>23.691500000000001</v>
      </c>
      <c r="GP214">
        <v>800</v>
      </c>
      <c r="GQ214">
        <v>0</v>
      </c>
      <c r="GR214">
        <v>99.751099999999994</v>
      </c>
      <c r="GS214">
        <v>99.575500000000005</v>
      </c>
    </row>
    <row r="215" spans="1:201" x14ac:dyDescent="0.25">
      <c r="A215">
        <v>199</v>
      </c>
      <c r="B215">
        <v>1690294380</v>
      </c>
      <c r="C215">
        <v>2109.400000095367</v>
      </c>
      <c r="D215" t="s">
        <v>731</v>
      </c>
      <c r="E215" t="s">
        <v>732</v>
      </c>
      <c r="F215" t="s">
        <v>330</v>
      </c>
      <c r="H215">
        <v>1690294380</v>
      </c>
      <c r="I215">
        <f t="shared" si="90"/>
        <v>2.7735139722159297E-3</v>
      </c>
      <c r="J215">
        <f t="shared" si="91"/>
        <v>2.7735139722159299</v>
      </c>
      <c r="K215">
        <f t="shared" si="92"/>
        <v>44.652894241085633</v>
      </c>
      <c r="L215">
        <f t="shared" si="93"/>
        <v>344.16500000000002</v>
      </c>
      <c r="M215">
        <f t="shared" si="94"/>
        <v>120.06339012112353</v>
      </c>
      <c r="N215">
        <f t="shared" si="95"/>
        <v>11.939815849738112</v>
      </c>
      <c r="O215">
        <f t="shared" si="96"/>
        <v>34.225809530945</v>
      </c>
      <c r="P215">
        <f t="shared" si="97"/>
        <v>0.34691652475859142</v>
      </c>
      <c r="Q215">
        <f t="shared" si="98"/>
        <v>2.2569994456440816</v>
      </c>
      <c r="R215">
        <f t="shared" si="99"/>
        <v>0.31978391337499251</v>
      </c>
      <c r="S215">
        <f t="shared" si="100"/>
        <v>0.202125572541482</v>
      </c>
      <c r="T215">
        <f t="shared" si="101"/>
        <v>276.11259882459558</v>
      </c>
      <c r="U215">
        <f t="shared" si="102"/>
        <v>26.765764381870738</v>
      </c>
      <c r="V215">
        <f t="shared" si="103"/>
        <v>26.765764381870738</v>
      </c>
      <c r="W215">
        <f t="shared" si="104"/>
        <v>3.5302150036515778</v>
      </c>
      <c r="X215">
        <f t="shared" si="105"/>
        <v>81.724484366445822</v>
      </c>
      <c r="Y215">
        <f t="shared" si="106"/>
        <v>2.6947063356876</v>
      </c>
      <c r="Z215">
        <f t="shared" si="107"/>
        <v>3.2973060112618882</v>
      </c>
      <c r="AA215">
        <f t="shared" si="108"/>
        <v>0.83550866796397782</v>
      </c>
      <c r="AB215">
        <f t="shared" si="109"/>
        <v>-122.3119661747225</v>
      </c>
      <c r="AC215">
        <f t="shared" si="110"/>
        <v>-140.54748794561402</v>
      </c>
      <c r="AD215">
        <f t="shared" si="111"/>
        <v>-13.330240483371835</v>
      </c>
      <c r="AE215">
        <f t="shared" si="112"/>
        <v>-7.7095779112767104E-2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52753.533750686787</v>
      </c>
      <c r="AK215">
        <f t="shared" si="116"/>
        <v>1799.99</v>
      </c>
      <c r="AL215">
        <f t="shared" si="117"/>
        <v>1499.1027338052099</v>
      </c>
      <c r="AM215">
        <f t="shared" si="118"/>
        <v>0.83283947899999999</v>
      </c>
      <c r="AN215">
        <f t="shared" si="119"/>
        <v>0.15339674043999998</v>
      </c>
      <c r="AO215">
        <v>30</v>
      </c>
      <c r="AP215">
        <v>0.5</v>
      </c>
      <c r="AQ215" t="s">
        <v>331</v>
      </c>
      <c r="AR215">
        <v>2</v>
      </c>
      <c r="AS215">
        <v>1690294380</v>
      </c>
      <c r="AT215">
        <v>344.16500000000002</v>
      </c>
      <c r="AU215">
        <v>799.97199999999998</v>
      </c>
      <c r="AV215">
        <v>27.097200000000001</v>
      </c>
      <c r="AW215">
        <v>0.12942600000000001</v>
      </c>
      <c r="AX215">
        <v>344.34300000000002</v>
      </c>
      <c r="AY215">
        <v>26.945799999999998</v>
      </c>
      <c r="AZ215">
        <v>300.17599999999999</v>
      </c>
      <c r="BA215">
        <v>99.3459</v>
      </c>
      <c r="BB215">
        <v>0.100033</v>
      </c>
      <c r="BC215">
        <v>25.610700000000001</v>
      </c>
      <c r="BD215">
        <v>27.0017</v>
      </c>
      <c r="BE215">
        <v>26.6083</v>
      </c>
      <c r="BF215">
        <v>0</v>
      </c>
      <c r="BG215">
        <v>0</v>
      </c>
      <c r="BH215">
        <v>9995.6200000000008</v>
      </c>
      <c r="BI215">
        <v>1062.71</v>
      </c>
      <c r="BJ215">
        <v>1.9511000000000001</v>
      </c>
      <c r="BK215">
        <v>-455.80799999999999</v>
      </c>
      <c r="BL215">
        <v>353.75</v>
      </c>
      <c r="BM215">
        <v>800.07600000000002</v>
      </c>
      <c r="BN215">
        <v>26.9678</v>
      </c>
      <c r="BO215">
        <v>799.97199999999998</v>
      </c>
      <c r="BP215">
        <v>0.12942600000000001</v>
      </c>
      <c r="BQ215">
        <v>2.6919900000000001</v>
      </c>
      <c r="BR215">
        <v>1.2858E-2</v>
      </c>
      <c r="BS215">
        <v>22.2363</v>
      </c>
      <c r="BT215">
        <v>-43.592500000000001</v>
      </c>
      <c r="BU215">
        <v>1799.99</v>
      </c>
      <c r="BV215">
        <v>0.91000700000000001</v>
      </c>
      <c r="BW215">
        <v>3.4002200000000003E-2</v>
      </c>
      <c r="BX215">
        <v>2.1990699999999998E-2</v>
      </c>
      <c r="BY215">
        <v>3.4000200000000001E-2</v>
      </c>
      <c r="BZ215">
        <v>26</v>
      </c>
      <c r="CA215">
        <v>33528.400000000001</v>
      </c>
      <c r="CB215">
        <v>1690292073.5</v>
      </c>
      <c r="CC215" t="s">
        <v>332</v>
      </c>
      <c r="CD215">
        <v>1690292069.5</v>
      </c>
      <c r="CE215">
        <v>1690292073.5</v>
      </c>
      <c r="CF215">
        <v>4</v>
      </c>
      <c r="CG215">
        <v>-3.6999999999999998E-2</v>
      </c>
      <c r="CH215">
        <v>-1.6E-2</v>
      </c>
      <c r="CI215">
        <v>-0.45200000000000001</v>
      </c>
      <c r="CJ215">
        <v>0.108</v>
      </c>
      <c r="CK215">
        <v>730</v>
      </c>
      <c r="CL215">
        <v>18</v>
      </c>
      <c r="CM215">
        <v>0</v>
      </c>
      <c r="CN215">
        <v>0.01</v>
      </c>
      <c r="CO215">
        <v>-455.59068292682929</v>
      </c>
      <c r="CP215">
        <v>-1.0240348432071631</v>
      </c>
      <c r="CQ215">
        <v>0.1024286638198571</v>
      </c>
      <c r="CR215">
        <v>-1</v>
      </c>
      <c r="CS215">
        <v>26.94644146341464</v>
      </c>
      <c r="CT215">
        <v>0.13215261324044569</v>
      </c>
      <c r="CU215">
        <v>1.3324065438507759E-2</v>
      </c>
      <c r="CV215">
        <v>-1</v>
      </c>
      <c r="CW215">
        <v>0</v>
      </c>
      <c r="CX215">
        <v>0</v>
      </c>
      <c r="CY215" t="s">
        <v>333</v>
      </c>
      <c r="CZ215">
        <v>2.3648899999999999</v>
      </c>
      <c r="DA215">
        <v>2.7138200000000001</v>
      </c>
      <c r="DB215">
        <v>7.9901799999999995E-2</v>
      </c>
      <c r="DC215">
        <v>0.14643100000000001</v>
      </c>
      <c r="DD215">
        <v>0.12453599999999999</v>
      </c>
      <c r="DE215">
        <v>1.09522E-3</v>
      </c>
      <c r="DF215">
        <v>33602</v>
      </c>
      <c r="DG215">
        <v>27513.1</v>
      </c>
      <c r="DH215">
        <v>31176.2</v>
      </c>
      <c r="DI215">
        <v>28086.400000000001</v>
      </c>
      <c r="DJ215">
        <v>37042.9</v>
      </c>
      <c r="DK215">
        <v>39896.9</v>
      </c>
      <c r="DL215">
        <v>44367.4</v>
      </c>
      <c r="DM215">
        <v>42563.3</v>
      </c>
      <c r="DN215">
        <v>1.48983</v>
      </c>
      <c r="DO215">
        <v>2.0373299999999999</v>
      </c>
      <c r="DP215">
        <v>0.122305</v>
      </c>
      <c r="DQ215">
        <v>0.120908</v>
      </c>
      <c r="DR215">
        <v>24.998200000000001</v>
      </c>
      <c r="DS215">
        <v>24.6265</v>
      </c>
      <c r="DT215">
        <v>21.1</v>
      </c>
      <c r="DU215">
        <v>29</v>
      </c>
      <c r="DV215">
        <v>8.5432000000000006</v>
      </c>
      <c r="DW215">
        <v>61.513500000000001</v>
      </c>
      <c r="DX215">
        <v>35.640999999999998</v>
      </c>
      <c r="DY215">
        <v>1</v>
      </c>
      <c r="DZ215">
        <v>-0.109571</v>
      </c>
      <c r="EA215">
        <v>0.35455599999999998</v>
      </c>
      <c r="EB215">
        <v>20.189699999999998</v>
      </c>
      <c r="EC215">
        <v>5.2409499999999998</v>
      </c>
      <c r="ED215">
        <v>12.039899999999999</v>
      </c>
      <c r="EE215">
        <v>5.0172499999999998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1.8689100000000001</v>
      </c>
      <c r="EL215">
        <v>1.8646199999999999</v>
      </c>
      <c r="EM215">
        <v>1.8692</v>
      </c>
      <c r="EN215">
        <v>1.86724</v>
      </c>
      <c r="EO215">
        <v>1.86338</v>
      </c>
      <c r="EP215">
        <v>1.8644700000000001</v>
      </c>
      <c r="EQ215">
        <v>1.87015</v>
      </c>
      <c r="ER215">
        <v>1.8693900000000001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-0.17799999999999999</v>
      </c>
      <c r="FG215">
        <v>0.15140000000000001</v>
      </c>
      <c r="FH215">
        <v>5.0310448532705943E-2</v>
      </c>
      <c r="FI215">
        <v>-6.1462078757559423E-4</v>
      </c>
      <c r="FJ215">
        <v>-1.8861989874597051E-7</v>
      </c>
      <c r="FK215">
        <v>1.1980462299894961E-10</v>
      </c>
      <c r="FL215">
        <v>0.15140825623214971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38.5</v>
      </c>
      <c r="FU215">
        <v>38.4</v>
      </c>
      <c r="FV215">
        <v>1.7663599999999999</v>
      </c>
      <c r="FW215">
        <v>2.5817899999999998</v>
      </c>
      <c r="FX215">
        <v>1.5490699999999999</v>
      </c>
      <c r="FY215">
        <v>2.3327599999999999</v>
      </c>
      <c r="FZ215">
        <v>1.50146</v>
      </c>
      <c r="GA215">
        <v>2.36084</v>
      </c>
      <c r="GB215">
        <v>33.288699999999999</v>
      </c>
      <c r="GC215">
        <v>23.982399999999998</v>
      </c>
      <c r="GD215">
        <v>19</v>
      </c>
      <c r="GE215">
        <v>287.66300000000001</v>
      </c>
      <c r="GF215">
        <v>581.20100000000002</v>
      </c>
      <c r="GG215">
        <v>23.696400000000001</v>
      </c>
      <c r="GH215">
        <v>25.991</v>
      </c>
      <c r="GI215">
        <v>30.0002</v>
      </c>
      <c r="GJ215">
        <v>26.114899999999999</v>
      </c>
      <c r="GK215">
        <v>26.0959</v>
      </c>
      <c r="GL215">
        <v>35.306899999999999</v>
      </c>
      <c r="GM215">
        <v>100</v>
      </c>
      <c r="GN215">
        <v>0</v>
      </c>
      <c r="GO215">
        <v>23.696300000000001</v>
      </c>
      <c r="GP215">
        <v>800</v>
      </c>
      <c r="GQ215">
        <v>0</v>
      </c>
      <c r="GR215">
        <v>99.751499999999993</v>
      </c>
      <c r="GS215">
        <v>99.575900000000004</v>
      </c>
    </row>
    <row r="216" spans="1:201" x14ac:dyDescent="0.25">
      <c r="A216">
        <v>200</v>
      </c>
      <c r="B216">
        <v>1690294390</v>
      </c>
      <c r="C216">
        <v>2119.400000095367</v>
      </c>
      <c r="D216" t="s">
        <v>733</v>
      </c>
      <c r="E216" t="s">
        <v>734</v>
      </c>
      <c r="F216" t="s">
        <v>330</v>
      </c>
      <c r="H216">
        <v>1690294390</v>
      </c>
      <c r="I216">
        <f t="shared" si="90"/>
        <v>2.7743388305218335E-3</v>
      </c>
      <c r="J216">
        <f t="shared" si="91"/>
        <v>2.7743388305218333</v>
      </c>
      <c r="K216">
        <f t="shared" si="92"/>
        <v>44.638435626340474</v>
      </c>
      <c r="L216">
        <f t="shared" si="93"/>
        <v>344.11399999999998</v>
      </c>
      <c r="M216">
        <f t="shared" si="94"/>
        <v>120.59687073025397</v>
      </c>
      <c r="N216">
        <f t="shared" si="95"/>
        <v>11.992582873857479</v>
      </c>
      <c r="O216">
        <f t="shared" si="96"/>
        <v>34.219923270523999</v>
      </c>
      <c r="P216">
        <f t="shared" si="97"/>
        <v>0.34780123819575542</v>
      </c>
      <c r="Q216">
        <f t="shared" si="98"/>
        <v>2.2548721554535462</v>
      </c>
      <c r="R216">
        <f t="shared" si="99"/>
        <v>0.32051232517704309</v>
      </c>
      <c r="S216">
        <f t="shared" si="100"/>
        <v>0.20259327990253501</v>
      </c>
      <c r="T216">
        <f t="shared" si="101"/>
        <v>276.11424822599997</v>
      </c>
      <c r="U216">
        <f t="shared" si="102"/>
        <v>26.765799782416313</v>
      </c>
      <c r="V216">
        <f t="shared" si="103"/>
        <v>26.765799782416313</v>
      </c>
      <c r="W216">
        <f t="shared" si="104"/>
        <v>3.5302223563945816</v>
      </c>
      <c r="X216">
        <f t="shared" si="105"/>
        <v>81.779016303726365</v>
      </c>
      <c r="Y216">
        <f t="shared" si="106"/>
        <v>2.6963924033767999</v>
      </c>
      <c r="Z216">
        <f t="shared" si="107"/>
        <v>3.2971690358348509</v>
      </c>
      <c r="AA216">
        <f t="shared" si="108"/>
        <v>0.83382995301778173</v>
      </c>
      <c r="AB216">
        <f t="shared" si="109"/>
        <v>-122.34834242601286</v>
      </c>
      <c r="AC216">
        <f t="shared" si="110"/>
        <v>-140.50441641338463</v>
      </c>
      <c r="AD216">
        <f t="shared" si="111"/>
        <v>-13.338683132076795</v>
      </c>
      <c r="AE216">
        <f t="shared" si="112"/>
        <v>-7.7193745474289699E-2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52670.150142147759</v>
      </c>
      <c r="AK216">
        <f t="shared" si="116"/>
        <v>1800</v>
      </c>
      <c r="AL216">
        <f t="shared" si="117"/>
        <v>1499.1082236</v>
      </c>
      <c r="AM216">
        <f t="shared" si="118"/>
        <v>0.83283790199999996</v>
      </c>
      <c r="AN216">
        <f t="shared" si="119"/>
        <v>0.15339680456999999</v>
      </c>
      <c r="AO216">
        <v>30</v>
      </c>
      <c r="AP216">
        <v>0.5</v>
      </c>
      <c r="AQ216" t="s">
        <v>331</v>
      </c>
      <c r="AR216">
        <v>2</v>
      </c>
      <c r="AS216">
        <v>1690294390</v>
      </c>
      <c r="AT216">
        <v>344.11399999999998</v>
      </c>
      <c r="AU216">
        <v>799.94799999999998</v>
      </c>
      <c r="AV216">
        <v>27.114799999999999</v>
      </c>
      <c r="AW216">
        <v>0.12942500000000001</v>
      </c>
      <c r="AX216">
        <v>344.29300000000001</v>
      </c>
      <c r="AY216">
        <v>26.9634</v>
      </c>
      <c r="AZ216">
        <v>300.06400000000002</v>
      </c>
      <c r="BA216">
        <v>99.343500000000006</v>
      </c>
      <c r="BB216">
        <v>0.100066</v>
      </c>
      <c r="BC216">
        <v>25.61</v>
      </c>
      <c r="BD216">
        <v>27.017800000000001</v>
      </c>
      <c r="BE216">
        <v>26.596399999999999</v>
      </c>
      <c r="BF216">
        <v>0</v>
      </c>
      <c r="BG216">
        <v>0</v>
      </c>
      <c r="BH216">
        <v>9979.3799999999992</v>
      </c>
      <c r="BI216">
        <v>1062.57</v>
      </c>
      <c r="BJ216">
        <v>2.0576300000000001</v>
      </c>
      <c r="BK216">
        <v>-455.83300000000003</v>
      </c>
      <c r="BL216">
        <v>353.70499999999998</v>
      </c>
      <c r="BM216">
        <v>800.05100000000004</v>
      </c>
      <c r="BN216">
        <v>26.985399999999998</v>
      </c>
      <c r="BO216">
        <v>799.94799999999998</v>
      </c>
      <c r="BP216">
        <v>0.12942500000000001</v>
      </c>
      <c r="BQ216">
        <v>2.6936800000000001</v>
      </c>
      <c r="BR216">
        <v>1.28576E-2</v>
      </c>
      <c r="BS216">
        <v>22.246600000000001</v>
      </c>
      <c r="BT216">
        <v>-43.592799999999997</v>
      </c>
      <c r="BU216">
        <v>1800</v>
      </c>
      <c r="BV216">
        <v>0.90999399999999997</v>
      </c>
      <c r="BW216">
        <v>3.4008900000000002E-2</v>
      </c>
      <c r="BX216">
        <v>2.1990099999999999E-2</v>
      </c>
      <c r="BY216">
        <v>3.4007099999999998E-2</v>
      </c>
      <c r="BZ216">
        <v>26</v>
      </c>
      <c r="CA216">
        <v>33528.5</v>
      </c>
      <c r="CB216">
        <v>1690292073.5</v>
      </c>
      <c r="CC216" t="s">
        <v>332</v>
      </c>
      <c r="CD216">
        <v>1690292069.5</v>
      </c>
      <c r="CE216">
        <v>1690292073.5</v>
      </c>
      <c r="CF216">
        <v>4</v>
      </c>
      <c r="CG216">
        <v>-3.6999999999999998E-2</v>
      </c>
      <c r="CH216">
        <v>-1.6E-2</v>
      </c>
      <c r="CI216">
        <v>-0.45200000000000001</v>
      </c>
      <c r="CJ216">
        <v>0.108</v>
      </c>
      <c r="CK216">
        <v>730</v>
      </c>
      <c r="CL216">
        <v>18</v>
      </c>
      <c r="CM216">
        <v>0</v>
      </c>
      <c r="CN216">
        <v>0.01</v>
      </c>
      <c r="CO216">
        <v>-455.79880000000003</v>
      </c>
      <c r="CP216">
        <v>-1.280015009380336</v>
      </c>
      <c r="CQ216">
        <v>0.13221236704635489</v>
      </c>
      <c r="CR216">
        <v>-1</v>
      </c>
      <c r="CS216">
        <v>26.967032500000009</v>
      </c>
      <c r="CT216">
        <v>9.7493808630354589E-2</v>
      </c>
      <c r="CU216">
        <v>9.4228813931830375E-3</v>
      </c>
      <c r="CV216">
        <v>-1</v>
      </c>
      <c r="CW216">
        <v>0</v>
      </c>
      <c r="CX216">
        <v>0</v>
      </c>
      <c r="CY216" t="s">
        <v>333</v>
      </c>
      <c r="CZ216">
        <v>2.3645399999999999</v>
      </c>
      <c r="DA216">
        <v>2.7138399999999998</v>
      </c>
      <c r="DB216">
        <v>7.9890500000000003E-2</v>
      </c>
      <c r="DC216">
        <v>0.146424</v>
      </c>
      <c r="DD216">
        <v>0.12458900000000001</v>
      </c>
      <c r="DE216">
        <v>1.09519E-3</v>
      </c>
      <c r="DF216">
        <v>33602.300000000003</v>
      </c>
      <c r="DG216">
        <v>27513.1</v>
      </c>
      <c r="DH216">
        <v>31176.1</v>
      </c>
      <c r="DI216">
        <v>28086.2</v>
      </c>
      <c r="DJ216">
        <v>37040.300000000003</v>
      </c>
      <c r="DK216">
        <v>39896.800000000003</v>
      </c>
      <c r="DL216">
        <v>44367</v>
      </c>
      <c r="DM216">
        <v>42563.199999999997</v>
      </c>
      <c r="DN216">
        <v>1.4899</v>
      </c>
      <c r="DO216">
        <v>2.0373299999999999</v>
      </c>
      <c r="DP216">
        <v>0.12316199999999999</v>
      </c>
      <c r="DQ216">
        <v>0.120059</v>
      </c>
      <c r="DR216">
        <v>25.000399999999999</v>
      </c>
      <c r="DS216">
        <v>24.628499999999999</v>
      </c>
      <c r="DT216">
        <v>21.1</v>
      </c>
      <c r="DU216">
        <v>29</v>
      </c>
      <c r="DV216">
        <v>8.5421499999999995</v>
      </c>
      <c r="DW216">
        <v>61.743499999999997</v>
      </c>
      <c r="DX216">
        <v>35.877400000000002</v>
      </c>
      <c r="DY216">
        <v>1</v>
      </c>
      <c r="DZ216">
        <v>-0.109421</v>
      </c>
      <c r="EA216">
        <v>0.42300700000000002</v>
      </c>
      <c r="EB216">
        <v>20.189499999999999</v>
      </c>
      <c r="EC216">
        <v>5.2408000000000001</v>
      </c>
      <c r="ED216">
        <v>12.039899999999999</v>
      </c>
      <c r="EE216">
        <v>5.0171999999999999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1.8689100000000001</v>
      </c>
      <c r="EL216">
        <v>1.8646199999999999</v>
      </c>
      <c r="EM216">
        <v>1.8692</v>
      </c>
      <c r="EN216">
        <v>1.8672200000000001</v>
      </c>
      <c r="EO216">
        <v>1.86337</v>
      </c>
      <c r="EP216">
        <v>1.8644700000000001</v>
      </c>
      <c r="EQ216">
        <v>1.8701399999999999</v>
      </c>
      <c r="ER216">
        <v>1.86938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-0.17899999999999999</v>
      </c>
      <c r="FG216">
        <v>0.15140000000000001</v>
      </c>
      <c r="FH216">
        <v>5.0310448532705943E-2</v>
      </c>
      <c r="FI216">
        <v>-6.1462078757559423E-4</v>
      </c>
      <c r="FJ216">
        <v>-1.8861989874597051E-7</v>
      </c>
      <c r="FK216">
        <v>1.1980462299894961E-10</v>
      </c>
      <c r="FL216">
        <v>0.15140825623214971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38.700000000000003</v>
      </c>
      <c r="FU216">
        <v>38.6</v>
      </c>
      <c r="FV216">
        <v>1.7663599999999999</v>
      </c>
      <c r="FW216">
        <v>2.5817899999999998</v>
      </c>
      <c r="FX216">
        <v>1.5490699999999999</v>
      </c>
      <c r="FY216">
        <v>2.3327599999999999</v>
      </c>
      <c r="FZ216">
        <v>1.50146</v>
      </c>
      <c r="GA216">
        <v>2.34131</v>
      </c>
      <c r="GB216">
        <v>33.288699999999999</v>
      </c>
      <c r="GC216">
        <v>23.982399999999998</v>
      </c>
      <c r="GD216">
        <v>19</v>
      </c>
      <c r="GE216">
        <v>287.70499999999998</v>
      </c>
      <c r="GF216">
        <v>581.202</v>
      </c>
      <c r="GG216">
        <v>23.688600000000001</v>
      </c>
      <c r="GH216">
        <v>25.991800000000001</v>
      </c>
      <c r="GI216">
        <v>30.0002</v>
      </c>
      <c r="GJ216">
        <v>26.117000000000001</v>
      </c>
      <c r="GK216">
        <v>26.0959</v>
      </c>
      <c r="GL216">
        <v>35.308199999999999</v>
      </c>
      <c r="GM216">
        <v>100</v>
      </c>
      <c r="GN216">
        <v>0</v>
      </c>
      <c r="GO216">
        <v>23.6692</v>
      </c>
      <c r="GP216">
        <v>800</v>
      </c>
      <c r="GQ216">
        <v>0</v>
      </c>
      <c r="GR216">
        <v>99.750799999999998</v>
      </c>
      <c r="GS216">
        <v>99.575400000000002</v>
      </c>
    </row>
    <row r="217" spans="1:201" x14ac:dyDescent="0.25">
      <c r="A217">
        <v>201</v>
      </c>
      <c r="B217">
        <v>1690294400</v>
      </c>
      <c r="C217">
        <v>2129.400000095367</v>
      </c>
      <c r="D217" t="s">
        <v>735</v>
      </c>
      <c r="E217" t="s">
        <v>736</v>
      </c>
      <c r="F217" t="s">
        <v>330</v>
      </c>
      <c r="H217">
        <v>1690294400</v>
      </c>
      <c r="I217">
        <f t="shared" si="90"/>
        <v>2.7758474400995589E-3</v>
      </c>
      <c r="J217">
        <f t="shared" si="91"/>
        <v>2.7758474400995587</v>
      </c>
      <c r="K217">
        <f t="shared" si="92"/>
        <v>44.672947805897316</v>
      </c>
      <c r="L217">
        <f t="shared" si="93"/>
        <v>343.87299999999999</v>
      </c>
      <c r="M217">
        <f t="shared" si="94"/>
        <v>120.85924650070743</v>
      </c>
      <c r="N217">
        <f t="shared" si="95"/>
        <v>12.018742983296134</v>
      </c>
      <c r="O217">
        <f t="shared" si="96"/>
        <v>34.196152347108999</v>
      </c>
      <c r="P217">
        <f t="shared" si="97"/>
        <v>0.34885735909875365</v>
      </c>
      <c r="Q217">
        <f t="shared" si="98"/>
        <v>2.2614814161689036</v>
      </c>
      <c r="R217">
        <f t="shared" si="99"/>
        <v>0.32148294516193809</v>
      </c>
      <c r="S217">
        <f t="shared" si="100"/>
        <v>0.20320702200293414</v>
      </c>
      <c r="T217">
        <f t="shared" si="101"/>
        <v>276.11425499399996</v>
      </c>
      <c r="U217">
        <f t="shared" si="102"/>
        <v>26.759316656490959</v>
      </c>
      <c r="V217">
        <f t="shared" si="103"/>
        <v>26.759316656490959</v>
      </c>
      <c r="W217">
        <f t="shared" si="104"/>
        <v>3.5288760250013032</v>
      </c>
      <c r="X217">
        <f t="shared" si="105"/>
        <v>81.814674564321436</v>
      </c>
      <c r="Y217">
        <f t="shared" si="106"/>
        <v>2.6971038863993999</v>
      </c>
      <c r="Z217">
        <f t="shared" si="107"/>
        <v>3.296601619161827</v>
      </c>
      <c r="AA217">
        <f t="shared" si="108"/>
        <v>0.83177213860190324</v>
      </c>
      <c r="AB217">
        <f t="shared" si="109"/>
        <v>-122.41487210839055</v>
      </c>
      <c r="AC217">
        <f t="shared" si="110"/>
        <v>-140.47939097001432</v>
      </c>
      <c r="AD217">
        <f t="shared" si="111"/>
        <v>-13.296705680720045</v>
      </c>
      <c r="AE217">
        <f t="shared" si="112"/>
        <v>-7.6713765124964084E-2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52930.209046117692</v>
      </c>
      <c r="AK217">
        <f t="shared" si="116"/>
        <v>1800</v>
      </c>
      <c r="AL217">
        <f t="shared" si="117"/>
        <v>1499.1077303999998</v>
      </c>
      <c r="AM217">
        <f t="shared" si="118"/>
        <v>0.83283762799999994</v>
      </c>
      <c r="AN217">
        <f t="shared" si="119"/>
        <v>0.15339680833</v>
      </c>
      <c r="AO217">
        <v>30</v>
      </c>
      <c r="AP217">
        <v>0.5</v>
      </c>
      <c r="AQ217" t="s">
        <v>331</v>
      </c>
      <c r="AR217">
        <v>2</v>
      </c>
      <c r="AS217">
        <v>1690294400</v>
      </c>
      <c r="AT217">
        <v>343.87299999999999</v>
      </c>
      <c r="AU217">
        <v>799.93200000000002</v>
      </c>
      <c r="AV217">
        <v>27.1218</v>
      </c>
      <c r="AW217">
        <v>0.12896199999999999</v>
      </c>
      <c r="AX217">
        <v>344.05200000000002</v>
      </c>
      <c r="AY217">
        <v>26.970400000000001</v>
      </c>
      <c r="AZ217">
        <v>300.142</v>
      </c>
      <c r="BA217">
        <v>99.344099999999997</v>
      </c>
      <c r="BB217">
        <v>0.100033</v>
      </c>
      <c r="BC217">
        <v>25.607099999999999</v>
      </c>
      <c r="BD217">
        <v>26.99</v>
      </c>
      <c r="BE217">
        <v>26.6128</v>
      </c>
      <c r="BF217">
        <v>0</v>
      </c>
      <c r="BG217">
        <v>0</v>
      </c>
      <c r="BH217">
        <v>10030.6</v>
      </c>
      <c r="BI217">
        <v>1062.49</v>
      </c>
      <c r="BJ217">
        <v>2.0744500000000001</v>
      </c>
      <c r="BK217">
        <v>-456.05900000000003</v>
      </c>
      <c r="BL217">
        <v>353.46</v>
      </c>
      <c r="BM217">
        <v>800.03599999999994</v>
      </c>
      <c r="BN217">
        <v>26.992799999999999</v>
      </c>
      <c r="BO217">
        <v>799.93200000000002</v>
      </c>
      <c r="BP217">
        <v>0.12896199999999999</v>
      </c>
      <c r="BQ217">
        <v>2.6943899999999998</v>
      </c>
      <c r="BR217">
        <v>1.2811599999999999E-2</v>
      </c>
      <c r="BS217">
        <v>22.250900000000001</v>
      </c>
      <c r="BT217">
        <v>-43.625799999999998</v>
      </c>
      <c r="BU217">
        <v>1800</v>
      </c>
      <c r="BV217">
        <v>0.90999099999999999</v>
      </c>
      <c r="BW217">
        <v>3.4008499999999997E-2</v>
      </c>
      <c r="BX217">
        <v>2.19899E-2</v>
      </c>
      <c r="BY217">
        <v>3.4010699999999998E-2</v>
      </c>
      <c r="BZ217">
        <v>26</v>
      </c>
      <c r="CA217">
        <v>33528.400000000001</v>
      </c>
      <c r="CB217">
        <v>1690292073.5</v>
      </c>
      <c r="CC217" t="s">
        <v>332</v>
      </c>
      <c r="CD217">
        <v>1690292069.5</v>
      </c>
      <c r="CE217">
        <v>1690292073.5</v>
      </c>
      <c r="CF217">
        <v>4</v>
      </c>
      <c r="CG217">
        <v>-3.6999999999999998E-2</v>
      </c>
      <c r="CH217">
        <v>-1.6E-2</v>
      </c>
      <c r="CI217">
        <v>-0.45200000000000001</v>
      </c>
      <c r="CJ217">
        <v>0.108</v>
      </c>
      <c r="CK217">
        <v>730</v>
      </c>
      <c r="CL217">
        <v>18</v>
      </c>
      <c r="CM217">
        <v>0</v>
      </c>
      <c r="CN217">
        <v>0.01</v>
      </c>
      <c r="CO217">
        <v>-455.96249999999998</v>
      </c>
      <c r="CP217">
        <v>-0.88736960600275816</v>
      </c>
      <c r="CQ217">
        <v>0.1194275931265472</v>
      </c>
      <c r="CR217">
        <v>-1</v>
      </c>
      <c r="CS217">
        <v>26.982742500000011</v>
      </c>
      <c r="CT217">
        <v>8.6918949343310653E-2</v>
      </c>
      <c r="CU217">
        <v>8.4557639365110942E-3</v>
      </c>
      <c r="CV217">
        <v>-1</v>
      </c>
      <c r="CW217">
        <v>0</v>
      </c>
      <c r="CX217">
        <v>0</v>
      </c>
      <c r="CY217" t="s">
        <v>333</v>
      </c>
      <c r="CZ217">
        <v>2.3648099999999999</v>
      </c>
      <c r="DA217">
        <v>2.7138499999999999</v>
      </c>
      <c r="DB217">
        <v>7.9846700000000007E-2</v>
      </c>
      <c r="DC217">
        <v>0.146422</v>
      </c>
      <c r="DD217">
        <v>0.124612</v>
      </c>
      <c r="DE217">
        <v>1.0912999999999999E-3</v>
      </c>
      <c r="DF217">
        <v>33603.9</v>
      </c>
      <c r="DG217">
        <v>27512.7</v>
      </c>
      <c r="DH217">
        <v>31176.1</v>
      </c>
      <c r="DI217">
        <v>28085.8</v>
      </c>
      <c r="DJ217">
        <v>37039.4</v>
      </c>
      <c r="DK217">
        <v>39896.300000000003</v>
      </c>
      <c r="DL217">
        <v>44367.1</v>
      </c>
      <c r="DM217">
        <v>42562.5</v>
      </c>
      <c r="DN217">
        <v>1.4897</v>
      </c>
      <c r="DO217">
        <v>2.03735</v>
      </c>
      <c r="DP217">
        <v>0.121336</v>
      </c>
      <c r="DQ217">
        <v>0.121061</v>
      </c>
      <c r="DR217">
        <v>25.002400000000002</v>
      </c>
      <c r="DS217">
        <v>24.628599999999999</v>
      </c>
      <c r="DT217">
        <v>21</v>
      </c>
      <c r="DU217">
        <v>29</v>
      </c>
      <c r="DV217">
        <v>8.5022599999999997</v>
      </c>
      <c r="DW217">
        <v>61.583500000000001</v>
      </c>
      <c r="DX217">
        <v>35.096200000000003</v>
      </c>
      <c r="DY217">
        <v>1</v>
      </c>
      <c r="DZ217">
        <v>-0.109357</v>
      </c>
      <c r="EA217">
        <v>0.483404</v>
      </c>
      <c r="EB217">
        <v>20.1892</v>
      </c>
      <c r="EC217">
        <v>5.2411000000000003</v>
      </c>
      <c r="ED217">
        <v>12.039899999999999</v>
      </c>
      <c r="EE217">
        <v>5.0171000000000001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1.8689199999999999</v>
      </c>
      <c r="EL217">
        <v>1.8646199999999999</v>
      </c>
      <c r="EM217">
        <v>1.8692</v>
      </c>
      <c r="EN217">
        <v>1.8672299999999999</v>
      </c>
      <c r="EO217">
        <v>1.8633999999999999</v>
      </c>
      <c r="EP217">
        <v>1.8644700000000001</v>
      </c>
      <c r="EQ217">
        <v>1.87015</v>
      </c>
      <c r="ER217">
        <v>1.8693900000000001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-0.17899999999999999</v>
      </c>
      <c r="FG217">
        <v>0.15140000000000001</v>
      </c>
      <c r="FH217">
        <v>5.0310448532705943E-2</v>
      </c>
      <c r="FI217">
        <v>-6.1462078757559423E-4</v>
      </c>
      <c r="FJ217">
        <v>-1.8861989874597051E-7</v>
      </c>
      <c r="FK217">
        <v>1.1980462299894961E-10</v>
      </c>
      <c r="FL217">
        <v>0.15140825623214971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38.799999999999997</v>
      </c>
      <c r="FU217">
        <v>38.799999999999997</v>
      </c>
      <c r="FV217">
        <v>1.7663599999999999</v>
      </c>
      <c r="FW217">
        <v>2.5805699999999998</v>
      </c>
      <c r="FX217">
        <v>1.5490699999999999</v>
      </c>
      <c r="FY217">
        <v>2.3327599999999999</v>
      </c>
      <c r="FZ217">
        <v>1.50146</v>
      </c>
      <c r="GA217">
        <v>2.3095699999999999</v>
      </c>
      <c r="GB217">
        <v>33.288699999999999</v>
      </c>
      <c r="GC217">
        <v>23.991199999999999</v>
      </c>
      <c r="GD217">
        <v>19</v>
      </c>
      <c r="GE217">
        <v>287.61900000000003</v>
      </c>
      <c r="GF217">
        <v>581.24800000000005</v>
      </c>
      <c r="GG217">
        <v>23.6496</v>
      </c>
      <c r="GH217">
        <v>25.993300000000001</v>
      </c>
      <c r="GI217">
        <v>30.0002</v>
      </c>
      <c r="GJ217">
        <v>26.117000000000001</v>
      </c>
      <c r="GK217">
        <v>26.098099999999999</v>
      </c>
      <c r="GL217">
        <v>35.3065</v>
      </c>
      <c r="GM217">
        <v>100</v>
      </c>
      <c r="GN217">
        <v>0</v>
      </c>
      <c r="GO217">
        <v>23.6341</v>
      </c>
      <c r="GP217">
        <v>800</v>
      </c>
      <c r="GQ217">
        <v>0</v>
      </c>
      <c r="GR217">
        <v>99.751000000000005</v>
      </c>
      <c r="GS217">
        <v>99.573899999999995</v>
      </c>
    </row>
    <row r="218" spans="1:201" x14ac:dyDescent="0.25">
      <c r="A218">
        <v>202</v>
      </c>
      <c r="B218">
        <v>1690294410</v>
      </c>
      <c r="C218">
        <v>2139.400000095367</v>
      </c>
      <c r="D218" t="s">
        <v>737</v>
      </c>
      <c r="E218" t="s">
        <v>738</v>
      </c>
      <c r="F218" t="s">
        <v>330</v>
      </c>
      <c r="H218">
        <v>1690294410</v>
      </c>
      <c r="I218">
        <f t="shared" si="90"/>
        <v>2.776148134955293E-3</v>
      </c>
      <c r="J218">
        <f t="shared" si="91"/>
        <v>2.7761481349552932</v>
      </c>
      <c r="K218">
        <f t="shared" si="92"/>
        <v>44.703757924906334</v>
      </c>
      <c r="L218">
        <f t="shared" si="93"/>
        <v>343.82</v>
      </c>
      <c r="M218">
        <f t="shared" si="94"/>
        <v>120.53631401813033</v>
      </c>
      <c r="N218">
        <f t="shared" si="95"/>
        <v>11.986754359242669</v>
      </c>
      <c r="O218">
        <f t="shared" si="96"/>
        <v>34.191238693220001</v>
      </c>
      <c r="P218">
        <f t="shared" si="97"/>
        <v>0.34869936790094069</v>
      </c>
      <c r="Q218">
        <f t="shared" si="98"/>
        <v>2.2575539178933708</v>
      </c>
      <c r="R218">
        <f t="shared" si="99"/>
        <v>0.3213051232338397</v>
      </c>
      <c r="S218">
        <f t="shared" si="100"/>
        <v>0.20309732295509772</v>
      </c>
      <c r="T218">
        <f t="shared" si="101"/>
        <v>276.11493951600005</v>
      </c>
      <c r="U218">
        <f t="shared" si="102"/>
        <v>26.756958163778993</v>
      </c>
      <c r="V218">
        <f t="shared" si="103"/>
        <v>26.756958163778993</v>
      </c>
      <c r="W218">
        <f t="shared" si="104"/>
        <v>3.5283863550769068</v>
      </c>
      <c r="X218">
        <f t="shared" si="105"/>
        <v>81.802550231709276</v>
      </c>
      <c r="Y218">
        <f t="shared" si="106"/>
        <v>2.6960480864639003</v>
      </c>
      <c r="Z218">
        <f t="shared" si="107"/>
        <v>3.2957995549371342</v>
      </c>
      <c r="AA218">
        <f t="shared" si="108"/>
        <v>0.83233826861300653</v>
      </c>
      <c r="AB218">
        <f t="shared" si="109"/>
        <v>-122.42813275152842</v>
      </c>
      <c r="AC218">
        <f t="shared" si="110"/>
        <v>-140.44737897702461</v>
      </c>
      <c r="AD218">
        <f t="shared" si="111"/>
        <v>-13.316371813161096</v>
      </c>
      <c r="AE218">
        <f t="shared" si="112"/>
        <v>-7.6944025714084319E-2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52776.642040838575</v>
      </c>
      <c r="AK218">
        <f t="shared" si="116"/>
        <v>1800</v>
      </c>
      <c r="AL218">
        <f t="shared" si="117"/>
        <v>1499.1078095999999</v>
      </c>
      <c r="AM218">
        <f t="shared" si="118"/>
        <v>0.83283767199999992</v>
      </c>
      <c r="AN218">
        <f t="shared" si="119"/>
        <v>0.15339718862000001</v>
      </c>
      <c r="AO218">
        <v>30</v>
      </c>
      <c r="AP218">
        <v>0.5</v>
      </c>
      <c r="AQ218" t="s">
        <v>331</v>
      </c>
      <c r="AR218">
        <v>2</v>
      </c>
      <c r="AS218">
        <v>1690294410</v>
      </c>
      <c r="AT218">
        <v>343.82</v>
      </c>
      <c r="AU218">
        <v>799.95399999999995</v>
      </c>
      <c r="AV218">
        <v>27.110900000000001</v>
      </c>
      <c r="AW218">
        <v>0.12859000000000001</v>
      </c>
      <c r="AX218">
        <v>343.99799999999999</v>
      </c>
      <c r="AY218">
        <v>26.959499999999998</v>
      </c>
      <c r="AZ218">
        <v>300.29500000000002</v>
      </c>
      <c r="BA218">
        <v>99.345100000000002</v>
      </c>
      <c r="BB218">
        <v>0.10007099999999999</v>
      </c>
      <c r="BC218">
        <v>25.603000000000002</v>
      </c>
      <c r="BD218">
        <v>26.973800000000001</v>
      </c>
      <c r="BE218">
        <v>26.590900000000001</v>
      </c>
      <c r="BF218">
        <v>0</v>
      </c>
      <c r="BG218">
        <v>0</v>
      </c>
      <c r="BH218">
        <v>10000</v>
      </c>
      <c r="BI218">
        <v>1062.4000000000001</v>
      </c>
      <c r="BJ218">
        <v>2.0604300000000002</v>
      </c>
      <c r="BK218">
        <v>-456.13400000000001</v>
      </c>
      <c r="BL218">
        <v>353.40100000000001</v>
      </c>
      <c r="BM218">
        <v>800.05700000000002</v>
      </c>
      <c r="BN218">
        <v>26.982299999999999</v>
      </c>
      <c r="BO218">
        <v>799.95399999999995</v>
      </c>
      <c r="BP218">
        <v>0.12859000000000001</v>
      </c>
      <c r="BQ218">
        <v>2.69333</v>
      </c>
      <c r="BR218">
        <v>1.2774799999999999E-2</v>
      </c>
      <c r="BS218">
        <v>22.244499999999999</v>
      </c>
      <c r="BT218">
        <v>-43.6524</v>
      </c>
      <c r="BU218">
        <v>1800</v>
      </c>
      <c r="BV218">
        <v>0.90998400000000002</v>
      </c>
      <c r="BW218">
        <v>3.4007799999999998E-2</v>
      </c>
      <c r="BX218">
        <v>2.19946E-2</v>
      </c>
      <c r="BY218">
        <v>3.4013799999999997E-2</v>
      </c>
      <c r="BZ218">
        <v>26</v>
      </c>
      <c r="CA218">
        <v>33528.300000000003</v>
      </c>
      <c r="CB218">
        <v>1690292073.5</v>
      </c>
      <c r="CC218" t="s">
        <v>332</v>
      </c>
      <c r="CD218">
        <v>1690292069.5</v>
      </c>
      <c r="CE218">
        <v>1690292073.5</v>
      </c>
      <c r="CF218">
        <v>4</v>
      </c>
      <c r="CG218">
        <v>-3.6999999999999998E-2</v>
      </c>
      <c r="CH218">
        <v>-1.6E-2</v>
      </c>
      <c r="CI218">
        <v>-0.45200000000000001</v>
      </c>
      <c r="CJ218">
        <v>0.108</v>
      </c>
      <c r="CK218">
        <v>730</v>
      </c>
      <c r="CL218">
        <v>18</v>
      </c>
      <c r="CM218">
        <v>0</v>
      </c>
      <c r="CN218">
        <v>0.01</v>
      </c>
      <c r="CO218">
        <v>-456.10690243902451</v>
      </c>
      <c r="CP218">
        <v>-1.3483484320559751</v>
      </c>
      <c r="CQ218">
        <v>0.15148706857441729</v>
      </c>
      <c r="CR218">
        <v>-1</v>
      </c>
      <c r="CS218">
        <v>26.988892682926831</v>
      </c>
      <c r="CT218">
        <v>-3.840418118491873E-3</v>
      </c>
      <c r="CU218">
        <v>3.4796544714852341E-3</v>
      </c>
      <c r="CV218">
        <v>-1</v>
      </c>
      <c r="CW218">
        <v>0</v>
      </c>
      <c r="CX218">
        <v>0</v>
      </c>
      <c r="CY218" t="s">
        <v>333</v>
      </c>
      <c r="CZ218">
        <v>2.36531</v>
      </c>
      <c r="DA218">
        <v>2.7138599999999999</v>
      </c>
      <c r="DB218">
        <v>7.9837099999999994E-2</v>
      </c>
      <c r="DC218">
        <v>0.146426</v>
      </c>
      <c r="DD218">
        <v>0.12457699999999999</v>
      </c>
      <c r="DE218">
        <v>1.08818E-3</v>
      </c>
      <c r="DF218">
        <v>33603.699999999997</v>
      </c>
      <c r="DG218">
        <v>27512.6</v>
      </c>
      <c r="DH218">
        <v>31175.7</v>
      </c>
      <c r="DI218">
        <v>28085.8</v>
      </c>
      <c r="DJ218">
        <v>37040.199999999997</v>
      </c>
      <c r="DK218">
        <v>39896.400000000001</v>
      </c>
      <c r="DL218">
        <v>44366.3</v>
      </c>
      <c r="DM218">
        <v>42562.5</v>
      </c>
      <c r="DN218">
        <v>1.4903200000000001</v>
      </c>
      <c r="DO218">
        <v>2.0371000000000001</v>
      </c>
      <c r="DP218">
        <v>0.12034499999999999</v>
      </c>
      <c r="DQ218">
        <v>0.119634</v>
      </c>
      <c r="DR218">
        <v>25.002400000000002</v>
      </c>
      <c r="DS218">
        <v>24.63</v>
      </c>
      <c r="DT218">
        <v>21</v>
      </c>
      <c r="DU218">
        <v>29</v>
      </c>
      <c r="DV218">
        <v>8.5018100000000008</v>
      </c>
      <c r="DW218">
        <v>61.543500000000002</v>
      </c>
      <c r="DX218">
        <v>35.072099999999999</v>
      </c>
      <c r="DY218">
        <v>1</v>
      </c>
      <c r="DZ218">
        <v>-0.109151</v>
      </c>
      <c r="EA218">
        <v>0.30063699999999999</v>
      </c>
      <c r="EB218">
        <v>20.189800000000002</v>
      </c>
      <c r="EC218">
        <v>5.2413999999999996</v>
      </c>
      <c r="ED218">
        <v>12.039899999999999</v>
      </c>
      <c r="EE218">
        <v>5.0172499999999998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</v>
      </c>
      <c r="EL218">
        <v>1.8646199999999999</v>
      </c>
      <c r="EM218">
        <v>1.8692</v>
      </c>
      <c r="EN218">
        <v>1.8672200000000001</v>
      </c>
      <c r="EO218">
        <v>1.8633999999999999</v>
      </c>
      <c r="EP218">
        <v>1.8644700000000001</v>
      </c>
      <c r="EQ218">
        <v>1.8701399999999999</v>
      </c>
      <c r="ER218">
        <v>1.86938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-0.17799999999999999</v>
      </c>
      <c r="FG218">
        <v>0.15140000000000001</v>
      </c>
      <c r="FH218">
        <v>5.0310448532705943E-2</v>
      </c>
      <c r="FI218">
        <v>-6.1462078757559423E-4</v>
      </c>
      <c r="FJ218">
        <v>-1.8861989874597051E-7</v>
      </c>
      <c r="FK218">
        <v>1.1980462299894961E-10</v>
      </c>
      <c r="FL218">
        <v>0.15140825623214971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39</v>
      </c>
      <c r="FU218">
        <v>38.9</v>
      </c>
      <c r="FV218">
        <v>1.7663599999999999</v>
      </c>
      <c r="FW218">
        <v>2.5830099999999998</v>
      </c>
      <c r="FX218">
        <v>1.5490699999999999</v>
      </c>
      <c r="FY218">
        <v>2.3327599999999999</v>
      </c>
      <c r="FZ218">
        <v>1.50146</v>
      </c>
      <c r="GA218">
        <v>2.36938</v>
      </c>
      <c r="GB218">
        <v>33.288699999999999</v>
      </c>
      <c r="GC218">
        <v>23.991199999999999</v>
      </c>
      <c r="GD218">
        <v>19</v>
      </c>
      <c r="GE218">
        <v>287.89800000000002</v>
      </c>
      <c r="GF218">
        <v>581.06600000000003</v>
      </c>
      <c r="GG218">
        <v>23.659099999999999</v>
      </c>
      <c r="GH218">
        <v>25.9954</v>
      </c>
      <c r="GI218">
        <v>30.0002</v>
      </c>
      <c r="GJ218">
        <v>26.119199999999999</v>
      </c>
      <c r="GK218">
        <v>26.100300000000001</v>
      </c>
      <c r="GL218">
        <v>35.306600000000003</v>
      </c>
      <c r="GM218">
        <v>100</v>
      </c>
      <c r="GN218">
        <v>0</v>
      </c>
      <c r="GO218">
        <v>23.679300000000001</v>
      </c>
      <c r="GP218">
        <v>800</v>
      </c>
      <c r="GQ218">
        <v>0</v>
      </c>
      <c r="GR218">
        <v>99.749399999999994</v>
      </c>
      <c r="GS218">
        <v>99.573999999999998</v>
      </c>
    </row>
    <row r="219" spans="1:201" x14ac:dyDescent="0.25">
      <c r="A219">
        <v>203</v>
      </c>
      <c r="B219">
        <v>1690294420</v>
      </c>
      <c r="C219">
        <v>2149.400000095367</v>
      </c>
      <c r="D219" t="s">
        <v>739</v>
      </c>
      <c r="E219" t="s">
        <v>740</v>
      </c>
      <c r="F219" t="s">
        <v>330</v>
      </c>
      <c r="H219">
        <v>1690294420</v>
      </c>
      <c r="I219">
        <f t="shared" si="90"/>
        <v>2.7750715374619114E-3</v>
      </c>
      <c r="J219">
        <f t="shared" si="91"/>
        <v>2.7750715374619115</v>
      </c>
      <c r="K219">
        <f t="shared" si="92"/>
        <v>44.70081428643131</v>
      </c>
      <c r="L219">
        <f t="shared" si="93"/>
        <v>343.483</v>
      </c>
      <c r="M219">
        <f t="shared" si="94"/>
        <v>120.45199465745939</v>
      </c>
      <c r="N219">
        <f t="shared" si="95"/>
        <v>11.978157270717539</v>
      </c>
      <c r="O219">
        <f t="shared" si="96"/>
        <v>34.157121312254503</v>
      </c>
      <c r="P219">
        <f t="shared" si="97"/>
        <v>0.34903988731767727</v>
      </c>
      <c r="Q219">
        <f t="shared" si="98"/>
        <v>2.2621936663223274</v>
      </c>
      <c r="R219">
        <f t="shared" si="99"/>
        <v>0.32164592749848409</v>
      </c>
      <c r="S219">
        <f t="shared" si="100"/>
        <v>0.20331047970770902</v>
      </c>
      <c r="T219">
        <f t="shared" si="101"/>
        <v>276.11442521999999</v>
      </c>
      <c r="U219">
        <f t="shared" si="102"/>
        <v>26.757244780487071</v>
      </c>
      <c r="V219">
        <f t="shared" si="103"/>
        <v>26.757244780487071</v>
      </c>
      <c r="W219">
        <f t="shared" si="104"/>
        <v>3.5284458592308261</v>
      </c>
      <c r="X219">
        <f t="shared" si="105"/>
        <v>81.831334853580756</v>
      </c>
      <c r="Y219">
        <f t="shared" si="106"/>
        <v>2.6973329265494503</v>
      </c>
      <c r="Z219">
        <f t="shared" si="107"/>
        <v>3.2962103470213902</v>
      </c>
      <c r="AA219">
        <f t="shared" si="108"/>
        <v>0.83111293268137576</v>
      </c>
      <c r="AB219">
        <f t="shared" si="109"/>
        <v>-122.3806548020703</v>
      </c>
      <c r="AC219">
        <f t="shared" si="110"/>
        <v>-140.5148687886165</v>
      </c>
      <c r="AD219">
        <f t="shared" si="111"/>
        <v>-13.295604785360878</v>
      </c>
      <c r="AE219">
        <f t="shared" si="112"/>
        <v>-7.6703156047670973E-2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52958.56253914041</v>
      </c>
      <c r="AK219">
        <f t="shared" si="116"/>
        <v>1800</v>
      </c>
      <c r="AL219">
        <f t="shared" si="117"/>
        <v>1499.1067619999999</v>
      </c>
      <c r="AM219">
        <f t="shared" si="118"/>
        <v>0.83283708999999995</v>
      </c>
      <c r="AN219">
        <f t="shared" si="119"/>
        <v>0.15339690289999999</v>
      </c>
      <c r="AO219">
        <v>30</v>
      </c>
      <c r="AP219">
        <v>0.5</v>
      </c>
      <c r="AQ219" t="s">
        <v>331</v>
      </c>
      <c r="AR219">
        <v>2</v>
      </c>
      <c r="AS219">
        <v>1690294420</v>
      </c>
      <c r="AT219">
        <v>343.483</v>
      </c>
      <c r="AU219">
        <v>799.98500000000001</v>
      </c>
      <c r="AV219">
        <v>27.124300000000002</v>
      </c>
      <c r="AW219">
        <v>0.128553</v>
      </c>
      <c r="AX219">
        <v>343.661</v>
      </c>
      <c r="AY219">
        <v>26.972899999999999</v>
      </c>
      <c r="AZ219">
        <v>300.02499999999998</v>
      </c>
      <c r="BA219">
        <v>99.343500000000006</v>
      </c>
      <c r="BB219">
        <v>9.99115E-2</v>
      </c>
      <c r="BC219">
        <v>25.6051</v>
      </c>
      <c r="BD219">
        <v>27.0139</v>
      </c>
      <c r="BE219">
        <v>26.6021</v>
      </c>
      <c r="BF219">
        <v>0</v>
      </c>
      <c r="BG219">
        <v>0</v>
      </c>
      <c r="BH219">
        <v>10036.200000000001</v>
      </c>
      <c r="BI219">
        <v>1062.48</v>
      </c>
      <c r="BJ219">
        <v>2.0604300000000002</v>
      </c>
      <c r="BK219">
        <v>-456.50299999999999</v>
      </c>
      <c r="BL219">
        <v>353.05900000000003</v>
      </c>
      <c r="BM219">
        <v>800.08799999999997</v>
      </c>
      <c r="BN219">
        <v>26.995699999999999</v>
      </c>
      <c r="BO219">
        <v>799.98500000000001</v>
      </c>
      <c r="BP219">
        <v>0.128553</v>
      </c>
      <c r="BQ219">
        <v>2.69462</v>
      </c>
      <c r="BR219">
        <v>1.27709E-2</v>
      </c>
      <c r="BS219">
        <v>22.252400000000002</v>
      </c>
      <c r="BT219">
        <v>-43.655200000000001</v>
      </c>
      <c r="BU219">
        <v>1800</v>
      </c>
      <c r="BV219">
        <v>0.90998599999999996</v>
      </c>
      <c r="BW219">
        <v>3.4007799999999998E-2</v>
      </c>
      <c r="BX219">
        <v>2.1992000000000001E-2</v>
      </c>
      <c r="BY219">
        <v>3.4013799999999997E-2</v>
      </c>
      <c r="BZ219">
        <v>26</v>
      </c>
      <c r="CA219">
        <v>33528.5</v>
      </c>
      <c r="CB219">
        <v>1690292073.5</v>
      </c>
      <c r="CC219" t="s">
        <v>332</v>
      </c>
      <c r="CD219">
        <v>1690292069.5</v>
      </c>
      <c r="CE219">
        <v>1690292073.5</v>
      </c>
      <c r="CF219">
        <v>4</v>
      </c>
      <c r="CG219">
        <v>-3.6999999999999998E-2</v>
      </c>
      <c r="CH219">
        <v>-1.6E-2</v>
      </c>
      <c r="CI219">
        <v>-0.45200000000000001</v>
      </c>
      <c r="CJ219">
        <v>0.108</v>
      </c>
      <c r="CK219">
        <v>730</v>
      </c>
      <c r="CL219">
        <v>18</v>
      </c>
      <c r="CM219">
        <v>0</v>
      </c>
      <c r="CN219">
        <v>0.01</v>
      </c>
      <c r="CO219">
        <v>-456.27802500000001</v>
      </c>
      <c r="CP219">
        <v>-0.92700562851677626</v>
      </c>
      <c r="CQ219">
        <v>0.1146918670830685</v>
      </c>
      <c r="CR219">
        <v>-1</v>
      </c>
      <c r="CS219">
        <v>26.9873525</v>
      </c>
      <c r="CT219">
        <v>-3.3849906192188672E-3</v>
      </c>
      <c r="CU219">
        <v>3.7947323686921002E-3</v>
      </c>
      <c r="CV219">
        <v>-1</v>
      </c>
      <c r="CW219">
        <v>0</v>
      </c>
      <c r="CX219">
        <v>0</v>
      </c>
      <c r="CY219" t="s">
        <v>333</v>
      </c>
      <c r="CZ219">
        <v>2.3644099999999999</v>
      </c>
      <c r="DA219">
        <v>2.71373</v>
      </c>
      <c r="DB219">
        <v>7.9773800000000006E-2</v>
      </c>
      <c r="DC219">
        <v>0.146427</v>
      </c>
      <c r="DD219">
        <v>0.12461800000000001</v>
      </c>
      <c r="DE219">
        <v>1.08785E-3</v>
      </c>
      <c r="DF219">
        <v>33606.300000000003</v>
      </c>
      <c r="DG219">
        <v>27512.400000000001</v>
      </c>
      <c r="DH219">
        <v>31175.9</v>
      </c>
      <c r="DI219">
        <v>28085.599999999999</v>
      </c>
      <c r="DJ219">
        <v>37038.800000000003</v>
      </c>
      <c r="DK219">
        <v>39896.199999999997</v>
      </c>
      <c r="DL219">
        <v>44366.7</v>
      </c>
      <c r="DM219">
        <v>42562.3</v>
      </c>
      <c r="DN219">
        <v>1.4897</v>
      </c>
      <c r="DO219">
        <v>2.0373000000000001</v>
      </c>
      <c r="DP219">
        <v>0.122797</v>
      </c>
      <c r="DQ219">
        <v>0.120409</v>
      </c>
      <c r="DR219">
        <v>25.002400000000002</v>
      </c>
      <c r="DS219">
        <v>24.628499999999999</v>
      </c>
      <c r="DT219">
        <v>21</v>
      </c>
      <c r="DU219">
        <v>29</v>
      </c>
      <c r="DV219">
        <v>8.5008700000000008</v>
      </c>
      <c r="DW219">
        <v>61.503500000000003</v>
      </c>
      <c r="DX219">
        <v>36.053699999999999</v>
      </c>
      <c r="DY219">
        <v>1</v>
      </c>
      <c r="DZ219">
        <v>-0.109024</v>
      </c>
      <c r="EA219">
        <v>0.35420499999999999</v>
      </c>
      <c r="EB219">
        <v>20.189399999999999</v>
      </c>
      <c r="EC219">
        <v>5.24125</v>
      </c>
      <c r="ED219">
        <v>12.039899999999999</v>
      </c>
      <c r="EE219">
        <v>5.0171000000000001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1.8646199999999999</v>
      </c>
      <c r="EM219">
        <v>1.8692</v>
      </c>
      <c r="EN219">
        <v>1.8672299999999999</v>
      </c>
      <c r="EO219">
        <v>1.8633999999999999</v>
      </c>
      <c r="EP219">
        <v>1.8644700000000001</v>
      </c>
      <c r="EQ219">
        <v>1.87016</v>
      </c>
      <c r="ER219">
        <v>1.86938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-0.17799999999999999</v>
      </c>
      <c r="FG219">
        <v>0.15140000000000001</v>
      </c>
      <c r="FH219">
        <v>5.0310448532705943E-2</v>
      </c>
      <c r="FI219">
        <v>-6.1462078757559423E-4</v>
      </c>
      <c r="FJ219">
        <v>-1.8861989874597051E-7</v>
      </c>
      <c r="FK219">
        <v>1.1980462299894961E-10</v>
      </c>
      <c r="FL219">
        <v>0.15140825623214971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39.200000000000003</v>
      </c>
      <c r="FU219">
        <v>39.1</v>
      </c>
      <c r="FV219">
        <v>1.7663599999999999</v>
      </c>
      <c r="FW219">
        <v>2.5830099999999998</v>
      </c>
      <c r="FX219">
        <v>1.5490699999999999</v>
      </c>
      <c r="FY219">
        <v>2.3327599999999999</v>
      </c>
      <c r="FZ219">
        <v>1.50146</v>
      </c>
      <c r="GA219">
        <v>2.3938000000000001</v>
      </c>
      <c r="GB219">
        <v>33.288699999999999</v>
      </c>
      <c r="GC219">
        <v>23.982399999999998</v>
      </c>
      <c r="GD219">
        <v>19</v>
      </c>
      <c r="GE219">
        <v>287.63600000000002</v>
      </c>
      <c r="GF219">
        <v>581.24199999999996</v>
      </c>
      <c r="GG219">
        <v>23.69</v>
      </c>
      <c r="GH219">
        <v>25.997599999999998</v>
      </c>
      <c r="GI219">
        <v>30.0001</v>
      </c>
      <c r="GJ219">
        <v>26.120899999999999</v>
      </c>
      <c r="GK219">
        <v>26.101299999999998</v>
      </c>
      <c r="GL219">
        <v>35.31</v>
      </c>
      <c r="GM219">
        <v>100</v>
      </c>
      <c r="GN219">
        <v>0</v>
      </c>
      <c r="GO219">
        <v>23.6767</v>
      </c>
      <c r="GP219">
        <v>800</v>
      </c>
      <c r="GQ219">
        <v>0</v>
      </c>
      <c r="GR219">
        <v>99.750200000000007</v>
      </c>
      <c r="GS219">
        <v>99.573300000000003</v>
      </c>
    </row>
    <row r="220" spans="1:201" x14ac:dyDescent="0.25">
      <c r="A220">
        <v>204</v>
      </c>
      <c r="B220">
        <v>1690294430</v>
      </c>
      <c r="C220">
        <v>2159.400000095367</v>
      </c>
      <c r="D220" t="s">
        <v>741</v>
      </c>
      <c r="E220" t="s">
        <v>742</v>
      </c>
      <c r="F220" t="s">
        <v>330</v>
      </c>
      <c r="H220">
        <v>1690294430</v>
      </c>
      <c r="I220">
        <f t="shared" si="90"/>
        <v>2.7770936786954844E-3</v>
      </c>
      <c r="J220">
        <f t="shared" si="91"/>
        <v>2.7770936786954845</v>
      </c>
      <c r="K220">
        <f t="shared" si="92"/>
        <v>44.709826217594554</v>
      </c>
      <c r="L220">
        <f t="shared" si="93"/>
        <v>343.46199999999999</v>
      </c>
      <c r="M220">
        <f t="shared" si="94"/>
        <v>120.54586801194597</v>
      </c>
      <c r="N220">
        <f t="shared" si="95"/>
        <v>11.987012379853967</v>
      </c>
      <c r="O220">
        <f t="shared" si="96"/>
        <v>34.153665437967597</v>
      </c>
      <c r="P220">
        <f t="shared" si="97"/>
        <v>0.34940865664051435</v>
      </c>
      <c r="Q220">
        <f t="shared" si="98"/>
        <v>2.2536082679767677</v>
      </c>
      <c r="R220">
        <f t="shared" si="99"/>
        <v>0.32186347571942642</v>
      </c>
      <c r="S220">
        <f t="shared" si="100"/>
        <v>0.20345823548824871</v>
      </c>
      <c r="T220">
        <f t="shared" si="101"/>
        <v>276.11682216782333</v>
      </c>
      <c r="U220">
        <f t="shared" si="102"/>
        <v>26.763799461941652</v>
      </c>
      <c r="V220">
        <f t="shared" si="103"/>
        <v>26.763799461941652</v>
      </c>
      <c r="W220">
        <f t="shared" si="104"/>
        <v>3.5298069079901211</v>
      </c>
      <c r="X220">
        <f t="shared" si="105"/>
        <v>81.857159418424331</v>
      </c>
      <c r="Y220">
        <f t="shared" si="106"/>
        <v>2.6986966292851799</v>
      </c>
      <c r="Z220">
        <f t="shared" si="107"/>
        <v>3.2968364019210763</v>
      </c>
      <c r="AA220">
        <f t="shared" si="108"/>
        <v>0.83111027870494114</v>
      </c>
      <c r="AB220">
        <f t="shared" si="109"/>
        <v>-122.46983123047086</v>
      </c>
      <c r="AC220">
        <f t="shared" si="110"/>
        <v>-140.38917382160378</v>
      </c>
      <c r="AD220">
        <f t="shared" si="111"/>
        <v>-13.334969821689128</v>
      </c>
      <c r="AE220">
        <f t="shared" si="112"/>
        <v>-7.7152705940420674E-2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52620.816571200303</v>
      </c>
      <c r="AK220">
        <f t="shared" si="116"/>
        <v>1800.01</v>
      </c>
      <c r="AL220">
        <f t="shared" si="117"/>
        <v>1499.1167967803799</v>
      </c>
      <c r="AM220">
        <f t="shared" si="118"/>
        <v>0.832838038</v>
      </c>
      <c r="AN220">
        <f t="shared" si="119"/>
        <v>0.15339738233000003</v>
      </c>
      <c r="AO220">
        <v>30</v>
      </c>
      <c r="AP220">
        <v>0.5</v>
      </c>
      <c r="AQ220" t="s">
        <v>331</v>
      </c>
      <c r="AR220">
        <v>2</v>
      </c>
      <c r="AS220">
        <v>1690294430</v>
      </c>
      <c r="AT220">
        <v>343.46199999999999</v>
      </c>
      <c r="AU220">
        <v>799.99199999999996</v>
      </c>
      <c r="AV220">
        <v>27.139099999999999</v>
      </c>
      <c r="AW220">
        <v>0.12814400000000001</v>
      </c>
      <c r="AX220">
        <v>343.64</v>
      </c>
      <c r="AY220">
        <v>26.9877</v>
      </c>
      <c r="AZ220">
        <v>300.07</v>
      </c>
      <c r="BA220">
        <v>99.339500000000001</v>
      </c>
      <c r="BB220">
        <v>9.9929799999999999E-2</v>
      </c>
      <c r="BC220">
        <v>25.6083</v>
      </c>
      <c r="BD220">
        <v>26.9999</v>
      </c>
      <c r="BE220">
        <v>26.5885</v>
      </c>
      <c r="BF220">
        <v>0</v>
      </c>
      <c r="BG220">
        <v>0</v>
      </c>
      <c r="BH220">
        <v>9970</v>
      </c>
      <c r="BI220">
        <v>1062.46</v>
      </c>
      <c r="BJ220">
        <v>2.0309900000000001</v>
      </c>
      <c r="BK220">
        <v>-456.53</v>
      </c>
      <c r="BL220">
        <v>353.04300000000001</v>
      </c>
      <c r="BM220">
        <v>800.09400000000005</v>
      </c>
      <c r="BN220">
        <v>27.010899999999999</v>
      </c>
      <c r="BO220">
        <v>799.99199999999996</v>
      </c>
      <c r="BP220">
        <v>0.12814400000000001</v>
      </c>
      <c r="BQ220">
        <v>2.69598</v>
      </c>
      <c r="BR220">
        <v>1.2729799999999999E-2</v>
      </c>
      <c r="BS220">
        <v>22.2607</v>
      </c>
      <c r="BT220">
        <v>-43.685000000000002</v>
      </c>
      <c r="BU220">
        <v>1800.01</v>
      </c>
      <c r="BV220">
        <v>0.90998299999999999</v>
      </c>
      <c r="BW220">
        <v>3.4007200000000001E-2</v>
      </c>
      <c r="BX220">
        <v>2.19969E-2</v>
      </c>
      <c r="BY220">
        <v>3.4013300000000003E-2</v>
      </c>
      <c r="BZ220">
        <v>26</v>
      </c>
      <c r="CA220">
        <v>33528.5</v>
      </c>
      <c r="CB220">
        <v>1690292073.5</v>
      </c>
      <c r="CC220" t="s">
        <v>332</v>
      </c>
      <c r="CD220">
        <v>1690292069.5</v>
      </c>
      <c r="CE220">
        <v>1690292073.5</v>
      </c>
      <c r="CF220">
        <v>4</v>
      </c>
      <c r="CG220">
        <v>-3.6999999999999998E-2</v>
      </c>
      <c r="CH220">
        <v>-1.6E-2</v>
      </c>
      <c r="CI220">
        <v>-0.45200000000000001</v>
      </c>
      <c r="CJ220">
        <v>0.108</v>
      </c>
      <c r="CK220">
        <v>730</v>
      </c>
      <c r="CL220">
        <v>18</v>
      </c>
      <c r="CM220">
        <v>0</v>
      </c>
      <c r="CN220">
        <v>0.01</v>
      </c>
      <c r="CO220">
        <v>-456.44232499999998</v>
      </c>
      <c r="CP220">
        <v>-1.2906979362087569</v>
      </c>
      <c r="CQ220">
        <v>0.13474520167708751</v>
      </c>
      <c r="CR220">
        <v>-1</v>
      </c>
      <c r="CS220">
        <v>26.994520000000001</v>
      </c>
      <c r="CT220">
        <v>9.1064915572229357E-2</v>
      </c>
      <c r="CU220">
        <v>8.8035844972374783E-3</v>
      </c>
      <c r="CV220">
        <v>-1</v>
      </c>
      <c r="CW220">
        <v>0</v>
      </c>
      <c r="CX220">
        <v>0</v>
      </c>
      <c r="CY220" t="s">
        <v>333</v>
      </c>
      <c r="CZ220">
        <v>2.3645499999999999</v>
      </c>
      <c r="DA220">
        <v>2.7136900000000002</v>
      </c>
      <c r="DB220">
        <v>7.9766799999999999E-2</v>
      </c>
      <c r="DC220">
        <v>0.146422</v>
      </c>
      <c r="DD220">
        <v>0.12466000000000001</v>
      </c>
      <c r="DE220">
        <v>1.0843700000000001E-3</v>
      </c>
      <c r="DF220">
        <v>33606.6</v>
      </c>
      <c r="DG220">
        <v>27512.6</v>
      </c>
      <c r="DH220">
        <v>31176</v>
      </c>
      <c r="DI220">
        <v>28085.599999999999</v>
      </c>
      <c r="DJ220">
        <v>37036.9</v>
      </c>
      <c r="DK220">
        <v>39896.400000000001</v>
      </c>
      <c r="DL220">
        <v>44366.6</v>
      </c>
      <c r="DM220">
        <v>42562.400000000001</v>
      </c>
      <c r="DN220">
        <v>1.4898800000000001</v>
      </c>
      <c r="DO220">
        <v>2.0374300000000001</v>
      </c>
      <c r="DP220">
        <v>0.12194000000000001</v>
      </c>
      <c r="DQ220">
        <v>0.119574</v>
      </c>
      <c r="DR220">
        <v>25.002400000000002</v>
      </c>
      <c r="DS220">
        <v>24.628499999999999</v>
      </c>
      <c r="DT220">
        <v>21</v>
      </c>
      <c r="DU220">
        <v>29</v>
      </c>
      <c r="DV220">
        <v>8.5007400000000004</v>
      </c>
      <c r="DW220">
        <v>61.883499999999998</v>
      </c>
      <c r="DX220">
        <v>35.408700000000003</v>
      </c>
      <c r="DY220">
        <v>1</v>
      </c>
      <c r="DZ220">
        <v>-0.108755</v>
      </c>
      <c r="EA220">
        <v>0.41861399999999999</v>
      </c>
      <c r="EB220">
        <v>20.189399999999999</v>
      </c>
      <c r="EC220">
        <v>5.2411000000000003</v>
      </c>
      <c r="ED220">
        <v>12.039899999999999</v>
      </c>
      <c r="EE220">
        <v>5.0170000000000003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1.8646199999999999</v>
      </c>
      <c r="EM220">
        <v>1.8692</v>
      </c>
      <c r="EN220">
        <v>1.8672200000000001</v>
      </c>
      <c r="EO220">
        <v>1.8633999999999999</v>
      </c>
      <c r="EP220">
        <v>1.8644700000000001</v>
      </c>
      <c r="EQ220">
        <v>1.87015</v>
      </c>
      <c r="ER220">
        <v>1.86938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-0.17799999999999999</v>
      </c>
      <c r="FG220">
        <v>0.15140000000000001</v>
      </c>
      <c r="FH220">
        <v>5.0310448532705943E-2</v>
      </c>
      <c r="FI220">
        <v>-6.1462078757559423E-4</v>
      </c>
      <c r="FJ220">
        <v>-1.8861989874597051E-7</v>
      </c>
      <c r="FK220">
        <v>1.1980462299894961E-10</v>
      </c>
      <c r="FL220">
        <v>0.15140825623214971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39.299999999999997</v>
      </c>
      <c r="FU220">
        <v>39.299999999999997</v>
      </c>
      <c r="FV220">
        <v>1.7651399999999999</v>
      </c>
      <c r="FW220">
        <v>2.5878899999999998</v>
      </c>
      <c r="FX220">
        <v>1.5490699999999999</v>
      </c>
      <c r="FY220">
        <v>2.3327599999999999</v>
      </c>
      <c r="FZ220">
        <v>1.50146</v>
      </c>
      <c r="GA220">
        <v>2.2399900000000001</v>
      </c>
      <c r="GB220">
        <v>33.288699999999999</v>
      </c>
      <c r="GC220">
        <v>23.982399999999998</v>
      </c>
      <c r="GD220">
        <v>19</v>
      </c>
      <c r="GE220">
        <v>287.71499999999997</v>
      </c>
      <c r="GF220">
        <v>581.35900000000004</v>
      </c>
      <c r="GG220">
        <v>23.667100000000001</v>
      </c>
      <c r="GH220">
        <v>25.999400000000001</v>
      </c>
      <c r="GI220">
        <v>30.000399999999999</v>
      </c>
      <c r="GJ220">
        <v>26.121500000000001</v>
      </c>
      <c r="GK220">
        <v>26.102499999999999</v>
      </c>
      <c r="GL220">
        <v>35.305399999999999</v>
      </c>
      <c r="GM220">
        <v>100</v>
      </c>
      <c r="GN220">
        <v>0</v>
      </c>
      <c r="GO220">
        <v>23.6602</v>
      </c>
      <c r="GP220">
        <v>800</v>
      </c>
      <c r="GQ220">
        <v>0</v>
      </c>
      <c r="GR220">
        <v>99.750100000000003</v>
      </c>
      <c r="GS220">
        <v>99.573499999999996</v>
      </c>
    </row>
    <row r="221" spans="1:201" x14ac:dyDescent="0.25">
      <c r="A221">
        <v>205</v>
      </c>
      <c r="B221">
        <v>1690294440</v>
      </c>
      <c r="C221">
        <v>2169.400000095367</v>
      </c>
      <c r="D221" t="s">
        <v>743</v>
      </c>
      <c r="E221" t="s">
        <v>744</v>
      </c>
      <c r="F221" t="s">
        <v>330</v>
      </c>
      <c r="H221">
        <v>1690294440</v>
      </c>
      <c r="I221">
        <f t="shared" si="90"/>
        <v>2.7787006542029469E-3</v>
      </c>
      <c r="J221">
        <f t="shared" si="91"/>
        <v>2.7787006542029467</v>
      </c>
      <c r="K221">
        <f t="shared" si="92"/>
        <v>44.751971657414842</v>
      </c>
      <c r="L221">
        <f t="shared" si="93"/>
        <v>343.14299999999997</v>
      </c>
      <c r="M221">
        <f t="shared" si="94"/>
        <v>120.74724585123364</v>
      </c>
      <c r="N221">
        <f t="shared" si="95"/>
        <v>12.007390124968914</v>
      </c>
      <c r="O221">
        <f t="shared" si="96"/>
        <v>34.122946992335997</v>
      </c>
      <c r="P221">
        <f t="shared" si="97"/>
        <v>0.35058077874099797</v>
      </c>
      <c r="Q221">
        <f t="shared" si="98"/>
        <v>2.2585629199041852</v>
      </c>
      <c r="R221">
        <f t="shared" si="99"/>
        <v>0.32291400918021057</v>
      </c>
      <c r="S221">
        <f t="shared" si="100"/>
        <v>0.20412475002495123</v>
      </c>
      <c r="T221">
        <f t="shared" si="101"/>
        <v>276.11577246600001</v>
      </c>
      <c r="U221">
        <f t="shared" si="102"/>
        <v>26.756147925637968</v>
      </c>
      <c r="V221">
        <f t="shared" si="103"/>
        <v>26.756147925637968</v>
      </c>
      <c r="W221">
        <f t="shared" si="104"/>
        <v>3.5282181472388117</v>
      </c>
      <c r="X221">
        <f t="shared" si="105"/>
        <v>81.898878696918203</v>
      </c>
      <c r="Y221">
        <f t="shared" si="106"/>
        <v>2.6993029796288002</v>
      </c>
      <c r="Z221">
        <f t="shared" si="107"/>
        <v>3.2958973585194804</v>
      </c>
      <c r="AA221">
        <f t="shared" si="108"/>
        <v>0.82891516761001149</v>
      </c>
      <c r="AB221">
        <f t="shared" si="109"/>
        <v>-122.54069885034995</v>
      </c>
      <c r="AC221">
        <f t="shared" si="110"/>
        <v>-140.3506118336407</v>
      </c>
      <c r="AD221">
        <f t="shared" si="111"/>
        <v>-13.301231210224296</v>
      </c>
      <c r="AE221">
        <f t="shared" si="112"/>
        <v>-7.6769428214902291E-2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52816.115087048936</v>
      </c>
      <c r="AK221">
        <f t="shared" si="116"/>
        <v>1800</v>
      </c>
      <c r="AL221">
        <f t="shared" si="117"/>
        <v>1499.1075395999999</v>
      </c>
      <c r="AM221">
        <f t="shared" si="118"/>
        <v>0.83283752199999994</v>
      </c>
      <c r="AN221">
        <f t="shared" si="119"/>
        <v>0.15339765137</v>
      </c>
      <c r="AO221">
        <v>30</v>
      </c>
      <c r="AP221">
        <v>0.5</v>
      </c>
      <c r="AQ221" t="s">
        <v>331</v>
      </c>
      <c r="AR221">
        <v>2</v>
      </c>
      <c r="AS221">
        <v>1690294440</v>
      </c>
      <c r="AT221">
        <v>343.14299999999997</v>
      </c>
      <c r="AU221">
        <v>799.91899999999998</v>
      </c>
      <c r="AV221">
        <v>27.144400000000001</v>
      </c>
      <c r="AW221">
        <v>0.128135</v>
      </c>
      <c r="AX221">
        <v>343.32100000000003</v>
      </c>
      <c r="AY221">
        <v>26.992999999999999</v>
      </c>
      <c r="AZ221">
        <v>300.18299999999999</v>
      </c>
      <c r="BA221">
        <v>99.342399999999998</v>
      </c>
      <c r="BB221">
        <v>9.9951999999999999E-2</v>
      </c>
      <c r="BC221">
        <v>25.6035</v>
      </c>
      <c r="BD221">
        <v>26.9679</v>
      </c>
      <c r="BE221">
        <v>26.6098</v>
      </c>
      <c r="BF221">
        <v>0</v>
      </c>
      <c r="BG221">
        <v>0</v>
      </c>
      <c r="BH221">
        <v>10008.1</v>
      </c>
      <c r="BI221">
        <v>1062.51</v>
      </c>
      <c r="BJ221">
        <v>2.0183800000000001</v>
      </c>
      <c r="BK221">
        <v>-456.77600000000001</v>
      </c>
      <c r="BL221">
        <v>352.71699999999998</v>
      </c>
      <c r="BM221">
        <v>800.02099999999996</v>
      </c>
      <c r="BN221">
        <v>27.016300000000001</v>
      </c>
      <c r="BO221">
        <v>799.91899999999998</v>
      </c>
      <c r="BP221">
        <v>0.128135</v>
      </c>
      <c r="BQ221">
        <v>2.69659</v>
      </c>
      <c r="BR221">
        <v>1.27292E-2</v>
      </c>
      <c r="BS221">
        <v>22.264399999999998</v>
      </c>
      <c r="BT221">
        <v>-43.685400000000001</v>
      </c>
      <c r="BU221">
        <v>1800</v>
      </c>
      <c r="BV221">
        <v>0.90997700000000004</v>
      </c>
      <c r="BW221">
        <v>3.4007200000000001E-2</v>
      </c>
      <c r="BX221">
        <v>2.20021E-2</v>
      </c>
      <c r="BY221">
        <v>3.4013300000000003E-2</v>
      </c>
      <c r="BZ221">
        <v>26</v>
      </c>
      <c r="CA221">
        <v>33528.300000000003</v>
      </c>
      <c r="CB221">
        <v>1690292073.5</v>
      </c>
      <c r="CC221" t="s">
        <v>332</v>
      </c>
      <c r="CD221">
        <v>1690292069.5</v>
      </c>
      <c r="CE221">
        <v>1690292073.5</v>
      </c>
      <c r="CF221">
        <v>4</v>
      </c>
      <c r="CG221">
        <v>-3.6999999999999998E-2</v>
      </c>
      <c r="CH221">
        <v>-1.6E-2</v>
      </c>
      <c r="CI221">
        <v>-0.45200000000000001</v>
      </c>
      <c r="CJ221">
        <v>0.108</v>
      </c>
      <c r="CK221">
        <v>730</v>
      </c>
      <c r="CL221">
        <v>18</v>
      </c>
      <c r="CM221">
        <v>0</v>
      </c>
      <c r="CN221">
        <v>0.01</v>
      </c>
      <c r="CO221">
        <v>-456.5951707317073</v>
      </c>
      <c r="CP221">
        <v>-0.66426480836232571</v>
      </c>
      <c r="CQ221">
        <v>8.0936862607422208E-2</v>
      </c>
      <c r="CR221">
        <v>-1</v>
      </c>
      <c r="CS221">
        <v>27.007504878048781</v>
      </c>
      <c r="CT221">
        <v>7.5018815330999411E-2</v>
      </c>
      <c r="CU221">
        <v>7.515056471219396E-3</v>
      </c>
      <c r="CV221">
        <v>-1</v>
      </c>
      <c r="CW221">
        <v>0</v>
      </c>
      <c r="CX221">
        <v>0</v>
      </c>
      <c r="CY221" t="s">
        <v>333</v>
      </c>
      <c r="CZ221">
        <v>2.3649300000000002</v>
      </c>
      <c r="DA221">
        <v>2.7137500000000001</v>
      </c>
      <c r="DB221">
        <v>7.9710100000000006E-2</v>
      </c>
      <c r="DC221">
        <v>0.14641599999999999</v>
      </c>
      <c r="DD221">
        <v>0.12468</v>
      </c>
      <c r="DE221">
        <v>1.08431E-3</v>
      </c>
      <c r="DF221">
        <v>33608.699999999997</v>
      </c>
      <c r="DG221">
        <v>27512.5</v>
      </c>
      <c r="DH221">
        <v>31176</v>
      </c>
      <c r="DI221">
        <v>28085.3</v>
      </c>
      <c r="DJ221">
        <v>37036.199999999997</v>
      </c>
      <c r="DK221">
        <v>39896</v>
      </c>
      <c r="DL221">
        <v>44366.7</v>
      </c>
      <c r="DM221">
        <v>42562</v>
      </c>
      <c r="DN221">
        <v>1.4896499999999999</v>
      </c>
      <c r="DO221">
        <v>2.0371000000000001</v>
      </c>
      <c r="DP221">
        <v>0.120018</v>
      </c>
      <c r="DQ221">
        <v>0.120878</v>
      </c>
      <c r="DR221">
        <v>25.001899999999999</v>
      </c>
      <c r="DS221">
        <v>24.628499999999999</v>
      </c>
      <c r="DT221">
        <v>21</v>
      </c>
      <c r="DU221">
        <v>29</v>
      </c>
      <c r="DV221">
        <v>8.5015199999999993</v>
      </c>
      <c r="DW221">
        <v>61.633499999999998</v>
      </c>
      <c r="DX221">
        <v>35.0441</v>
      </c>
      <c r="DY221">
        <v>1</v>
      </c>
      <c r="DZ221">
        <v>-0.108379</v>
      </c>
      <c r="EA221">
        <v>0.37430600000000003</v>
      </c>
      <c r="EB221">
        <v>20.189399999999999</v>
      </c>
      <c r="EC221">
        <v>5.2415500000000002</v>
      </c>
      <c r="ED221">
        <v>12.039899999999999</v>
      </c>
      <c r="EE221">
        <v>5.0170500000000002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1.8646199999999999</v>
      </c>
      <c r="EM221">
        <v>1.8692</v>
      </c>
      <c r="EN221">
        <v>1.8672200000000001</v>
      </c>
      <c r="EO221">
        <v>1.8633999999999999</v>
      </c>
      <c r="EP221">
        <v>1.8644700000000001</v>
      </c>
      <c r="EQ221">
        <v>1.8701300000000001</v>
      </c>
      <c r="ER221">
        <v>1.8693900000000001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-0.17799999999999999</v>
      </c>
      <c r="FG221">
        <v>0.15140000000000001</v>
      </c>
      <c r="FH221">
        <v>5.0310448532705943E-2</v>
      </c>
      <c r="FI221">
        <v>-6.1462078757559423E-4</v>
      </c>
      <c r="FJ221">
        <v>-1.8861989874597051E-7</v>
      </c>
      <c r="FK221">
        <v>1.1980462299894961E-10</v>
      </c>
      <c r="FL221">
        <v>0.15140825623214971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39.5</v>
      </c>
      <c r="FU221">
        <v>39.4</v>
      </c>
      <c r="FV221">
        <v>1.7651399999999999</v>
      </c>
      <c r="FW221">
        <v>2.5781200000000002</v>
      </c>
      <c r="FX221">
        <v>1.5490699999999999</v>
      </c>
      <c r="FY221">
        <v>2.3327599999999999</v>
      </c>
      <c r="FZ221">
        <v>1.50146</v>
      </c>
      <c r="GA221">
        <v>2.34619</v>
      </c>
      <c r="GB221">
        <v>33.311100000000003</v>
      </c>
      <c r="GC221">
        <v>23.991199999999999</v>
      </c>
      <c r="GD221">
        <v>19</v>
      </c>
      <c r="GE221">
        <v>287.62799999999999</v>
      </c>
      <c r="GF221">
        <v>581.11699999999996</v>
      </c>
      <c r="GG221">
        <v>23.6569</v>
      </c>
      <c r="GH221">
        <v>26.001100000000001</v>
      </c>
      <c r="GI221">
        <v>30.0002</v>
      </c>
      <c r="GJ221">
        <v>26.1236</v>
      </c>
      <c r="GK221">
        <v>26.104700000000001</v>
      </c>
      <c r="GL221">
        <v>35.3065</v>
      </c>
      <c r="GM221">
        <v>100</v>
      </c>
      <c r="GN221">
        <v>0</v>
      </c>
      <c r="GO221">
        <v>23.666899999999998</v>
      </c>
      <c r="GP221">
        <v>800</v>
      </c>
      <c r="GQ221">
        <v>0</v>
      </c>
      <c r="GR221">
        <v>99.750299999999996</v>
      </c>
      <c r="GS221">
        <v>99.572599999999994</v>
      </c>
    </row>
    <row r="222" spans="1:201" x14ac:dyDescent="0.25">
      <c r="A222">
        <v>206</v>
      </c>
      <c r="B222">
        <v>1690294450</v>
      </c>
      <c r="C222">
        <v>2179.400000095367</v>
      </c>
      <c r="D222" t="s">
        <v>745</v>
      </c>
      <c r="E222" t="s">
        <v>746</v>
      </c>
      <c r="F222" t="s">
        <v>330</v>
      </c>
      <c r="H222">
        <v>1690294450</v>
      </c>
      <c r="I222">
        <f t="shared" si="90"/>
        <v>2.779762683170134E-3</v>
      </c>
      <c r="J222">
        <f t="shared" si="91"/>
        <v>2.7797626831701341</v>
      </c>
      <c r="K222">
        <f t="shared" si="92"/>
        <v>44.786512452493206</v>
      </c>
      <c r="L222">
        <f t="shared" si="93"/>
        <v>343.04700000000003</v>
      </c>
      <c r="M222">
        <f t="shared" si="94"/>
        <v>120.66396185559442</v>
      </c>
      <c r="N222">
        <f t="shared" si="95"/>
        <v>11.998875769768059</v>
      </c>
      <c r="O222">
        <f t="shared" si="96"/>
        <v>34.112739818022007</v>
      </c>
      <c r="P222">
        <f t="shared" si="97"/>
        <v>0.35089424499280142</v>
      </c>
      <c r="Q222">
        <f t="shared" si="98"/>
        <v>2.2580588394614196</v>
      </c>
      <c r="R222">
        <f t="shared" si="99"/>
        <v>0.32317440855927376</v>
      </c>
      <c r="S222">
        <f t="shared" si="100"/>
        <v>0.20429173036463283</v>
      </c>
      <c r="T222">
        <f t="shared" si="101"/>
        <v>276.11774143293025</v>
      </c>
      <c r="U222">
        <f t="shared" si="102"/>
        <v>26.75674556690505</v>
      </c>
      <c r="V222">
        <f t="shared" si="103"/>
        <v>26.75674556690505</v>
      </c>
      <c r="W222">
        <f t="shared" si="104"/>
        <v>3.5283422186586484</v>
      </c>
      <c r="X222">
        <f t="shared" si="105"/>
        <v>81.910483512114553</v>
      </c>
      <c r="Y222">
        <f t="shared" si="106"/>
        <v>2.6997976218574</v>
      </c>
      <c r="Z222">
        <f t="shared" si="107"/>
        <v>3.2960342877943094</v>
      </c>
      <c r="AA222">
        <f t="shared" si="108"/>
        <v>0.82854459680124837</v>
      </c>
      <c r="AB222">
        <f t="shared" si="109"/>
        <v>-122.58753432780291</v>
      </c>
      <c r="AC222">
        <f t="shared" si="110"/>
        <v>-140.30682670046883</v>
      </c>
      <c r="AD222">
        <f t="shared" si="111"/>
        <v>-13.300136540626927</v>
      </c>
      <c r="AE222">
        <f t="shared" si="112"/>
        <v>-7.6756135968423678E-2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52796.149970831269</v>
      </c>
      <c r="AK222">
        <f t="shared" si="116"/>
        <v>1800.01</v>
      </c>
      <c r="AL222">
        <f t="shared" si="117"/>
        <v>1499.11691378103</v>
      </c>
      <c r="AM222">
        <f t="shared" si="118"/>
        <v>0.83283810300000005</v>
      </c>
      <c r="AN222">
        <f t="shared" si="119"/>
        <v>0.15339789302999998</v>
      </c>
      <c r="AO222">
        <v>30</v>
      </c>
      <c r="AP222">
        <v>0.5</v>
      </c>
      <c r="AQ222" t="s">
        <v>331</v>
      </c>
      <c r="AR222">
        <v>2</v>
      </c>
      <c r="AS222">
        <v>1690294450</v>
      </c>
      <c r="AT222">
        <v>343.04700000000003</v>
      </c>
      <c r="AU222">
        <v>800.09</v>
      </c>
      <c r="AV222">
        <v>27.149899999999999</v>
      </c>
      <c r="AW222">
        <v>0.12814300000000001</v>
      </c>
      <c r="AX222">
        <v>343.22500000000002</v>
      </c>
      <c r="AY222">
        <v>26.9985</v>
      </c>
      <c r="AZ222">
        <v>300.23500000000001</v>
      </c>
      <c r="BA222">
        <v>99.340299999999999</v>
      </c>
      <c r="BB222">
        <v>0.10012600000000001</v>
      </c>
      <c r="BC222">
        <v>25.604199999999999</v>
      </c>
      <c r="BD222">
        <v>26.959299999999999</v>
      </c>
      <c r="BE222">
        <v>26.5974</v>
      </c>
      <c r="BF222">
        <v>0</v>
      </c>
      <c r="BG222">
        <v>0</v>
      </c>
      <c r="BH222">
        <v>10004.4</v>
      </c>
      <c r="BI222">
        <v>1062.55</v>
      </c>
      <c r="BJ222">
        <v>1.9469000000000001</v>
      </c>
      <c r="BK222">
        <v>-457.04300000000001</v>
      </c>
      <c r="BL222">
        <v>352.62099999999998</v>
      </c>
      <c r="BM222">
        <v>800.19299999999998</v>
      </c>
      <c r="BN222">
        <v>27.021799999999999</v>
      </c>
      <c r="BO222">
        <v>800.09</v>
      </c>
      <c r="BP222">
        <v>0.12814300000000001</v>
      </c>
      <c r="BQ222">
        <v>2.6970800000000001</v>
      </c>
      <c r="BR222">
        <v>1.27297E-2</v>
      </c>
      <c r="BS222">
        <v>22.267399999999999</v>
      </c>
      <c r="BT222">
        <v>-43.685000000000002</v>
      </c>
      <c r="BU222">
        <v>1800.01</v>
      </c>
      <c r="BV222">
        <v>0.90997600000000001</v>
      </c>
      <c r="BW222">
        <v>3.4006799999999997E-2</v>
      </c>
      <c r="BX222">
        <v>2.20044E-2</v>
      </c>
      <c r="BY222">
        <v>3.4012899999999999E-2</v>
      </c>
      <c r="BZ222">
        <v>26</v>
      </c>
      <c r="CA222">
        <v>33528.400000000001</v>
      </c>
      <c r="CB222">
        <v>1690292073.5</v>
      </c>
      <c r="CC222" t="s">
        <v>332</v>
      </c>
      <c r="CD222">
        <v>1690292069.5</v>
      </c>
      <c r="CE222">
        <v>1690292073.5</v>
      </c>
      <c r="CF222">
        <v>4</v>
      </c>
      <c r="CG222">
        <v>-3.6999999999999998E-2</v>
      </c>
      <c r="CH222">
        <v>-1.6E-2</v>
      </c>
      <c r="CI222">
        <v>-0.45200000000000001</v>
      </c>
      <c r="CJ222">
        <v>0.108</v>
      </c>
      <c r="CK222">
        <v>730</v>
      </c>
      <c r="CL222">
        <v>18</v>
      </c>
      <c r="CM222">
        <v>0</v>
      </c>
      <c r="CN222">
        <v>0.01</v>
      </c>
      <c r="CO222">
        <v>-456.75557500000002</v>
      </c>
      <c r="CP222">
        <v>-1.263500938086324</v>
      </c>
      <c r="CQ222">
        <v>0.12979789819177079</v>
      </c>
      <c r="CR222">
        <v>-1</v>
      </c>
      <c r="CS222">
        <v>27.0158925</v>
      </c>
      <c r="CT222">
        <v>2.0205253283260439E-2</v>
      </c>
      <c r="CU222">
        <v>2.2489316908258549E-3</v>
      </c>
      <c r="CV222">
        <v>-1</v>
      </c>
      <c r="CW222">
        <v>0</v>
      </c>
      <c r="CX222">
        <v>0</v>
      </c>
      <c r="CY222" t="s">
        <v>333</v>
      </c>
      <c r="CZ222">
        <v>2.3650899999999999</v>
      </c>
      <c r="DA222">
        <v>2.7139199999999999</v>
      </c>
      <c r="DB222">
        <v>7.9690499999999997E-2</v>
      </c>
      <c r="DC222">
        <v>0.14643300000000001</v>
      </c>
      <c r="DD222">
        <v>0.124694</v>
      </c>
      <c r="DE222">
        <v>1.08435E-3</v>
      </c>
      <c r="DF222">
        <v>33609.599999999999</v>
      </c>
      <c r="DG222">
        <v>27511.9</v>
      </c>
      <c r="DH222">
        <v>31176.2</v>
      </c>
      <c r="DI222">
        <v>28085.3</v>
      </c>
      <c r="DJ222">
        <v>37035.699999999997</v>
      </c>
      <c r="DK222">
        <v>39896.1</v>
      </c>
      <c r="DL222">
        <v>44366.9</v>
      </c>
      <c r="DM222">
        <v>42562</v>
      </c>
      <c r="DN222">
        <v>1.4902</v>
      </c>
      <c r="DO222">
        <v>2.0367999999999999</v>
      </c>
      <c r="DP222">
        <v>0.11958199999999999</v>
      </c>
      <c r="DQ222">
        <v>0.12012200000000001</v>
      </c>
      <c r="DR222">
        <v>25.000399999999999</v>
      </c>
      <c r="DS222">
        <v>24.628499999999999</v>
      </c>
      <c r="DT222">
        <v>21</v>
      </c>
      <c r="DU222">
        <v>29</v>
      </c>
      <c r="DV222">
        <v>8.5013699999999996</v>
      </c>
      <c r="DW222">
        <v>61.413499999999999</v>
      </c>
      <c r="DX222">
        <v>35.536900000000003</v>
      </c>
      <c r="DY222">
        <v>1</v>
      </c>
      <c r="DZ222">
        <v>-0.108862</v>
      </c>
      <c r="EA222">
        <v>0.226212</v>
      </c>
      <c r="EB222">
        <v>20.190100000000001</v>
      </c>
      <c r="EC222">
        <v>5.2416999999999998</v>
      </c>
      <c r="ED222">
        <v>12.039899999999999</v>
      </c>
      <c r="EE222">
        <v>5.0170500000000002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1.8646199999999999</v>
      </c>
      <c r="EM222">
        <v>1.8692</v>
      </c>
      <c r="EN222">
        <v>1.8672200000000001</v>
      </c>
      <c r="EO222">
        <v>1.8633999999999999</v>
      </c>
      <c r="EP222">
        <v>1.8644700000000001</v>
      </c>
      <c r="EQ222">
        <v>1.87016</v>
      </c>
      <c r="ER222">
        <v>1.86937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-0.17799999999999999</v>
      </c>
      <c r="FG222">
        <v>0.15140000000000001</v>
      </c>
      <c r="FH222">
        <v>5.0310448532705943E-2</v>
      </c>
      <c r="FI222">
        <v>-6.1462078757559423E-4</v>
      </c>
      <c r="FJ222">
        <v>-1.8861989874597051E-7</v>
      </c>
      <c r="FK222">
        <v>1.1980462299894961E-10</v>
      </c>
      <c r="FL222">
        <v>0.15140825623214971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39.700000000000003</v>
      </c>
      <c r="FU222">
        <v>39.6</v>
      </c>
      <c r="FV222">
        <v>1.7663599999999999</v>
      </c>
      <c r="FW222">
        <v>2.5805699999999998</v>
      </c>
      <c r="FX222">
        <v>1.5490699999999999</v>
      </c>
      <c r="FY222">
        <v>2.3327599999999999</v>
      </c>
      <c r="FZ222">
        <v>1.50146</v>
      </c>
      <c r="GA222">
        <v>2.36938</v>
      </c>
      <c r="GB222">
        <v>33.311100000000003</v>
      </c>
      <c r="GC222">
        <v>23.991199999999999</v>
      </c>
      <c r="GD222">
        <v>19</v>
      </c>
      <c r="GE222">
        <v>287.87400000000002</v>
      </c>
      <c r="GF222">
        <v>580.89499999999998</v>
      </c>
      <c r="GG222">
        <v>23.692299999999999</v>
      </c>
      <c r="GH222">
        <v>26.002099999999999</v>
      </c>
      <c r="GI222">
        <v>30.0001</v>
      </c>
      <c r="GJ222">
        <v>26.125800000000002</v>
      </c>
      <c r="GK222">
        <v>26.1069</v>
      </c>
      <c r="GL222">
        <v>35.303400000000003</v>
      </c>
      <c r="GM222">
        <v>100</v>
      </c>
      <c r="GN222">
        <v>0</v>
      </c>
      <c r="GO222">
        <v>23.723400000000002</v>
      </c>
      <c r="GP222">
        <v>800</v>
      </c>
      <c r="GQ222">
        <v>0</v>
      </c>
      <c r="GR222">
        <v>99.750799999999998</v>
      </c>
      <c r="GS222">
        <v>99.572599999999994</v>
      </c>
    </row>
    <row r="223" spans="1:201" x14ac:dyDescent="0.25">
      <c r="A223">
        <v>207</v>
      </c>
      <c r="B223">
        <v>1690294460</v>
      </c>
      <c r="C223">
        <v>2189.400000095367</v>
      </c>
      <c r="D223" t="s">
        <v>747</v>
      </c>
      <c r="E223" t="s">
        <v>748</v>
      </c>
      <c r="F223" t="s">
        <v>330</v>
      </c>
      <c r="H223">
        <v>1690294460</v>
      </c>
      <c r="I223">
        <f t="shared" si="90"/>
        <v>2.781012120703637E-3</v>
      </c>
      <c r="J223">
        <f t="shared" si="91"/>
        <v>2.7810121207036369</v>
      </c>
      <c r="K223">
        <f t="shared" si="92"/>
        <v>44.765800556847147</v>
      </c>
      <c r="L223">
        <f t="shared" si="93"/>
        <v>343.00700000000001</v>
      </c>
      <c r="M223">
        <f t="shared" si="94"/>
        <v>120.83704593822345</v>
      </c>
      <c r="N223">
        <f t="shared" si="95"/>
        <v>12.016114416344207</v>
      </c>
      <c r="O223">
        <f t="shared" si="96"/>
        <v>34.108839103151396</v>
      </c>
      <c r="P223">
        <f t="shared" si="97"/>
        <v>0.35108378206953983</v>
      </c>
      <c r="Q223">
        <f t="shared" si="98"/>
        <v>2.2583862238433334</v>
      </c>
      <c r="R223">
        <f t="shared" si="99"/>
        <v>0.32333894168635163</v>
      </c>
      <c r="S223">
        <f t="shared" si="100"/>
        <v>0.20439657876130018</v>
      </c>
      <c r="T223">
        <f t="shared" si="101"/>
        <v>276.11289125097096</v>
      </c>
      <c r="U223">
        <f t="shared" si="102"/>
        <v>26.768130931813204</v>
      </c>
      <c r="V223">
        <f t="shared" si="103"/>
        <v>26.768130931813204</v>
      </c>
      <c r="W223">
        <f t="shared" si="104"/>
        <v>3.5307065688255515</v>
      </c>
      <c r="X223">
        <f t="shared" si="105"/>
        <v>81.92591752111241</v>
      </c>
      <c r="Y223">
        <f t="shared" si="106"/>
        <v>2.7022300607298599</v>
      </c>
      <c r="Z223">
        <f t="shared" si="107"/>
        <v>3.2983824197434126</v>
      </c>
      <c r="AA223">
        <f t="shared" si="108"/>
        <v>0.82847650809569151</v>
      </c>
      <c r="AB223">
        <f t="shared" si="109"/>
        <v>-122.6426345230304</v>
      </c>
      <c r="AC223">
        <f t="shared" si="110"/>
        <v>-140.25233471484569</v>
      </c>
      <c r="AD223">
        <f t="shared" si="111"/>
        <v>-13.294602354786196</v>
      </c>
      <c r="AE223">
        <f t="shared" si="112"/>
        <v>-7.6680341691314879E-2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52806.892589661191</v>
      </c>
      <c r="AK223">
        <f t="shared" si="116"/>
        <v>1799.99</v>
      </c>
      <c r="AL223">
        <f t="shared" si="117"/>
        <v>1499.0984336290999</v>
      </c>
      <c r="AM223">
        <f t="shared" si="118"/>
        <v>0.83283708999999995</v>
      </c>
      <c r="AN223">
        <f t="shared" si="119"/>
        <v>0.15339690289999999</v>
      </c>
      <c r="AO223">
        <v>30</v>
      </c>
      <c r="AP223">
        <v>0.5</v>
      </c>
      <c r="AQ223" t="s">
        <v>331</v>
      </c>
      <c r="AR223">
        <v>2</v>
      </c>
      <c r="AS223">
        <v>1690294460</v>
      </c>
      <c r="AT223">
        <v>343.00700000000001</v>
      </c>
      <c r="AU223">
        <v>800.07</v>
      </c>
      <c r="AV223">
        <v>27.174299999999999</v>
      </c>
      <c r="AW223">
        <v>0.127833</v>
      </c>
      <c r="AX223">
        <v>343.185</v>
      </c>
      <c r="AY223">
        <v>27.0228</v>
      </c>
      <c r="AZ223">
        <v>300.08800000000002</v>
      </c>
      <c r="BA223">
        <v>99.340699999999998</v>
      </c>
      <c r="BB223">
        <v>9.9950200000000003E-2</v>
      </c>
      <c r="BC223">
        <v>25.616199999999999</v>
      </c>
      <c r="BD223">
        <v>26.9923</v>
      </c>
      <c r="BE223">
        <v>26.606300000000001</v>
      </c>
      <c r="BF223">
        <v>0</v>
      </c>
      <c r="BG223">
        <v>0</v>
      </c>
      <c r="BH223">
        <v>10006.9</v>
      </c>
      <c r="BI223">
        <v>1062.58</v>
      </c>
      <c r="BJ223">
        <v>2.0183800000000001</v>
      </c>
      <c r="BK223">
        <v>-457.06299999999999</v>
      </c>
      <c r="BL223">
        <v>352.58800000000002</v>
      </c>
      <c r="BM223">
        <v>800.17200000000003</v>
      </c>
      <c r="BN223">
        <v>27.046399999999998</v>
      </c>
      <c r="BO223">
        <v>800.07</v>
      </c>
      <c r="BP223">
        <v>0.127833</v>
      </c>
      <c r="BQ223">
        <v>2.6995100000000001</v>
      </c>
      <c r="BR223">
        <v>1.26991E-2</v>
      </c>
      <c r="BS223">
        <v>22.2821</v>
      </c>
      <c r="BT223">
        <v>-43.707299999999996</v>
      </c>
      <c r="BU223">
        <v>1799.99</v>
      </c>
      <c r="BV223">
        <v>0.90998599999999996</v>
      </c>
      <c r="BW223">
        <v>3.4007799999999998E-2</v>
      </c>
      <c r="BX223">
        <v>2.1992000000000001E-2</v>
      </c>
      <c r="BY223">
        <v>3.4013799999999997E-2</v>
      </c>
      <c r="BZ223">
        <v>26</v>
      </c>
      <c r="CA223">
        <v>33528.199999999997</v>
      </c>
      <c r="CB223">
        <v>1690292073.5</v>
      </c>
      <c r="CC223" t="s">
        <v>332</v>
      </c>
      <c r="CD223">
        <v>1690292069.5</v>
      </c>
      <c r="CE223">
        <v>1690292073.5</v>
      </c>
      <c r="CF223">
        <v>4</v>
      </c>
      <c r="CG223">
        <v>-3.6999999999999998E-2</v>
      </c>
      <c r="CH223">
        <v>-1.6E-2</v>
      </c>
      <c r="CI223">
        <v>-0.45200000000000001</v>
      </c>
      <c r="CJ223">
        <v>0.108</v>
      </c>
      <c r="CK223">
        <v>730</v>
      </c>
      <c r="CL223">
        <v>18</v>
      </c>
      <c r="CM223">
        <v>0</v>
      </c>
      <c r="CN223">
        <v>0.01</v>
      </c>
      <c r="CO223">
        <v>-456.93999999999988</v>
      </c>
      <c r="CP223">
        <v>-0.98345966228768833</v>
      </c>
      <c r="CQ223">
        <v>0.10541109998477199</v>
      </c>
      <c r="CR223">
        <v>-1</v>
      </c>
      <c r="CS223">
        <v>27.0229675</v>
      </c>
      <c r="CT223">
        <v>7.0900187617163477E-2</v>
      </c>
      <c r="CU223">
        <v>7.4540722930486972E-3</v>
      </c>
      <c r="CV223">
        <v>-1</v>
      </c>
      <c r="CW223">
        <v>0</v>
      </c>
      <c r="CX223">
        <v>0</v>
      </c>
      <c r="CY223" t="s">
        <v>333</v>
      </c>
      <c r="CZ223">
        <v>2.36463</v>
      </c>
      <c r="DA223">
        <v>2.7137500000000001</v>
      </c>
      <c r="DB223">
        <v>7.9683000000000004E-2</v>
      </c>
      <c r="DC223">
        <v>0.14643100000000001</v>
      </c>
      <c r="DD223">
        <v>0.12477199999999999</v>
      </c>
      <c r="DE223">
        <v>1.08176E-3</v>
      </c>
      <c r="DF223">
        <v>33609.300000000003</v>
      </c>
      <c r="DG223">
        <v>27512.3</v>
      </c>
      <c r="DH223">
        <v>31175.7</v>
      </c>
      <c r="DI223">
        <v>28085.7</v>
      </c>
      <c r="DJ223">
        <v>37031.800000000003</v>
      </c>
      <c r="DK223">
        <v>39896.6</v>
      </c>
      <c r="DL223">
        <v>44366.2</v>
      </c>
      <c r="DM223">
        <v>42562.5</v>
      </c>
      <c r="DN223">
        <v>1.4899</v>
      </c>
      <c r="DO223">
        <v>2.0367000000000002</v>
      </c>
      <c r="DP223">
        <v>0.121601</v>
      </c>
      <c r="DQ223">
        <v>0.120666</v>
      </c>
      <c r="DR223">
        <v>25.000399999999999</v>
      </c>
      <c r="DS223">
        <v>24.628499999999999</v>
      </c>
      <c r="DT223">
        <v>21</v>
      </c>
      <c r="DU223">
        <v>29</v>
      </c>
      <c r="DV223">
        <v>8.5019899999999993</v>
      </c>
      <c r="DW223">
        <v>61.163499999999999</v>
      </c>
      <c r="DX223">
        <v>35.957500000000003</v>
      </c>
      <c r="DY223">
        <v>1</v>
      </c>
      <c r="DZ223">
        <v>-0.10889500000000001</v>
      </c>
      <c r="EA223">
        <v>0.19897300000000001</v>
      </c>
      <c r="EB223">
        <v>20.190000000000001</v>
      </c>
      <c r="EC223">
        <v>5.2416999999999998</v>
      </c>
      <c r="ED223">
        <v>12.039899999999999</v>
      </c>
      <c r="EE223">
        <v>5.0171000000000001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1.8689100000000001</v>
      </c>
      <c r="EL223">
        <v>1.8646199999999999</v>
      </c>
      <c r="EM223">
        <v>1.8692</v>
      </c>
      <c r="EN223">
        <v>1.8672299999999999</v>
      </c>
      <c r="EO223">
        <v>1.8633999999999999</v>
      </c>
      <c r="EP223">
        <v>1.8644700000000001</v>
      </c>
      <c r="EQ223">
        <v>1.8701399999999999</v>
      </c>
      <c r="ER223">
        <v>1.8694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-0.17799999999999999</v>
      </c>
      <c r="FG223">
        <v>0.1515</v>
      </c>
      <c r="FH223">
        <v>5.0310448532705943E-2</v>
      </c>
      <c r="FI223">
        <v>-6.1462078757559423E-4</v>
      </c>
      <c r="FJ223">
        <v>-1.8861989874597051E-7</v>
      </c>
      <c r="FK223">
        <v>1.1980462299894961E-10</v>
      </c>
      <c r="FL223">
        <v>0.15140825623214971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39.799999999999997</v>
      </c>
      <c r="FU223">
        <v>39.799999999999997</v>
      </c>
      <c r="FV223">
        <v>1.7651399999999999</v>
      </c>
      <c r="FW223">
        <v>2.5866699999999998</v>
      </c>
      <c r="FX223">
        <v>1.5490699999999999</v>
      </c>
      <c r="FY223">
        <v>2.3327599999999999</v>
      </c>
      <c r="FZ223">
        <v>1.50146</v>
      </c>
      <c r="GA223">
        <v>2.3156699999999999</v>
      </c>
      <c r="GB223">
        <v>33.288699999999999</v>
      </c>
      <c r="GC223">
        <v>23.982399999999998</v>
      </c>
      <c r="GD223">
        <v>19</v>
      </c>
      <c r="GE223">
        <v>287.75400000000002</v>
      </c>
      <c r="GF223">
        <v>580.81200000000001</v>
      </c>
      <c r="GG223">
        <v>23.755299999999998</v>
      </c>
      <c r="GH223">
        <v>26.004200000000001</v>
      </c>
      <c r="GI223">
        <v>30.0001</v>
      </c>
      <c r="GJ223">
        <v>26.128</v>
      </c>
      <c r="GK223">
        <v>26.1069</v>
      </c>
      <c r="GL223">
        <v>35.304400000000001</v>
      </c>
      <c r="GM223">
        <v>100</v>
      </c>
      <c r="GN223">
        <v>0</v>
      </c>
      <c r="GO223">
        <v>23.765899999999998</v>
      </c>
      <c r="GP223">
        <v>800</v>
      </c>
      <c r="GQ223">
        <v>0</v>
      </c>
      <c r="GR223">
        <v>99.749200000000002</v>
      </c>
      <c r="GS223">
        <v>99.573800000000006</v>
      </c>
    </row>
    <row r="224" spans="1:201" x14ac:dyDescent="0.25">
      <c r="A224">
        <v>208</v>
      </c>
      <c r="B224">
        <v>1690294470</v>
      </c>
      <c r="C224">
        <v>2199.400000095367</v>
      </c>
      <c r="D224" t="s">
        <v>749</v>
      </c>
      <c r="E224" t="s">
        <v>750</v>
      </c>
      <c r="F224" t="s">
        <v>330</v>
      </c>
      <c r="H224">
        <v>1690294470</v>
      </c>
      <c r="I224">
        <f t="shared" si="90"/>
        <v>2.7848258498301658E-3</v>
      </c>
      <c r="J224">
        <f t="shared" si="91"/>
        <v>2.7848258498301659</v>
      </c>
      <c r="K224">
        <f t="shared" si="92"/>
        <v>44.789662599393843</v>
      </c>
      <c r="L224">
        <f t="shared" si="93"/>
        <v>342.762</v>
      </c>
      <c r="M224">
        <f t="shared" si="94"/>
        <v>121.78763293965754</v>
      </c>
      <c r="N224">
        <f t="shared" si="95"/>
        <v>12.110555034049202</v>
      </c>
      <c r="O224">
        <f t="shared" si="96"/>
        <v>34.084233057041999</v>
      </c>
      <c r="P224">
        <f t="shared" si="97"/>
        <v>0.35328898537596731</v>
      </c>
      <c r="Q224">
        <f t="shared" si="98"/>
        <v>2.2626366169092895</v>
      </c>
      <c r="R224">
        <f t="shared" si="99"/>
        <v>0.32525770434472545</v>
      </c>
      <c r="S224">
        <f t="shared" si="100"/>
        <v>0.20561890556363049</v>
      </c>
      <c r="T224">
        <f t="shared" si="101"/>
        <v>276.11543228399995</v>
      </c>
      <c r="U224">
        <f t="shared" si="102"/>
        <v>26.765611197095616</v>
      </c>
      <c r="V224">
        <f t="shared" si="103"/>
        <v>26.765611197095616</v>
      </c>
      <c r="W224">
        <f t="shared" si="104"/>
        <v>3.530183187112875</v>
      </c>
      <c r="X224">
        <f t="shared" si="105"/>
        <v>82.021113188510782</v>
      </c>
      <c r="Y224">
        <f t="shared" si="106"/>
        <v>2.7054823627752005</v>
      </c>
      <c r="Z224">
        <f t="shared" si="107"/>
        <v>3.2985194392048003</v>
      </c>
      <c r="AA224">
        <f t="shared" si="108"/>
        <v>0.82470082433767455</v>
      </c>
      <c r="AB224">
        <f t="shared" si="109"/>
        <v>-122.81081997751031</v>
      </c>
      <c r="AC224">
        <f t="shared" si="110"/>
        <v>-140.12354269784251</v>
      </c>
      <c r="AD224">
        <f t="shared" si="111"/>
        <v>-13.257321703881752</v>
      </c>
      <c r="AE224">
        <f t="shared" si="112"/>
        <v>-7.6252095234622175E-2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52973.816289772374</v>
      </c>
      <c r="AK224">
        <f t="shared" si="116"/>
        <v>1800</v>
      </c>
      <c r="AL224">
        <f t="shared" si="117"/>
        <v>1499.1075863999999</v>
      </c>
      <c r="AM224">
        <f t="shared" si="118"/>
        <v>0.83283754799999998</v>
      </c>
      <c r="AN224">
        <f t="shared" si="119"/>
        <v>0.15339746237999999</v>
      </c>
      <c r="AO224">
        <v>30</v>
      </c>
      <c r="AP224">
        <v>0.5</v>
      </c>
      <c r="AQ224" t="s">
        <v>331</v>
      </c>
      <c r="AR224">
        <v>2</v>
      </c>
      <c r="AS224">
        <v>1690294470</v>
      </c>
      <c r="AT224">
        <v>342.762</v>
      </c>
      <c r="AU224">
        <v>800.01800000000003</v>
      </c>
      <c r="AV224">
        <v>27.2072</v>
      </c>
      <c r="AW224">
        <v>0.12762699999999999</v>
      </c>
      <c r="AX224">
        <v>342.94</v>
      </c>
      <c r="AY224">
        <v>27.055800000000001</v>
      </c>
      <c r="AZ224">
        <v>300.12200000000001</v>
      </c>
      <c r="BA224">
        <v>99.34</v>
      </c>
      <c r="BB224">
        <v>9.9941000000000002E-2</v>
      </c>
      <c r="BC224">
        <v>25.616900000000001</v>
      </c>
      <c r="BD224">
        <v>27.028400000000001</v>
      </c>
      <c r="BE224">
        <v>26.616</v>
      </c>
      <c r="BF224">
        <v>0</v>
      </c>
      <c r="BG224">
        <v>0</v>
      </c>
      <c r="BH224">
        <v>10040</v>
      </c>
      <c r="BI224">
        <v>1062.69</v>
      </c>
      <c r="BJ224">
        <v>2.0183800000000001</v>
      </c>
      <c r="BK224">
        <v>-457.25599999999997</v>
      </c>
      <c r="BL224">
        <v>352.34800000000001</v>
      </c>
      <c r="BM224">
        <v>800.12</v>
      </c>
      <c r="BN224">
        <v>27.079599999999999</v>
      </c>
      <c r="BO224">
        <v>800.01800000000003</v>
      </c>
      <c r="BP224">
        <v>0.12762699999999999</v>
      </c>
      <c r="BQ224">
        <v>2.7027600000000001</v>
      </c>
      <c r="BR224">
        <v>1.2678500000000001E-2</v>
      </c>
      <c r="BS224">
        <v>22.3019</v>
      </c>
      <c r="BT224">
        <v>-43.722200000000001</v>
      </c>
      <c r="BU224">
        <v>1800</v>
      </c>
      <c r="BV224">
        <v>0.90998000000000001</v>
      </c>
      <c r="BW224">
        <v>3.4007099999999998E-2</v>
      </c>
      <c r="BX224">
        <v>2.1999399999999999E-2</v>
      </c>
      <c r="BY224">
        <v>3.40132E-2</v>
      </c>
      <c r="BZ224">
        <v>26</v>
      </c>
      <c r="CA224">
        <v>33528.199999999997</v>
      </c>
      <c r="CB224">
        <v>1690292073.5</v>
      </c>
      <c r="CC224" t="s">
        <v>332</v>
      </c>
      <c r="CD224">
        <v>1690292069.5</v>
      </c>
      <c r="CE224">
        <v>1690292073.5</v>
      </c>
      <c r="CF224">
        <v>4</v>
      </c>
      <c r="CG224">
        <v>-3.6999999999999998E-2</v>
      </c>
      <c r="CH224">
        <v>-1.6E-2</v>
      </c>
      <c r="CI224">
        <v>-0.45200000000000001</v>
      </c>
      <c r="CJ224">
        <v>0.108</v>
      </c>
      <c r="CK224">
        <v>730</v>
      </c>
      <c r="CL224">
        <v>18</v>
      </c>
      <c r="CM224">
        <v>0</v>
      </c>
      <c r="CN224">
        <v>0.01</v>
      </c>
      <c r="CO224">
        <v>-457.0736585365853</v>
      </c>
      <c r="CP224">
        <v>-0.63702439024381596</v>
      </c>
      <c r="CQ224">
        <v>7.7966412329394608E-2</v>
      </c>
      <c r="CR224">
        <v>-1</v>
      </c>
      <c r="CS224">
        <v>27.043153658536589</v>
      </c>
      <c r="CT224">
        <v>0.18342229965155721</v>
      </c>
      <c r="CU224">
        <v>1.835283054610741E-2</v>
      </c>
      <c r="CV224">
        <v>-1</v>
      </c>
      <c r="CW224">
        <v>0</v>
      </c>
      <c r="CX224">
        <v>0</v>
      </c>
      <c r="CY224" t="s">
        <v>333</v>
      </c>
      <c r="CZ224">
        <v>2.3647100000000001</v>
      </c>
      <c r="DA224">
        <v>2.7137699999999998</v>
      </c>
      <c r="DB224">
        <v>7.9637299999999994E-2</v>
      </c>
      <c r="DC224">
        <v>0.146423</v>
      </c>
      <c r="DD224">
        <v>0.124875</v>
      </c>
      <c r="DE224">
        <v>1.08001E-3</v>
      </c>
      <c r="DF224">
        <v>33611.1</v>
      </c>
      <c r="DG224">
        <v>27513</v>
      </c>
      <c r="DH224">
        <v>31175.8</v>
      </c>
      <c r="DI224">
        <v>28086.2</v>
      </c>
      <c r="DJ224">
        <v>37027.599999999999</v>
      </c>
      <c r="DK224">
        <v>39897.4</v>
      </c>
      <c r="DL224">
        <v>44366.5</v>
      </c>
      <c r="DM224">
        <v>42563.199999999997</v>
      </c>
      <c r="DN224">
        <v>1.4897499999999999</v>
      </c>
      <c r="DO224">
        <v>2.0369000000000002</v>
      </c>
      <c r="DP224">
        <v>0.12381</v>
      </c>
      <c r="DQ224">
        <v>0.12119099999999999</v>
      </c>
      <c r="DR224">
        <v>25.000399999999999</v>
      </c>
      <c r="DS224">
        <v>24.6296</v>
      </c>
      <c r="DT224">
        <v>20.9</v>
      </c>
      <c r="DU224">
        <v>29</v>
      </c>
      <c r="DV224">
        <v>8.4618400000000005</v>
      </c>
      <c r="DW224">
        <v>61.243499999999997</v>
      </c>
      <c r="DX224">
        <v>35.188299999999998</v>
      </c>
      <c r="DY224">
        <v>1</v>
      </c>
      <c r="DZ224">
        <v>-0.10721</v>
      </c>
      <c r="EA224">
        <v>0.48853799999999997</v>
      </c>
      <c r="EB224">
        <v>20.1892</v>
      </c>
      <c r="EC224">
        <v>5.2416999999999998</v>
      </c>
      <c r="ED224">
        <v>12.039899999999999</v>
      </c>
      <c r="EE224">
        <v>5.0168999999999997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1.8689100000000001</v>
      </c>
      <c r="EL224">
        <v>1.8646199999999999</v>
      </c>
      <c r="EM224">
        <v>1.8692</v>
      </c>
      <c r="EN224">
        <v>1.8672200000000001</v>
      </c>
      <c r="EO224">
        <v>1.8633900000000001</v>
      </c>
      <c r="EP224">
        <v>1.8644700000000001</v>
      </c>
      <c r="EQ224">
        <v>1.87015</v>
      </c>
      <c r="ER224">
        <v>1.86938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-0.17799999999999999</v>
      </c>
      <c r="FG224">
        <v>0.15140000000000001</v>
      </c>
      <c r="FH224">
        <v>5.0310448532705943E-2</v>
      </c>
      <c r="FI224">
        <v>-6.1462078757559423E-4</v>
      </c>
      <c r="FJ224">
        <v>-1.8861989874597051E-7</v>
      </c>
      <c r="FK224">
        <v>1.1980462299894961E-10</v>
      </c>
      <c r="FL224">
        <v>0.15140825623214971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40</v>
      </c>
      <c r="FU224">
        <v>39.9</v>
      </c>
      <c r="FV224">
        <v>1.7651399999999999</v>
      </c>
      <c r="FW224">
        <v>2.5817899999999998</v>
      </c>
      <c r="FX224">
        <v>1.5490699999999999</v>
      </c>
      <c r="FY224">
        <v>2.3327599999999999</v>
      </c>
      <c r="FZ224">
        <v>1.50146</v>
      </c>
      <c r="GA224">
        <v>2.3132299999999999</v>
      </c>
      <c r="GB224">
        <v>33.311100000000003</v>
      </c>
      <c r="GC224">
        <v>23.991199999999999</v>
      </c>
      <c r="GD224">
        <v>19</v>
      </c>
      <c r="GE224">
        <v>287.7</v>
      </c>
      <c r="GF224">
        <v>581.00099999999998</v>
      </c>
      <c r="GG224">
        <v>23.727699999999999</v>
      </c>
      <c r="GH224">
        <v>26.0063</v>
      </c>
      <c r="GI224">
        <v>30.000599999999999</v>
      </c>
      <c r="GJ224">
        <v>26.130199999999999</v>
      </c>
      <c r="GK224">
        <v>26.109000000000002</v>
      </c>
      <c r="GL224">
        <v>35.302100000000003</v>
      </c>
      <c r="GM224">
        <v>100</v>
      </c>
      <c r="GN224">
        <v>0</v>
      </c>
      <c r="GO224">
        <v>23.6919</v>
      </c>
      <c r="GP224">
        <v>800</v>
      </c>
      <c r="GQ224">
        <v>0</v>
      </c>
      <c r="GR224">
        <v>99.749799999999993</v>
      </c>
      <c r="GS224">
        <v>99.575500000000005</v>
      </c>
    </row>
    <row r="225" spans="1:201" x14ac:dyDescent="0.25">
      <c r="A225">
        <v>209</v>
      </c>
      <c r="B225">
        <v>1690294480</v>
      </c>
      <c r="C225">
        <v>2209.400000095367</v>
      </c>
      <c r="D225" t="s">
        <v>751</v>
      </c>
      <c r="E225" t="s">
        <v>752</v>
      </c>
      <c r="F225" t="s">
        <v>330</v>
      </c>
      <c r="H225">
        <v>1690294480</v>
      </c>
      <c r="I225">
        <f t="shared" si="90"/>
        <v>2.7861578635621246E-3</v>
      </c>
      <c r="J225">
        <f t="shared" si="91"/>
        <v>2.7861578635621247</v>
      </c>
      <c r="K225">
        <f t="shared" si="92"/>
        <v>44.806668610716507</v>
      </c>
      <c r="L225">
        <f t="shared" si="93"/>
        <v>342.63099999999997</v>
      </c>
      <c r="M225">
        <f t="shared" si="94"/>
        <v>121.62547366040425</v>
      </c>
      <c r="N225">
        <f t="shared" si="95"/>
        <v>12.094470645096234</v>
      </c>
      <c r="O225">
        <f t="shared" si="96"/>
        <v>34.071321137629802</v>
      </c>
      <c r="P225">
        <f t="shared" si="97"/>
        <v>0.35346183871326337</v>
      </c>
      <c r="Q225">
        <f t="shared" si="98"/>
        <v>2.255233561669503</v>
      </c>
      <c r="R225">
        <f t="shared" si="99"/>
        <v>0.32532003817238492</v>
      </c>
      <c r="S225">
        <f t="shared" si="100"/>
        <v>0.20566641602107433</v>
      </c>
      <c r="T225">
        <f t="shared" si="101"/>
        <v>276.116109408</v>
      </c>
      <c r="U225">
        <f t="shared" si="102"/>
        <v>26.770218807399353</v>
      </c>
      <c r="V225">
        <f t="shared" si="103"/>
        <v>26.770218807399353</v>
      </c>
      <c r="W225">
        <f t="shared" si="104"/>
        <v>3.5311402990946235</v>
      </c>
      <c r="X225">
        <f t="shared" si="105"/>
        <v>82.035305599851171</v>
      </c>
      <c r="Y225">
        <f t="shared" si="106"/>
        <v>2.7062074417315198</v>
      </c>
      <c r="Z225">
        <f t="shared" si="107"/>
        <v>3.2988326452171215</v>
      </c>
      <c r="AA225">
        <f t="shared" si="108"/>
        <v>0.82493285736310362</v>
      </c>
      <c r="AB225">
        <f t="shared" si="109"/>
        <v>-122.86956178308969</v>
      </c>
      <c r="AC225">
        <f t="shared" si="110"/>
        <v>-140.0307542829529</v>
      </c>
      <c r="AD225">
        <f t="shared" si="111"/>
        <v>-13.29244658835705</v>
      </c>
      <c r="AE225">
        <f t="shared" si="112"/>
        <v>-7.6653246399644104E-2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52682.754879227141</v>
      </c>
      <c r="AK225">
        <f t="shared" si="116"/>
        <v>1800</v>
      </c>
      <c r="AL225">
        <f t="shared" si="117"/>
        <v>1499.1081678</v>
      </c>
      <c r="AM225">
        <f t="shared" si="118"/>
        <v>0.83283787100000006</v>
      </c>
      <c r="AN225">
        <f t="shared" si="119"/>
        <v>0.15339783856</v>
      </c>
      <c r="AO225">
        <v>30</v>
      </c>
      <c r="AP225">
        <v>0.5</v>
      </c>
      <c r="AQ225" t="s">
        <v>331</v>
      </c>
      <c r="AR225">
        <v>2</v>
      </c>
      <c r="AS225">
        <v>1690294480</v>
      </c>
      <c r="AT225">
        <v>342.63099999999997</v>
      </c>
      <c r="AU225">
        <v>799.96799999999996</v>
      </c>
      <c r="AV225">
        <v>27.214400000000001</v>
      </c>
      <c r="AW225">
        <v>0.12740000000000001</v>
      </c>
      <c r="AX225">
        <v>342.80900000000003</v>
      </c>
      <c r="AY225">
        <v>27.062999999999999</v>
      </c>
      <c r="AZ225">
        <v>300.18099999999998</v>
      </c>
      <c r="BA225">
        <v>99.340299999999999</v>
      </c>
      <c r="BB225">
        <v>9.9975800000000004E-2</v>
      </c>
      <c r="BC225">
        <v>25.618500000000001</v>
      </c>
      <c r="BD225">
        <v>27.023299999999999</v>
      </c>
      <c r="BE225">
        <v>26.618400000000001</v>
      </c>
      <c r="BF225">
        <v>0</v>
      </c>
      <c r="BG225">
        <v>0</v>
      </c>
      <c r="BH225">
        <v>9982.5</v>
      </c>
      <c r="BI225">
        <v>1062.71</v>
      </c>
      <c r="BJ225">
        <v>2.0183800000000001</v>
      </c>
      <c r="BK225">
        <v>-457.33699999999999</v>
      </c>
      <c r="BL225">
        <v>352.21600000000001</v>
      </c>
      <c r="BM225">
        <v>800.07</v>
      </c>
      <c r="BN225">
        <v>27.087</v>
      </c>
      <c r="BO225">
        <v>799.96799999999996</v>
      </c>
      <c r="BP225">
        <v>0.12740000000000001</v>
      </c>
      <c r="BQ225">
        <v>2.7034899999999999</v>
      </c>
      <c r="BR225">
        <v>1.2656000000000001E-2</v>
      </c>
      <c r="BS225">
        <v>22.3063</v>
      </c>
      <c r="BT225">
        <v>-43.738599999999998</v>
      </c>
      <c r="BU225">
        <v>1800</v>
      </c>
      <c r="BV225">
        <v>0.90997600000000001</v>
      </c>
      <c r="BW225">
        <v>3.4006700000000001E-2</v>
      </c>
      <c r="BX225">
        <v>2.2004300000000001E-2</v>
      </c>
      <c r="BY225">
        <v>3.4012800000000003E-2</v>
      </c>
      <c r="BZ225">
        <v>26</v>
      </c>
      <c r="CA225">
        <v>33528.199999999997</v>
      </c>
      <c r="CB225">
        <v>1690292073.5</v>
      </c>
      <c r="CC225" t="s">
        <v>332</v>
      </c>
      <c r="CD225">
        <v>1690292069.5</v>
      </c>
      <c r="CE225">
        <v>1690292073.5</v>
      </c>
      <c r="CF225">
        <v>4</v>
      </c>
      <c r="CG225">
        <v>-3.6999999999999998E-2</v>
      </c>
      <c r="CH225">
        <v>-1.6E-2</v>
      </c>
      <c r="CI225">
        <v>-0.45200000000000001</v>
      </c>
      <c r="CJ225">
        <v>0.108</v>
      </c>
      <c r="CK225">
        <v>730</v>
      </c>
      <c r="CL225">
        <v>18</v>
      </c>
      <c r="CM225">
        <v>0</v>
      </c>
      <c r="CN225">
        <v>0.01</v>
      </c>
      <c r="CO225">
        <v>-457.18163414634148</v>
      </c>
      <c r="CP225">
        <v>-0.63836236933833779</v>
      </c>
      <c r="CQ225">
        <v>8.5186955401711922E-2</v>
      </c>
      <c r="CR225">
        <v>-1</v>
      </c>
      <c r="CS225">
        <v>27.072975609756099</v>
      </c>
      <c r="CT225">
        <v>0.16732055749120281</v>
      </c>
      <c r="CU225">
        <v>1.679193738713777E-2</v>
      </c>
      <c r="CV225">
        <v>-1</v>
      </c>
      <c r="CW225">
        <v>0</v>
      </c>
      <c r="CX225">
        <v>0</v>
      </c>
      <c r="CY225" t="s">
        <v>333</v>
      </c>
      <c r="CZ225">
        <v>2.3649100000000001</v>
      </c>
      <c r="DA225">
        <v>2.7137500000000001</v>
      </c>
      <c r="DB225">
        <v>7.9613500000000004E-2</v>
      </c>
      <c r="DC225">
        <v>0.14641699999999999</v>
      </c>
      <c r="DD225">
        <v>0.124899</v>
      </c>
      <c r="DE225">
        <v>1.0781E-3</v>
      </c>
      <c r="DF225">
        <v>33612.300000000003</v>
      </c>
      <c r="DG225">
        <v>27513.5</v>
      </c>
      <c r="DH225">
        <v>31176.1</v>
      </c>
      <c r="DI225">
        <v>28086.400000000001</v>
      </c>
      <c r="DJ225">
        <v>37026.9</v>
      </c>
      <c r="DK225">
        <v>39897.800000000003</v>
      </c>
      <c r="DL225">
        <v>44366.8</v>
      </c>
      <c r="DM225">
        <v>42563.6</v>
      </c>
      <c r="DN225">
        <v>1.4897499999999999</v>
      </c>
      <c r="DO225">
        <v>2.0367799999999998</v>
      </c>
      <c r="DP225">
        <v>0.123374</v>
      </c>
      <c r="DQ225">
        <v>0.12114999999999999</v>
      </c>
      <c r="DR225">
        <v>25.002400000000002</v>
      </c>
      <c r="DS225">
        <v>24.6327</v>
      </c>
      <c r="DT225">
        <v>20.9</v>
      </c>
      <c r="DU225">
        <v>29</v>
      </c>
      <c r="DV225">
        <v>8.4609900000000007</v>
      </c>
      <c r="DW225">
        <v>61.833500000000001</v>
      </c>
      <c r="DX225">
        <v>34.947899999999997</v>
      </c>
      <c r="DY225">
        <v>1</v>
      </c>
      <c r="DZ225">
        <v>-0.107185</v>
      </c>
      <c r="EA225">
        <v>0.46748899999999999</v>
      </c>
      <c r="EB225">
        <v>20.189299999999999</v>
      </c>
      <c r="EC225">
        <v>5.2409499999999998</v>
      </c>
      <c r="ED225">
        <v>12.039899999999999</v>
      </c>
      <c r="EE225">
        <v>5.0167999999999999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1.8692</v>
      </c>
      <c r="EN225">
        <v>1.8672200000000001</v>
      </c>
      <c r="EO225">
        <v>1.8633900000000001</v>
      </c>
      <c r="EP225">
        <v>1.8644700000000001</v>
      </c>
      <c r="EQ225">
        <v>1.87019</v>
      </c>
      <c r="ER225">
        <v>1.8694200000000001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-0.17799999999999999</v>
      </c>
      <c r="FG225">
        <v>0.15140000000000001</v>
      </c>
      <c r="FH225">
        <v>5.0310448532705943E-2</v>
      </c>
      <c r="FI225">
        <v>-6.1462078757559423E-4</v>
      </c>
      <c r="FJ225">
        <v>-1.8861989874597051E-7</v>
      </c>
      <c r="FK225">
        <v>1.1980462299894961E-10</v>
      </c>
      <c r="FL225">
        <v>0.15140825623214971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40.200000000000003</v>
      </c>
      <c r="FU225">
        <v>40.1</v>
      </c>
      <c r="FV225">
        <v>1.7663599999999999</v>
      </c>
      <c r="FW225">
        <v>2.5781200000000002</v>
      </c>
      <c r="FX225">
        <v>1.5490699999999999</v>
      </c>
      <c r="FY225">
        <v>2.3327599999999999</v>
      </c>
      <c r="FZ225">
        <v>1.50146</v>
      </c>
      <c r="GA225">
        <v>2.3754900000000001</v>
      </c>
      <c r="GB225">
        <v>33.311100000000003</v>
      </c>
      <c r="GC225">
        <v>23.991199999999999</v>
      </c>
      <c r="GD225">
        <v>19</v>
      </c>
      <c r="GE225">
        <v>287.7</v>
      </c>
      <c r="GF225">
        <v>580.923</v>
      </c>
      <c r="GG225">
        <v>23.6647</v>
      </c>
      <c r="GH225">
        <v>26.008500000000002</v>
      </c>
      <c r="GI225">
        <v>30.0001</v>
      </c>
      <c r="GJ225">
        <v>26.130199999999999</v>
      </c>
      <c r="GK225">
        <v>26.1112</v>
      </c>
      <c r="GL225">
        <v>35.305199999999999</v>
      </c>
      <c r="GM225">
        <v>100</v>
      </c>
      <c r="GN225">
        <v>0</v>
      </c>
      <c r="GO225">
        <v>23.665099999999999</v>
      </c>
      <c r="GP225">
        <v>800</v>
      </c>
      <c r="GQ225">
        <v>0</v>
      </c>
      <c r="GR225">
        <v>99.750600000000006</v>
      </c>
      <c r="GS225">
        <v>99.576400000000007</v>
      </c>
    </row>
    <row r="226" spans="1:201" x14ac:dyDescent="0.25">
      <c r="A226">
        <v>210</v>
      </c>
      <c r="B226">
        <v>1690294490</v>
      </c>
      <c r="C226">
        <v>2219.400000095367</v>
      </c>
      <c r="D226" t="s">
        <v>753</v>
      </c>
      <c r="E226" t="s">
        <v>754</v>
      </c>
      <c r="F226" t="s">
        <v>330</v>
      </c>
      <c r="H226">
        <v>1690294490</v>
      </c>
      <c r="I226">
        <f t="shared" si="90"/>
        <v>2.7832258616010204E-3</v>
      </c>
      <c r="J226">
        <f t="shared" si="91"/>
        <v>2.7832258616010206</v>
      </c>
      <c r="K226">
        <f t="shared" si="92"/>
        <v>44.801942636226954</v>
      </c>
      <c r="L226">
        <f t="shared" si="93"/>
        <v>342.548</v>
      </c>
      <c r="M226">
        <f t="shared" si="94"/>
        <v>121.04331582645825</v>
      </c>
      <c r="N226">
        <f t="shared" si="95"/>
        <v>12.03657746556865</v>
      </c>
      <c r="O226">
        <f t="shared" si="96"/>
        <v>34.063058414451994</v>
      </c>
      <c r="P226">
        <f t="shared" si="97"/>
        <v>0.35255494750714333</v>
      </c>
      <c r="Q226">
        <f t="shared" si="98"/>
        <v>2.2551522039553489</v>
      </c>
      <c r="R226">
        <f t="shared" si="99"/>
        <v>0.32455032061555678</v>
      </c>
      <c r="S226">
        <f t="shared" si="100"/>
        <v>0.2051743622285277</v>
      </c>
      <c r="T226">
        <f t="shared" si="101"/>
        <v>276.116468328</v>
      </c>
      <c r="U226">
        <f t="shared" si="102"/>
        <v>26.766735756810569</v>
      </c>
      <c r="V226">
        <f t="shared" si="103"/>
        <v>26.766735756810569</v>
      </c>
      <c r="W226">
        <f t="shared" si="104"/>
        <v>3.5304167644399271</v>
      </c>
      <c r="X226">
        <f t="shared" si="105"/>
        <v>82.002015306050296</v>
      </c>
      <c r="Y226">
        <f t="shared" si="106"/>
        <v>2.7043869558289</v>
      </c>
      <c r="Z226">
        <f t="shared" si="107"/>
        <v>3.2979518195199331</v>
      </c>
      <c r="AA226">
        <f t="shared" si="108"/>
        <v>0.82602980861102715</v>
      </c>
      <c r="AB226">
        <f t="shared" si="109"/>
        <v>-122.740260496605</v>
      </c>
      <c r="AC226">
        <f t="shared" si="110"/>
        <v>-140.14934313440807</v>
      </c>
      <c r="AD226">
        <f t="shared" si="111"/>
        <v>-13.303651233242846</v>
      </c>
      <c r="AE226">
        <f t="shared" si="112"/>
        <v>-7.6786536255895044E-2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52680.355983191701</v>
      </c>
      <c r="AK226">
        <f t="shared" si="116"/>
        <v>1800</v>
      </c>
      <c r="AL226">
        <f t="shared" si="117"/>
        <v>1499.1085368000001</v>
      </c>
      <c r="AM226">
        <f t="shared" si="118"/>
        <v>0.83283807600000004</v>
      </c>
      <c r="AN226">
        <f t="shared" si="119"/>
        <v>0.15339803795999998</v>
      </c>
      <c r="AO226">
        <v>30</v>
      </c>
      <c r="AP226">
        <v>0.5</v>
      </c>
      <c r="AQ226" t="s">
        <v>331</v>
      </c>
      <c r="AR226">
        <v>2</v>
      </c>
      <c r="AS226">
        <v>1690294490</v>
      </c>
      <c r="AT226">
        <v>342.548</v>
      </c>
      <c r="AU226">
        <v>799.99</v>
      </c>
      <c r="AV226">
        <v>27.196100000000001</v>
      </c>
      <c r="AW226">
        <v>0.127357</v>
      </c>
      <c r="AX226">
        <v>342.726</v>
      </c>
      <c r="AY226">
        <v>27.044699999999999</v>
      </c>
      <c r="AZ226">
        <v>300.07299999999998</v>
      </c>
      <c r="BA226">
        <v>99.340199999999996</v>
      </c>
      <c r="BB226">
        <v>0.100049</v>
      </c>
      <c r="BC226">
        <v>25.614000000000001</v>
      </c>
      <c r="BD226">
        <v>26.994299999999999</v>
      </c>
      <c r="BE226">
        <v>26.601800000000001</v>
      </c>
      <c r="BF226">
        <v>0</v>
      </c>
      <c r="BG226">
        <v>0</v>
      </c>
      <c r="BH226">
        <v>9981.8799999999992</v>
      </c>
      <c r="BI226">
        <v>1062.69</v>
      </c>
      <c r="BJ226">
        <v>1.75207</v>
      </c>
      <c r="BK226">
        <v>-457.44200000000001</v>
      </c>
      <c r="BL226">
        <v>352.125</v>
      </c>
      <c r="BM226">
        <v>800.09199999999998</v>
      </c>
      <c r="BN226">
        <v>27.0688</v>
      </c>
      <c r="BO226">
        <v>799.99</v>
      </c>
      <c r="BP226">
        <v>0.127357</v>
      </c>
      <c r="BQ226">
        <v>2.70167</v>
      </c>
      <c r="BR226">
        <v>1.26517E-2</v>
      </c>
      <c r="BS226">
        <v>22.295300000000001</v>
      </c>
      <c r="BT226">
        <v>-43.741700000000002</v>
      </c>
      <c r="BU226">
        <v>1800</v>
      </c>
      <c r="BV226">
        <v>0.90997399999999995</v>
      </c>
      <c r="BW226">
        <v>3.4006500000000002E-2</v>
      </c>
      <c r="BX226">
        <v>2.20068E-2</v>
      </c>
      <c r="BY226">
        <v>3.4012599999999997E-2</v>
      </c>
      <c r="BZ226">
        <v>26</v>
      </c>
      <c r="CA226">
        <v>33528.199999999997</v>
      </c>
      <c r="CB226">
        <v>1690292073.5</v>
      </c>
      <c r="CC226" t="s">
        <v>332</v>
      </c>
      <c r="CD226">
        <v>1690292069.5</v>
      </c>
      <c r="CE226">
        <v>1690292073.5</v>
      </c>
      <c r="CF226">
        <v>4</v>
      </c>
      <c r="CG226">
        <v>-3.6999999999999998E-2</v>
      </c>
      <c r="CH226">
        <v>-1.6E-2</v>
      </c>
      <c r="CI226">
        <v>-0.45200000000000001</v>
      </c>
      <c r="CJ226">
        <v>0.108</v>
      </c>
      <c r="CK226">
        <v>730</v>
      </c>
      <c r="CL226">
        <v>18</v>
      </c>
      <c r="CM226">
        <v>0</v>
      </c>
      <c r="CN226">
        <v>0.01</v>
      </c>
      <c r="CO226">
        <v>-457.33702499999998</v>
      </c>
      <c r="CP226">
        <v>-0.92959474671576181</v>
      </c>
      <c r="CQ226">
        <v>0.1063631720803795</v>
      </c>
      <c r="CR226">
        <v>-1</v>
      </c>
      <c r="CS226">
        <v>27.083357500000002</v>
      </c>
      <c r="CT226">
        <v>-4.8838649155776799E-2</v>
      </c>
      <c r="CU226">
        <v>7.3290479429458126E-3</v>
      </c>
      <c r="CV226">
        <v>-1</v>
      </c>
      <c r="CW226">
        <v>0</v>
      </c>
      <c r="CX226">
        <v>0</v>
      </c>
      <c r="CY226" t="s">
        <v>333</v>
      </c>
      <c r="CZ226">
        <v>2.36456</v>
      </c>
      <c r="DA226">
        <v>2.7138200000000001</v>
      </c>
      <c r="DB226">
        <v>7.9597699999999993E-2</v>
      </c>
      <c r="DC226">
        <v>0.14641899999999999</v>
      </c>
      <c r="DD226">
        <v>0.12484000000000001</v>
      </c>
      <c r="DE226">
        <v>1.0777300000000001E-3</v>
      </c>
      <c r="DF226">
        <v>33613.9</v>
      </c>
      <c r="DG226">
        <v>27514.1</v>
      </c>
      <c r="DH226">
        <v>31177</v>
      </c>
      <c r="DI226">
        <v>28087.200000000001</v>
      </c>
      <c r="DJ226">
        <v>37030.5</v>
      </c>
      <c r="DK226">
        <v>39899</v>
      </c>
      <c r="DL226">
        <v>44368.1</v>
      </c>
      <c r="DM226">
        <v>42564.9</v>
      </c>
      <c r="DN226">
        <v>1.48983</v>
      </c>
      <c r="DO226">
        <v>2.0369799999999998</v>
      </c>
      <c r="DP226">
        <v>0.121601</v>
      </c>
      <c r="DQ226">
        <v>0.12001000000000001</v>
      </c>
      <c r="DR226">
        <v>25.002400000000002</v>
      </c>
      <c r="DS226">
        <v>24.634799999999998</v>
      </c>
      <c r="DT226">
        <v>20.9</v>
      </c>
      <c r="DU226">
        <v>29</v>
      </c>
      <c r="DV226">
        <v>8.4617599999999999</v>
      </c>
      <c r="DW226">
        <v>61.583500000000001</v>
      </c>
      <c r="DX226">
        <v>35.877400000000002</v>
      </c>
      <c r="DY226">
        <v>1</v>
      </c>
      <c r="DZ226">
        <v>-0.107238</v>
      </c>
      <c r="EA226">
        <v>0.46415899999999999</v>
      </c>
      <c r="EB226">
        <v>20.189299999999999</v>
      </c>
      <c r="EC226">
        <v>5.2415500000000002</v>
      </c>
      <c r="ED226">
        <v>12.039899999999999</v>
      </c>
      <c r="EE226">
        <v>5.01715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1.8646199999999999</v>
      </c>
      <c r="EM226">
        <v>1.8691899999999999</v>
      </c>
      <c r="EN226">
        <v>1.8672200000000001</v>
      </c>
      <c r="EO226">
        <v>1.86337</v>
      </c>
      <c r="EP226">
        <v>1.8644700000000001</v>
      </c>
      <c r="EQ226">
        <v>1.8701700000000001</v>
      </c>
      <c r="ER226">
        <v>1.86937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-0.17799999999999999</v>
      </c>
      <c r="FG226">
        <v>0.15140000000000001</v>
      </c>
      <c r="FH226">
        <v>5.0310448532705943E-2</v>
      </c>
      <c r="FI226">
        <v>-6.1462078757559423E-4</v>
      </c>
      <c r="FJ226">
        <v>-1.8861989874597051E-7</v>
      </c>
      <c r="FK226">
        <v>1.1980462299894961E-10</v>
      </c>
      <c r="FL226">
        <v>0.15140825623214971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40.299999999999997</v>
      </c>
      <c r="FU226">
        <v>40.299999999999997</v>
      </c>
      <c r="FV226">
        <v>1.7663599999999999</v>
      </c>
      <c r="FW226">
        <v>2.5854499999999998</v>
      </c>
      <c r="FX226">
        <v>1.5490699999999999</v>
      </c>
      <c r="FY226">
        <v>2.3327599999999999</v>
      </c>
      <c r="FZ226">
        <v>1.50146</v>
      </c>
      <c r="GA226">
        <v>2.35107</v>
      </c>
      <c r="GB226">
        <v>33.311100000000003</v>
      </c>
      <c r="GC226">
        <v>23.982399999999998</v>
      </c>
      <c r="GD226">
        <v>19</v>
      </c>
      <c r="GE226">
        <v>287.74200000000002</v>
      </c>
      <c r="GF226">
        <v>581.09799999999996</v>
      </c>
      <c r="GG226">
        <v>23.637599999999999</v>
      </c>
      <c r="GH226">
        <v>26.0107</v>
      </c>
      <c r="GI226">
        <v>30</v>
      </c>
      <c r="GJ226">
        <v>26.132300000000001</v>
      </c>
      <c r="GK226">
        <v>26.112200000000001</v>
      </c>
      <c r="GL226">
        <v>35.304400000000001</v>
      </c>
      <c r="GM226">
        <v>100</v>
      </c>
      <c r="GN226">
        <v>0</v>
      </c>
      <c r="GO226">
        <v>23.6327</v>
      </c>
      <c r="GP226">
        <v>800</v>
      </c>
      <c r="GQ226">
        <v>0</v>
      </c>
      <c r="GR226">
        <v>99.753500000000003</v>
      </c>
      <c r="GS226">
        <v>99.5792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2023-07-25T14:15:00Z</dcterms:created>
  <dcterms:modified xsi:type="dcterms:W3CDTF">2023-07-25T18:40:26Z</dcterms:modified>
</cp:coreProperties>
</file>