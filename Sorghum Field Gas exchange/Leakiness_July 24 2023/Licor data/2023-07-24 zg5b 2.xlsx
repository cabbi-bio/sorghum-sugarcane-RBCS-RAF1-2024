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9" i="1" l="1"/>
  <c r="AM229" i="1"/>
  <c r="AK229" i="1"/>
  <c r="AL229" i="1" s="1"/>
  <c r="AJ229" i="1"/>
  <c r="AH229" i="1" s="1"/>
  <c r="Z229" i="1"/>
  <c r="X229" i="1" s="1"/>
  <c r="Y229" i="1"/>
  <c r="T229" i="1"/>
  <c r="Q229" i="1"/>
  <c r="O229" i="1"/>
  <c r="J229" i="1"/>
  <c r="I229" i="1" s="1"/>
  <c r="AN228" i="1"/>
  <c r="AM228" i="1"/>
  <c r="AK228" i="1"/>
  <c r="AL228" i="1" s="1"/>
  <c r="AJ228" i="1"/>
  <c r="AH228" i="1"/>
  <c r="Z228" i="1"/>
  <c r="Y228" i="1"/>
  <c r="X228" i="1"/>
  <c r="Q228" i="1"/>
  <c r="AN227" i="1"/>
  <c r="AM227" i="1"/>
  <c r="AK227" i="1"/>
  <c r="AJ227" i="1"/>
  <c r="AH227" i="1"/>
  <c r="J227" i="1" s="1"/>
  <c r="I227" i="1" s="1"/>
  <c r="Z227" i="1"/>
  <c r="Y227" i="1"/>
  <c r="X227" i="1"/>
  <c r="Q227" i="1"/>
  <c r="O227" i="1"/>
  <c r="L227" i="1"/>
  <c r="K227" i="1"/>
  <c r="AN226" i="1"/>
  <c r="AM226" i="1"/>
  <c r="AL226" i="1"/>
  <c r="AK226" i="1"/>
  <c r="AJ226" i="1"/>
  <c r="AH226" i="1" s="1"/>
  <c r="Z226" i="1"/>
  <c r="Y226" i="1"/>
  <c r="X226" i="1" s="1"/>
  <c r="T226" i="1"/>
  <c r="Q226" i="1"/>
  <c r="AN225" i="1"/>
  <c r="AM225" i="1"/>
  <c r="AK225" i="1"/>
  <c r="AL225" i="1" s="1"/>
  <c r="AJ225" i="1"/>
  <c r="AH225" i="1" s="1"/>
  <c r="Z225" i="1"/>
  <c r="Y225" i="1"/>
  <c r="X225" i="1" s="1"/>
  <c r="Q225" i="1"/>
  <c r="J225" i="1"/>
  <c r="I225" i="1" s="1"/>
  <c r="AB225" i="1" s="1"/>
  <c r="AN224" i="1"/>
  <c r="AM224" i="1"/>
  <c r="AK224" i="1"/>
  <c r="AL224" i="1" s="1"/>
  <c r="AJ224" i="1"/>
  <c r="AH224" i="1"/>
  <c r="Z224" i="1"/>
  <c r="Y224" i="1"/>
  <c r="X224" i="1"/>
  <c r="Q224" i="1"/>
  <c r="AN223" i="1"/>
  <c r="AM223" i="1"/>
  <c r="AK223" i="1"/>
  <c r="AJ223" i="1"/>
  <c r="AI223" i="1"/>
  <c r="AH223" i="1"/>
  <c r="J223" i="1" s="1"/>
  <c r="I223" i="1" s="1"/>
  <c r="Z223" i="1"/>
  <c r="Y223" i="1"/>
  <c r="X223" i="1" s="1"/>
  <c r="Q223" i="1"/>
  <c r="O223" i="1"/>
  <c r="L223" i="1"/>
  <c r="K223" i="1"/>
  <c r="AN222" i="1"/>
  <c r="AM222" i="1"/>
  <c r="AL222" i="1"/>
  <c r="AK222" i="1"/>
  <c r="AJ222" i="1"/>
  <c r="AH222" i="1" s="1"/>
  <c r="AI222" i="1"/>
  <c r="Z222" i="1"/>
  <c r="Y222" i="1"/>
  <c r="X222" i="1" s="1"/>
  <c r="T222" i="1"/>
  <c r="Q222" i="1"/>
  <c r="AN221" i="1"/>
  <c r="AM221" i="1"/>
  <c r="AK221" i="1"/>
  <c r="AL221" i="1" s="1"/>
  <c r="AJ221" i="1"/>
  <c r="AH221" i="1" s="1"/>
  <c r="Z221" i="1"/>
  <c r="Y221" i="1"/>
  <c r="Q221" i="1"/>
  <c r="O221" i="1"/>
  <c r="J221" i="1"/>
  <c r="I221" i="1" s="1"/>
  <c r="AB221" i="1" s="1"/>
  <c r="AN220" i="1"/>
  <c r="AM220" i="1"/>
  <c r="AK220" i="1"/>
  <c r="AJ220" i="1"/>
  <c r="AH220" i="1"/>
  <c r="Z220" i="1"/>
  <c r="Y220" i="1"/>
  <c r="X220" i="1"/>
  <c r="Q220" i="1"/>
  <c r="AN219" i="1"/>
  <c r="AM219" i="1"/>
  <c r="AK219" i="1"/>
  <c r="AJ219" i="1"/>
  <c r="AI219" i="1"/>
  <c r="AH219" i="1"/>
  <c r="J219" i="1" s="1"/>
  <c r="I219" i="1" s="1"/>
  <c r="Z219" i="1"/>
  <c r="Y219" i="1"/>
  <c r="X219" i="1" s="1"/>
  <c r="Q219" i="1"/>
  <c r="O219" i="1"/>
  <c r="L219" i="1"/>
  <c r="K219" i="1"/>
  <c r="AN218" i="1"/>
  <c r="AM218" i="1"/>
  <c r="AL218" i="1"/>
  <c r="AK218" i="1"/>
  <c r="AJ218" i="1"/>
  <c r="AH218" i="1" s="1"/>
  <c r="AI218" i="1"/>
  <c r="Z218" i="1"/>
  <c r="Y218" i="1"/>
  <c r="X218" i="1" s="1"/>
  <c r="T218" i="1"/>
  <c r="Q218" i="1"/>
  <c r="L218" i="1"/>
  <c r="AN217" i="1"/>
  <c r="AM217" i="1"/>
  <c r="AK217" i="1"/>
  <c r="AL217" i="1" s="1"/>
  <c r="AJ217" i="1"/>
  <c r="AH217" i="1" s="1"/>
  <c r="Z217" i="1"/>
  <c r="Y217" i="1"/>
  <c r="X217" i="1" s="1"/>
  <c r="Q217" i="1"/>
  <c r="J217" i="1"/>
  <c r="I217" i="1" s="1"/>
  <c r="AB217" i="1" s="1"/>
  <c r="AN216" i="1"/>
  <c r="AM216" i="1"/>
  <c r="AK216" i="1"/>
  <c r="AL216" i="1" s="1"/>
  <c r="AJ216" i="1"/>
  <c r="AH216" i="1"/>
  <c r="Z216" i="1"/>
  <c r="Y216" i="1"/>
  <c r="X216" i="1"/>
  <c r="Q216" i="1"/>
  <c r="AN215" i="1"/>
  <c r="AM215" i="1"/>
  <c r="AK215" i="1"/>
  <c r="AJ215" i="1"/>
  <c r="AI215" i="1"/>
  <c r="AH215" i="1"/>
  <c r="J215" i="1" s="1"/>
  <c r="I215" i="1" s="1"/>
  <c r="Z215" i="1"/>
  <c r="Y215" i="1"/>
  <c r="X215" i="1" s="1"/>
  <c r="Q215" i="1"/>
  <c r="O215" i="1"/>
  <c r="K215" i="1"/>
  <c r="AN214" i="1"/>
  <c r="AM214" i="1"/>
  <c r="AL214" i="1"/>
  <c r="AK214" i="1"/>
  <c r="AJ214" i="1"/>
  <c r="AH214" i="1" s="1"/>
  <c r="AI214" i="1"/>
  <c r="Z214" i="1"/>
  <c r="Y214" i="1"/>
  <c r="X214" i="1" s="1"/>
  <c r="T214" i="1"/>
  <c r="Q214" i="1"/>
  <c r="AN213" i="1"/>
  <c r="AM213" i="1"/>
  <c r="AK213" i="1"/>
  <c r="AL213" i="1" s="1"/>
  <c r="AJ213" i="1"/>
  <c r="AH213" i="1" s="1"/>
  <c r="Z213" i="1"/>
  <c r="Y213" i="1"/>
  <c r="Q213" i="1"/>
  <c r="AN212" i="1"/>
  <c r="AM212" i="1"/>
  <c r="AK212" i="1"/>
  <c r="AJ212" i="1"/>
  <c r="AH212" i="1"/>
  <c r="Z212" i="1"/>
  <c r="Y212" i="1"/>
  <c r="X212" i="1"/>
  <c r="Q212" i="1"/>
  <c r="AN211" i="1"/>
  <c r="AM211" i="1"/>
  <c r="AK211" i="1"/>
  <c r="AJ211" i="1"/>
  <c r="AI211" i="1"/>
  <c r="AH211" i="1"/>
  <c r="J211" i="1" s="1"/>
  <c r="I211" i="1" s="1"/>
  <c r="Z211" i="1"/>
  <c r="Y211" i="1"/>
  <c r="X211" i="1" s="1"/>
  <c r="Q211" i="1"/>
  <c r="O211" i="1"/>
  <c r="K211" i="1"/>
  <c r="AN210" i="1"/>
  <c r="AM210" i="1"/>
  <c r="AL210" i="1"/>
  <c r="AK210" i="1"/>
  <c r="AJ210" i="1"/>
  <c r="AH210" i="1" s="1"/>
  <c r="AI210" i="1" s="1"/>
  <c r="Z210" i="1"/>
  <c r="Y210" i="1"/>
  <c r="X210" i="1" s="1"/>
  <c r="T210" i="1"/>
  <c r="Q210" i="1"/>
  <c r="AN209" i="1"/>
  <c r="AM209" i="1"/>
  <c r="AK209" i="1"/>
  <c r="AL209" i="1" s="1"/>
  <c r="AJ209" i="1"/>
  <c r="AH209" i="1" s="1"/>
  <c r="Z209" i="1"/>
  <c r="Y209" i="1"/>
  <c r="Q209" i="1"/>
  <c r="O209" i="1"/>
  <c r="J209" i="1"/>
  <c r="I209" i="1" s="1"/>
  <c r="AB209" i="1" s="1"/>
  <c r="AN208" i="1"/>
  <c r="AM208" i="1"/>
  <c r="AK208" i="1"/>
  <c r="AJ208" i="1"/>
  <c r="AH208" i="1"/>
  <c r="Z208" i="1"/>
  <c r="Y208" i="1"/>
  <c r="X208" i="1"/>
  <c r="Q208" i="1"/>
  <c r="AN207" i="1"/>
  <c r="AM207" i="1"/>
  <c r="AK207" i="1"/>
  <c r="AJ207" i="1"/>
  <c r="AI207" i="1"/>
  <c r="AH207" i="1"/>
  <c r="J207" i="1" s="1"/>
  <c r="Z207" i="1"/>
  <c r="Y207" i="1"/>
  <c r="X207" i="1" s="1"/>
  <c r="Q207" i="1"/>
  <c r="O207" i="1"/>
  <c r="K207" i="1"/>
  <c r="I207" i="1"/>
  <c r="AN206" i="1"/>
  <c r="AM206" i="1"/>
  <c r="AL206" i="1"/>
  <c r="AK206" i="1"/>
  <c r="AJ206" i="1"/>
  <c r="AI206" i="1"/>
  <c r="AH206" i="1"/>
  <c r="J206" i="1" s="1"/>
  <c r="AB206" i="1"/>
  <c r="Z206" i="1"/>
  <c r="Y206" i="1"/>
  <c r="X206" i="1" s="1"/>
  <c r="T206" i="1"/>
  <c r="Q206" i="1"/>
  <c r="O206" i="1"/>
  <c r="L206" i="1"/>
  <c r="K206" i="1"/>
  <c r="I206" i="1"/>
  <c r="AN205" i="1"/>
  <c r="AM205" i="1"/>
  <c r="AK205" i="1"/>
  <c r="AJ205" i="1"/>
  <c r="AH205" i="1" s="1"/>
  <c r="O205" i="1" s="1"/>
  <c r="Z205" i="1"/>
  <c r="Y205" i="1"/>
  <c r="Q205" i="1"/>
  <c r="AN204" i="1"/>
  <c r="AM204" i="1"/>
  <c r="AK204" i="1"/>
  <c r="AJ204" i="1"/>
  <c r="AH204" i="1"/>
  <c r="K204" i="1" s="1"/>
  <c r="Z204" i="1"/>
  <c r="Y204" i="1"/>
  <c r="X204" i="1"/>
  <c r="Q204" i="1"/>
  <c r="AN203" i="1"/>
  <c r="AM203" i="1"/>
  <c r="AK203" i="1"/>
  <c r="AJ203" i="1"/>
  <c r="AI203" i="1"/>
  <c r="AH203" i="1"/>
  <c r="L203" i="1" s="1"/>
  <c r="Z203" i="1"/>
  <c r="Y203" i="1"/>
  <c r="X203" i="1" s="1"/>
  <c r="Q203" i="1"/>
  <c r="O203" i="1"/>
  <c r="K203" i="1"/>
  <c r="J203" i="1"/>
  <c r="I203" i="1"/>
  <c r="AN202" i="1"/>
  <c r="AM202" i="1"/>
  <c r="AL202" i="1"/>
  <c r="AK202" i="1"/>
  <c r="AJ202" i="1"/>
  <c r="AI202" i="1"/>
  <c r="AH202" i="1"/>
  <c r="J202" i="1" s="1"/>
  <c r="I202" i="1" s="1"/>
  <c r="AB202" i="1"/>
  <c r="Z202" i="1"/>
  <c r="Y202" i="1"/>
  <c r="X202" i="1" s="1"/>
  <c r="T202" i="1"/>
  <c r="Q202" i="1"/>
  <c r="O202" i="1"/>
  <c r="L202" i="1"/>
  <c r="K202" i="1"/>
  <c r="AN201" i="1"/>
  <c r="AM201" i="1"/>
  <c r="AL201" i="1" s="1"/>
  <c r="AK201" i="1"/>
  <c r="AJ201" i="1"/>
  <c r="AH201" i="1" s="1"/>
  <c r="Z201" i="1"/>
  <c r="Y201" i="1"/>
  <c r="X201" i="1" s="1"/>
  <c r="T201" i="1"/>
  <c r="Q201" i="1"/>
  <c r="O201" i="1"/>
  <c r="AN200" i="1"/>
  <c r="AM200" i="1"/>
  <c r="AK200" i="1"/>
  <c r="AL200" i="1" s="1"/>
  <c r="AJ200" i="1"/>
  <c r="AH200" i="1"/>
  <c r="K200" i="1" s="1"/>
  <c r="Z200" i="1"/>
  <c r="X200" i="1" s="1"/>
  <c r="Y200" i="1"/>
  <c r="T200" i="1"/>
  <c r="Q200" i="1"/>
  <c r="O200" i="1"/>
  <c r="L200" i="1"/>
  <c r="J200" i="1"/>
  <c r="I200" i="1" s="1"/>
  <c r="AN199" i="1"/>
  <c r="AM199" i="1"/>
  <c r="AK199" i="1"/>
  <c r="AL199" i="1" s="1"/>
  <c r="AJ199" i="1"/>
  <c r="AH199" i="1" s="1"/>
  <c r="Z199" i="1"/>
  <c r="X199" i="1" s="1"/>
  <c r="Y199" i="1"/>
  <c r="Q199" i="1"/>
  <c r="J199" i="1"/>
  <c r="I199" i="1" s="1"/>
  <c r="AB199" i="1" s="1"/>
  <c r="AN198" i="1"/>
  <c r="AM198" i="1"/>
  <c r="AK198" i="1"/>
  <c r="AL198" i="1" s="1"/>
  <c r="AJ198" i="1"/>
  <c r="AH198" i="1"/>
  <c r="Z198" i="1"/>
  <c r="Y198" i="1"/>
  <c r="X198" i="1"/>
  <c r="Q198" i="1"/>
  <c r="AN197" i="1"/>
  <c r="T197" i="1" s="1"/>
  <c r="AM197" i="1"/>
  <c r="AL197" i="1"/>
  <c r="AK197" i="1"/>
  <c r="AJ197" i="1"/>
  <c r="AH197" i="1" s="1"/>
  <c r="Z197" i="1"/>
  <c r="Y197" i="1"/>
  <c r="X197" i="1" s="1"/>
  <c r="Q197" i="1"/>
  <c r="AN196" i="1"/>
  <c r="AM196" i="1"/>
  <c r="AL196" i="1" s="1"/>
  <c r="AK196" i="1"/>
  <c r="AJ196" i="1"/>
  <c r="AH196" i="1" s="1"/>
  <c r="Z196" i="1"/>
  <c r="X196" i="1" s="1"/>
  <c r="Y196" i="1"/>
  <c r="T196" i="1"/>
  <c r="Q196" i="1"/>
  <c r="AN195" i="1"/>
  <c r="AM195" i="1"/>
  <c r="AK195" i="1"/>
  <c r="AJ195" i="1"/>
  <c r="AH195" i="1" s="1"/>
  <c r="Z195" i="1"/>
  <c r="X195" i="1" s="1"/>
  <c r="Y195" i="1"/>
  <c r="Q195" i="1"/>
  <c r="J195" i="1"/>
  <c r="I195" i="1" s="1"/>
  <c r="AN194" i="1"/>
  <c r="AM194" i="1"/>
  <c r="AK194" i="1"/>
  <c r="AL194" i="1" s="1"/>
  <c r="AJ194" i="1"/>
  <c r="AH194" i="1"/>
  <c r="Z194" i="1"/>
  <c r="Y194" i="1"/>
  <c r="X194" i="1" s="1"/>
  <c r="Q194" i="1"/>
  <c r="AN193" i="1"/>
  <c r="T193" i="1" s="1"/>
  <c r="AM193" i="1"/>
  <c r="AL193" i="1"/>
  <c r="AK193" i="1"/>
  <c r="AJ193" i="1"/>
  <c r="AH193" i="1" s="1"/>
  <c r="O193" i="1" s="1"/>
  <c r="Z193" i="1"/>
  <c r="Y193" i="1"/>
  <c r="X193" i="1" s="1"/>
  <c r="Q193" i="1"/>
  <c r="L193" i="1"/>
  <c r="AN192" i="1"/>
  <c r="AM192" i="1"/>
  <c r="AL192" i="1"/>
  <c r="AK192" i="1"/>
  <c r="AJ192" i="1"/>
  <c r="AH192" i="1" s="1"/>
  <c r="L192" i="1" s="1"/>
  <c r="Z192" i="1"/>
  <c r="X192" i="1" s="1"/>
  <c r="Y192" i="1"/>
  <c r="T192" i="1"/>
  <c r="Q192" i="1"/>
  <c r="J192" i="1"/>
  <c r="I192" i="1" s="1"/>
  <c r="AN191" i="1"/>
  <c r="AM191" i="1"/>
  <c r="AK191" i="1"/>
  <c r="AJ191" i="1"/>
  <c r="AH191" i="1" s="1"/>
  <c r="Z191" i="1"/>
  <c r="Y191" i="1"/>
  <c r="X191" i="1"/>
  <c r="Q191" i="1"/>
  <c r="AN190" i="1"/>
  <c r="AM190" i="1"/>
  <c r="AK190" i="1"/>
  <c r="AL190" i="1" s="1"/>
  <c r="AJ190" i="1"/>
  <c r="AI190" i="1"/>
  <c r="AH190" i="1"/>
  <c r="Z190" i="1"/>
  <c r="Y190" i="1"/>
  <c r="X190" i="1" s="1"/>
  <c r="Q190" i="1"/>
  <c r="AN189" i="1"/>
  <c r="AM189" i="1"/>
  <c r="AL189" i="1"/>
  <c r="AK189" i="1"/>
  <c r="AJ189" i="1"/>
  <c r="AH189" i="1" s="1"/>
  <c r="Z189" i="1"/>
  <c r="Y189" i="1"/>
  <c r="X189" i="1" s="1"/>
  <c r="T189" i="1"/>
  <c r="Q189" i="1"/>
  <c r="AN188" i="1"/>
  <c r="AM188" i="1"/>
  <c r="AL188" i="1"/>
  <c r="AK188" i="1"/>
  <c r="AJ188" i="1"/>
  <c r="AH188" i="1" s="1"/>
  <c r="Z188" i="1"/>
  <c r="X188" i="1" s="1"/>
  <c r="Y188" i="1"/>
  <c r="T188" i="1"/>
  <c r="Q188" i="1"/>
  <c r="O188" i="1"/>
  <c r="L188" i="1"/>
  <c r="J188" i="1"/>
  <c r="I188" i="1" s="1"/>
  <c r="AN187" i="1"/>
  <c r="AM187" i="1"/>
  <c r="AK187" i="1"/>
  <c r="AJ187" i="1"/>
  <c r="AH187" i="1"/>
  <c r="Z187" i="1"/>
  <c r="X187" i="1" s="1"/>
  <c r="Y187" i="1"/>
  <c r="Q187" i="1"/>
  <c r="AN186" i="1"/>
  <c r="AM186" i="1"/>
  <c r="AK186" i="1"/>
  <c r="AJ186" i="1"/>
  <c r="AH186" i="1"/>
  <c r="Z186" i="1"/>
  <c r="Y186" i="1"/>
  <c r="X186" i="1"/>
  <c r="Q186" i="1"/>
  <c r="AN185" i="1"/>
  <c r="T185" i="1" s="1"/>
  <c r="AM185" i="1"/>
  <c r="AL185" i="1"/>
  <c r="AK185" i="1"/>
  <c r="AJ185" i="1"/>
  <c r="AH185" i="1" s="1"/>
  <c r="AI185" i="1" s="1"/>
  <c r="Z185" i="1"/>
  <c r="Y185" i="1"/>
  <c r="X185" i="1" s="1"/>
  <c r="Q185" i="1"/>
  <c r="AN184" i="1"/>
  <c r="AM184" i="1"/>
  <c r="AL184" i="1" s="1"/>
  <c r="AK184" i="1"/>
  <c r="AJ184" i="1"/>
  <c r="AH184" i="1" s="1"/>
  <c r="Z184" i="1"/>
  <c r="X184" i="1" s="1"/>
  <c r="Y184" i="1"/>
  <c r="U184" i="1"/>
  <c r="V184" i="1" s="1"/>
  <c r="AD184" i="1" s="1"/>
  <c r="T184" i="1"/>
  <c r="R184" i="1"/>
  <c r="P184" i="1" s="1"/>
  <c r="S184" i="1" s="1"/>
  <c r="Q184" i="1"/>
  <c r="O184" i="1"/>
  <c r="L184" i="1"/>
  <c r="J184" i="1"/>
  <c r="I184" i="1" s="1"/>
  <c r="AB184" i="1" s="1"/>
  <c r="AN183" i="1"/>
  <c r="AM183" i="1"/>
  <c r="AK183" i="1"/>
  <c r="AJ183" i="1"/>
  <c r="AH183" i="1"/>
  <c r="Z183" i="1"/>
  <c r="X183" i="1" s="1"/>
  <c r="Y183" i="1"/>
  <c r="Q183" i="1"/>
  <c r="K183" i="1"/>
  <c r="AN182" i="1"/>
  <c r="T182" i="1" s="1"/>
  <c r="AM182" i="1"/>
  <c r="AK182" i="1"/>
  <c r="AL182" i="1" s="1"/>
  <c r="AJ182" i="1"/>
  <c r="AI182" i="1"/>
  <c r="AH182" i="1"/>
  <c r="L182" i="1" s="1"/>
  <c r="Z182" i="1"/>
  <c r="Y182" i="1"/>
  <c r="X182" i="1"/>
  <c r="Q182" i="1"/>
  <c r="K182" i="1"/>
  <c r="AN181" i="1"/>
  <c r="T181" i="1" s="1"/>
  <c r="AM181" i="1"/>
  <c r="AL181" i="1"/>
  <c r="AK181" i="1"/>
  <c r="AJ181" i="1"/>
  <c r="AH181" i="1" s="1"/>
  <c r="Z181" i="1"/>
  <c r="Y181" i="1"/>
  <c r="X181" i="1" s="1"/>
  <c r="Q181" i="1"/>
  <c r="J181" i="1"/>
  <c r="I181" i="1" s="1"/>
  <c r="AN180" i="1"/>
  <c r="AM180" i="1"/>
  <c r="AL180" i="1" s="1"/>
  <c r="AK180" i="1"/>
  <c r="AJ180" i="1"/>
  <c r="AH180" i="1"/>
  <c r="J180" i="1" s="1"/>
  <c r="I180" i="1" s="1"/>
  <c r="Z180" i="1"/>
  <c r="Y180" i="1"/>
  <c r="X180" i="1" s="1"/>
  <c r="T180" i="1"/>
  <c r="Q180" i="1"/>
  <c r="AN179" i="1"/>
  <c r="AM179" i="1"/>
  <c r="AK179" i="1"/>
  <c r="AJ179" i="1"/>
  <c r="AH179" i="1"/>
  <c r="Z179" i="1"/>
  <c r="Y179" i="1"/>
  <c r="X179" i="1"/>
  <c r="Q179" i="1"/>
  <c r="K179" i="1"/>
  <c r="AN178" i="1"/>
  <c r="AM178" i="1"/>
  <c r="AK178" i="1"/>
  <c r="AL178" i="1" s="1"/>
  <c r="AJ178" i="1"/>
  <c r="AI178" i="1"/>
  <c r="AH178" i="1"/>
  <c r="Z178" i="1"/>
  <c r="Y178" i="1"/>
  <c r="X178" i="1" s="1"/>
  <c r="Q178" i="1"/>
  <c r="O178" i="1"/>
  <c r="L178" i="1"/>
  <c r="K178" i="1"/>
  <c r="J178" i="1"/>
  <c r="I178" i="1"/>
  <c r="AN177" i="1"/>
  <c r="AM177" i="1"/>
  <c r="AL177" i="1"/>
  <c r="AK177" i="1"/>
  <c r="AJ177" i="1"/>
  <c r="AH177" i="1" s="1"/>
  <c r="Z177" i="1"/>
  <c r="Y177" i="1"/>
  <c r="X177" i="1" s="1"/>
  <c r="T177" i="1"/>
  <c r="Q177" i="1"/>
  <c r="O177" i="1"/>
  <c r="AN176" i="1"/>
  <c r="AM176" i="1"/>
  <c r="AK176" i="1"/>
  <c r="AL176" i="1" s="1"/>
  <c r="AJ176" i="1"/>
  <c r="AH176" i="1" s="1"/>
  <c r="Z176" i="1"/>
  <c r="X176" i="1" s="1"/>
  <c r="Y176" i="1"/>
  <c r="Q176" i="1"/>
  <c r="J176" i="1"/>
  <c r="I176" i="1" s="1"/>
  <c r="AB176" i="1" s="1"/>
  <c r="AN175" i="1"/>
  <c r="AM175" i="1"/>
  <c r="AK175" i="1"/>
  <c r="AJ175" i="1"/>
  <c r="AH175" i="1"/>
  <c r="Z175" i="1"/>
  <c r="Y175" i="1"/>
  <c r="X175" i="1"/>
  <c r="Q175" i="1"/>
  <c r="K175" i="1"/>
  <c r="AN174" i="1"/>
  <c r="AM174" i="1"/>
  <c r="AK174" i="1"/>
  <c r="AL174" i="1" s="1"/>
  <c r="AJ174" i="1"/>
  <c r="AH174" i="1" s="1"/>
  <c r="AI174" i="1" s="1"/>
  <c r="Z174" i="1"/>
  <c r="Y174" i="1"/>
  <c r="X174" i="1" s="1"/>
  <c r="Q174" i="1"/>
  <c r="AN173" i="1"/>
  <c r="AM173" i="1"/>
  <c r="AL173" i="1"/>
  <c r="AK173" i="1"/>
  <c r="AJ173" i="1"/>
  <c r="AH173" i="1" s="1"/>
  <c r="Z173" i="1"/>
  <c r="Y173" i="1"/>
  <c r="X173" i="1" s="1"/>
  <c r="T173" i="1"/>
  <c r="Q173" i="1"/>
  <c r="O173" i="1"/>
  <c r="L173" i="1"/>
  <c r="AN172" i="1"/>
  <c r="AM172" i="1"/>
  <c r="AK172" i="1"/>
  <c r="AJ172" i="1"/>
  <c r="AH172" i="1" s="1"/>
  <c r="Z172" i="1"/>
  <c r="Y172" i="1"/>
  <c r="X172" i="1" s="1"/>
  <c r="Q172" i="1"/>
  <c r="J172" i="1"/>
  <c r="I172" i="1" s="1"/>
  <c r="AN171" i="1"/>
  <c r="AM171" i="1"/>
  <c r="AK171" i="1"/>
  <c r="AJ171" i="1"/>
  <c r="AH171" i="1"/>
  <c r="Z171" i="1"/>
  <c r="Y171" i="1"/>
  <c r="X171" i="1"/>
  <c r="Q171" i="1"/>
  <c r="K171" i="1"/>
  <c r="AN170" i="1"/>
  <c r="AM170" i="1"/>
  <c r="AK170" i="1"/>
  <c r="AJ170" i="1"/>
  <c r="AH170" i="1" s="1"/>
  <c r="AI170" i="1" s="1"/>
  <c r="Z170" i="1"/>
  <c r="Y170" i="1"/>
  <c r="X170" i="1" s="1"/>
  <c r="Q170" i="1"/>
  <c r="K170" i="1"/>
  <c r="AN169" i="1"/>
  <c r="AM169" i="1"/>
  <c r="AL169" i="1"/>
  <c r="AK169" i="1"/>
  <c r="AJ169" i="1"/>
  <c r="AH169" i="1" s="1"/>
  <c r="AI169" i="1" s="1"/>
  <c r="Z169" i="1"/>
  <c r="Y169" i="1"/>
  <c r="X169" i="1" s="1"/>
  <c r="T169" i="1"/>
  <c r="Q169" i="1"/>
  <c r="L169" i="1"/>
  <c r="AN168" i="1"/>
  <c r="AM168" i="1"/>
  <c r="AK168" i="1"/>
  <c r="AJ168" i="1"/>
  <c r="AH168" i="1" s="1"/>
  <c r="Z168" i="1"/>
  <c r="Y168" i="1"/>
  <c r="Q168" i="1"/>
  <c r="O168" i="1"/>
  <c r="J168" i="1"/>
  <c r="I168" i="1" s="1"/>
  <c r="AN167" i="1"/>
  <c r="AM167" i="1"/>
  <c r="AK167" i="1"/>
  <c r="AJ167" i="1"/>
  <c r="AH167" i="1"/>
  <c r="Z167" i="1"/>
  <c r="Y167" i="1"/>
  <c r="X167" i="1"/>
  <c r="Q167" i="1"/>
  <c r="O167" i="1"/>
  <c r="AN166" i="1"/>
  <c r="AM166" i="1"/>
  <c r="AK166" i="1"/>
  <c r="AJ166" i="1"/>
  <c r="AH166" i="1" s="1"/>
  <c r="AI166" i="1" s="1"/>
  <c r="Z166" i="1"/>
  <c r="Y166" i="1"/>
  <c r="X166" i="1" s="1"/>
  <c r="Q166" i="1"/>
  <c r="AN165" i="1"/>
  <c r="AM165" i="1"/>
  <c r="AK165" i="1"/>
  <c r="AJ165" i="1"/>
  <c r="AH165" i="1" s="1"/>
  <c r="J165" i="1" s="1"/>
  <c r="I165" i="1" s="1"/>
  <c r="Z165" i="1"/>
  <c r="Y165" i="1"/>
  <c r="X165" i="1" s="1"/>
  <c r="Q165" i="1"/>
  <c r="O165" i="1"/>
  <c r="L165" i="1"/>
  <c r="K165" i="1"/>
  <c r="AN164" i="1"/>
  <c r="AM164" i="1"/>
  <c r="AK164" i="1"/>
  <c r="AJ164" i="1"/>
  <c r="AH164" i="1" s="1"/>
  <c r="L164" i="1" s="1"/>
  <c r="AI164" i="1"/>
  <c r="Z164" i="1"/>
  <c r="Y164" i="1"/>
  <c r="X164" i="1" s="1"/>
  <c r="Q164" i="1"/>
  <c r="O164" i="1"/>
  <c r="K164" i="1"/>
  <c r="AN163" i="1"/>
  <c r="AM163" i="1"/>
  <c r="AK163" i="1"/>
  <c r="AJ163" i="1"/>
  <c r="AH163" i="1"/>
  <c r="Z163" i="1"/>
  <c r="Y163" i="1"/>
  <c r="X163" i="1"/>
  <c r="Q163" i="1"/>
  <c r="AN162" i="1"/>
  <c r="AM162" i="1"/>
  <c r="AK162" i="1"/>
  <c r="AJ162" i="1"/>
  <c r="AH162" i="1" s="1"/>
  <c r="J162" i="1" s="1"/>
  <c r="I162" i="1" s="1"/>
  <c r="AI162" i="1"/>
  <c r="Z162" i="1"/>
  <c r="Y162" i="1"/>
  <c r="X162" i="1" s="1"/>
  <c r="Q162" i="1"/>
  <c r="O162" i="1"/>
  <c r="L162" i="1"/>
  <c r="K162" i="1"/>
  <c r="AN161" i="1"/>
  <c r="AM161" i="1"/>
  <c r="AL161" i="1" s="1"/>
  <c r="AK161" i="1"/>
  <c r="AJ161" i="1"/>
  <c r="AH161" i="1" s="1"/>
  <c r="AB161" i="1"/>
  <c r="Z161" i="1"/>
  <c r="Y161" i="1"/>
  <c r="X161" i="1"/>
  <c r="T161" i="1"/>
  <c r="Q161" i="1"/>
  <c r="J161" i="1"/>
  <c r="I161" i="1" s="1"/>
  <c r="AN160" i="1"/>
  <c r="AM160" i="1"/>
  <c r="AK160" i="1"/>
  <c r="AL160" i="1" s="1"/>
  <c r="AJ160" i="1"/>
  <c r="AI160" i="1"/>
  <c r="AH160" i="1"/>
  <c r="J160" i="1" s="1"/>
  <c r="I160" i="1" s="1"/>
  <c r="Z160" i="1"/>
  <c r="Y160" i="1"/>
  <c r="X160" i="1" s="1"/>
  <c r="Q160" i="1"/>
  <c r="O160" i="1"/>
  <c r="L160" i="1"/>
  <c r="K160" i="1"/>
  <c r="AN159" i="1"/>
  <c r="AM159" i="1"/>
  <c r="AK159" i="1"/>
  <c r="AL159" i="1" s="1"/>
  <c r="AJ159" i="1"/>
  <c r="AH159" i="1" s="1"/>
  <c r="Z159" i="1"/>
  <c r="Y159" i="1"/>
  <c r="X159" i="1" s="1"/>
  <c r="Q159" i="1"/>
  <c r="AN158" i="1"/>
  <c r="AM158" i="1"/>
  <c r="AK158" i="1"/>
  <c r="AJ158" i="1"/>
  <c r="AH158" i="1"/>
  <c r="J158" i="1" s="1"/>
  <c r="I158" i="1" s="1"/>
  <c r="Z158" i="1"/>
  <c r="Y158" i="1"/>
  <c r="X158" i="1"/>
  <c r="Q158" i="1"/>
  <c r="O158" i="1"/>
  <c r="K158" i="1"/>
  <c r="AN157" i="1"/>
  <c r="AM157" i="1"/>
  <c r="AK157" i="1"/>
  <c r="AL157" i="1" s="1"/>
  <c r="AJ157" i="1"/>
  <c r="AH157" i="1" s="1"/>
  <c r="Z157" i="1"/>
  <c r="Y157" i="1"/>
  <c r="X157" i="1" s="1"/>
  <c r="Q157" i="1"/>
  <c r="AN156" i="1"/>
  <c r="AM156" i="1"/>
  <c r="AK156" i="1"/>
  <c r="AL156" i="1" s="1"/>
  <c r="AJ156" i="1"/>
  <c r="AI156" i="1"/>
  <c r="AH156" i="1"/>
  <c r="J156" i="1" s="1"/>
  <c r="I156" i="1" s="1"/>
  <c r="Z156" i="1"/>
  <c r="Y156" i="1"/>
  <c r="X156" i="1" s="1"/>
  <c r="Q156" i="1"/>
  <c r="O156" i="1"/>
  <c r="L156" i="1"/>
  <c r="K156" i="1"/>
  <c r="AN155" i="1"/>
  <c r="AM155" i="1"/>
  <c r="AK155" i="1"/>
  <c r="AJ155" i="1"/>
  <c r="AH155" i="1" s="1"/>
  <c r="Z155" i="1"/>
  <c r="Y155" i="1"/>
  <c r="X155" i="1" s="1"/>
  <c r="Q155" i="1"/>
  <c r="AN154" i="1"/>
  <c r="AM154" i="1"/>
  <c r="AK154" i="1"/>
  <c r="AJ154" i="1"/>
  <c r="AH154" i="1"/>
  <c r="J154" i="1" s="1"/>
  <c r="I154" i="1" s="1"/>
  <c r="Z154" i="1"/>
  <c r="Y154" i="1"/>
  <c r="X154" i="1"/>
  <c r="Q154" i="1"/>
  <c r="O154" i="1"/>
  <c r="K154" i="1"/>
  <c r="AN153" i="1"/>
  <c r="AM153" i="1"/>
  <c r="AK153" i="1"/>
  <c r="AL153" i="1" s="1"/>
  <c r="AJ153" i="1"/>
  <c r="AH153" i="1" s="1"/>
  <c r="AI153" i="1"/>
  <c r="Z153" i="1"/>
  <c r="Y153" i="1"/>
  <c r="X153" i="1" s="1"/>
  <c r="Q153" i="1"/>
  <c r="K153" i="1"/>
  <c r="AN152" i="1"/>
  <c r="AM152" i="1"/>
  <c r="AK152" i="1"/>
  <c r="AJ152" i="1"/>
  <c r="AI152" i="1"/>
  <c r="AH152" i="1"/>
  <c r="J152" i="1" s="1"/>
  <c r="I152" i="1" s="1"/>
  <c r="Z152" i="1"/>
  <c r="Y152" i="1"/>
  <c r="X152" i="1" s="1"/>
  <c r="Q152" i="1"/>
  <c r="O152" i="1"/>
  <c r="L152" i="1"/>
  <c r="K152" i="1"/>
  <c r="AN151" i="1"/>
  <c r="AM151" i="1"/>
  <c r="AK151" i="1"/>
  <c r="AL151" i="1" s="1"/>
  <c r="AJ151" i="1"/>
  <c r="AH151" i="1" s="1"/>
  <c r="AI151" i="1"/>
  <c r="Z151" i="1"/>
  <c r="Y151" i="1"/>
  <c r="X151" i="1" s="1"/>
  <c r="Q151" i="1"/>
  <c r="O151" i="1"/>
  <c r="AN150" i="1"/>
  <c r="AM150" i="1"/>
  <c r="AK150" i="1"/>
  <c r="AJ150" i="1"/>
  <c r="AH150" i="1"/>
  <c r="J150" i="1" s="1"/>
  <c r="I150" i="1" s="1"/>
  <c r="Z150" i="1"/>
  <c r="Y150" i="1"/>
  <c r="X150" i="1"/>
  <c r="Q150" i="1"/>
  <c r="O150" i="1"/>
  <c r="K150" i="1"/>
  <c r="AN149" i="1"/>
  <c r="AM149" i="1"/>
  <c r="AK149" i="1"/>
  <c r="AJ149" i="1"/>
  <c r="AH149" i="1" s="1"/>
  <c r="AI149" i="1"/>
  <c r="Z149" i="1"/>
  <c r="Y149" i="1"/>
  <c r="X149" i="1" s="1"/>
  <c r="Q149" i="1"/>
  <c r="K149" i="1"/>
  <c r="AN148" i="1"/>
  <c r="AM148" i="1"/>
  <c r="AL148" i="1"/>
  <c r="AK148" i="1"/>
  <c r="AJ148" i="1"/>
  <c r="AI148" i="1"/>
  <c r="AH148" i="1"/>
  <c r="J148" i="1" s="1"/>
  <c r="I148" i="1" s="1"/>
  <c r="Z148" i="1"/>
  <c r="Y148" i="1"/>
  <c r="X148" i="1" s="1"/>
  <c r="T148" i="1"/>
  <c r="Q148" i="1"/>
  <c r="O148" i="1"/>
  <c r="L148" i="1"/>
  <c r="K148" i="1"/>
  <c r="AN147" i="1"/>
  <c r="AM147" i="1"/>
  <c r="AK147" i="1"/>
  <c r="AJ147" i="1"/>
  <c r="AH147" i="1" s="1"/>
  <c r="AI147" i="1" s="1"/>
  <c r="Z147" i="1"/>
  <c r="Y147" i="1"/>
  <c r="X147" i="1" s="1"/>
  <c r="Q147" i="1"/>
  <c r="J147" i="1"/>
  <c r="I147" i="1"/>
  <c r="AB147" i="1" s="1"/>
  <c r="AN146" i="1"/>
  <c r="AM146" i="1"/>
  <c r="AK146" i="1"/>
  <c r="AJ146" i="1"/>
  <c r="AH146" i="1"/>
  <c r="Z146" i="1"/>
  <c r="Y146" i="1"/>
  <c r="X146" i="1"/>
  <c r="Q146" i="1"/>
  <c r="O146" i="1"/>
  <c r="K146" i="1"/>
  <c r="AN145" i="1"/>
  <c r="AM145" i="1"/>
  <c r="AK145" i="1"/>
  <c r="AJ145" i="1"/>
  <c r="AH145" i="1" s="1"/>
  <c r="AI145" i="1"/>
  <c r="Z145" i="1"/>
  <c r="Y145" i="1"/>
  <c r="X145" i="1" s="1"/>
  <c r="Q145" i="1"/>
  <c r="K145" i="1"/>
  <c r="AN144" i="1"/>
  <c r="AM144" i="1"/>
  <c r="AL144" i="1"/>
  <c r="AK144" i="1"/>
  <c r="AJ144" i="1"/>
  <c r="AH144" i="1"/>
  <c r="J144" i="1" s="1"/>
  <c r="Z144" i="1"/>
  <c r="Y144" i="1"/>
  <c r="X144" i="1" s="1"/>
  <c r="U144" i="1"/>
  <c r="V144" i="1" s="1"/>
  <c r="T144" i="1"/>
  <c r="Q144" i="1"/>
  <c r="O144" i="1"/>
  <c r="L144" i="1"/>
  <c r="K144" i="1"/>
  <c r="I144" i="1"/>
  <c r="AB144" i="1" s="1"/>
  <c r="AN143" i="1"/>
  <c r="AM143" i="1"/>
  <c r="AK143" i="1"/>
  <c r="AJ143" i="1"/>
  <c r="AH143" i="1" s="1"/>
  <c r="Z143" i="1"/>
  <c r="Y143" i="1"/>
  <c r="Q143" i="1"/>
  <c r="AN142" i="1"/>
  <c r="AM142" i="1"/>
  <c r="AL142" i="1"/>
  <c r="AK142" i="1"/>
  <c r="AJ142" i="1"/>
  <c r="AH142" i="1"/>
  <c r="AI142" i="1" s="1"/>
  <c r="Z142" i="1"/>
  <c r="Y142" i="1"/>
  <c r="X142" i="1" s="1"/>
  <c r="T142" i="1"/>
  <c r="Q142" i="1"/>
  <c r="O142" i="1"/>
  <c r="L142" i="1"/>
  <c r="K142" i="1"/>
  <c r="J142" i="1"/>
  <c r="I142" i="1" s="1"/>
  <c r="U142" i="1" s="1"/>
  <c r="V142" i="1" s="1"/>
  <c r="AN141" i="1"/>
  <c r="AM141" i="1"/>
  <c r="AL141" i="1"/>
  <c r="AK141" i="1"/>
  <c r="AJ141" i="1"/>
  <c r="AH141" i="1" s="1"/>
  <c r="AI141" i="1"/>
  <c r="Z141" i="1"/>
  <c r="Y141" i="1"/>
  <c r="X141" i="1" s="1"/>
  <c r="T141" i="1"/>
  <c r="Q141" i="1"/>
  <c r="AN140" i="1"/>
  <c r="AM140" i="1"/>
  <c r="AL140" i="1"/>
  <c r="AK140" i="1"/>
  <c r="AJ140" i="1"/>
  <c r="AH140" i="1" s="1"/>
  <c r="Z140" i="1"/>
  <c r="X140" i="1" s="1"/>
  <c r="Y140" i="1"/>
  <c r="T140" i="1"/>
  <c r="Q140" i="1"/>
  <c r="O140" i="1"/>
  <c r="J140" i="1"/>
  <c r="I140" i="1" s="1"/>
  <c r="AN139" i="1"/>
  <c r="T139" i="1" s="1"/>
  <c r="AM139" i="1"/>
  <c r="AL139" i="1" s="1"/>
  <c r="AK139" i="1"/>
  <c r="AJ139" i="1"/>
  <c r="AH139" i="1"/>
  <c r="Z139" i="1"/>
  <c r="Y139" i="1"/>
  <c r="X139" i="1"/>
  <c r="Q139" i="1"/>
  <c r="AN138" i="1"/>
  <c r="AM138" i="1"/>
  <c r="AK138" i="1"/>
  <c r="AJ138" i="1"/>
  <c r="AH138" i="1"/>
  <c r="J138" i="1" s="1"/>
  <c r="I138" i="1" s="1"/>
  <c r="Z138" i="1"/>
  <c r="Y138" i="1"/>
  <c r="X138" i="1"/>
  <c r="Q138" i="1"/>
  <c r="K138" i="1"/>
  <c r="AN137" i="1"/>
  <c r="AM137" i="1"/>
  <c r="AL137" i="1"/>
  <c r="AK137" i="1"/>
  <c r="AJ137" i="1"/>
  <c r="AI137" i="1"/>
  <c r="AH137" i="1"/>
  <c r="O137" i="1" s="1"/>
  <c r="Z137" i="1"/>
  <c r="Y137" i="1"/>
  <c r="X137" i="1" s="1"/>
  <c r="T137" i="1"/>
  <c r="Q137" i="1"/>
  <c r="L137" i="1"/>
  <c r="J137" i="1"/>
  <c r="I137" i="1"/>
  <c r="AN136" i="1"/>
  <c r="AM136" i="1"/>
  <c r="AL136" i="1"/>
  <c r="AK136" i="1"/>
  <c r="AJ136" i="1"/>
  <c r="AH136" i="1" s="1"/>
  <c r="O136" i="1" s="1"/>
  <c r="Z136" i="1"/>
  <c r="X136" i="1" s="1"/>
  <c r="Y136" i="1"/>
  <c r="T136" i="1"/>
  <c r="Q136" i="1"/>
  <c r="AN135" i="1"/>
  <c r="AM135" i="1"/>
  <c r="AL135" i="1" s="1"/>
  <c r="AK135" i="1"/>
  <c r="AJ135" i="1"/>
  <c r="AH135" i="1"/>
  <c r="Z135" i="1"/>
  <c r="Y135" i="1"/>
  <c r="X135" i="1"/>
  <c r="T135" i="1"/>
  <c r="Q135" i="1"/>
  <c r="AN134" i="1"/>
  <c r="AM134" i="1"/>
  <c r="AK134" i="1"/>
  <c r="AJ134" i="1"/>
  <c r="AH134" i="1"/>
  <c r="J134" i="1" s="1"/>
  <c r="I134" i="1" s="1"/>
  <c r="Z134" i="1"/>
  <c r="Y134" i="1"/>
  <c r="X134" i="1"/>
  <c r="Q134" i="1"/>
  <c r="K134" i="1"/>
  <c r="AN133" i="1"/>
  <c r="AM133" i="1"/>
  <c r="AL133" i="1"/>
  <c r="AK133" i="1"/>
  <c r="AJ133" i="1"/>
  <c r="AI133" i="1"/>
  <c r="AH133" i="1"/>
  <c r="O133" i="1" s="1"/>
  <c r="Z133" i="1"/>
  <c r="Y133" i="1"/>
  <c r="X133" i="1" s="1"/>
  <c r="T133" i="1"/>
  <c r="Q133" i="1"/>
  <c r="L133" i="1"/>
  <c r="AN132" i="1"/>
  <c r="AM132" i="1"/>
  <c r="AL132" i="1"/>
  <c r="AK132" i="1"/>
  <c r="AJ132" i="1"/>
  <c r="AH132" i="1" s="1"/>
  <c r="Z132" i="1"/>
  <c r="X132" i="1" s="1"/>
  <c r="Y132" i="1"/>
  <c r="T132" i="1"/>
  <c r="Q132" i="1"/>
  <c r="O132" i="1"/>
  <c r="J132" i="1"/>
  <c r="I132" i="1" s="1"/>
  <c r="AB132" i="1" s="1"/>
  <c r="AN131" i="1"/>
  <c r="AM131" i="1"/>
  <c r="AL131" i="1" s="1"/>
  <c r="AK131" i="1"/>
  <c r="AJ131" i="1"/>
  <c r="AH131" i="1"/>
  <c r="Z131" i="1"/>
  <c r="Y131" i="1"/>
  <c r="X131" i="1"/>
  <c r="T131" i="1"/>
  <c r="Q131" i="1"/>
  <c r="AN130" i="1"/>
  <c r="AM130" i="1"/>
  <c r="AK130" i="1"/>
  <c r="AJ130" i="1"/>
  <c r="AH130" i="1"/>
  <c r="AI130" i="1" s="1"/>
  <c r="Z130" i="1"/>
  <c r="Y130" i="1"/>
  <c r="X130" i="1"/>
  <c r="Q130" i="1"/>
  <c r="K130" i="1"/>
  <c r="J130" i="1"/>
  <c r="I130" i="1" s="1"/>
  <c r="AN129" i="1"/>
  <c r="AM129" i="1"/>
  <c r="AL129" i="1"/>
  <c r="AK129" i="1"/>
  <c r="AJ129" i="1"/>
  <c r="AI129" i="1"/>
  <c r="AH129" i="1"/>
  <c r="O129" i="1" s="1"/>
  <c r="Z129" i="1"/>
  <c r="Y129" i="1"/>
  <c r="X129" i="1" s="1"/>
  <c r="T129" i="1"/>
  <c r="Q129" i="1"/>
  <c r="L129" i="1"/>
  <c r="AN128" i="1"/>
  <c r="T128" i="1" s="1"/>
  <c r="AM128" i="1"/>
  <c r="AL128" i="1"/>
  <c r="AK128" i="1"/>
  <c r="AJ128" i="1"/>
  <c r="AH128" i="1" s="1"/>
  <c r="Z128" i="1"/>
  <c r="X128" i="1" s="1"/>
  <c r="Y128" i="1"/>
  <c r="Q128" i="1"/>
  <c r="J128" i="1"/>
  <c r="I128" i="1" s="1"/>
  <c r="AB128" i="1" s="1"/>
  <c r="AN127" i="1"/>
  <c r="AM127" i="1"/>
  <c r="AL127" i="1" s="1"/>
  <c r="AK127" i="1"/>
  <c r="AJ127" i="1"/>
  <c r="AH127" i="1"/>
  <c r="Z127" i="1"/>
  <c r="Y127" i="1"/>
  <c r="X127" i="1"/>
  <c r="T127" i="1"/>
  <c r="Q127" i="1"/>
  <c r="AN126" i="1"/>
  <c r="AM126" i="1"/>
  <c r="AK126" i="1"/>
  <c r="AJ126" i="1"/>
  <c r="AH126" i="1" s="1"/>
  <c r="Z126" i="1"/>
  <c r="X126" i="1" s="1"/>
  <c r="Y126" i="1"/>
  <c r="Q126" i="1"/>
  <c r="K126" i="1"/>
  <c r="AN125" i="1"/>
  <c r="AM125" i="1"/>
  <c r="AL125" i="1"/>
  <c r="AK125" i="1"/>
  <c r="AJ125" i="1"/>
  <c r="AI125" i="1"/>
  <c r="AH125" i="1"/>
  <c r="O125" i="1" s="1"/>
  <c r="Z125" i="1"/>
  <c r="Y125" i="1"/>
  <c r="X125" i="1" s="1"/>
  <c r="T125" i="1"/>
  <c r="Q125" i="1"/>
  <c r="L125" i="1"/>
  <c r="AN124" i="1"/>
  <c r="AM124" i="1"/>
  <c r="AK124" i="1"/>
  <c r="AL124" i="1" s="1"/>
  <c r="AJ124" i="1"/>
  <c r="AH124" i="1" s="1"/>
  <c r="Z124" i="1"/>
  <c r="X124" i="1" s="1"/>
  <c r="Y124" i="1"/>
  <c r="Q124" i="1"/>
  <c r="J124" i="1"/>
  <c r="I124" i="1" s="1"/>
  <c r="AN123" i="1"/>
  <c r="AM123" i="1"/>
  <c r="AL123" i="1" s="1"/>
  <c r="AK123" i="1"/>
  <c r="AJ123" i="1"/>
  <c r="AH123" i="1"/>
  <c r="Z123" i="1"/>
  <c r="Y123" i="1"/>
  <c r="X123" i="1"/>
  <c r="T123" i="1"/>
  <c r="Q123" i="1"/>
  <c r="AN122" i="1"/>
  <c r="AM122" i="1"/>
  <c r="AK122" i="1"/>
  <c r="AJ122" i="1"/>
  <c r="AH122" i="1" s="1"/>
  <c r="Z122" i="1"/>
  <c r="X122" i="1" s="1"/>
  <c r="Y122" i="1"/>
  <c r="Q122" i="1"/>
  <c r="K122" i="1"/>
  <c r="AN121" i="1"/>
  <c r="AM121" i="1"/>
  <c r="AL121" i="1"/>
  <c r="AK121" i="1"/>
  <c r="AJ121" i="1"/>
  <c r="AI121" i="1"/>
  <c r="AH121" i="1"/>
  <c r="O121" i="1" s="1"/>
  <c r="Z121" i="1"/>
  <c r="Y121" i="1"/>
  <c r="X121" i="1" s="1"/>
  <c r="T121" i="1"/>
  <c r="Q121" i="1"/>
  <c r="L121" i="1"/>
  <c r="AN120" i="1"/>
  <c r="AM120" i="1"/>
  <c r="AK120" i="1"/>
  <c r="AL120" i="1" s="1"/>
  <c r="AJ120" i="1"/>
  <c r="AH120" i="1" s="1"/>
  <c r="Z120" i="1"/>
  <c r="X120" i="1" s="1"/>
  <c r="Y120" i="1"/>
  <c r="Q120" i="1"/>
  <c r="O120" i="1"/>
  <c r="J120" i="1"/>
  <c r="I120" i="1" s="1"/>
  <c r="AB120" i="1" s="1"/>
  <c r="AN119" i="1"/>
  <c r="AM119" i="1"/>
  <c r="AL119" i="1" s="1"/>
  <c r="AK119" i="1"/>
  <c r="AJ119" i="1"/>
  <c r="AH119" i="1"/>
  <c r="Z119" i="1"/>
  <c r="Y119" i="1"/>
  <c r="X119" i="1"/>
  <c r="T119" i="1"/>
  <c r="Q119" i="1"/>
  <c r="AN118" i="1"/>
  <c r="AM118" i="1"/>
  <c r="AK118" i="1"/>
  <c r="AJ118" i="1"/>
  <c r="AH118" i="1" s="1"/>
  <c r="Z118" i="1"/>
  <c r="X118" i="1" s="1"/>
  <c r="Y118" i="1"/>
  <c r="Q118" i="1"/>
  <c r="AN117" i="1"/>
  <c r="AM117" i="1"/>
  <c r="AL117" i="1"/>
  <c r="AK117" i="1"/>
  <c r="AJ117" i="1"/>
  <c r="AI117" i="1"/>
  <c r="AH117" i="1"/>
  <c r="O117" i="1" s="1"/>
  <c r="Z117" i="1"/>
  <c r="Y117" i="1"/>
  <c r="X117" i="1"/>
  <c r="T117" i="1"/>
  <c r="Q117" i="1"/>
  <c r="L117" i="1"/>
  <c r="AN116" i="1"/>
  <c r="AM116" i="1"/>
  <c r="AK116" i="1"/>
  <c r="AJ116" i="1"/>
  <c r="AH116" i="1" s="1"/>
  <c r="Z116" i="1"/>
  <c r="X116" i="1" s="1"/>
  <c r="Y116" i="1"/>
  <c r="Q116" i="1"/>
  <c r="AN115" i="1"/>
  <c r="AM115" i="1"/>
  <c r="AL115" i="1" s="1"/>
  <c r="AK115" i="1"/>
  <c r="AJ115" i="1"/>
  <c r="AH115" i="1"/>
  <c r="Z115" i="1"/>
  <c r="Y115" i="1"/>
  <c r="X115" i="1" s="1"/>
  <c r="T115" i="1"/>
  <c r="Q115" i="1"/>
  <c r="AN114" i="1"/>
  <c r="T114" i="1" s="1"/>
  <c r="AM114" i="1"/>
  <c r="AL114" i="1"/>
  <c r="AK114" i="1"/>
  <c r="AJ114" i="1"/>
  <c r="AH114" i="1" s="1"/>
  <c r="AI114" i="1" s="1"/>
  <c r="Z114" i="1"/>
  <c r="Y114" i="1"/>
  <c r="Q114" i="1"/>
  <c r="O114" i="1"/>
  <c r="AN113" i="1"/>
  <c r="AM113" i="1"/>
  <c r="AL113" i="1"/>
  <c r="AK113" i="1"/>
  <c r="AJ113" i="1"/>
  <c r="AH113" i="1"/>
  <c r="K113" i="1" s="1"/>
  <c r="Z113" i="1"/>
  <c r="Y113" i="1"/>
  <c r="X113" i="1"/>
  <c r="T113" i="1"/>
  <c r="Q113" i="1"/>
  <c r="O113" i="1"/>
  <c r="L113" i="1"/>
  <c r="AN112" i="1"/>
  <c r="AM112" i="1"/>
  <c r="AK112" i="1"/>
  <c r="AL112" i="1" s="1"/>
  <c r="AJ112" i="1"/>
  <c r="AH112" i="1" s="1"/>
  <c r="Z112" i="1"/>
  <c r="Y112" i="1"/>
  <c r="X112" i="1" s="1"/>
  <c r="Q112" i="1"/>
  <c r="AN111" i="1"/>
  <c r="AM111" i="1"/>
  <c r="AK111" i="1"/>
  <c r="AJ111" i="1"/>
  <c r="AH111" i="1"/>
  <c r="Z111" i="1"/>
  <c r="Y111" i="1"/>
  <c r="X111" i="1"/>
  <c r="Q111" i="1"/>
  <c r="K111" i="1"/>
  <c r="AN110" i="1"/>
  <c r="AM110" i="1"/>
  <c r="AK110" i="1"/>
  <c r="AL110" i="1" s="1"/>
  <c r="AJ110" i="1"/>
  <c r="AH110" i="1" s="1"/>
  <c r="Z110" i="1"/>
  <c r="Y110" i="1"/>
  <c r="X110" i="1" s="1"/>
  <c r="Q110" i="1"/>
  <c r="AN109" i="1"/>
  <c r="AM109" i="1"/>
  <c r="AL109" i="1"/>
  <c r="AK109" i="1"/>
  <c r="AJ109" i="1"/>
  <c r="AH109" i="1"/>
  <c r="J109" i="1" s="1"/>
  <c r="I109" i="1" s="1"/>
  <c r="AB109" i="1"/>
  <c r="Z109" i="1"/>
  <c r="Y109" i="1"/>
  <c r="X109" i="1"/>
  <c r="T109" i="1"/>
  <c r="Q109" i="1"/>
  <c r="O109" i="1"/>
  <c r="L109" i="1"/>
  <c r="K109" i="1"/>
  <c r="AN108" i="1"/>
  <c r="AM108" i="1"/>
  <c r="AK108" i="1"/>
  <c r="AJ108" i="1"/>
  <c r="AH108" i="1" s="1"/>
  <c r="Z108" i="1"/>
  <c r="Y108" i="1"/>
  <c r="Q108" i="1"/>
  <c r="J108" i="1"/>
  <c r="I108" i="1" s="1"/>
  <c r="AB108" i="1" s="1"/>
  <c r="AN107" i="1"/>
  <c r="AM107" i="1"/>
  <c r="AK107" i="1"/>
  <c r="AJ107" i="1"/>
  <c r="AH107" i="1"/>
  <c r="Z107" i="1"/>
  <c r="Y107" i="1"/>
  <c r="X107" i="1"/>
  <c r="Q107" i="1"/>
  <c r="K107" i="1"/>
  <c r="AN106" i="1"/>
  <c r="AM106" i="1"/>
  <c r="AK106" i="1"/>
  <c r="AL106" i="1" s="1"/>
  <c r="AJ106" i="1"/>
  <c r="AH106" i="1" s="1"/>
  <c r="AI106" i="1"/>
  <c r="Z106" i="1"/>
  <c r="Y106" i="1"/>
  <c r="X106" i="1" s="1"/>
  <c r="Q106" i="1"/>
  <c r="AN105" i="1"/>
  <c r="AM105" i="1"/>
  <c r="AL105" i="1"/>
  <c r="AK105" i="1"/>
  <c r="AJ105" i="1"/>
  <c r="AH105" i="1"/>
  <c r="J105" i="1" s="1"/>
  <c r="I105" i="1" s="1"/>
  <c r="AB105" i="1"/>
  <c r="Z105" i="1"/>
  <c r="Y105" i="1"/>
  <c r="X105" i="1"/>
  <c r="T105" i="1"/>
  <c r="Q105" i="1"/>
  <c r="O105" i="1"/>
  <c r="L105" i="1"/>
  <c r="K105" i="1"/>
  <c r="AN104" i="1"/>
  <c r="AM104" i="1"/>
  <c r="AK104" i="1"/>
  <c r="AL104" i="1" s="1"/>
  <c r="AJ104" i="1"/>
  <c r="AH104" i="1" s="1"/>
  <c r="Z104" i="1"/>
  <c r="Y104" i="1"/>
  <c r="X104" i="1" s="1"/>
  <c r="Q104" i="1"/>
  <c r="J104" i="1"/>
  <c r="I104" i="1" s="1"/>
  <c r="AB104" i="1" s="1"/>
  <c r="AN103" i="1"/>
  <c r="AM103" i="1"/>
  <c r="AK103" i="1"/>
  <c r="AJ103" i="1"/>
  <c r="AH103" i="1"/>
  <c r="Z103" i="1"/>
  <c r="Y103" i="1"/>
  <c r="X103" i="1"/>
  <c r="Q103" i="1"/>
  <c r="K103" i="1"/>
  <c r="AN102" i="1"/>
  <c r="AM102" i="1"/>
  <c r="AK102" i="1"/>
  <c r="AL102" i="1" s="1"/>
  <c r="AJ102" i="1"/>
  <c r="AH102" i="1" s="1"/>
  <c r="AI102" i="1" s="1"/>
  <c r="Z102" i="1"/>
  <c r="Y102" i="1"/>
  <c r="X102" i="1" s="1"/>
  <c r="Q102" i="1"/>
  <c r="AN101" i="1"/>
  <c r="AM101" i="1"/>
  <c r="AL101" i="1"/>
  <c r="AK101" i="1"/>
  <c r="AJ101" i="1"/>
  <c r="AH101" i="1"/>
  <c r="J101" i="1" s="1"/>
  <c r="I101" i="1" s="1"/>
  <c r="AB101" i="1"/>
  <c r="Z101" i="1"/>
  <c r="Y101" i="1"/>
  <c r="X101" i="1"/>
  <c r="T101" i="1"/>
  <c r="Q101" i="1"/>
  <c r="O101" i="1"/>
  <c r="L101" i="1"/>
  <c r="K101" i="1"/>
  <c r="AN100" i="1"/>
  <c r="AM100" i="1"/>
  <c r="AK100" i="1"/>
  <c r="AJ100" i="1"/>
  <c r="AH100" i="1" s="1"/>
  <c r="Z100" i="1"/>
  <c r="Y100" i="1"/>
  <c r="Q100" i="1"/>
  <c r="J100" i="1"/>
  <c r="I100" i="1" s="1"/>
  <c r="AB100" i="1" s="1"/>
  <c r="AN99" i="1"/>
  <c r="AM99" i="1"/>
  <c r="AK99" i="1"/>
  <c r="AJ99" i="1"/>
  <c r="AH99" i="1"/>
  <c r="Z99" i="1"/>
  <c r="Y99" i="1"/>
  <c r="X99" i="1"/>
  <c r="Q99" i="1"/>
  <c r="K99" i="1"/>
  <c r="AN98" i="1"/>
  <c r="AM98" i="1"/>
  <c r="AK98" i="1"/>
  <c r="AL98" i="1" s="1"/>
  <c r="AJ98" i="1"/>
  <c r="AH98" i="1" s="1"/>
  <c r="Z98" i="1"/>
  <c r="Y98" i="1"/>
  <c r="X98" i="1" s="1"/>
  <c r="Q98" i="1"/>
  <c r="AN97" i="1"/>
  <c r="AM97" i="1"/>
  <c r="AL97" i="1" s="1"/>
  <c r="AK97" i="1"/>
  <c r="AJ97" i="1"/>
  <c r="AH97" i="1"/>
  <c r="J97" i="1" s="1"/>
  <c r="I97" i="1" s="1"/>
  <c r="AB97" i="1"/>
  <c r="Z97" i="1"/>
  <c r="Y97" i="1"/>
  <c r="X97" i="1"/>
  <c r="W97" i="1"/>
  <c r="AA97" i="1" s="1"/>
  <c r="U97" i="1"/>
  <c r="V97" i="1" s="1"/>
  <c r="AD97" i="1" s="1"/>
  <c r="T97" i="1"/>
  <c r="Q97" i="1"/>
  <c r="O97" i="1"/>
  <c r="L97" i="1"/>
  <c r="K97" i="1"/>
  <c r="AN96" i="1"/>
  <c r="AM96" i="1"/>
  <c r="AK96" i="1"/>
  <c r="AJ96" i="1"/>
  <c r="AH96" i="1" s="1"/>
  <c r="J96" i="1" s="1"/>
  <c r="I96" i="1" s="1"/>
  <c r="Z96" i="1"/>
  <c r="Y96" i="1"/>
  <c r="X96" i="1" s="1"/>
  <c r="Q96" i="1"/>
  <c r="K96" i="1"/>
  <c r="AN95" i="1"/>
  <c r="AM95" i="1"/>
  <c r="AK95" i="1"/>
  <c r="AJ95" i="1"/>
  <c r="AH95" i="1"/>
  <c r="Z95" i="1"/>
  <c r="Y95" i="1"/>
  <c r="X95" i="1"/>
  <c r="Q95" i="1"/>
  <c r="AN94" i="1"/>
  <c r="AM94" i="1"/>
  <c r="AK94" i="1"/>
  <c r="AL94" i="1" s="1"/>
  <c r="AJ94" i="1"/>
  <c r="AH94" i="1" s="1"/>
  <c r="AI94" i="1" s="1"/>
  <c r="Z94" i="1"/>
  <c r="Y94" i="1"/>
  <c r="X94" i="1" s="1"/>
  <c r="Q94" i="1"/>
  <c r="O94" i="1"/>
  <c r="AN93" i="1"/>
  <c r="AM93" i="1"/>
  <c r="AK93" i="1"/>
  <c r="AL93" i="1" s="1"/>
  <c r="AJ93" i="1"/>
  <c r="AH93" i="1"/>
  <c r="J93" i="1" s="1"/>
  <c r="I93" i="1" s="1"/>
  <c r="Z93" i="1"/>
  <c r="Y93" i="1"/>
  <c r="X93" i="1"/>
  <c r="Q93" i="1"/>
  <c r="O93" i="1"/>
  <c r="L93" i="1"/>
  <c r="K93" i="1"/>
  <c r="AN92" i="1"/>
  <c r="AM92" i="1"/>
  <c r="AK92" i="1"/>
  <c r="AJ92" i="1"/>
  <c r="AH92" i="1" s="1"/>
  <c r="AI92" i="1" s="1"/>
  <c r="Z92" i="1"/>
  <c r="Y92" i="1"/>
  <c r="Q92" i="1"/>
  <c r="K92" i="1"/>
  <c r="J92" i="1"/>
  <c r="I92" i="1" s="1"/>
  <c r="AN91" i="1"/>
  <c r="AM91" i="1"/>
  <c r="AK91" i="1"/>
  <c r="AJ91" i="1"/>
  <c r="AH91" i="1"/>
  <c r="Z91" i="1"/>
  <c r="Y91" i="1"/>
  <c r="X91" i="1" s="1"/>
  <c r="Q91" i="1"/>
  <c r="AN90" i="1"/>
  <c r="AM90" i="1"/>
  <c r="AK90" i="1"/>
  <c r="AL90" i="1" s="1"/>
  <c r="AJ90" i="1"/>
  <c r="AH90" i="1" s="1"/>
  <c r="AI90" i="1"/>
  <c r="Z90" i="1"/>
  <c r="Y90" i="1"/>
  <c r="X90" i="1" s="1"/>
  <c r="Q90" i="1"/>
  <c r="AN89" i="1"/>
  <c r="AM89" i="1"/>
  <c r="AK89" i="1"/>
  <c r="AL89" i="1" s="1"/>
  <c r="AJ89" i="1"/>
  <c r="AH89" i="1"/>
  <c r="K89" i="1" s="1"/>
  <c r="Z89" i="1"/>
  <c r="Y89" i="1"/>
  <c r="X89" i="1"/>
  <c r="T89" i="1"/>
  <c r="Q89" i="1"/>
  <c r="L89" i="1"/>
  <c r="AN88" i="1"/>
  <c r="AM88" i="1"/>
  <c r="AK88" i="1"/>
  <c r="AJ88" i="1"/>
  <c r="AH88" i="1" s="1"/>
  <c r="L88" i="1" s="1"/>
  <c r="AI88" i="1"/>
  <c r="Z88" i="1"/>
  <c r="Y88" i="1"/>
  <c r="Q88" i="1"/>
  <c r="O88" i="1"/>
  <c r="K88" i="1"/>
  <c r="J88" i="1"/>
  <c r="I88" i="1" s="1"/>
  <c r="AN87" i="1"/>
  <c r="AM87" i="1"/>
  <c r="AL87" i="1"/>
  <c r="AK87" i="1"/>
  <c r="AJ87" i="1"/>
  <c r="AI87" i="1"/>
  <c r="AH87" i="1"/>
  <c r="J87" i="1" s="1"/>
  <c r="I87" i="1" s="1"/>
  <c r="AB87" i="1"/>
  <c r="Z87" i="1"/>
  <c r="Y87" i="1"/>
  <c r="X87" i="1"/>
  <c r="T87" i="1"/>
  <c r="Q87" i="1"/>
  <c r="L87" i="1"/>
  <c r="AN86" i="1"/>
  <c r="AM86" i="1"/>
  <c r="AK86" i="1"/>
  <c r="AJ86" i="1"/>
  <c r="AH86" i="1" s="1"/>
  <c r="L86" i="1" s="1"/>
  <c r="AI86" i="1"/>
  <c r="Z86" i="1"/>
  <c r="Y86" i="1"/>
  <c r="Q86" i="1"/>
  <c r="O86" i="1"/>
  <c r="K86" i="1"/>
  <c r="J86" i="1"/>
  <c r="I86" i="1" s="1"/>
  <c r="AN85" i="1"/>
  <c r="AM85" i="1"/>
  <c r="AL85" i="1" s="1"/>
  <c r="AK85" i="1"/>
  <c r="AJ85" i="1"/>
  <c r="AI85" i="1"/>
  <c r="AH85" i="1"/>
  <c r="J85" i="1" s="1"/>
  <c r="I85" i="1" s="1"/>
  <c r="AB85" i="1" s="1"/>
  <c r="Z85" i="1"/>
  <c r="Y85" i="1"/>
  <c r="X85" i="1"/>
  <c r="T85" i="1"/>
  <c r="Q85" i="1"/>
  <c r="L85" i="1"/>
  <c r="AN84" i="1"/>
  <c r="AM84" i="1"/>
  <c r="AK84" i="1"/>
  <c r="AJ84" i="1"/>
  <c r="AH84" i="1" s="1"/>
  <c r="L84" i="1" s="1"/>
  <c r="AI84" i="1"/>
  <c r="Z84" i="1"/>
  <c r="Y84" i="1"/>
  <c r="Q84" i="1"/>
  <c r="O84" i="1"/>
  <c r="K84" i="1"/>
  <c r="J84" i="1"/>
  <c r="I84" i="1" s="1"/>
  <c r="AN83" i="1"/>
  <c r="AM83" i="1"/>
  <c r="AL83" i="1"/>
  <c r="AK83" i="1"/>
  <c r="AJ83" i="1"/>
  <c r="AI83" i="1"/>
  <c r="AH83" i="1"/>
  <c r="J83" i="1" s="1"/>
  <c r="I83" i="1" s="1"/>
  <c r="AB83" i="1" s="1"/>
  <c r="Z83" i="1"/>
  <c r="Y83" i="1"/>
  <c r="X83" i="1"/>
  <c r="T83" i="1"/>
  <c r="Q83" i="1"/>
  <c r="L83" i="1"/>
  <c r="AN82" i="1"/>
  <c r="AM82" i="1"/>
  <c r="AK82" i="1"/>
  <c r="AJ82" i="1"/>
  <c r="AH82" i="1" s="1"/>
  <c r="L82" i="1" s="1"/>
  <c r="AI82" i="1"/>
  <c r="Z82" i="1"/>
  <c r="Y82" i="1"/>
  <c r="Q82" i="1"/>
  <c r="O82" i="1"/>
  <c r="K82" i="1"/>
  <c r="J82" i="1"/>
  <c r="I82" i="1" s="1"/>
  <c r="AN81" i="1"/>
  <c r="AM81" i="1"/>
  <c r="AL81" i="1"/>
  <c r="AK81" i="1"/>
  <c r="AJ81" i="1"/>
  <c r="AI81" i="1"/>
  <c r="AH81" i="1"/>
  <c r="J81" i="1" s="1"/>
  <c r="I81" i="1" s="1"/>
  <c r="AB81" i="1" s="1"/>
  <c r="Z81" i="1"/>
  <c r="Y81" i="1"/>
  <c r="X81" i="1"/>
  <c r="T81" i="1"/>
  <c r="Q81" i="1"/>
  <c r="L81" i="1"/>
  <c r="AN80" i="1"/>
  <c r="AM80" i="1"/>
  <c r="AK80" i="1"/>
  <c r="AJ80" i="1"/>
  <c r="AH80" i="1" s="1"/>
  <c r="L80" i="1" s="1"/>
  <c r="AI80" i="1"/>
  <c r="Z80" i="1"/>
  <c r="Y80" i="1"/>
  <c r="Q80" i="1"/>
  <c r="O80" i="1"/>
  <c r="K80" i="1"/>
  <c r="J80" i="1"/>
  <c r="I80" i="1" s="1"/>
  <c r="AN79" i="1"/>
  <c r="AM79" i="1"/>
  <c r="AL79" i="1"/>
  <c r="AK79" i="1"/>
  <c r="AJ79" i="1"/>
  <c r="AI79" i="1"/>
  <c r="AH79" i="1"/>
  <c r="J79" i="1" s="1"/>
  <c r="I79" i="1" s="1"/>
  <c r="AB79" i="1"/>
  <c r="Z79" i="1"/>
  <c r="Y79" i="1"/>
  <c r="X79" i="1"/>
  <c r="T79" i="1"/>
  <c r="Q79" i="1"/>
  <c r="L79" i="1"/>
  <c r="AN78" i="1"/>
  <c r="AM78" i="1"/>
  <c r="AK78" i="1"/>
  <c r="AJ78" i="1"/>
  <c r="AH78" i="1" s="1"/>
  <c r="L78" i="1" s="1"/>
  <c r="AI78" i="1"/>
  <c r="Z78" i="1"/>
  <c r="Y78" i="1"/>
  <c r="Q78" i="1"/>
  <c r="O78" i="1"/>
  <c r="K78" i="1"/>
  <c r="J78" i="1"/>
  <c r="I78" i="1" s="1"/>
  <c r="AN77" i="1"/>
  <c r="AM77" i="1"/>
  <c r="AL77" i="1" s="1"/>
  <c r="AK77" i="1"/>
  <c r="AJ77" i="1"/>
  <c r="AI77" i="1"/>
  <c r="AH77" i="1"/>
  <c r="J77" i="1" s="1"/>
  <c r="I77" i="1" s="1"/>
  <c r="AB77" i="1" s="1"/>
  <c r="Z77" i="1"/>
  <c r="Y77" i="1"/>
  <c r="X77" i="1"/>
  <c r="T77" i="1"/>
  <c r="Q77" i="1"/>
  <c r="L77" i="1"/>
  <c r="AN76" i="1"/>
  <c r="T76" i="1" s="1"/>
  <c r="AM76" i="1"/>
  <c r="AK76" i="1"/>
  <c r="AJ76" i="1"/>
  <c r="AH76" i="1" s="1"/>
  <c r="L76" i="1" s="1"/>
  <c r="AI76" i="1"/>
  <c r="Z76" i="1"/>
  <c r="X76" i="1" s="1"/>
  <c r="Y76" i="1"/>
  <c r="Q76" i="1"/>
  <c r="O76" i="1"/>
  <c r="K76" i="1"/>
  <c r="J76" i="1"/>
  <c r="I76" i="1" s="1"/>
  <c r="AB76" i="1" s="1"/>
  <c r="AN75" i="1"/>
  <c r="AM75" i="1"/>
  <c r="AL75" i="1" s="1"/>
  <c r="AK75" i="1"/>
  <c r="AJ75" i="1"/>
  <c r="AI75" i="1"/>
  <c r="AH75" i="1"/>
  <c r="Z75" i="1"/>
  <c r="Y75" i="1"/>
  <c r="X75" i="1"/>
  <c r="T75" i="1"/>
  <c r="Q75" i="1"/>
  <c r="AN74" i="1"/>
  <c r="AM74" i="1"/>
  <c r="AK74" i="1"/>
  <c r="AJ74" i="1"/>
  <c r="AH74" i="1" s="1"/>
  <c r="Z74" i="1"/>
  <c r="X74" i="1" s="1"/>
  <c r="Y74" i="1"/>
  <c r="Q74" i="1"/>
  <c r="O74" i="1"/>
  <c r="K74" i="1"/>
  <c r="AN73" i="1"/>
  <c r="AM73" i="1"/>
  <c r="AL73" i="1" s="1"/>
  <c r="AK73" i="1"/>
  <c r="AJ73" i="1"/>
  <c r="AI73" i="1"/>
  <c r="AH73" i="1"/>
  <c r="O73" i="1" s="1"/>
  <c r="Z73" i="1"/>
  <c r="Y73" i="1"/>
  <c r="X73" i="1" s="1"/>
  <c r="T73" i="1"/>
  <c r="Q73" i="1"/>
  <c r="L73" i="1"/>
  <c r="AN72" i="1"/>
  <c r="AM72" i="1"/>
  <c r="AK72" i="1"/>
  <c r="AJ72" i="1"/>
  <c r="AH72" i="1" s="1"/>
  <c r="O72" i="1" s="1"/>
  <c r="Z72" i="1"/>
  <c r="X72" i="1" s="1"/>
  <c r="Y72" i="1"/>
  <c r="Q72" i="1"/>
  <c r="K72" i="1"/>
  <c r="AN71" i="1"/>
  <c r="AM71" i="1"/>
  <c r="AL71" i="1" s="1"/>
  <c r="AK71" i="1"/>
  <c r="AJ71" i="1"/>
  <c r="AI71" i="1"/>
  <c r="AH71" i="1"/>
  <c r="Z71" i="1"/>
  <c r="Y71" i="1"/>
  <c r="X71" i="1"/>
  <c r="T71" i="1"/>
  <c r="Q71" i="1"/>
  <c r="AN70" i="1"/>
  <c r="AM70" i="1"/>
  <c r="AK70" i="1"/>
  <c r="AJ70" i="1"/>
  <c r="AH70" i="1" s="1"/>
  <c r="Z70" i="1"/>
  <c r="X70" i="1" s="1"/>
  <c r="Y70" i="1"/>
  <c r="Q70" i="1"/>
  <c r="O70" i="1"/>
  <c r="K70" i="1"/>
  <c r="AN69" i="1"/>
  <c r="AM69" i="1"/>
  <c r="AL69" i="1" s="1"/>
  <c r="AK69" i="1"/>
  <c r="AJ69" i="1"/>
  <c r="AI69" i="1"/>
  <c r="AH69" i="1"/>
  <c r="O69" i="1" s="1"/>
  <c r="Z69" i="1"/>
  <c r="Y69" i="1"/>
  <c r="X69" i="1" s="1"/>
  <c r="T69" i="1"/>
  <c r="Q69" i="1"/>
  <c r="L69" i="1"/>
  <c r="AN68" i="1"/>
  <c r="AM68" i="1"/>
  <c r="AK68" i="1"/>
  <c r="AJ68" i="1"/>
  <c r="AH68" i="1" s="1"/>
  <c r="O68" i="1" s="1"/>
  <c r="Z68" i="1"/>
  <c r="X68" i="1" s="1"/>
  <c r="Y68" i="1"/>
  <c r="Q68" i="1"/>
  <c r="K68" i="1"/>
  <c r="AN67" i="1"/>
  <c r="AM67" i="1"/>
  <c r="AL67" i="1" s="1"/>
  <c r="AK67" i="1"/>
  <c r="AJ67" i="1"/>
  <c r="AI67" i="1"/>
  <c r="AH67" i="1"/>
  <c r="Z67" i="1"/>
  <c r="Y67" i="1"/>
  <c r="X67" i="1"/>
  <c r="T67" i="1"/>
  <c r="Q67" i="1"/>
  <c r="AN66" i="1"/>
  <c r="AM66" i="1"/>
  <c r="AK66" i="1"/>
  <c r="AJ66" i="1"/>
  <c r="AH66" i="1" s="1"/>
  <c r="Z66" i="1"/>
  <c r="Y66" i="1"/>
  <c r="X66" i="1" s="1"/>
  <c r="Q66" i="1"/>
  <c r="O66" i="1"/>
  <c r="K66" i="1"/>
  <c r="AN65" i="1"/>
  <c r="AM65" i="1"/>
  <c r="AL65" i="1" s="1"/>
  <c r="AK65" i="1"/>
  <c r="AJ65" i="1"/>
  <c r="AI65" i="1"/>
  <c r="AH65" i="1"/>
  <c r="O65" i="1" s="1"/>
  <c r="Z65" i="1"/>
  <c r="Y65" i="1"/>
  <c r="X65" i="1" s="1"/>
  <c r="T65" i="1"/>
  <c r="Q65" i="1"/>
  <c r="L65" i="1"/>
  <c r="AN64" i="1"/>
  <c r="AM64" i="1"/>
  <c r="AK64" i="1"/>
  <c r="AJ64" i="1"/>
  <c r="AH64" i="1" s="1"/>
  <c r="O64" i="1" s="1"/>
  <c r="Z64" i="1"/>
  <c r="X64" i="1" s="1"/>
  <c r="Y64" i="1"/>
  <c r="Q64" i="1"/>
  <c r="K64" i="1"/>
  <c r="AN63" i="1"/>
  <c r="AM63" i="1"/>
  <c r="AL63" i="1" s="1"/>
  <c r="AK63" i="1"/>
  <c r="AJ63" i="1"/>
  <c r="AI63" i="1"/>
  <c r="AH63" i="1"/>
  <c r="Z63" i="1"/>
  <c r="Y63" i="1"/>
  <c r="X63" i="1"/>
  <c r="T63" i="1"/>
  <c r="Q63" i="1"/>
  <c r="AN62" i="1"/>
  <c r="AM62" i="1"/>
  <c r="AK62" i="1"/>
  <c r="AJ62" i="1"/>
  <c r="AH62" i="1" s="1"/>
  <c r="Z62" i="1"/>
  <c r="Y62" i="1"/>
  <c r="X62" i="1" s="1"/>
  <c r="Q62" i="1"/>
  <c r="O62" i="1"/>
  <c r="K62" i="1"/>
  <c r="AN61" i="1"/>
  <c r="AM61" i="1"/>
  <c r="AL61" i="1" s="1"/>
  <c r="AK61" i="1"/>
  <c r="AJ61" i="1"/>
  <c r="AI61" i="1"/>
  <c r="AH61" i="1"/>
  <c r="O61" i="1" s="1"/>
  <c r="Z61" i="1"/>
  <c r="Y61" i="1"/>
  <c r="X61" i="1" s="1"/>
  <c r="T61" i="1"/>
  <c r="Q61" i="1"/>
  <c r="L61" i="1"/>
  <c r="AN60" i="1"/>
  <c r="AM60" i="1"/>
  <c r="AK60" i="1"/>
  <c r="AJ60" i="1"/>
  <c r="AH60" i="1" s="1"/>
  <c r="O60" i="1" s="1"/>
  <c r="Z60" i="1"/>
  <c r="Y60" i="1"/>
  <c r="X60" i="1" s="1"/>
  <c r="Q60" i="1"/>
  <c r="K60" i="1"/>
  <c r="AN59" i="1"/>
  <c r="AM59" i="1"/>
  <c r="AL59" i="1" s="1"/>
  <c r="AK59" i="1"/>
  <c r="AJ59" i="1"/>
  <c r="AI59" i="1"/>
  <c r="AH59" i="1"/>
  <c r="Z59" i="1"/>
  <c r="Y59" i="1"/>
  <c r="X59" i="1"/>
  <c r="T59" i="1"/>
  <c r="Q59" i="1"/>
  <c r="AN58" i="1"/>
  <c r="AM58" i="1"/>
  <c r="AK58" i="1"/>
  <c r="AJ58" i="1"/>
  <c r="AH58" i="1" s="1"/>
  <c r="Z58" i="1"/>
  <c r="Y58" i="1"/>
  <c r="X58" i="1" s="1"/>
  <c r="Q58" i="1"/>
  <c r="O58" i="1"/>
  <c r="K58" i="1"/>
  <c r="AN57" i="1"/>
  <c r="AM57" i="1"/>
  <c r="AL57" i="1" s="1"/>
  <c r="AK57" i="1"/>
  <c r="AJ57" i="1"/>
  <c r="AI57" i="1"/>
  <c r="AH57" i="1"/>
  <c r="O57" i="1" s="1"/>
  <c r="Z57" i="1"/>
  <c r="Y57" i="1"/>
  <c r="X57" i="1" s="1"/>
  <c r="T57" i="1"/>
  <c r="Q57" i="1"/>
  <c r="L57" i="1"/>
  <c r="K57" i="1"/>
  <c r="AN56" i="1"/>
  <c r="AM56" i="1"/>
  <c r="AK56" i="1"/>
  <c r="AJ56" i="1"/>
  <c r="AH56" i="1" s="1"/>
  <c r="K56" i="1" s="1"/>
  <c r="Z56" i="1"/>
  <c r="Y56" i="1"/>
  <c r="X56" i="1" s="1"/>
  <c r="Q56" i="1"/>
  <c r="O56" i="1"/>
  <c r="AN55" i="1"/>
  <c r="AM55" i="1"/>
  <c r="AL55" i="1" s="1"/>
  <c r="AK55" i="1"/>
  <c r="AJ55" i="1"/>
  <c r="AH55" i="1"/>
  <c r="AI55" i="1" s="1"/>
  <c r="Z55" i="1"/>
  <c r="Y55" i="1"/>
  <c r="X55" i="1" s="1"/>
  <c r="T55" i="1"/>
  <c r="Q55" i="1"/>
  <c r="AN54" i="1"/>
  <c r="AM54" i="1"/>
  <c r="AK54" i="1"/>
  <c r="AJ54" i="1"/>
  <c r="AH54" i="1" s="1"/>
  <c r="K54" i="1" s="1"/>
  <c r="Z54" i="1"/>
  <c r="Y54" i="1"/>
  <c r="X54" i="1" s="1"/>
  <c r="Q54" i="1"/>
  <c r="O54" i="1"/>
  <c r="AN53" i="1"/>
  <c r="AM53" i="1"/>
  <c r="AL53" i="1" s="1"/>
  <c r="AK53" i="1"/>
  <c r="AJ53" i="1"/>
  <c r="AI53" i="1"/>
  <c r="AH53" i="1"/>
  <c r="O53" i="1" s="1"/>
  <c r="AB53" i="1"/>
  <c r="Z53" i="1"/>
  <c r="Y53" i="1"/>
  <c r="X53" i="1" s="1"/>
  <c r="T53" i="1"/>
  <c r="Q53" i="1"/>
  <c r="U53" i="1" s="1"/>
  <c r="V53" i="1" s="1"/>
  <c r="L53" i="1"/>
  <c r="K53" i="1"/>
  <c r="J53" i="1"/>
  <c r="I53" i="1"/>
  <c r="AN52" i="1"/>
  <c r="AM52" i="1"/>
  <c r="AK52" i="1"/>
  <c r="AJ52" i="1"/>
  <c r="AH52" i="1" s="1"/>
  <c r="Z52" i="1"/>
  <c r="Y52" i="1"/>
  <c r="Q52" i="1"/>
  <c r="O52" i="1"/>
  <c r="K52" i="1"/>
  <c r="J52" i="1"/>
  <c r="I52" i="1" s="1"/>
  <c r="AB52" i="1" s="1"/>
  <c r="AN51" i="1"/>
  <c r="T51" i="1" s="1"/>
  <c r="AM51" i="1"/>
  <c r="AL51" i="1" s="1"/>
  <c r="AK51" i="1"/>
  <c r="AJ51" i="1"/>
  <c r="AH51" i="1"/>
  <c r="Z51" i="1"/>
  <c r="Y51" i="1"/>
  <c r="X51" i="1"/>
  <c r="Q51" i="1"/>
  <c r="AN50" i="1"/>
  <c r="AM50" i="1"/>
  <c r="AK50" i="1"/>
  <c r="AJ50" i="1"/>
  <c r="AH50" i="1" s="1"/>
  <c r="O50" i="1" s="1"/>
  <c r="Z50" i="1"/>
  <c r="Y50" i="1"/>
  <c r="X50" i="1" s="1"/>
  <c r="Q50" i="1"/>
  <c r="K50" i="1"/>
  <c r="AN49" i="1"/>
  <c r="AM49" i="1"/>
  <c r="AL49" i="1"/>
  <c r="AK49" i="1"/>
  <c r="AJ49" i="1"/>
  <c r="AH49" i="1" s="1"/>
  <c r="AI49" i="1" s="1"/>
  <c r="Z49" i="1"/>
  <c r="Y49" i="1"/>
  <c r="X49" i="1" s="1"/>
  <c r="T49" i="1"/>
  <c r="Q49" i="1"/>
  <c r="AN48" i="1"/>
  <c r="AM48" i="1"/>
  <c r="AK48" i="1"/>
  <c r="AJ48" i="1"/>
  <c r="AH48" i="1" s="1"/>
  <c r="K48" i="1" s="1"/>
  <c r="Z48" i="1"/>
  <c r="Y48" i="1"/>
  <c r="X48" i="1" s="1"/>
  <c r="Q48" i="1"/>
  <c r="O48" i="1"/>
  <c r="AN47" i="1"/>
  <c r="AM47" i="1"/>
  <c r="AK47" i="1"/>
  <c r="AL47" i="1" s="1"/>
  <c r="AJ47" i="1"/>
  <c r="AI47" i="1"/>
  <c r="AH47" i="1"/>
  <c r="Z47" i="1"/>
  <c r="Y47" i="1"/>
  <c r="X47" i="1"/>
  <c r="Q47" i="1"/>
  <c r="O47" i="1"/>
  <c r="AN46" i="1"/>
  <c r="AM46" i="1"/>
  <c r="AK46" i="1"/>
  <c r="AJ46" i="1"/>
  <c r="AH46" i="1" s="1"/>
  <c r="Z46" i="1"/>
  <c r="Y46" i="1"/>
  <c r="X46" i="1" s="1"/>
  <c r="Q46" i="1"/>
  <c r="K46" i="1"/>
  <c r="AN45" i="1"/>
  <c r="AM45" i="1"/>
  <c r="AL45" i="1"/>
  <c r="AK45" i="1"/>
  <c r="T45" i="1" s="1"/>
  <c r="AJ45" i="1"/>
  <c r="AH45" i="1" s="1"/>
  <c r="AI45" i="1"/>
  <c r="Z45" i="1"/>
  <c r="Y45" i="1"/>
  <c r="X45" i="1" s="1"/>
  <c r="Q45" i="1"/>
  <c r="L45" i="1"/>
  <c r="K45" i="1"/>
  <c r="AN44" i="1"/>
  <c r="AM44" i="1"/>
  <c r="AK44" i="1"/>
  <c r="AJ44" i="1"/>
  <c r="AH44" i="1" s="1"/>
  <c r="L44" i="1" s="1"/>
  <c r="AI44" i="1"/>
  <c r="Z44" i="1"/>
  <c r="Y44" i="1"/>
  <c r="Q44" i="1"/>
  <c r="J44" i="1"/>
  <c r="I44" i="1" s="1"/>
  <c r="AN43" i="1"/>
  <c r="AM43" i="1"/>
  <c r="AK43" i="1"/>
  <c r="AJ43" i="1"/>
  <c r="AH43" i="1"/>
  <c r="Z43" i="1"/>
  <c r="Y43" i="1"/>
  <c r="X43" i="1" s="1"/>
  <c r="Q43" i="1"/>
  <c r="O43" i="1"/>
  <c r="AN42" i="1"/>
  <c r="AM42" i="1"/>
  <c r="AK42" i="1"/>
  <c r="AJ42" i="1"/>
  <c r="AH42" i="1" s="1"/>
  <c r="Z42" i="1"/>
  <c r="Y42" i="1"/>
  <c r="X42" i="1" s="1"/>
  <c r="Q42" i="1"/>
  <c r="O42" i="1"/>
  <c r="AN41" i="1"/>
  <c r="AM41" i="1"/>
  <c r="AK41" i="1"/>
  <c r="AL41" i="1" s="1"/>
  <c r="AJ41" i="1"/>
  <c r="AH41" i="1" s="1"/>
  <c r="O41" i="1" s="1"/>
  <c r="AI41" i="1"/>
  <c r="Z41" i="1"/>
  <c r="Y41" i="1"/>
  <c r="X41" i="1" s="1"/>
  <c r="Q41" i="1"/>
  <c r="L41" i="1"/>
  <c r="K41" i="1"/>
  <c r="AN40" i="1"/>
  <c r="AM40" i="1"/>
  <c r="AK40" i="1"/>
  <c r="AJ40" i="1"/>
  <c r="AH40" i="1"/>
  <c r="L40" i="1" s="1"/>
  <c r="Z40" i="1"/>
  <c r="Y40" i="1"/>
  <c r="X40" i="1"/>
  <c r="Q40" i="1"/>
  <c r="AN39" i="1"/>
  <c r="AM39" i="1"/>
  <c r="AK39" i="1"/>
  <c r="AJ39" i="1"/>
  <c r="AI39" i="1"/>
  <c r="AH39" i="1"/>
  <c r="Z39" i="1"/>
  <c r="Y39" i="1"/>
  <c r="X39" i="1"/>
  <c r="Q39" i="1"/>
  <c r="K39" i="1"/>
  <c r="AN38" i="1"/>
  <c r="AM38" i="1"/>
  <c r="AL38" i="1" s="1"/>
  <c r="AK38" i="1"/>
  <c r="AJ38" i="1"/>
  <c r="AH38" i="1" s="1"/>
  <c r="J38" i="1" s="1"/>
  <c r="I38" i="1" s="1"/>
  <c r="Z38" i="1"/>
  <c r="Y38" i="1"/>
  <c r="X38" i="1" s="1"/>
  <c r="T38" i="1"/>
  <c r="Q38" i="1"/>
  <c r="K38" i="1"/>
  <c r="AN37" i="1"/>
  <c r="AM37" i="1"/>
  <c r="AL37" i="1"/>
  <c r="AK37" i="1"/>
  <c r="AJ37" i="1"/>
  <c r="AI37" i="1"/>
  <c r="AH37" i="1"/>
  <c r="O37" i="1" s="1"/>
  <c r="Z37" i="1"/>
  <c r="Y37" i="1"/>
  <c r="X37" i="1" s="1"/>
  <c r="T37" i="1"/>
  <c r="Q37" i="1"/>
  <c r="L37" i="1"/>
  <c r="AN36" i="1"/>
  <c r="AM36" i="1"/>
  <c r="AL36" i="1"/>
  <c r="AK36" i="1"/>
  <c r="AJ36" i="1"/>
  <c r="AH36" i="1" s="1"/>
  <c r="Z36" i="1"/>
  <c r="X36" i="1" s="1"/>
  <c r="Y36" i="1"/>
  <c r="T36" i="1"/>
  <c r="Q36" i="1"/>
  <c r="AN35" i="1"/>
  <c r="AM35" i="1"/>
  <c r="AL35" i="1" s="1"/>
  <c r="AK35" i="1"/>
  <c r="AJ35" i="1"/>
  <c r="AH35" i="1"/>
  <c r="L35" i="1" s="1"/>
  <c r="Z35" i="1"/>
  <c r="Y35" i="1"/>
  <c r="X35" i="1"/>
  <c r="T35" i="1"/>
  <c r="Q35" i="1"/>
  <c r="AN34" i="1"/>
  <c r="AM34" i="1"/>
  <c r="AK34" i="1"/>
  <c r="AL34" i="1" s="1"/>
  <c r="AJ34" i="1"/>
  <c r="AH34" i="1"/>
  <c r="J34" i="1" s="1"/>
  <c r="I34" i="1" s="1"/>
  <c r="Z34" i="1"/>
  <c r="Y34" i="1"/>
  <c r="X34" i="1"/>
  <c r="Q34" i="1"/>
  <c r="K34" i="1"/>
  <c r="AN33" i="1"/>
  <c r="AM33" i="1"/>
  <c r="AL33" i="1"/>
  <c r="AK33" i="1"/>
  <c r="AJ33" i="1"/>
  <c r="AI33" i="1"/>
  <c r="AH33" i="1"/>
  <c r="O33" i="1" s="1"/>
  <c r="Z33" i="1"/>
  <c r="Y33" i="1"/>
  <c r="X33" i="1" s="1"/>
  <c r="T33" i="1"/>
  <c r="Q33" i="1"/>
  <c r="L33" i="1"/>
  <c r="AN32" i="1"/>
  <c r="AM32" i="1"/>
  <c r="AL32" i="1"/>
  <c r="AK32" i="1"/>
  <c r="AJ32" i="1"/>
  <c r="AH32" i="1" s="1"/>
  <c r="Z32" i="1"/>
  <c r="X32" i="1" s="1"/>
  <c r="Y32" i="1"/>
  <c r="T32" i="1"/>
  <c r="Q32" i="1"/>
  <c r="AN31" i="1"/>
  <c r="AM31" i="1"/>
  <c r="AL31" i="1" s="1"/>
  <c r="AK31" i="1"/>
  <c r="AJ31" i="1"/>
  <c r="AH31" i="1"/>
  <c r="L31" i="1" s="1"/>
  <c r="Z31" i="1"/>
  <c r="Y31" i="1"/>
  <c r="X31" i="1"/>
  <c r="T31" i="1"/>
  <c r="Q31" i="1"/>
  <c r="AN30" i="1"/>
  <c r="AM30" i="1"/>
  <c r="AK30" i="1"/>
  <c r="AL30" i="1" s="1"/>
  <c r="AJ30" i="1"/>
  <c r="AH30" i="1"/>
  <c r="J30" i="1" s="1"/>
  <c r="I30" i="1" s="1"/>
  <c r="Z30" i="1"/>
  <c r="Y30" i="1"/>
  <c r="X30" i="1"/>
  <c r="Q30" i="1"/>
  <c r="K30" i="1"/>
  <c r="AN29" i="1"/>
  <c r="AM29" i="1"/>
  <c r="AL29" i="1"/>
  <c r="AK29" i="1"/>
  <c r="AJ29" i="1"/>
  <c r="AI29" i="1"/>
  <c r="AH29" i="1"/>
  <c r="O29" i="1" s="1"/>
  <c r="Z29" i="1"/>
  <c r="Y29" i="1"/>
  <c r="X29" i="1" s="1"/>
  <c r="T29" i="1"/>
  <c r="Q29" i="1"/>
  <c r="L29" i="1"/>
  <c r="AN28" i="1"/>
  <c r="AM28" i="1"/>
  <c r="AL28" i="1"/>
  <c r="AK28" i="1"/>
  <c r="AJ28" i="1"/>
  <c r="AH28" i="1" s="1"/>
  <c r="Z28" i="1"/>
  <c r="X28" i="1" s="1"/>
  <c r="Y28" i="1"/>
  <c r="T28" i="1"/>
  <c r="Q28" i="1"/>
  <c r="AN27" i="1"/>
  <c r="AM27" i="1"/>
  <c r="AL27" i="1" s="1"/>
  <c r="AK27" i="1"/>
  <c r="AJ27" i="1"/>
  <c r="AH27" i="1"/>
  <c r="L27" i="1" s="1"/>
  <c r="Z27" i="1"/>
  <c r="Y27" i="1"/>
  <c r="X27" i="1"/>
  <c r="T27" i="1"/>
  <c r="Q27" i="1"/>
  <c r="AN26" i="1"/>
  <c r="AM26" i="1"/>
  <c r="AK26" i="1"/>
  <c r="AL26" i="1" s="1"/>
  <c r="AJ26" i="1"/>
  <c r="AH26" i="1"/>
  <c r="J26" i="1" s="1"/>
  <c r="I26" i="1" s="1"/>
  <c r="Z26" i="1"/>
  <c r="Y26" i="1"/>
  <c r="X26" i="1"/>
  <c r="Q26" i="1"/>
  <c r="K26" i="1"/>
  <c r="AN25" i="1"/>
  <c r="AM25" i="1"/>
  <c r="AL25" i="1"/>
  <c r="AK25" i="1"/>
  <c r="AJ25" i="1"/>
  <c r="AI25" i="1"/>
  <c r="AH25" i="1"/>
  <c r="O25" i="1" s="1"/>
  <c r="Z25" i="1"/>
  <c r="Y25" i="1"/>
  <c r="X25" i="1" s="1"/>
  <c r="T25" i="1"/>
  <c r="Q25" i="1"/>
  <c r="L25" i="1"/>
  <c r="AN24" i="1"/>
  <c r="AM24" i="1"/>
  <c r="AL24" i="1"/>
  <c r="AK24" i="1"/>
  <c r="AJ24" i="1"/>
  <c r="AH24" i="1" s="1"/>
  <c r="Z24" i="1"/>
  <c r="X24" i="1" s="1"/>
  <c r="Y24" i="1"/>
  <c r="T24" i="1"/>
  <c r="Q24" i="1"/>
  <c r="AN23" i="1"/>
  <c r="AM23" i="1"/>
  <c r="AL23" i="1" s="1"/>
  <c r="AK23" i="1"/>
  <c r="AJ23" i="1"/>
  <c r="AH23" i="1"/>
  <c r="L23" i="1" s="1"/>
  <c r="Z23" i="1"/>
  <c r="Y23" i="1"/>
  <c r="X23" i="1"/>
  <c r="T23" i="1"/>
  <c r="Q23" i="1"/>
  <c r="AN22" i="1"/>
  <c r="AM22" i="1"/>
  <c r="AK22" i="1"/>
  <c r="AL22" i="1" s="1"/>
  <c r="AJ22" i="1"/>
  <c r="AH22" i="1"/>
  <c r="J22" i="1" s="1"/>
  <c r="I22" i="1" s="1"/>
  <c r="Z22" i="1"/>
  <c r="Y22" i="1"/>
  <c r="X22" i="1"/>
  <c r="Q22" i="1"/>
  <c r="K22" i="1"/>
  <c r="AN21" i="1"/>
  <c r="AM21" i="1"/>
  <c r="AL21" i="1"/>
  <c r="AK21" i="1"/>
  <c r="AJ21" i="1"/>
  <c r="AI21" i="1"/>
  <c r="AH21" i="1"/>
  <c r="O21" i="1" s="1"/>
  <c r="Z21" i="1"/>
  <c r="Y21" i="1"/>
  <c r="X21" i="1" s="1"/>
  <c r="T21" i="1"/>
  <c r="Q21" i="1"/>
  <c r="L21" i="1"/>
  <c r="AN20" i="1"/>
  <c r="AM20" i="1"/>
  <c r="AL20" i="1"/>
  <c r="AK20" i="1"/>
  <c r="AJ20" i="1"/>
  <c r="AH20" i="1" s="1"/>
  <c r="Z20" i="1"/>
  <c r="X20" i="1" s="1"/>
  <c r="Y20" i="1"/>
  <c r="T20" i="1"/>
  <c r="Q20" i="1"/>
  <c r="AN19" i="1"/>
  <c r="AM19" i="1"/>
  <c r="AL19" i="1" s="1"/>
  <c r="AK19" i="1"/>
  <c r="AJ19" i="1"/>
  <c r="AH19" i="1"/>
  <c r="L19" i="1" s="1"/>
  <c r="Z19" i="1"/>
  <c r="Y19" i="1"/>
  <c r="X19" i="1"/>
  <c r="T19" i="1"/>
  <c r="Q19" i="1"/>
  <c r="AN18" i="1"/>
  <c r="AM18" i="1"/>
  <c r="AK18" i="1"/>
  <c r="AJ18" i="1"/>
  <c r="AH18" i="1"/>
  <c r="J18" i="1" s="1"/>
  <c r="I18" i="1" s="1"/>
  <c r="Z18" i="1"/>
  <c r="Y18" i="1"/>
  <c r="X18" i="1"/>
  <c r="Q18" i="1"/>
  <c r="K18" i="1"/>
  <c r="AN17" i="1"/>
  <c r="AM17" i="1"/>
  <c r="AL17" i="1"/>
  <c r="AK17" i="1"/>
  <c r="AJ17" i="1"/>
  <c r="AI17" i="1"/>
  <c r="AH17" i="1"/>
  <c r="O17" i="1" s="1"/>
  <c r="Z17" i="1"/>
  <c r="Y17" i="1"/>
  <c r="X17" i="1" s="1"/>
  <c r="T17" i="1"/>
  <c r="Q17" i="1"/>
  <c r="L17" i="1"/>
  <c r="J20" i="1" l="1"/>
  <c r="I20" i="1" s="1"/>
  <c r="L20" i="1"/>
  <c r="K20" i="1"/>
  <c r="AI20" i="1"/>
  <c r="O20" i="1"/>
  <c r="AC65" i="1"/>
  <c r="J24" i="1"/>
  <c r="I24" i="1" s="1"/>
  <c r="L24" i="1"/>
  <c r="K24" i="1"/>
  <c r="AI24" i="1"/>
  <c r="O24" i="1"/>
  <c r="AB34" i="1"/>
  <c r="J28" i="1"/>
  <c r="I28" i="1" s="1"/>
  <c r="L28" i="1"/>
  <c r="K28" i="1"/>
  <c r="AI28" i="1"/>
  <c r="O28" i="1"/>
  <c r="AB38" i="1"/>
  <c r="J32" i="1"/>
  <c r="I32" i="1" s="1"/>
  <c r="L32" i="1"/>
  <c r="K32" i="1"/>
  <c r="AI32" i="1"/>
  <c r="O32" i="1"/>
  <c r="J36" i="1"/>
  <c r="I36" i="1" s="1"/>
  <c r="L36" i="1"/>
  <c r="K36" i="1"/>
  <c r="AI36" i="1"/>
  <c r="O36" i="1"/>
  <c r="W53" i="1"/>
  <c r="AA53" i="1" s="1"/>
  <c r="AD53" i="1"/>
  <c r="AB30" i="1"/>
  <c r="AB18" i="1"/>
  <c r="U20" i="1"/>
  <c r="V20" i="1" s="1"/>
  <c r="AB44" i="1"/>
  <c r="AB22" i="1"/>
  <c r="U24" i="1"/>
  <c r="V24" i="1" s="1"/>
  <c r="AL18" i="1"/>
  <c r="T18" i="1"/>
  <c r="AB26" i="1"/>
  <c r="U38" i="1"/>
  <c r="V38" i="1" s="1"/>
  <c r="R38" i="1" s="1"/>
  <c r="P38" i="1" s="1"/>
  <c r="S38" i="1" s="1"/>
  <c r="M38" i="1" s="1"/>
  <c r="N38" i="1" s="1"/>
  <c r="AB80" i="1"/>
  <c r="AB137" i="1"/>
  <c r="J17" i="1"/>
  <c r="I17" i="1" s="1"/>
  <c r="L18" i="1"/>
  <c r="J21" i="1"/>
  <c r="I21" i="1" s="1"/>
  <c r="L22" i="1"/>
  <c r="T22" i="1"/>
  <c r="J25" i="1"/>
  <c r="I25" i="1" s="1"/>
  <c r="L26" i="1"/>
  <c r="T26" i="1"/>
  <c r="J29" i="1"/>
  <c r="I29" i="1" s="1"/>
  <c r="L30" i="1"/>
  <c r="T30" i="1"/>
  <c r="J33" i="1"/>
  <c r="I33" i="1" s="1"/>
  <c r="L34" i="1"/>
  <c r="T34" i="1"/>
  <c r="J37" i="1"/>
  <c r="I37" i="1" s="1"/>
  <c r="L38" i="1"/>
  <c r="J42" i="1"/>
  <c r="I42" i="1" s="1"/>
  <c r="AI42" i="1"/>
  <c r="L42" i="1"/>
  <c r="L43" i="1"/>
  <c r="K43" i="1"/>
  <c r="J43" i="1"/>
  <c r="I43" i="1" s="1"/>
  <c r="K44" i="1"/>
  <c r="J48" i="1"/>
  <c r="I48" i="1" s="1"/>
  <c r="L49" i="1"/>
  <c r="L51" i="1"/>
  <c r="K51" i="1"/>
  <c r="J51" i="1"/>
  <c r="I51" i="1" s="1"/>
  <c r="O51" i="1"/>
  <c r="AC53" i="1"/>
  <c r="J56" i="1"/>
  <c r="I56" i="1" s="1"/>
  <c r="R87" i="1"/>
  <c r="P87" i="1" s="1"/>
  <c r="S87" i="1" s="1"/>
  <c r="M87" i="1" s="1"/>
  <c r="N87" i="1" s="1"/>
  <c r="AI104" i="1"/>
  <c r="O104" i="1"/>
  <c r="L104" i="1"/>
  <c r="K104" i="1"/>
  <c r="U105" i="1"/>
  <c r="V105" i="1" s="1"/>
  <c r="U76" i="1"/>
  <c r="V76" i="1" s="1"/>
  <c r="AB88" i="1"/>
  <c r="O95" i="1"/>
  <c r="L95" i="1"/>
  <c r="J95" i="1"/>
  <c r="I95" i="1" s="1"/>
  <c r="AI95" i="1"/>
  <c r="K17" i="1"/>
  <c r="O19" i="1"/>
  <c r="K21" i="1"/>
  <c r="O23" i="1"/>
  <c r="K25" i="1"/>
  <c r="O27" i="1"/>
  <c r="K29" i="1"/>
  <c r="O31" i="1"/>
  <c r="K33" i="1"/>
  <c r="O35" i="1"/>
  <c r="K37" i="1"/>
  <c r="J41" i="1"/>
  <c r="I41" i="1" s="1"/>
  <c r="T41" i="1"/>
  <c r="K42" i="1"/>
  <c r="AL42" i="1"/>
  <c r="T42" i="1"/>
  <c r="AI43" i="1"/>
  <c r="O44" i="1"/>
  <c r="J46" i="1"/>
  <c r="I46" i="1" s="1"/>
  <c r="AI46" i="1"/>
  <c r="L46" i="1"/>
  <c r="L47" i="1"/>
  <c r="K47" i="1"/>
  <c r="J47" i="1"/>
  <c r="I47" i="1" s="1"/>
  <c r="AI51" i="1"/>
  <c r="L52" i="1"/>
  <c r="AI52" i="1"/>
  <c r="J60" i="1"/>
  <c r="I60" i="1" s="1"/>
  <c r="J64" i="1"/>
  <c r="I64" i="1" s="1"/>
  <c r="J68" i="1"/>
  <c r="I68" i="1" s="1"/>
  <c r="J72" i="1"/>
  <c r="I72" i="1" s="1"/>
  <c r="AB78" i="1"/>
  <c r="AB86" i="1"/>
  <c r="K95" i="1"/>
  <c r="J118" i="1"/>
  <c r="I118" i="1" s="1"/>
  <c r="AI118" i="1"/>
  <c r="L118" i="1"/>
  <c r="K118" i="1"/>
  <c r="O118" i="1"/>
  <c r="L127" i="1"/>
  <c r="K127" i="1"/>
  <c r="J127" i="1"/>
  <c r="I127" i="1" s="1"/>
  <c r="AI127" i="1"/>
  <c r="O127" i="1"/>
  <c r="J40" i="1"/>
  <c r="I40" i="1" s="1"/>
  <c r="U17" i="1"/>
  <c r="V17" i="1" s="1"/>
  <c r="O18" i="1"/>
  <c r="AI19" i="1"/>
  <c r="U21" i="1"/>
  <c r="V21" i="1" s="1"/>
  <c r="AC21" i="1" s="1"/>
  <c r="O22" i="1"/>
  <c r="AI23" i="1"/>
  <c r="U25" i="1"/>
  <c r="V25" i="1" s="1"/>
  <c r="O26" i="1"/>
  <c r="AI27" i="1"/>
  <c r="U29" i="1"/>
  <c r="V29" i="1" s="1"/>
  <c r="AC29" i="1" s="1"/>
  <c r="O30" i="1"/>
  <c r="AI31" i="1"/>
  <c r="U33" i="1"/>
  <c r="V33" i="1" s="1"/>
  <c r="AC33" i="1" s="1"/>
  <c r="O34" i="1"/>
  <c r="AI35" i="1"/>
  <c r="U37" i="1"/>
  <c r="V37" i="1" s="1"/>
  <c r="O38" i="1"/>
  <c r="AI38" i="1"/>
  <c r="L39" i="1"/>
  <c r="J39" i="1"/>
  <c r="I39" i="1" s="1"/>
  <c r="K40" i="1"/>
  <c r="AI40" i="1"/>
  <c r="AL43" i="1"/>
  <c r="L48" i="1"/>
  <c r="AI48" i="1"/>
  <c r="J50" i="1"/>
  <c r="I50" i="1" s="1"/>
  <c r="AI50" i="1"/>
  <c r="L50" i="1"/>
  <c r="AE53" i="1"/>
  <c r="L56" i="1"/>
  <c r="AI56" i="1"/>
  <c r="L59" i="1"/>
  <c r="K59" i="1"/>
  <c r="J59" i="1"/>
  <c r="I59" i="1" s="1"/>
  <c r="O59" i="1"/>
  <c r="L63" i="1"/>
  <c r="K63" i="1"/>
  <c r="J63" i="1"/>
  <c r="I63" i="1" s="1"/>
  <c r="O63" i="1"/>
  <c r="L67" i="1"/>
  <c r="K67" i="1"/>
  <c r="J67" i="1"/>
  <c r="I67" i="1" s="1"/>
  <c r="O67" i="1"/>
  <c r="L71" i="1"/>
  <c r="K71" i="1"/>
  <c r="J71" i="1"/>
  <c r="I71" i="1" s="1"/>
  <c r="O71" i="1"/>
  <c r="L75" i="1"/>
  <c r="K75" i="1"/>
  <c r="J75" i="1"/>
  <c r="I75" i="1" s="1"/>
  <c r="O75" i="1"/>
  <c r="AB84" i="1"/>
  <c r="L90" i="1"/>
  <c r="K90" i="1"/>
  <c r="J90" i="1"/>
  <c r="I90" i="1" s="1"/>
  <c r="O90" i="1"/>
  <c r="AL100" i="1"/>
  <c r="X108" i="1"/>
  <c r="AI112" i="1"/>
  <c r="O112" i="1"/>
  <c r="L112" i="1"/>
  <c r="K112" i="1"/>
  <c r="AL92" i="1"/>
  <c r="T92" i="1"/>
  <c r="AB154" i="1"/>
  <c r="J19" i="1"/>
  <c r="I19" i="1" s="1"/>
  <c r="J23" i="1"/>
  <c r="I23" i="1" s="1"/>
  <c r="J27" i="1"/>
  <c r="I27" i="1" s="1"/>
  <c r="J31" i="1"/>
  <c r="I31" i="1" s="1"/>
  <c r="J35" i="1"/>
  <c r="I35" i="1" s="1"/>
  <c r="AL44" i="1"/>
  <c r="T44" i="1"/>
  <c r="AL48" i="1"/>
  <c r="T48" i="1"/>
  <c r="AL50" i="1"/>
  <c r="T50" i="1"/>
  <c r="J54" i="1"/>
  <c r="I54" i="1" s="1"/>
  <c r="AI54" i="1"/>
  <c r="L54" i="1"/>
  <c r="AL56" i="1"/>
  <c r="T56" i="1"/>
  <c r="L60" i="1"/>
  <c r="AI60" i="1"/>
  <c r="L64" i="1"/>
  <c r="AI64" i="1"/>
  <c r="L68" i="1"/>
  <c r="AI68" i="1"/>
  <c r="L72" i="1"/>
  <c r="AI72" i="1"/>
  <c r="AC76" i="1"/>
  <c r="AB96" i="1"/>
  <c r="L98" i="1"/>
  <c r="K98" i="1"/>
  <c r="J98" i="1"/>
  <c r="I98" i="1" s="1"/>
  <c r="AI98" i="1"/>
  <c r="O98" i="1"/>
  <c r="AB130" i="1"/>
  <c r="R180" i="1"/>
  <c r="P180" i="1" s="1"/>
  <c r="S180" i="1" s="1"/>
  <c r="M180" i="1" s="1"/>
  <c r="N180" i="1" s="1"/>
  <c r="AB180" i="1"/>
  <c r="AI18" i="1"/>
  <c r="K19" i="1"/>
  <c r="AI22" i="1"/>
  <c r="K23" i="1"/>
  <c r="AI26" i="1"/>
  <c r="K27" i="1"/>
  <c r="AI30" i="1"/>
  <c r="K31" i="1"/>
  <c r="AI34" i="1"/>
  <c r="K35" i="1"/>
  <c r="O39" i="1"/>
  <c r="O40" i="1"/>
  <c r="AL40" i="1"/>
  <c r="T40" i="1"/>
  <c r="O45" i="1"/>
  <c r="J45" i="1"/>
  <c r="I45" i="1" s="1"/>
  <c r="U45" i="1" s="1"/>
  <c r="V45" i="1" s="1"/>
  <c r="O46" i="1"/>
  <c r="X52" i="1"/>
  <c r="R53" i="1"/>
  <c r="P53" i="1" s="1"/>
  <c r="S53" i="1" s="1"/>
  <c r="M53" i="1" s="1"/>
  <c r="N53" i="1" s="1"/>
  <c r="AL54" i="1"/>
  <c r="T54" i="1"/>
  <c r="U57" i="1"/>
  <c r="V57" i="1" s="1"/>
  <c r="J58" i="1"/>
  <c r="I58" i="1" s="1"/>
  <c r="AI58" i="1"/>
  <c r="L58" i="1"/>
  <c r="AL60" i="1"/>
  <c r="T60" i="1"/>
  <c r="J62" i="1"/>
  <c r="I62" i="1" s="1"/>
  <c r="AI62" i="1"/>
  <c r="L62" i="1"/>
  <c r="AL64" i="1"/>
  <c r="T64" i="1"/>
  <c r="U65" i="1"/>
  <c r="V65" i="1" s="1"/>
  <c r="J66" i="1"/>
  <c r="I66" i="1" s="1"/>
  <c r="AI66" i="1"/>
  <c r="L66" i="1"/>
  <c r="AL68" i="1"/>
  <c r="T68" i="1"/>
  <c r="J70" i="1"/>
  <c r="I70" i="1" s="1"/>
  <c r="AI70" i="1"/>
  <c r="L70" i="1"/>
  <c r="AL72" i="1"/>
  <c r="T72" i="1"/>
  <c r="J74" i="1"/>
  <c r="I74" i="1" s="1"/>
  <c r="AI74" i="1"/>
  <c r="L74" i="1"/>
  <c r="R76" i="1"/>
  <c r="P76" i="1" s="1"/>
  <c r="S76" i="1" s="1"/>
  <c r="M76" i="1" s="1"/>
  <c r="N76" i="1" s="1"/>
  <c r="AB82" i="1"/>
  <c r="L91" i="1"/>
  <c r="J91" i="1"/>
  <c r="I91" i="1" s="1"/>
  <c r="AI91" i="1"/>
  <c r="O91" i="1"/>
  <c r="K91" i="1"/>
  <c r="AE97" i="1"/>
  <c r="O103" i="1"/>
  <c r="L103" i="1"/>
  <c r="J103" i="1"/>
  <c r="I103" i="1" s="1"/>
  <c r="AI103" i="1"/>
  <c r="J112" i="1"/>
  <c r="I112" i="1" s="1"/>
  <c r="L116" i="1"/>
  <c r="AI116" i="1"/>
  <c r="O116" i="1"/>
  <c r="J116" i="1"/>
  <c r="I116" i="1" s="1"/>
  <c r="K116" i="1"/>
  <c r="AL46" i="1"/>
  <c r="T46" i="1"/>
  <c r="O49" i="1"/>
  <c r="K49" i="1"/>
  <c r="J49" i="1"/>
  <c r="I49" i="1" s="1"/>
  <c r="AL52" i="1"/>
  <c r="T52" i="1"/>
  <c r="L55" i="1"/>
  <c r="K55" i="1"/>
  <c r="J55" i="1"/>
  <c r="I55" i="1" s="1"/>
  <c r="O55" i="1"/>
  <c r="AB92" i="1"/>
  <c r="AL39" i="1"/>
  <c r="T39" i="1"/>
  <c r="X44" i="1"/>
  <c r="AL58" i="1"/>
  <c r="T58" i="1"/>
  <c r="AL62" i="1"/>
  <c r="T62" i="1"/>
  <c r="AL66" i="1"/>
  <c r="T66" i="1"/>
  <c r="AL70" i="1"/>
  <c r="T70" i="1"/>
  <c r="AL74" i="1"/>
  <c r="T74" i="1"/>
  <c r="R81" i="1"/>
  <c r="P81" i="1" s="1"/>
  <c r="S81" i="1" s="1"/>
  <c r="M81" i="1" s="1"/>
  <c r="N81" i="1" s="1"/>
  <c r="AB93" i="1"/>
  <c r="AL107" i="1"/>
  <c r="T107" i="1"/>
  <c r="L110" i="1"/>
  <c r="K110" i="1"/>
  <c r="J110" i="1"/>
  <c r="I110" i="1" s="1"/>
  <c r="O110" i="1"/>
  <c r="AI110" i="1"/>
  <c r="AL138" i="1"/>
  <c r="T138" i="1"/>
  <c r="U148" i="1"/>
  <c r="V148" i="1" s="1"/>
  <c r="R148" i="1" s="1"/>
  <c r="P148" i="1" s="1"/>
  <c r="S148" i="1" s="1"/>
  <c r="M148" i="1" s="1"/>
  <c r="N148" i="1" s="1"/>
  <c r="J57" i="1"/>
  <c r="I57" i="1" s="1"/>
  <c r="J61" i="1"/>
  <c r="I61" i="1" s="1"/>
  <c r="U61" i="1" s="1"/>
  <c r="V61" i="1" s="1"/>
  <c r="J65" i="1"/>
  <c r="I65" i="1" s="1"/>
  <c r="J69" i="1"/>
  <c r="I69" i="1" s="1"/>
  <c r="J73" i="1"/>
  <c r="I73" i="1" s="1"/>
  <c r="O77" i="1"/>
  <c r="O79" i="1"/>
  <c r="O81" i="1"/>
  <c r="O83" i="1"/>
  <c r="O85" i="1"/>
  <c r="O87" i="1"/>
  <c r="O89" i="1"/>
  <c r="T93" i="1"/>
  <c r="O107" i="1"/>
  <c r="L107" i="1"/>
  <c r="J107" i="1"/>
  <c r="I107" i="1" s="1"/>
  <c r="AI107" i="1"/>
  <c r="AL111" i="1"/>
  <c r="T111" i="1"/>
  <c r="L124" i="1"/>
  <c r="K124" i="1"/>
  <c r="AI124" i="1"/>
  <c r="O124" i="1"/>
  <c r="U129" i="1"/>
  <c r="V129" i="1" s="1"/>
  <c r="AD144" i="1"/>
  <c r="AC144" i="1"/>
  <c r="W144" i="1"/>
  <c r="AA144" i="1" s="1"/>
  <c r="K61" i="1"/>
  <c r="K65" i="1"/>
  <c r="K69" i="1"/>
  <c r="K73" i="1"/>
  <c r="AL76" i="1"/>
  <c r="X78" i="1"/>
  <c r="AL78" i="1"/>
  <c r="T78" i="1"/>
  <c r="X80" i="1"/>
  <c r="AL80" i="1"/>
  <c r="T80" i="1"/>
  <c r="X82" i="1"/>
  <c r="AL82" i="1"/>
  <c r="T82" i="1"/>
  <c r="X84" i="1"/>
  <c r="AL84" i="1"/>
  <c r="T84" i="1"/>
  <c r="X86" i="1"/>
  <c r="AL86" i="1"/>
  <c r="T86" i="1"/>
  <c r="X88" i="1"/>
  <c r="AL88" i="1"/>
  <c r="T88" i="1"/>
  <c r="X92" i="1"/>
  <c r="AI100" i="1"/>
  <c r="O100" i="1"/>
  <c r="L100" i="1"/>
  <c r="K100" i="1"/>
  <c r="U101" i="1"/>
  <c r="V101" i="1" s="1"/>
  <c r="R101" i="1" s="1"/>
  <c r="P101" i="1" s="1"/>
  <c r="S101" i="1" s="1"/>
  <c r="M101" i="1" s="1"/>
  <c r="N101" i="1" s="1"/>
  <c r="K115" i="1"/>
  <c r="J115" i="1"/>
  <c r="I115" i="1" s="1"/>
  <c r="O115" i="1"/>
  <c r="L115" i="1"/>
  <c r="AI115" i="1"/>
  <c r="L128" i="1"/>
  <c r="K128" i="1"/>
  <c r="AI128" i="1"/>
  <c r="O128" i="1"/>
  <c r="AI96" i="1"/>
  <c r="O96" i="1"/>
  <c r="L96" i="1"/>
  <c r="AC97" i="1"/>
  <c r="O99" i="1"/>
  <c r="L99" i="1"/>
  <c r="J99" i="1"/>
  <c r="I99" i="1" s="1"/>
  <c r="AI99" i="1"/>
  <c r="AL103" i="1"/>
  <c r="T103" i="1"/>
  <c r="L106" i="1"/>
  <c r="K106" i="1"/>
  <c r="J106" i="1"/>
  <c r="I106" i="1" s="1"/>
  <c r="O106" i="1"/>
  <c r="AB124" i="1"/>
  <c r="AL130" i="1"/>
  <c r="T130" i="1"/>
  <c r="K77" i="1"/>
  <c r="U77" i="1"/>
  <c r="V77" i="1" s="1"/>
  <c r="AC77" i="1" s="1"/>
  <c r="K79" i="1"/>
  <c r="U79" i="1"/>
  <c r="V79" i="1" s="1"/>
  <c r="R79" i="1" s="1"/>
  <c r="P79" i="1" s="1"/>
  <c r="S79" i="1" s="1"/>
  <c r="M79" i="1" s="1"/>
  <c r="N79" i="1" s="1"/>
  <c r="K81" i="1"/>
  <c r="U81" i="1"/>
  <c r="V81" i="1" s="1"/>
  <c r="AC81" i="1" s="1"/>
  <c r="K83" i="1"/>
  <c r="U83" i="1"/>
  <c r="V83" i="1" s="1"/>
  <c r="K85" i="1"/>
  <c r="U85" i="1"/>
  <c r="V85" i="1" s="1"/>
  <c r="R85" i="1" s="1"/>
  <c r="P85" i="1" s="1"/>
  <c r="S85" i="1" s="1"/>
  <c r="M85" i="1" s="1"/>
  <c r="N85" i="1" s="1"/>
  <c r="K87" i="1"/>
  <c r="U87" i="1"/>
  <c r="V87" i="1" s="1"/>
  <c r="AC87" i="1" s="1"/>
  <c r="AL96" i="1"/>
  <c r="T96" i="1"/>
  <c r="AI108" i="1"/>
  <c r="O108" i="1"/>
  <c r="L108" i="1"/>
  <c r="K108" i="1"/>
  <c r="U109" i="1"/>
  <c r="V109" i="1" s="1"/>
  <c r="L136" i="1"/>
  <c r="K136" i="1"/>
  <c r="AI136" i="1"/>
  <c r="J136" i="1"/>
  <c r="I136" i="1" s="1"/>
  <c r="AD142" i="1"/>
  <c r="W142" i="1"/>
  <c r="AA142" i="1" s="1"/>
  <c r="T43" i="1"/>
  <c r="T47" i="1"/>
  <c r="J89" i="1"/>
  <c r="I89" i="1" s="1"/>
  <c r="AI89" i="1"/>
  <c r="AL91" i="1"/>
  <c r="T91" i="1"/>
  <c r="O92" i="1"/>
  <c r="L92" i="1"/>
  <c r="L94" i="1"/>
  <c r="K94" i="1"/>
  <c r="J94" i="1"/>
  <c r="I94" i="1" s="1"/>
  <c r="AL95" i="1"/>
  <c r="T95" i="1"/>
  <c r="R97" i="1"/>
  <c r="P97" i="1" s="1"/>
  <c r="S97" i="1" s="1"/>
  <c r="M97" i="1" s="1"/>
  <c r="N97" i="1" s="1"/>
  <c r="AL99" i="1"/>
  <c r="T99" i="1"/>
  <c r="X100" i="1"/>
  <c r="L102" i="1"/>
  <c r="K102" i="1"/>
  <c r="J102" i="1"/>
  <c r="I102" i="1" s="1"/>
  <c r="O102" i="1"/>
  <c r="R105" i="1"/>
  <c r="P105" i="1" s="1"/>
  <c r="S105" i="1" s="1"/>
  <c r="M105" i="1" s="1"/>
  <c r="N105" i="1" s="1"/>
  <c r="AL108" i="1"/>
  <c r="O111" i="1"/>
  <c r="L111" i="1"/>
  <c r="J111" i="1"/>
  <c r="I111" i="1" s="1"/>
  <c r="AI111" i="1"/>
  <c r="AB140" i="1"/>
  <c r="AL116" i="1"/>
  <c r="T116" i="1"/>
  <c r="L119" i="1"/>
  <c r="K119" i="1"/>
  <c r="J119" i="1"/>
  <c r="I119" i="1" s="1"/>
  <c r="AI119" i="1"/>
  <c r="O119" i="1"/>
  <c r="J122" i="1"/>
  <c r="I122" i="1" s="1"/>
  <c r="AI122" i="1"/>
  <c r="O122" i="1"/>
  <c r="L122" i="1"/>
  <c r="AL134" i="1"/>
  <c r="T134" i="1"/>
  <c r="AB138" i="1"/>
  <c r="O141" i="1"/>
  <c r="K141" i="1"/>
  <c r="J141" i="1"/>
  <c r="I141" i="1" s="1"/>
  <c r="AB152" i="1"/>
  <c r="AB162" i="1"/>
  <c r="AB172" i="1"/>
  <c r="T100" i="1"/>
  <c r="T104" i="1"/>
  <c r="T108" i="1"/>
  <c r="T112" i="1"/>
  <c r="X114" i="1"/>
  <c r="AL122" i="1"/>
  <c r="T122" i="1"/>
  <c r="L132" i="1"/>
  <c r="K132" i="1"/>
  <c r="AI132" i="1"/>
  <c r="L141" i="1"/>
  <c r="AC142" i="1"/>
  <c r="J114" i="1"/>
  <c r="I114" i="1" s="1"/>
  <c r="AL118" i="1"/>
  <c r="T118" i="1"/>
  <c r="U128" i="1"/>
  <c r="V128" i="1" s="1"/>
  <c r="AC128" i="1" s="1"/>
  <c r="L131" i="1"/>
  <c r="K131" i="1"/>
  <c r="J131" i="1"/>
  <c r="I131" i="1" s="1"/>
  <c r="AI131" i="1"/>
  <c r="O131" i="1"/>
  <c r="R132" i="1"/>
  <c r="P132" i="1" s="1"/>
  <c r="S132" i="1" s="1"/>
  <c r="U137" i="1"/>
  <c r="V137" i="1" s="1"/>
  <c r="L140" i="1"/>
  <c r="K140" i="1"/>
  <c r="AI140" i="1"/>
  <c r="U141" i="1"/>
  <c r="V141" i="1" s="1"/>
  <c r="AC141" i="1" s="1"/>
  <c r="AB156" i="1"/>
  <c r="AL179" i="1"/>
  <c r="T179" i="1"/>
  <c r="AI93" i="1"/>
  <c r="AI97" i="1"/>
  <c r="AI101" i="1"/>
  <c r="AI105" i="1"/>
  <c r="AI109" i="1"/>
  <c r="AI113" i="1"/>
  <c r="K114" i="1"/>
  <c r="U115" i="1"/>
  <c r="V115" i="1" s="1"/>
  <c r="U132" i="1"/>
  <c r="V132" i="1" s="1"/>
  <c r="AC132" i="1" s="1"/>
  <c r="L135" i="1"/>
  <c r="K135" i="1"/>
  <c r="J135" i="1"/>
  <c r="I135" i="1" s="1"/>
  <c r="AI135" i="1"/>
  <c r="O135" i="1"/>
  <c r="O157" i="1"/>
  <c r="L157" i="1"/>
  <c r="K157" i="1"/>
  <c r="J157" i="1"/>
  <c r="I157" i="1" s="1"/>
  <c r="AI157" i="1"/>
  <c r="T90" i="1"/>
  <c r="T94" i="1"/>
  <c r="T98" i="1"/>
  <c r="T102" i="1"/>
  <c r="T106" i="1"/>
  <c r="T110" i="1"/>
  <c r="J113" i="1"/>
  <c r="I113" i="1" s="1"/>
  <c r="L114" i="1"/>
  <c r="L120" i="1"/>
  <c r="K120" i="1"/>
  <c r="AI120" i="1"/>
  <c r="L123" i="1"/>
  <c r="K123" i="1"/>
  <c r="J123" i="1"/>
  <c r="I123" i="1" s="1"/>
  <c r="AI123" i="1"/>
  <c r="O123" i="1"/>
  <c r="J126" i="1"/>
  <c r="I126" i="1" s="1"/>
  <c r="AI126" i="1"/>
  <c r="O126" i="1"/>
  <c r="L126" i="1"/>
  <c r="U136" i="1"/>
  <c r="V136" i="1" s="1"/>
  <c r="AC136" i="1" s="1"/>
  <c r="L139" i="1"/>
  <c r="K139" i="1"/>
  <c r="J139" i="1"/>
  <c r="I139" i="1" s="1"/>
  <c r="AI139" i="1"/>
  <c r="O139" i="1"/>
  <c r="R142" i="1"/>
  <c r="P142" i="1" s="1"/>
  <c r="S142" i="1" s="1"/>
  <c r="M142" i="1" s="1"/>
  <c r="N142" i="1" s="1"/>
  <c r="AB142" i="1"/>
  <c r="L143" i="1"/>
  <c r="O143" i="1"/>
  <c r="AI143" i="1"/>
  <c r="K143" i="1"/>
  <c r="J143" i="1"/>
  <c r="I143" i="1" s="1"/>
  <c r="AB148" i="1"/>
  <c r="AL126" i="1"/>
  <c r="T126" i="1"/>
  <c r="AB134" i="1"/>
  <c r="U140" i="1"/>
  <c r="V140" i="1" s="1"/>
  <c r="T165" i="1"/>
  <c r="AL165" i="1"/>
  <c r="J117" i="1"/>
  <c r="I117" i="1" s="1"/>
  <c r="U117" i="1" s="1"/>
  <c r="V117" i="1" s="1"/>
  <c r="J121" i="1"/>
  <c r="I121" i="1" s="1"/>
  <c r="J125" i="1"/>
  <c r="I125" i="1" s="1"/>
  <c r="J129" i="1"/>
  <c r="I129" i="1" s="1"/>
  <c r="L130" i="1"/>
  <c r="J133" i="1"/>
  <c r="I133" i="1" s="1"/>
  <c r="U133" i="1" s="1"/>
  <c r="V133" i="1" s="1"/>
  <c r="L134" i="1"/>
  <c r="L138" i="1"/>
  <c r="L145" i="1"/>
  <c r="J145" i="1"/>
  <c r="I145" i="1" s="1"/>
  <c r="O149" i="1"/>
  <c r="L149" i="1"/>
  <c r="J149" i="1"/>
  <c r="I149" i="1" s="1"/>
  <c r="AL158" i="1"/>
  <c r="T158" i="1"/>
  <c r="L163" i="1"/>
  <c r="J163" i="1"/>
  <c r="I163" i="1" s="1"/>
  <c r="O163" i="1"/>
  <c r="K163" i="1"/>
  <c r="AI163" i="1"/>
  <c r="K117" i="1"/>
  <c r="K121" i="1"/>
  <c r="K125" i="1"/>
  <c r="K129" i="1"/>
  <c r="K133" i="1"/>
  <c r="K137" i="1"/>
  <c r="AI144" i="1"/>
  <c r="AL145" i="1"/>
  <c r="T145" i="1"/>
  <c r="AL149" i="1"/>
  <c r="T149" i="1"/>
  <c r="AB150" i="1"/>
  <c r="L151" i="1"/>
  <c r="K151" i="1"/>
  <c r="J151" i="1"/>
  <c r="I151" i="1" s="1"/>
  <c r="O153" i="1"/>
  <c r="L153" i="1"/>
  <c r="J153" i="1"/>
  <c r="I153" i="1" s="1"/>
  <c r="AL154" i="1"/>
  <c r="T154" i="1"/>
  <c r="L159" i="1"/>
  <c r="K159" i="1"/>
  <c r="J159" i="1"/>
  <c r="I159" i="1" s="1"/>
  <c r="AI159" i="1"/>
  <c r="O159" i="1"/>
  <c r="O130" i="1"/>
  <c r="O134" i="1"/>
  <c r="O138" i="1"/>
  <c r="X143" i="1"/>
  <c r="AL143" i="1"/>
  <c r="T143" i="1"/>
  <c r="O145" i="1"/>
  <c r="J146" i="1"/>
  <c r="I146" i="1" s="1"/>
  <c r="AI146" i="1"/>
  <c r="L146" i="1"/>
  <c r="O147" i="1"/>
  <c r="AL150" i="1"/>
  <c r="T150" i="1"/>
  <c r="AL152" i="1"/>
  <c r="T152" i="1"/>
  <c r="L155" i="1"/>
  <c r="K155" i="1"/>
  <c r="J155" i="1"/>
  <c r="I155" i="1" s="1"/>
  <c r="AI155" i="1"/>
  <c r="O155" i="1"/>
  <c r="U161" i="1"/>
  <c r="V161" i="1" s="1"/>
  <c r="R161" i="1" s="1"/>
  <c r="P161" i="1" s="1"/>
  <c r="S161" i="1" s="1"/>
  <c r="M161" i="1" s="1"/>
  <c r="N161" i="1" s="1"/>
  <c r="AI161" i="1"/>
  <c r="O161" i="1"/>
  <c r="L161" i="1"/>
  <c r="K161" i="1"/>
  <c r="T120" i="1"/>
  <c r="T124" i="1"/>
  <c r="AL155" i="1"/>
  <c r="AB168" i="1"/>
  <c r="AI191" i="1"/>
  <c r="O191" i="1"/>
  <c r="L191" i="1"/>
  <c r="K191" i="1"/>
  <c r="J191" i="1"/>
  <c r="I191" i="1" s="1"/>
  <c r="AI134" i="1"/>
  <c r="AI138" i="1"/>
  <c r="AL146" i="1"/>
  <c r="T146" i="1"/>
  <c r="L147" i="1"/>
  <c r="K147" i="1"/>
  <c r="AB160" i="1"/>
  <c r="AL175" i="1"/>
  <c r="T175" i="1"/>
  <c r="K177" i="1"/>
  <c r="J177" i="1"/>
  <c r="I177" i="1" s="1"/>
  <c r="AI177" i="1"/>
  <c r="L177" i="1"/>
  <c r="R144" i="1"/>
  <c r="P144" i="1" s="1"/>
  <c r="S144" i="1" s="1"/>
  <c r="M144" i="1" s="1"/>
  <c r="N144" i="1" s="1"/>
  <c r="AL147" i="1"/>
  <c r="AB158" i="1"/>
  <c r="AB165" i="1"/>
  <c r="AI172" i="1"/>
  <c r="O172" i="1"/>
  <c r="L172" i="1"/>
  <c r="K172" i="1"/>
  <c r="L150" i="1"/>
  <c r="L154" i="1"/>
  <c r="L158" i="1"/>
  <c r="X168" i="1"/>
  <c r="AL172" i="1"/>
  <c r="AB181" i="1"/>
  <c r="AL191" i="1"/>
  <c r="T191" i="1"/>
  <c r="AB195" i="1"/>
  <c r="L220" i="1"/>
  <c r="K220" i="1"/>
  <c r="J220" i="1"/>
  <c r="I220" i="1" s="1"/>
  <c r="AI220" i="1"/>
  <c r="O220" i="1"/>
  <c r="L166" i="1"/>
  <c r="J166" i="1"/>
  <c r="I166" i="1" s="1"/>
  <c r="O166" i="1"/>
  <c r="L174" i="1"/>
  <c r="K174" i="1"/>
  <c r="J174" i="1"/>
  <c r="I174" i="1" s="1"/>
  <c r="O174" i="1"/>
  <c r="U177" i="1"/>
  <c r="V177" i="1" s="1"/>
  <c r="AL183" i="1"/>
  <c r="T183" i="1"/>
  <c r="U188" i="1"/>
  <c r="V188" i="1" s="1"/>
  <c r="R188" i="1"/>
  <c r="P188" i="1" s="1"/>
  <c r="S188" i="1" s="1"/>
  <c r="M188" i="1" s="1"/>
  <c r="N188" i="1" s="1"/>
  <c r="AB188" i="1"/>
  <c r="T153" i="1"/>
  <c r="T157" i="1"/>
  <c r="AL163" i="1"/>
  <c r="T163" i="1"/>
  <c r="AL166" i="1"/>
  <c r="T166" i="1"/>
  <c r="O169" i="1"/>
  <c r="O171" i="1"/>
  <c r="L171" i="1"/>
  <c r="J171" i="1"/>
  <c r="I171" i="1" s="1"/>
  <c r="AI171" i="1"/>
  <c r="AI176" i="1"/>
  <c r="O176" i="1"/>
  <c r="L176" i="1"/>
  <c r="K176" i="1"/>
  <c r="U181" i="1"/>
  <c r="V181" i="1" s="1"/>
  <c r="O186" i="1"/>
  <c r="L186" i="1"/>
  <c r="J186" i="1"/>
  <c r="I186" i="1" s="1"/>
  <c r="K186" i="1"/>
  <c r="AI186" i="1"/>
  <c r="AL203" i="1"/>
  <c r="T203" i="1"/>
  <c r="L167" i="1"/>
  <c r="J167" i="1"/>
  <c r="I167" i="1" s="1"/>
  <c r="AI167" i="1"/>
  <c r="K169" i="1"/>
  <c r="J169" i="1"/>
  <c r="I169" i="1" s="1"/>
  <c r="L170" i="1"/>
  <c r="J170" i="1"/>
  <c r="I170" i="1" s="1"/>
  <c r="O170" i="1"/>
  <c r="AI180" i="1"/>
  <c r="O180" i="1"/>
  <c r="L180" i="1"/>
  <c r="K180" i="1"/>
  <c r="AB192" i="1"/>
  <c r="T156" i="1"/>
  <c r="T160" i="1"/>
  <c r="K166" i="1"/>
  <c r="AI168" i="1"/>
  <c r="L168" i="1"/>
  <c r="K168" i="1"/>
  <c r="AL170" i="1"/>
  <c r="T170" i="1"/>
  <c r="AL171" i="1"/>
  <c r="T171" i="1"/>
  <c r="K173" i="1"/>
  <c r="J173" i="1"/>
  <c r="I173" i="1" s="1"/>
  <c r="U173" i="1" s="1"/>
  <c r="V173" i="1" s="1"/>
  <c r="AI173" i="1"/>
  <c r="AB178" i="1"/>
  <c r="AL186" i="1"/>
  <c r="T186" i="1"/>
  <c r="AI187" i="1"/>
  <c r="O187" i="1"/>
  <c r="L187" i="1"/>
  <c r="K187" i="1"/>
  <c r="J187" i="1"/>
  <c r="I187" i="1" s="1"/>
  <c r="K189" i="1"/>
  <c r="J189" i="1"/>
  <c r="I189" i="1" s="1"/>
  <c r="AI189" i="1"/>
  <c r="O189" i="1"/>
  <c r="L189" i="1"/>
  <c r="AI195" i="1"/>
  <c r="O195" i="1"/>
  <c r="L195" i="1"/>
  <c r="K195" i="1"/>
  <c r="AB200" i="1"/>
  <c r="AI150" i="1"/>
  <c r="AI154" i="1"/>
  <c r="AI158" i="1"/>
  <c r="AL162" i="1"/>
  <c r="T162" i="1"/>
  <c r="AL164" i="1"/>
  <c r="AI165" i="1"/>
  <c r="K167" i="1"/>
  <c r="AL167" i="1"/>
  <c r="T167" i="1"/>
  <c r="AL168" i="1"/>
  <c r="O175" i="1"/>
  <c r="L175" i="1"/>
  <c r="J175" i="1"/>
  <c r="I175" i="1" s="1"/>
  <c r="AI175" i="1"/>
  <c r="O179" i="1"/>
  <c r="L179" i="1"/>
  <c r="J179" i="1"/>
  <c r="I179" i="1" s="1"/>
  <c r="AI179" i="1"/>
  <c r="U192" i="1"/>
  <c r="V192" i="1" s="1"/>
  <c r="L197" i="1"/>
  <c r="K197" i="1"/>
  <c r="J197" i="1"/>
  <c r="I197" i="1" s="1"/>
  <c r="AI197" i="1"/>
  <c r="O197" i="1"/>
  <c r="T147" i="1"/>
  <c r="T151" i="1"/>
  <c r="T155" i="1"/>
  <c r="T159" i="1"/>
  <c r="J164" i="1"/>
  <c r="I164" i="1" s="1"/>
  <c r="O181" i="1"/>
  <c r="L181" i="1"/>
  <c r="K181" i="1"/>
  <c r="AI181" i="1"/>
  <c r="U193" i="1"/>
  <c r="V193" i="1" s="1"/>
  <c r="AC193" i="1" s="1"/>
  <c r="K196" i="1"/>
  <c r="J196" i="1"/>
  <c r="I196" i="1" s="1"/>
  <c r="AI196" i="1"/>
  <c r="O196" i="1"/>
  <c r="L196" i="1"/>
  <c r="AI183" i="1"/>
  <c r="O183" i="1"/>
  <c r="L183" i="1"/>
  <c r="T164" i="1"/>
  <c r="T168" i="1"/>
  <c r="T172" i="1"/>
  <c r="T176" i="1"/>
  <c r="U180" i="1"/>
  <c r="V180" i="1" s="1"/>
  <c r="AC184" i="1"/>
  <c r="AE184" i="1" s="1"/>
  <c r="L185" i="1"/>
  <c r="U201" i="1"/>
  <c r="V201" i="1" s="1"/>
  <c r="AC201" i="1" s="1"/>
  <c r="AL211" i="1"/>
  <c r="T211" i="1"/>
  <c r="L213" i="1"/>
  <c r="K213" i="1"/>
  <c r="AI213" i="1"/>
  <c r="O213" i="1"/>
  <c r="O226" i="1"/>
  <c r="K226" i="1"/>
  <c r="J226" i="1"/>
  <c r="I226" i="1" s="1"/>
  <c r="AI226" i="1"/>
  <c r="L226" i="1"/>
  <c r="J183" i="1"/>
  <c r="I183" i="1" s="1"/>
  <c r="K184" i="1"/>
  <c r="M184" i="1" s="1"/>
  <c r="N184" i="1" s="1"/>
  <c r="AI184" i="1"/>
  <c r="O185" i="1"/>
  <c r="AL195" i="1"/>
  <c r="T195" i="1"/>
  <c r="AL187" i="1"/>
  <c r="T187" i="1"/>
  <c r="O194" i="1"/>
  <c r="L194" i="1"/>
  <c r="K194" i="1"/>
  <c r="J194" i="1"/>
  <c r="I194" i="1" s="1"/>
  <c r="O198" i="1"/>
  <c r="L198" i="1"/>
  <c r="K198" i="1"/>
  <c r="J198" i="1"/>
  <c r="I198" i="1" s="1"/>
  <c r="AI198" i="1"/>
  <c r="AI201" i="1"/>
  <c r="L201" i="1"/>
  <c r="K201" i="1"/>
  <c r="J201" i="1"/>
  <c r="I201" i="1" s="1"/>
  <c r="AL204" i="1"/>
  <c r="T204" i="1"/>
  <c r="T174" i="1"/>
  <c r="T178" i="1"/>
  <c r="O182" i="1"/>
  <c r="J182" i="1"/>
  <c r="I182" i="1" s="1"/>
  <c r="U182" i="1" s="1"/>
  <c r="V182" i="1" s="1"/>
  <c r="W184" i="1"/>
  <c r="AA184" i="1" s="1"/>
  <c r="K188" i="1"/>
  <c r="AI188" i="1"/>
  <c r="O190" i="1"/>
  <c r="L190" i="1"/>
  <c r="K190" i="1"/>
  <c r="J190" i="1"/>
  <c r="I190" i="1" s="1"/>
  <c r="K192" i="1"/>
  <c r="AI192" i="1"/>
  <c r="O192" i="1"/>
  <c r="AI194" i="1"/>
  <c r="J213" i="1"/>
  <c r="I213" i="1" s="1"/>
  <c r="K185" i="1"/>
  <c r="J185" i="1"/>
  <c r="I185" i="1" s="1"/>
  <c r="U185" i="1" s="1"/>
  <c r="V185" i="1" s="1"/>
  <c r="K193" i="1"/>
  <c r="J193" i="1"/>
  <c r="I193" i="1" s="1"/>
  <c r="AI193" i="1"/>
  <c r="AI199" i="1"/>
  <c r="O199" i="1"/>
  <c r="L199" i="1"/>
  <c r="K199" i="1"/>
  <c r="U200" i="1"/>
  <c r="V200" i="1" s="1"/>
  <c r="AB203" i="1"/>
  <c r="L216" i="1"/>
  <c r="K216" i="1"/>
  <c r="J216" i="1"/>
  <c r="I216" i="1" s="1"/>
  <c r="AI216" i="1"/>
  <c r="O216" i="1"/>
  <c r="O222" i="1"/>
  <c r="K222" i="1"/>
  <c r="J222" i="1"/>
  <c r="I222" i="1" s="1"/>
  <c r="AB223" i="1"/>
  <c r="AB227" i="1"/>
  <c r="T199" i="1"/>
  <c r="X205" i="1"/>
  <c r="AL207" i="1"/>
  <c r="T207" i="1"/>
  <c r="L209" i="1"/>
  <c r="K209" i="1"/>
  <c r="AI209" i="1"/>
  <c r="O218" i="1"/>
  <c r="K218" i="1"/>
  <c r="J218" i="1"/>
  <c r="I218" i="1" s="1"/>
  <c r="AB219" i="1"/>
  <c r="AL220" i="1"/>
  <c r="X221" i="1"/>
  <c r="L222" i="1"/>
  <c r="U202" i="1"/>
  <c r="V202" i="1" s="1"/>
  <c r="R202" i="1" s="1"/>
  <c r="P202" i="1" s="1"/>
  <c r="S202" i="1" s="1"/>
  <c r="M202" i="1" s="1"/>
  <c r="N202" i="1" s="1"/>
  <c r="J205" i="1"/>
  <c r="I205" i="1" s="1"/>
  <c r="L212" i="1"/>
  <c r="K212" i="1"/>
  <c r="J212" i="1"/>
  <c r="I212" i="1" s="1"/>
  <c r="AI212" i="1"/>
  <c r="O212" i="1"/>
  <c r="AB215" i="1"/>
  <c r="U226" i="1"/>
  <c r="V226" i="1" s="1"/>
  <c r="AL227" i="1"/>
  <c r="T227" i="1"/>
  <c r="U229" i="1"/>
  <c r="V229" i="1" s="1"/>
  <c r="AC229" i="1" s="1"/>
  <c r="AB229" i="1"/>
  <c r="T190" i="1"/>
  <c r="T194" i="1"/>
  <c r="T198" i="1"/>
  <c r="AI200" i="1"/>
  <c r="AB207" i="1"/>
  <c r="O214" i="1"/>
  <c r="K214" i="1"/>
  <c r="J214" i="1"/>
  <c r="I214" i="1" s="1"/>
  <c r="AC218" i="1"/>
  <c r="U222" i="1"/>
  <c r="V222" i="1" s="1"/>
  <c r="AC222" i="1" s="1"/>
  <c r="AL223" i="1"/>
  <c r="T223" i="1"/>
  <c r="L225" i="1"/>
  <c r="K225" i="1"/>
  <c r="AI225" i="1"/>
  <c r="L229" i="1"/>
  <c r="K229" i="1"/>
  <c r="AI229" i="1"/>
  <c r="L208" i="1"/>
  <c r="K208" i="1"/>
  <c r="J208" i="1"/>
  <c r="I208" i="1" s="1"/>
  <c r="AI208" i="1"/>
  <c r="O208" i="1"/>
  <c r="AB211" i="1"/>
  <c r="AL212" i="1"/>
  <c r="X213" i="1"/>
  <c r="L214" i="1"/>
  <c r="U218" i="1"/>
  <c r="V218" i="1" s="1"/>
  <c r="AL219" i="1"/>
  <c r="T219" i="1"/>
  <c r="L221" i="1"/>
  <c r="K221" i="1"/>
  <c r="AI221" i="1"/>
  <c r="O225" i="1"/>
  <c r="L204" i="1"/>
  <c r="J204" i="1"/>
  <c r="I204" i="1" s="1"/>
  <c r="AI204" i="1"/>
  <c r="O204" i="1"/>
  <c r="L205" i="1"/>
  <c r="K205" i="1"/>
  <c r="AI205" i="1"/>
  <c r="O210" i="1"/>
  <c r="K210" i="1"/>
  <c r="J210" i="1"/>
  <c r="I210" i="1" s="1"/>
  <c r="U210" i="1" s="1"/>
  <c r="V210" i="1" s="1"/>
  <c r="AL215" i="1"/>
  <c r="T215" i="1"/>
  <c r="L217" i="1"/>
  <c r="K217" i="1"/>
  <c r="AI217" i="1"/>
  <c r="L228" i="1"/>
  <c r="K228" i="1"/>
  <c r="J228" i="1"/>
  <c r="I228" i="1" s="1"/>
  <c r="AI228" i="1"/>
  <c r="O228" i="1"/>
  <c r="R229" i="1"/>
  <c r="P229" i="1" s="1"/>
  <c r="S229" i="1" s="1"/>
  <c r="M229" i="1" s="1"/>
  <c r="N229" i="1" s="1"/>
  <c r="AL205" i="1"/>
  <c r="U206" i="1"/>
  <c r="V206" i="1" s="1"/>
  <c r="AL208" i="1"/>
  <c r="X209" i="1"/>
  <c r="L210" i="1"/>
  <c r="U214" i="1"/>
  <c r="V214" i="1" s="1"/>
  <c r="O217" i="1"/>
  <c r="L224" i="1"/>
  <c r="K224" i="1"/>
  <c r="J224" i="1"/>
  <c r="I224" i="1" s="1"/>
  <c r="AI224" i="1"/>
  <c r="O224" i="1"/>
  <c r="L207" i="1"/>
  <c r="L211" i="1"/>
  <c r="L215" i="1"/>
  <c r="T205" i="1"/>
  <c r="T209" i="1"/>
  <c r="T213" i="1"/>
  <c r="T217" i="1"/>
  <c r="T221" i="1"/>
  <c r="T225" i="1"/>
  <c r="AI227" i="1"/>
  <c r="T208" i="1"/>
  <c r="T212" i="1"/>
  <c r="T216" i="1"/>
  <c r="T220" i="1"/>
  <c r="T224" i="1"/>
  <c r="T228" i="1"/>
  <c r="AD185" i="1" l="1"/>
  <c r="W185" i="1"/>
  <c r="AA185" i="1" s="1"/>
  <c r="AC185" i="1"/>
  <c r="W117" i="1"/>
  <c r="AA117" i="1" s="1"/>
  <c r="AD117" i="1"/>
  <c r="AC117" i="1"/>
  <c r="AD173" i="1"/>
  <c r="W173" i="1"/>
  <c r="AA173" i="1" s="1"/>
  <c r="AC173" i="1"/>
  <c r="W45" i="1"/>
  <c r="AA45" i="1" s="1"/>
  <c r="AD45" i="1"/>
  <c r="AC45" i="1"/>
  <c r="W133" i="1"/>
  <c r="AA133" i="1" s="1"/>
  <c r="AD133" i="1"/>
  <c r="AC133" i="1"/>
  <c r="W61" i="1"/>
  <c r="AA61" i="1" s="1"/>
  <c r="AD61" i="1"/>
  <c r="AC61" i="1"/>
  <c r="W210" i="1"/>
  <c r="AA210" i="1" s="1"/>
  <c r="AD210" i="1"/>
  <c r="AC210" i="1"/>
  <c r="W182" i="1"/>
  <c r="AA182" i="1" s="1"/>
  <c r="AD182" i="1"/>
  <c r="AC182" i="1"/>
  <c r="AB216" i="1"/>
  <c r="W181" i="1"/>
  <c r="AA181" i="1" s="1"/>
  <c r="AD181" i="1"/>
  <c r="W129" i="1"/>
  <c r="AA129" i="1" s="1"/>
  <c r="AD129" i="1"/>
  <c r="U62" i="1"/>
  <c r="V62" i="1" s="1"/>
  <c r="U48" i="1"/>
  <c r="V48" i="1" s="1"/>
  <c r="AB204" i="1"/>
  <c r="U219" i="1"/>
  <c r="V219" i="1" s="1"/>
  <c r="W226" i="1"/>
  <c r="AA226" i="1" s="1"/>
  <c r="AD226" i="1"/>
  <c r="AB212" i="1"/>
  <c r="U174" i="1"/>
  <c r="V174" i="1" s="1"/>
  <c r="AB198" i="1"/>
  <c r="U187" i="1"/>
  <c r="V187" i="1" s="1"/>
  <c r="U151" i="1"/>
  <c r="V151" i="1" s="1"/>
  <c r="AC181" i="1"/>
  <c r="U191" i="1"/>
  <c r="V191" i="1" s="1"/>
  <c r="AC148" i="1"/>
  <c r="AB191" i="1"/>
  <c r="R191" i="1"/>
  <c r="P191" i="1" s="1"/>
  <c r="S191" i="1" s="1"/>
  <c r="M191" i="1" s="1"/>
  <c r="N191" i="1" s="1"/>
  <c r="U124" i="1"/>
  <c r="V124" i="1" s="1"/>
  <c r="U150" i="1"/>
  <c r="V150" i="1" s="1"/>
  <c r="AB151" i="1"/>
  <c r="R151" i="1"/>
  <c r="P151" i="1" s="1"/>
  <c r="S151" i="1" s="1"/>
  <c r="M151" i="1" s="1"/>
  <c r="N151" i="1" s="1"/>
  <c r="AB149" i="1"/>
  <c r="AD140" i="1"/>
  <c r="AE140" i="1" s="1"/>
  <c r="AC140" i="1"/>
  <c r="W140" i="1"/>
  <c r="AA140" i="1" s="1"/>
  <c r="AB123" i="1"/>
  <c r="U123" i="1"/>
  <c r="V123" i="1" s="1"/>
  <c r="AB113" i="1"/>
  <c r="AB135" i="1"/>
  <c r="U135" i="1"/>
  <c r="V135" i="1" s="1"/>
  <c r="W115" i="1"/>
  <c r="AA115" i="1" s="1"/>
  <c r="AD115" i="1"/>
  <c r="U179" i="1"/>
  <c r="V179" i="1" s="1"/>
  <c r="U47" i="1"/>
  <c r="V47" i="1" s="1"/>
  <c r="U96" i="1"/>
  <c r="V96" i="1" s="1"/>
  <c r="AD83" i="1"/>
  <c r="W83" i="1"/>
  <c r="AA83" i="1" s="1"/>
  <c r="U130" i="1"/>
  <c r="V130" i="1" s="1"/>
  <c r="AB106" i="1"/>
  <c r="U86" i="1"/>
  <c r="V86" i="1" s="1"/>
  <c r="AC85" i="1"/>
  <c r="U49" i="1"/>
  <c r="V49" i="1" s="1"/>
  <c r="AB49" i="1"/>
  <c r="R62" i="1"/>
  <c r="P62" i="1" s="1"/>
  <c r="S62" i="1" s="1"/>
  <c r="M62" i="1" s="1"/>
  <c r="N62" i="1" s="1"/>
  <c r="AB62" i="1"/>
  <c r="U54" i="1"/>
  <c r="V54" i="1" s="1"/>
  <c r="U40" i="1"/>
  <c r="V40" i="1" s="1"/>
  <c r="U56" i="1"/>
  <c r="V56" i="1" s="1"/>
  <c r="W37" i="1"/>
  <c r="AA37" i="1" s="1"/>
  <c r="AD37" i="1"/>
  <c r="AB41" i="1"/>
  <c r="AB51" i="1"/>
  <c r="U51" i="1"/>
  <c r="V51" i="1" s="1"/>
  <c r="AB33" i="1"/>
  <c r="R33" i="1"/>
  <c r="P33" i="1" s="1"/>
  <c r="S33" i="1" s="1"/>
  <c r="M33" i="1" s="1"/>
  <c r="N33" i="1" s="1"/>
  <c r="AD24" i="1"/>
  <c r="W24" i="1"/>
  <c r="AA24" i="1" s="1"/>
  <c r="AB28" i="1"/>
  <c r="AD200" i="1"/>
  <c r="W200" i="1"/>
  <c r="AA200" i="1" s="1"/>
  <c r="AC200" i="1"/>
  <c r="U167" i="1"/>
  <c r="V167" i="1" s="1"/>
  <c r="AD161" i="1"/>
  <c r="W161" i="1"/>
  <c r="AA161" i="1" s="1"/>
  <c r="AC161" i="1"/>
  <c r="AB63" i="1"/>
  <c r="R63" i="1"/>
  <c r="P63" i="1" s="1"/>
  <c r="S63" i="1" s="1"/>
  <c r="M63" i="1" s="1"/>
  <c r="N63" i="1" s="1"/>
  <c r="U63" i="1"/>
  <c r="V63" i="1" s="1"/>
  <c r="U22" i="1"/>
  <c r="V22" i="1" s="1"/>
  <c r="U225" i="1"/>
  <c r="V225" i="1" s="1"/>
  <c r="U198" i="1"/>
  <c r="V198" i="1" s="1"/>
  <c r="R198" i="1" s="1"/>
  <c r="P198" i="1" s="1"/>
  <c r="S198" i="1" s="1"/>
  <c r="M198" i="1" s="1"/>
  <c r="N198" i="1" s="1"/>
  <c r="U207" i="1"/>
  <c r="V207" i="1" s="1"/>
  <c r="R193" i="1"/>
  <c r="P193" i="1" s="1"/>
  <c r="S193" i="1" s="1"/>
  <c r="M193" i="1" s="1"/>
  <c r="N193" i="1" s="1"/>
  <c r="AB193" i="1"/>
  <c r="U204" i="1"/>
  <c r="V204" i="1" s="1"/>
  <c r="R204" i="1" s="1"/>
  <c r="P204" i="1" s="1"/>
  <c r="S204" i="1" s="1"/>
  <c r="M204" i="1" s="1"/>
  <c r="N204" i="1" s="1"/>
  <c r="AB196" i="1"/>
  <c r="U196" i="1"/>
  <c r="V196" i="1" s="1"/>
  <c r="U147" i="1"/>
  <c r="V147" i="1" s="1"/>
  <c r="U186" i="1"/>
  <c r="V186" i="1" s="1"/>
  <c r="U171" i="1"/>
  <c r="V171" i="1" s="1"/>
  <c r="AB169" i="1"/>
  <c r="AD177" i="1"/>
  <c r="W177" i="1"/>
  <c r="AA177" i="1" s="1"/>
  <c r="U120" i="1"/>
  <c r="V120" i="1" s="1"/>
  <c r="R129" i="1"/>
  <c r="P129" i="1" s="1"/>
  <c r="S129" i="1" s="1"/>
  <c r="M129" i="1" s="1"/>
  <c r="N129" i="1" s="1"/>
  <c r="AB129" i="1"/>
  <c r="U110" i="1"/>
  <c r="V110" i="1" s="1"/>
  <c r="AB157" i="1"/>
  <c r="W137" i="1"/>
  <c r="AA137" i="1" s="1"/>
  <c r="AD137" i="1"/>
  <c r="U116" i="1"/>
  <c r="V116" i="1" s="1"/>
  <c r="U99" i="1"/>
  <c r="V99" i="1" s="1"/>
  <c r="U43" i="1"/>
  <c r="V43" i="1" s="1"/>
  <c r="U80" i="1"/>
  <c r="V80" i="1" s="1"/>
  <c r="U93" i="1"/>
  <c r="V93" i="1" s="1"/>
  <c r="AB73" i="1"/>
  <c r="U138" i="1"/>
  <c r="V138" i="1" s="1"/>
  <c r="U107" i="1"/>
  <c r="V107" i="1" s="1"/>
  <c r="U74" i="1"/>
  <c r="V74" i="1" s="1"/>
  <c r="U58" i="1"/>
  <c r="V58" i="1" s="1"/>
  <c r="R77" i="1"/>
  <c r="P77" i="1" s="1"/>
  <c r="S77" i="1" s="1"/>
  <c r="M77" i="1" s="1"/>
  <c r="N77" i="1" s="1"/>
  <c r="AB66" i="1"/>
  <c r="U113" i="1"/>
  <c r="V113" i="1" s="1"/>
  <c r="R113" i="1" s="1"/>
  <c r="P113" i="1" s="1"/>
  <c r="S113" i="1" s="1"/>
  <c r="M113" i="1" s="1"/>
  <c r="N113" i="1" s="1"/>
  <c r="R83" i="1"/>
  <c r="P83" i="1" s="1"/>
  <c r="S83" i="1" s="1"/>
  <c r="M83" i="1" s="1"/>
  <c r="N83" i="1" s="1"/>
  <c r="U44" i="1"/>
  <c r="V44" i="1" s="1"/>
  <c r="W25" i="1"/>
  <c r="AA25" i="1" s="1"/>
  <c r="AD25" i="1"/>
  <c r="AB46" i="1"/>
  <c r="AD105" i="1"/>
  <c r="AC105" i="1"/>
  <c r="W105" i="1"/>
  <c r="AA105" i="1" s="1"/>
  <c r="U30" i="1"/>
  <c r="V30" i="1" s="1"/>
  <c r="AB21" i="1"/>
  <c r="R21" i="1"/>
  <c r="P21" i="1" s="1"/>
  <c r="S21" i="1" s="1"/>
  <c r="M21" i="1" s="1"/>
  <c r="N21" i="1" s="1"/>
  <c r="AC25" i="1"/>
  <c r="AB36" i="1"/>
  <c r="AD206" i="1"/>
  <c r="W206" i="1"/>
  <c r="AA206" i="1" s="1"/>
  <c r="AB213" i="1"/>
  <c r="U155" i="1"/>
  <c r="V155" i="1" s="1"/>
  <c r="AB166" i="1"/>
  <c r="AB159" i="1"/>
  <c r="W17" i="1"/>
  <c r="AA17" i="1" s="1"/>
  <c r="AD17" i="1"/>
  <c r="U228" i="1"/>
  <c r="V228" i="1" s="1"/>
  <c r="U221" i="1"/>
  <c r="V221" i="1" s="1"/>
  <c r="W214" i="1"/>
  <c r="AA214" i="1" s="1"/>
  <c r="AD214" i="1"/>
  <c r="AC206" i="1"/>
  <c r="W218" i="1"/>
  <c r="AA218" i="1" s="1"/>
  <c r="AD218" i="1"/>
  <c r="AE218" i="1" s="1"/>
  <c r="U194" i="1"/>
  <c r="V194" i="1" s="1"/>
  <c r="R222" i="1"/>
  <c r="P222" i="1" s="1"/>
  <c r="S222" i="1" s="1"/>
  <c r="M222" i="1" s="1"/>
  <c r="N222" i="1" s="1"/>
  <c r="AB222" i="1"/>
  <c r="AB175" i="1"/>
  <c r="R200" i="1"/>
  <c r="P200" i="1" s="1"/>
  <c r="S200" i="1" s="1"/>
  <c r="M200" i="1" s="1"/>
  <c r="N200" i="1" s="1"/>
  <c r="R189" i="1"/>
  <c r="P189" i="1" s="1"/>
  <c r="S189" i="1" s="1"/>
  <c r="M189" i="1" s="1"/>
  <c r="N189" i="1" s="1"/>
  <c r="AB189" i="1"/>
  <c r="U166" i="1"/>
  <c r="V166" i="1" s="1"/>
  <c r="U189" i="1"/>
  <c r="V189" i="1" s="1"/>
  <c r="R177" i="1"/>
  <c r="P177" i="1" s="1"/>
  <c r="S177" i="1" s="1"/>
  <c r="M177" i="1" s="1"/>
  <c r="N177" i="1" s="1"/>
  <c r="AB177" i="1"/>
  <c r="U154" i="1"/>
  <c r="V154" i="1" s="1"/>
  <c r="AB125" i="1"/>
  <c r="U106" i="1"/>
  <c r="V106" i="1" s="1"/>
  <c r="AD128" i="1"/>
  <c r="AE128" i="1" s="1"/>
  <c r="W128" i="1"/>
  <c r="AA128" i="1" s="1"/>
  <c r="R128" i="1"/>
  <c r="P128" i="1" s="1"/>
  <c r="S128" i="1" s="1"/>
  <c r="M128" i="1" s="1"/>
  <c r="N128" i="1" s="1"/>
  <c r="U125" i="1"/>
  <c r="V125" i="1" s="1"/>
  <c r="U112" i="1"/>
  <c r="V112" i="1" s="1"/>
  <c r="AB122" i="1"/>
  <c r="AC115" i="1"/>
  <c r="AD81" i="1"/>
  <c r="AE81" i="1" s="1"/>
  <c r="W81" i="1"/>
  <c r="AA81" i="1" s="1"/>
  <c r="AB69" i="1"/>
  <c r="AB112" i="1"/>
  <c r="R112" i="1"/>
  <c r="P112" i="1" s="1"/>
  <c r="S112" i="1" s="1"/>
  <c r="M112" i="1" s="1"/>
  <c r="N112" i="1" s="1"/>
  <c r="AB70" i="1"/>
  <c r="W65" i="1"/>
  <c r="AA65" i="1" s="1"/>
  <c r="AD65" i="1"/>
  <c r="AE65" i="1" s="1"/>
  <c r="U60" i="1"/>
  <c r="V60" i="1" s="1"/>
  <c r="AB98" i="1"/>
  <c r="AC83" i="1"/>
  <c r="U92" i="1"/>
  <c r="V92" i="1" s="1"/>
  <c r="AB40" i="1"/>
  <c r="R40" i="1"/>
  <c r="P40" i="1" s="1"/>
  <c r="S40" i="1" s="1"/>
  <c r="M40" i="1" s="1"/>
  <c r="N40" i="1" s="1"/>
  <c r="AC24" i="1"/>
  <c r="AB32" i="1"/>
  <c r="AC37" i="1"/>
  <c r="U143" i="1"/>
  <c r="V143" i="1" s="1"/>
  <c r="U145" i="1"/>
  <c r="V145" i="1" s="1"/>
  <c r="AB89" i="1"/>
  <c r="AB99" i="1"/>
  <c r="U111" i="1"/>
  <c r="V111" i="1" s="1"/>
  <c r="W57" i="1"/>
  <c r="AA57" i="1" s="1"/>
  <c r="AD57" i="1"/>
  <c r="AB71" i="1"/>
  <c r="U71" i="1"/>
  <c r="V71" i="1" s="1"/>
  <c r="U41" i="1"/>
  <c r="V41" i="1" s="1"/>
  <c r="AC57" i="1"/>
  <c r="U224" i="1"/>
  <c r="V224" i="1" s="1"/>
  <c r="U217" i="1"/>
  <c r="V217" i="1" s="1"/>
  <c r="U215" i="1"/>
  <c r="V215" i="1" s="1"/>
  <c r="R214" i="1"/>
  <c r="P214" i="1" s="1"/>
  <c r="S214" i="1" s="1"/>
  <c r="M214" i="1" s="1"/>
  <c r="N214" i="1" s="1"/>
  <c r="AB214" i="1"/>
  <c r="U190" i="1"/>
  <c r="V190" i="1" s="1"/>
  <c r="AB205" i="1"/>
  <c r="R218" i="1"/>
  <c r="P218" i="1" s="1"/>
  <c r="S218" i="1" s="1"/>
  <c r="M218" i="1" s="1"/>
  <c r="N218" i="1" s="1"/>
  <c r="AB218" i="1"/>
  <c r="R206" i="1"/>
  <c r="P206" i="1" s="1"/>
  <c r="S206" i="1" s="1"/>
  <c r="M206" i="1" s="1"/>
  <c r="N206" i="1" s="1"/>
  <c r="AB201" i="1"/>
  <c r="R201" i="1"/>
  <c r="P201" i="1" s="1"/>
  <c r="S201" i="1" s="1"/>
  <c r="M201" i="1" s="1"/>
  <c r="N201" i="1" s="1"/>
  <c r="AB183" i="1"/>
  <c r="AD180" i="1"/>
  <c r="W180" i="1"/>
  <c r="AA180" i="1" s="1"/>
  <c r="AC180" i="1"/>
  <c r="U170" i="1"/>
  <c r="V170" i="1" s="1"/>
  <c r="U160" i="1"/>
  <c r="V160" i="1" s="1"/>
  <c r="AB186" i="1"/>
  <c r="R186" i="1"/>
  <c r="P186" i="1" s="1"/>
  <c r="S186" i="1" s="1"/>
  <c r="M186" i="1" s="1"/>
  <c r="N186" i="1" s="1"/>
  <c r="AB174" i="1"/>
  <c r="R174" i="1"/>
  <c r="P174" i="1" s="1"/>
  <c r="S174" i="1" s="1"/>
  <c r="M174" i="1" s="1"/>
  <c r="N174" i="1" s="1"/>
  <c r="AB220" i="1"/>
  <c r="AB155" i="1"/>
  <c r="R155" i="1"/>
  <c r="P155" i="1" s="1"/>
  <c r="S155" i="1" s="1"/>
  <c r="M155" i="1" s="1"/>
  <c r="N155" i="1" s="1"/>
  <c r="AB163" i="1"/>
  <c r="AB145" i="1"/>
  <c r="AB121" i="1"/>
  <c r="AB143" i="1"/>
  <c r="R143" i="1"/>
  <c r="P143" i="1" s="1"/>
  <c r="S143" i="1" s="1"/>
  <c r="M143" i="1" s="1"/>
  <c r="N143" i="1" s="1"/>
  <c r="U102" i="1"/>
  <c r="V102" i="1" s="1"/>
  <c r="AD132" i="1"/>
  <c r="AE132" i="1" s="1"/>
  <c r="W132" i="1"/>
  <c r="AA132" i="1" s="1"/>
  <c r="U108" i="1"/>
  <c r="V108" i="1" s="1"/>
  <c r="U134" i="1"/>
  <c r="V134" i="1" s="1"/>
  <c r="R140" i="1"/>
  <c r="P140" i="1" s="1"/>
  <c r="S140" i="1" s="1"/>
  <c r="M140" i="1" s="1"/>
  <c r="N140" i="1" s="1"/>
  <c r="AE142" i="1"/>
  <c r="AD109" i="1"/>
  <c r="AE109" i="1" s="1"/>
  <c r="AC109" i="1"/>
  <c r="W109" i="1"/>
  <c r="AA109" i="1" s="1"/>
  <c r="U89" i="1"/>
  <c r="V89" i="1" s="1"/>
  <c r="U103" i="1"/>
  <c r="V103" i="1" s="1"/>
  <c r="U84" i="1"/>
  <c r="V84" i="1" s="1"/>
  <c r="R65" i="1"/>
  <c r="P65" i="1" s="1"/>
  <c r="S65" i="1" s="1"/>
  <c r="M65" i="1" s="1"/>
  <c r="N65" i="1" s="1"/>
  <c r="AB65" i="1"/>
  <c r="U70" i="1"/>
  <c r="V70" i="1" s="1"/>
  <c r="AB55" i="1"/>
  <c r="R55" i="1"/>
  <c r="P55" i="1" s="1"/>
  <c r="S55" i="1" s="1"/>
  <c r="M55" i="1" s="1"/>
  <c r="N55" i="1" s="1"/>
  <c r="U55" i="1"/>
  <c r="V55" i="1" s="1"/>
  <c r="U46" i="1"/>
  <c r="V46" i="1" s="1"/>
  <c r="R46" i="1" s="1"/>
  <c r="P46" i="1" s="1"/>
  <c r="S46" i="1" s="1"/>
  <c r="M46" i="1" s="1"/>
  <c r="N46" i="1" s="1"/>
  <c r="AB91" i="1"/>
  <c r="R74" i="1"/>
  <c r="P74" i="1" s="1"/>
  <c r="S74" i="1" s="1"/>
  <c r="M74" i="1" s="1"/>
  <c r="N74" i="1" s="1"/>
  <c r="AB74" i="1"/>
  <c r="U69" i="1"/>
  <c r="V69" i="1" s="1"/>
  <c r="U64" i="1"/>
  <c r="V64" i="1" s="1"/>
  <c r="AB35" i="1"/>
  <c r="U35" i="1"/>
  <c r="V35" i="1" s="1"/>
  <c r="AB75" i="1"/>
  <c r="U75" i="1"/>
  <c r="V75" i="1" s="1"/>
  <c r="AB67" i="1"/>
  <c r="U67" i="1"/>
  <c r="V67" i="1" s="1"/>
  <c r="AB59" i="1"/>
  <c r="U59" i="1"/>
  <c r="V59" i="1" s="1"/>
  <c r="W33" i="1"/>
  <c r="AA33" i="1" s="1"/>
  <c r="AD33" i="1"/>
  <c r="AE33" i="1" s="1"/>
  <c r="AD76" i="1"/>
  <c r="AE76" i="1" s="1"/>
  <c r="W76" i="1"/>
  <c r="AA76" i="1" s="1"/>
  <c r="AB42" i="1"/>
  <c r="AB29" i="1"/>
  <c r="R29" i="1"/>
  <c r="P29" i="1" s="1"/>
  <c r="S29" i="1" s="1"/>
  <c r="M29" i="1" s="1"/>
  <c r="N29" i="1" s="1"/>
  <c r="AB17" i="1"/>
  <c r="R17" i="1"/>
  <c r="P17" i="1" s="1"/>
  <c r="S17" i="1" s="1"/>
  <c r="M17" i="1" s="1"/>
  <c r="N17" i="1" s="1"/>
  <c r="W38" i="1"/>
  <c r="AA38" i="1" s="1"/>
  <c r="AD38" i="1"/>
  <c r="AC38" i="1"/>
  <c r="U18" i="1"/>
  <c r="V18" i="1" s="1"/>
  <c r="AD20" i="1"/>
  <c r="W20" i="1"/>
  <c r="AA20" i="1" s="1"/>
  <c r="AC20" i="1"/>
  <c r="U208" i="1"/>
  <c r="V208" i="1" s="1"/>
  <c r="U178" i="1"/>
  <c r="V178" i="1" s="1"/>
  <c r="U164" i="1"/>
  <c r="V164" i="1" s="1"/>
  <c r="U220" i="1"/>
  <c r="V220" i="1" s="1"/>
  <c r="U213" i="1"/>
  <c r="V213" i="1" s="1"/>
  <c r="R213" i="1" s="1"/>
  <c r="P213" i="1" s="1"/>
  <c r="S213" i="1" s="1"/>
  <c r="M213" i="1" s="1"/>
  <c r="N213" i="1" s="1"/>
  <c r="AB228" i="1"/>
  <c r="R228" i="1"/>
  <c r="P228" i="1" s="1"/>
  <c r="S228" i="1" s="1"/>
  <c r="M228" i="1" s="1"/>
  <c r="N228" i="1" s="1"/>
  <c r="AB208" i="1"/>
  <c r="R208" i="1"/>
  <c r="P208" i="1" s="1"/>
  <c r="S208" i="1" s="1"/>
  <c r="M208" i="1" s="1"/>
  <c r="N208" i="1" s="1"/>
  <c r="AD202" i="1"/>
  <c r="W202" i="1"/>
  <c r="AA202" i="1" s="1"/>
  <c r="R185" i="1"/>
  <c r="P185" i="1" s="1"/>
  <c r="S185" i="1" s="1"/>
  <c r="M185" i="1" s="1"/>
  <c r="N185" i="1" s="1"/>
  <c r="AB185" i="1"/>
  <c r="AB194" i="1"/>
  <c r="R194" i="1"/>
  <c r="P194" i="1" s="1"/>
  <c r="S194" i="1" s="1"/>
  <c r="M194" i="1" s="1"/>
  <c r="N194" i="1" s="1"/>
  <c r="U176" i="1"/>
  <c r="V176" i="1" s="1"/>
  <c r="AD193" i="1"/>
  <c r="AE193" i="1" s="1"/>
  <c r="W193" i="1"/>
  <c r="AA193" i="1" s="1"/>
  <c r="AB197" i="1"/>
  <c r="U162" i="1"/>
  <c r="V162" i="1" s="1"/>
  <c r="AB187" i="1"/>
  <c r="R187" i="1"/>
  <c r="P187" i="1" s="1"/>
  <c r="S187" i="1" s="1"/>
  <c r="M187" i="1" s="1"/>
  <c r="N187" i="1" s="1"/>
  <c r="U156" i="1"/>
  <c r="V156" i="1" s="1"/>
  <c r="U163" i="1"/>
  <c r="V163" i="1" s="1"/>
  <c r="R181" i="1"/>
  <c r="P181" i="1" s="1"/>
  <c r="S181" i="1" s="1"/>
  <c r="M181" i="1" s="1"/>
  <c r="N181" i="1" s="1"/>
  <c r="U175" i="1"/>
  <c r="V175" i="1" s="1"/>
  <c r="R175" i="1" s="1"/>
  <c r="P175" i="1" s="1"/>
  <c r="S175" i="1" s="1"/>
  <c r="M175" i="1" s="1"/>
  <c r="N175" i="1" s="1"/>
  <c r="U146" i="1"/>
  <c r="V146" i="1" s="1"/>
  <c r="AB153" i="1"/>
  <c r="R117" i="1"/>
  <c r="P117" i="1" s="1"/>
  <c r="S117" i="1" s="1"/>
  <c r="M117" i="1" s="1"/>
  <c r="N117" i="1" s="1"/>
  <c r="AB117" i="1"/>
  <c r="AB139" i="1"/>
  <c r="U139" i="1"/>
  <c r="V139" i="1" s="1"/>
  <c r="U98" i="1"/>
  <c r="V98" i="1" s="1"/>
  <c r="W141" i="1"/>
  <c r="AA141" i="1" s="1"/>
  <c r="AD141" i="1"/>
  <c r="M132" i="1"/>
  <c r="N132" i="1" s="1"/>
  <c r="U118" i="1"/>
  <c r="V118" i="1" s="1"/>
  <c r="U122" i="1"/>
  <c r="V122" i="1" s="1"/>
  <c r="U104" i="1"/>
  <c r="V104" i="1" s="1"/>
  <c r="U91" i="1"/>
  <c r="V91" i="1" s="1"/>
  <c r="R91" i="1" s="1"/>
  <c r="P91" i="1" s="1"/>
  <c r="S91" i="1" s="1"/>
  <c r="M91" i="1" s="1"/>
  <c r="N91" i="1" s="1"/>
  <c r="AC137" i="1"/>
  <c r="AD87" i="1"/>
  <c r="AE87" i="1" s="1"/>
  <c r="W87" i="1"/>
  <c r="AA87" i="1" s="1"/>
  <c r="AD79" i="1"/>
  <c r="AE79" i="1" s="1"/>
  <c r="W79" i="1"/>
  <c r="AA79" i="1" s="1"/>
  <c r="U78" i="1"/>
  <c r="V78" i="1" s="1"/>
  <c r="AB107" i="1"/>
  <c r="R107" i="1"/>
  <c r="P107" i="1" s="1"/>
  <c r="S107" i="1" s="1"/>
  <c r="M107" i="1" s="1"/>
  <c r="N107" i="1" s="1"/>
  <c r="R61" i="1"/>
  <c r="P61" i="1" s="1"/>
  <c r="S61" i="1" s="1"/>
  <c r="M61" i="1" s="1"/>
  <c r="N61" i="1" s="1"/>
  <c r="AB61" i="1"/>
  <c r="U39" i="1"/>
  <c r="V39" i="1" s="1"/>
  <c r="AB103" i="1"/>
  <c r="U73" i="1"/>
  <c r="V73" i="1" s="1"/>
  <c r="R73" i="1" s="1"/>
  <c r="P73" i="1" s="1"/>
  <c r="S73" i="1" s="1"/>
  <c r="M73" i="1" s="1"/>
  <c r="N73" i="1" s="1"/>
  <c r="U68" i="1"/>
  <c r="V68" i="1" s="1"/>
  <c r="R54" i="1"/>
  <c r="P54" i="1" s="1"/>
  <c r="S54" i="1" s="1"/>
  <c r="M54" i="1" s="1"/>
  <c r="N54" i="1" s="1"/>
  <c r="AB54" i="1"/>
  <c r="AB31" i="1"/>
  <c r="U31" i="1"/>
  <c r="V31" i="1" s="1"/>
  <c r="R50" i="1"/>
  <c r="P50" i="1" s="1"/>
  <c r="S50" i="1" s="1"/>
  <c r="M50" i="1" s="1"/>
  <c r="N50" i="1" s="1"/>
  <c r="AB50" i="1"/>
  <c r="AB39" i="1"/>
  <c r="R39" i="1"/>
  <c r="P39" i="1" s="1"/>
  <c r="S39" i="1" s="1"/>
  <c r="M39" i="1" s="1"/>
  <c r="N39" i="1" s="1"/>
  <c r="W21" i="1"/>
  <c r="AA21" i="1" s="1"/>
  <c r="AD21" i="1"/>
  <c r="AE21" i="1" s="1"/>
  <c r="AB118" i="1"/>
  <c r="AB72" i="1"/>
  <c r="AB47" i="1"/>
  <c r="R47" i="1"/>
  <c r="P47" i="1" s="1"/>
  <c r="S47" i="1" s="1"/>
  <c r="M47" i="1" s="1"/>
  <c r="N47" i="1" s="1"/>
  <c r="U42" i="1"/>
  <c r="V42" i="1" s="1"/>
  <c r="AC79" i="1"/>
  <c r="AB48" i="1"/>
  <c r="R48" i="1"/>
  <c r="P48" i="1" s="1"/>
  <c r="S48" i="1" s="1"/>
  <c r="M48" i="1" s="1"/>
  <c r="N48" i="1" s="1"/>
  <c r="U26" i="1"/>
  <c r="V26" i="1" s="1"/>
  <c r="AC17" i="1"/>
  <c r="R210" i="1"/>
  <c r="P210" i="1" s="1"/>
  <c r="S210" i="1" s="1"/>
  <c r="M210" i="1" s="1"/>
  <c r="N210" i="1" s="1"/>
  <c r="AB210" i="1"/>
  <c r="W201" i="1"/>
  <c r="AA201" i="1" s="1"/>
  <c r="AD201" i="1"/>
  <c r="AE201" i="1" s="1"/>
  <c r="U153" i="1"/>
  <c r="V153" i="1" s="1"/>
  <c r="AD136" i="1"/>
  <c r="W136" i="1"/>
  <c r="AA136" i="1" s="1"/>
  <c r="AB114" i="1"/>
  <c r="AB94" i="1"/>
  <c r="U216" i="1"/>
  <c r="V216" i="1" s="1"/>
  <c r="U209" i="1"/>
  <c r="V209" i="1" s="1"/>
  <c r="AB224" i="1"/>
  <c r="R224" i="1"/>
  <c r="P224" i="1" s="1"/>
  <c r="S224" i="1" s="1"/>
  <c r="M224" i="1" s="1"/>
  <c r="N224" i="1" s="1"/>
  <c r="AC214" i="1"/>
  <c r="U223" i="1"/>
  <c r="V223" i="1" s="1"/>
  <c r="AD229" i="1"/>
  <c r="AE229" i="1" s="1"/>
  <c r="W229" i="1"/>
  <c r="AA229" i="1" s="1"/>
  <c r="AC226" i="1"/>
  <c r="U199" i="1"/>
  <c r="V199" i="1" s="1"/>
  <c r="AB182" i="1"/>
  <c r="R182" i="1"/>
  <c r="P182" i="1" s="1"/>
  <c r="S182" i="1" s="1"/>
  <c r="M182" i="1" s="1"/>
  <c r="N182" i="1" s="1"/>
  <c r="U211" i="1"/>
  <c r="V211" i="1" s="1"/>
  <c r="U172" i="1"/>
  <c r="V172" i="1" s="1"/>
  <c r="AB164" i="1"/>
  <c r="R164" i="1"/>
  <c r="P164" i="1" s="1"/>
  <c r="S164" i="1" s="1"/>
  <c r="M164" i="1" s="1"/>
  <c r="N164" i="1" s="1"/>
  <c r="AB179" i="1"/>
  <c r="R179" i="1"/>
  <c r="P179" i="1" s="1"/>
  <c r="S179" i="1" s="1"/>
  <c r="M179" i="1" s="1"/>
  <c r="N179" i="1" s="1"/>
  <c r="U169" i="1"/>
  <c r="V169" i="1" s="1"/>
  <c r="R169" i="1" s="1"/>
  <c r="P169" i="1" s="1"/>
  <c r="S169" i="1" s="1"/>
  <c r="M169" i="1" s="1"/>
  <c r="N169" i="1" s="1"/>
  <c r="AB167" i="1"/>
  <c r="R167" i="1"/>
  <c r="P167" i="1" s="1"/>
  <c r="S167" i="1" s="1"/>
  <c r="M167" i="1" s="1"/>
  <c r="N167" i="1" s="1"/>
  <c r="AD188" i="1"/>
  <c r="AE188" i="1" s="1"/>
  <c r="AC188" i="1"/>
  <c r="W188" i="1"/>
  <c r="AA188" i="1" s="1"/>
  <c r="AB146" i="1"/>
  <c r="U149" i="1"/>
  <c r="V149" i="1" s="1"/>
  <c r="R149" i="1" s="1"/>
  <c r="P149" i="1" s="1"/>
  <c r="S149" i="1" s="1"/>
  <c r="M149" i="1" s="1"/>
  <c r="N149" i="1" s="1"/>
  <c r="AC129" i="1"/>
  <c r="R126" i="1"/>
  <c r="P126" i="1" s="1"/>
  <c r="S126" i="1" s="1"/>
  <c r="M126" i="1" s="1"/>
  <c r="N126" i="1" s="1"/>
  <c r="AB126" i="1"/>
  <c r="U94" i="1"/>
  <c r="V94" i="1" s="1"/>
  <c r="U100" i="1"/>
  <c r="V100" i="1" s="1"/>
  <c r="R141" i="1"/>
  <c r="P141" i="1" s="1"/>
  <c r="S141" i="1" s="1"/>
  <c r="M141" i="1" s="1"/>
  <c r="N141" i="1" s="1"/>
  <c r="AB141" i="1"/>
  <c r="AB119" i="1"/>
  <c r="U119" i="1"/>
  <c r="V119" i="1" s="1"/>
  <c r="AB102" i="1"/>
  <c r="R102" i="1"/>
  <c r="P102" i="1" s="1"/>
  <c r="S102" i="1" s="1"/>
  <c r="M102" i="1" s="1"/>
  <c r="N102" i="1" s="1"/>
  <c r="U95" i="1"/>
  <c r="V95" i="1" s="1"/>
  <c r="AB136" i="1"/>
  <c r="R136" i="1"/>
  <c r="P136" i="1" s="1"/>
  <c r="S136" i="1" s="1"/>
  <c r="M136" i="1" s="1"/>
  <c r="N136" i="1" s="1"/>
  <c r="R115" i="1"/>
  <c r="P115" i="1" s="1"/>
  <c r="S115" i="1" s="1"/>
  <c r="M115" i="1" s="1"/>
  <c r="N115" i="1" s="1"/>
  <c r="AB115" i="1"/>
  <c r="U88" i="1"/>
  <c r="V88" i="1" s="1"/>
  <c r="R57" i="1"/>
  <c r="P57" i="1" s="1"/>
  <c r="S57" i="1" s="1"/>
  <c r="M57" i="1" s="1"/>
  <c r="N57" i="1" s="1"/>
  <c r="AB57" i="1"/>
  <c r="U66" i="1"/>
  <c r="V66" i="1" s="1"/>
  <c r="R66" i="1" s="1"/>
  <c r="P66" i="1" s="1"/>
  <c r="S66" i="1" s="1"/>
  <c r="M66" i="1" s="1"/>
  <c r="N66" i="1" s="1"/>
  <c r="U72" i="1"/>
  <c r="V72" i="1" s="1"/>
  <c r="U50" i="1"/>
  <c r="V50" i="1" s="1"/>
  <c r="AB27" i="1"/>
  <c r="R27" i="1"/>
  <c r="P27" i="1" s="1"/>
  <c r="S27" i="1" s="1"/>
  <c r="M27" i="1" s="1"/>
  <c r="N27" i="1" s="1"/>
  <c r="U27" i="1"/>
  <c r="V27" i="1" s="1"/>
  <c r="AB90" i="1"/>
  <c r="AB127" i="1"/>
  <c r="U127" i="1"/>
  <c r="V127" i="1" s="1"/>
  <c r="AB68" i="1"/>
  <c r="R68" i="1"/>
  <c r="P68" i="1" s="1"/>
  <c r="S68" i="1" s="1"/>
  <c r="M68" i="1" s="1"/>
  <c r="N68" i="1" s="1"/>
  <c r="AB95" i="1"/>
  <c r="R95" i="1"/>
  <c r="P95" i="1" s="1"/>
  <c r="S95" i="1" s="1"/>
  <c r="M95" i="1" s="1"/>
  <c r="N95" i="1" s="1"/>
  <c r="AB56" i="1"/>
  <c r="R56" i="1"/>
  <c r="P56" i="1" s="1"/>
  <c r="S56" i="1" s="1"/>
  <c r="M56" i="1" s="1"/>
  <c r="N56" i="1" s="1"/>
  <c r="AB37" i="1"/>
  <c r="R37" i="1"/>
  <c r="P37" i="1" s="1"/>
  <c r="S37" i="1" s="1"/>
  <c r="M37" i="1" s="1"/>
  <c r="N37" i="1" s="1"/>
  <c r="R137" i="1"/>
  <c r="P137" i="1" s="1"/>
  <c r="S137" i="1" s="1"/>
  <c r="M137" i="1" s="1"/>
  <c r="N137" i="1" s="1"/>
  <c r="U32" i="1"/>
  <c r="V32" i="1" s="1"/>
  <c r="U36" i="1"/>
  <c r="V36" i="1" s="1"/>
  <c r="W222" i="1"/>
  <c r="AA222" i="1" s="1"/>
  <c r="AD222" i="1"/>
  <c r="AE222" i="1" s="1"/>
  <c r="W192" i="1"/>
  <c r="AA192" i="1" s="1"/>
  <c r="AD192" i="1"/>
  <c r="AC192" i="1"/>
  <c r="R173" i="1"/>
  <c r="P173" i="1" s="1"/>
  <c r="S173" i="1" s="1"/>
  <c r="M173" i="1" s="1"/>
  <c r="N173" i="1" s="1"/>
  <c r="AB173" i="1"/>
  <c r="R192" i="1"/>
  <c r="P192" i="1" s="1"/>
  <c r="S192" i="1" s="1"/>
  <c r="M192" i="1" s="1"/>
  <c r="N192" i="1" s="1"/>
  <c r="U203" i="1"/>
  <c r="V203" i="1" s="1"/>
  <c r="R133" i="1"/>
  <c r="P133" i="1" s="1"/>
  <c r="S133" i="1" s="1"/>
  <c r="M133" i="1" s="1"/>
  <c r="N133" i="1" s="1"/>
  <c r="AB133" i="1"/>
  <c r="AB131" i="1"/>
  <c r="R131" i="1"/>
  <c r="P131" i="1" s="1"/>
  <c r="S131" i="1" s="1"/>
  <c r="M131" i="1" s="1"/>
  <c r="N131" i="1" s="1"/>
  <c r="U131" i="1"/>
  <c r="V131" i="1" s="1"/>
  <c r="AD101" i="1"/>
  <c r="AC101" i="1"/>
  <c r="W101" i="1"/>
  <c r="AA101" i="1" s="1"/>
  <c r="AD148" i="1"/>
  <c r="AE148" i="1" s="1"/>
  <c r="W148" i="1"/>
  <c r="AA148" i="1" s="1"/>
  <c r="AB19" i="1"/>
  <c r="R19" i="1"/>
  <c r="P19" i="1" s="1"/>
  <c r="S19" i="1" s="1"/>
  <c r="M19" i="1" s="1"/>
  <c r="N19" i="1" s="1"/>
  <c r="U19" i="1"/>
  <c r="V19" i="1" s="1"/>
  <c r="AB60" i="1"/>
  <c r="R60" i="1"/>
  <c r="P60" i="1" s="1"/>
  <c r="S60" i="1" s="1"/>
  <c r="M60" i="1" s="1"/>
  <c r="N60" i="1" s="1"/>
  <c r="U212" i="1"/>
  <c r="V212" i="1" s="1"/>
  <c r="U205" i="1"/>
  <c r="V205" i="1" s="1"/>
  <c r="U227" i="1"/>
  <c r="V227" i="1" s="1"/>
  <c r="AC202" i="1"/>
  <c r="U197" i="1"/>
  <c r="V197" i="1" s="1"/>
  <c r="AB190" i="1"/>
  <c r="R190" i="1"/>
  <c r="P190" i="1" s="1"/>
  <c r="S190" i="1" s="1"/>
  <c r="M190" i="1" s="1"/>
  <c r="N190" i="1" s="1"/>
  <c r="U195" i="1"/>
  <c r="V195" i="1" s="1"/>
  <c r="R226" i="1"/>
  <c r="P226" i="1" s="1"/>
  <c r="S226" i="1" s="1"/>
  <c r="M226" i="1" s="1"/>
  <c r="N226" i="1" s="1"/>
  <c r="AB226" i="1"/>
  <c r="U168" i="1"/>
  <c r="V168" i="1" s="1"/>
  <c r="U159" i="1"/>
  <c r="V159" i="1" s="1"/>
  <c r="AB170" i="1"/>
  <c r="R170" i="1"/>
  <c r="P170" i="1" s="1"/>
  <c r="S170" i="1" s="1"/>
  <c r="M170" i="1" s="1"/>
  <c r="N170" i="1" s="1"/>
  <c r="AB171" i="1"/>
  <c r="R171" i="1"/>
  <c r="P171" i="1" s="1"/>
  <c r="S171" i="1" s="1"/>
  <c r="M171" i="1" s="1"/>
  <c r="N171" i="1" s="1"/>
  <c r="U157" i="1"/>
  <c r="V157" i="1" s="1"/>
  <c r="R157" i="1" s="1"/>
  <c r="P157" i="1" s="1"/>
  <c r="S157" i="1" s="1"/>
  <c r="M157" i="1" s="1"/>
  <c r="N157" i="1" s="1"/>
  <c r="U183" i="1"/>
  <c r="V183" i="1" s="1"/>
  <c r="AC177" i="1"/>
  <c r="U152" i="1"/>
  <c r="V152" i="1" s="1"/>
  <c r="U158" i="1"/>
  <c r="V158" i="1" s="1"/>
  <c r="U165" i="1"/>
  <c r="V165" i="1" s="1"/>
  <c r="U126" i="1"/>
  <c r="V126" i="1" s="1"/>
  <c r="U90" i="1"/>
  <c r="V90" i="1" s="1"/>
  <c r="R90" i="1" s="1"/>
  <c r="P90" i="1" s="1"/>
  <c r="S90" i="1" s="1"/>
  <c r="M90" i="1" s="1"/>
  <c r="N90" i="1" s="1"/>
  <c r="U121" i="1"/>
  <c r="V121" i="1" s="1"/>
  <c r="R121" i="1" s="1"/>
  <c r="P121" i="1" s="1"/>
  <c r="S121" i="1" s="1"/>
  <c r="M121" i="1" s="1"/>
  <c r="N121" i="1" s="1"/>
  <c r="AB111" i="1"/>
  <c r="R111" i="1"/>
  <c r="P111" i="1" s="1"/>
  <c r="S111" i="1" s="1"/>
  <c r="M111" i="1" s="1"/>
  <c r="N111" i="1" s="1"/>
  <c r="AD85" i="1"/>
  <c r="AE85" i="1" s="1"/>
  <c r="W85" i="1"/>
  <c r="AA85" i="1" s="1"/>
  <c r="AD77" i="1"/>
  <c r="AE77" i="1" s="1"/>
  <c r="W77" i="1"/>
  <c r="AA77" i="1" s="1"/>
  <c r="R109" i="1"/>
  <c r="P109" i="1" s="1"/>
  <c r="S109" i="1" s="1"/>
  <c r="M109" i="1" s="1"/>
  <c r="N109" i="1" s="1"/>
  <c r="U82" i="1"/>
  <c r="V82" i="1" s="1"/>
  <c r="AE144" i="1"/>
  <c r="AB110" i="1"/>
  <c r="R110" i="1"/>
  <c r="P110" i="1" s="1"/>
  <c r="S110" i="1" s="1"/>
  <c r="M110" i="1" s="1"/>
  <c r="N110" i="1" s="1"/>
  <c r="U52" i="1"/>
  <c r="V52" i="1" s="1"/>
  <c r="AB116" i="1"/>
  <c r="R116" i="1"/>
  <c r="P116" i="1" s="1"/>
  <c r="S116" i="1" s="1"/>
  <c r="M116" i="1" s="1"/>
  <c r="N116" i="1" s="1"/>
  <c r="R58" i="1"/>
  <c r="P58" i="1" s="1"/>
  <c r="S58" i="1" s="1"/>
  <c r="M58" i="1" s="1"/>
  <c r="N58" i="1" s="1"/>
  <c r="AB58" i="1"/>
  <c r="R45" i="1"/>
  <c r="P45" i="1" s="1"/>
  <c r="S45" i="1" s="1"/>
  <c r="M45" i="1" s="1"/>
  <c r="N45" i="1" s="1"/>
  <c r="AB45" i="1"/>
  <c r="AB23" i="1"/>
  <c r="U23" i="1"/>
  <c r="V23" i="1" s="1"/>
  <c r="W29" i="1"/>
  <c r="AA29" i="1" s="1"/>
  <c r="AD29" i="1"/>
  <c r="AE29" i="1" s="1"/>
  <c r="AB64" i="1"/>
  <c r="R64" i="1"/>
  <c r="P64" i="1" s="1"/>
  <c r="S64" i="1" s="1"/>
  <c r="M64" i="1" s="1"/>
  <c r="N64" i="1" s="1"/>
  <c r="U114" i="1"/>
  <c r="V114" i="1" s="1"/>
  <c r="AB43" i="1"/>
  <c r="R43" i="1"/>
  <c r="P43" i="1" s="1"/>
  <c r="S43" i="1" s="1"/>
  <c r="M43" i="1" s="1"/>
  <c r="N43" i="1" s="1"/>
  <c r="U34" i="1"/>
  <c r="V34" i="1" s="1"/>
  <c r="AB25" i="1"/>
  <c r="R25" i="1"/>
  <c r="P25" i="1" s="1"/>
  <c r="S25" i="1" s="1"/>
  <c r="M25" i="1" s="1"/>
  <c r="N25" i="1" s="1"/>
  <c r="U28" i="1"/>
  <c r="V28" i="1" s="1"/>
  <c r="R24" i="1"/>
  <c r="P24" i="1" s="1"/>
  <c r="S24" i="1" s="1"/>
  <c r="M24" i="1" s="1"/>
  <c r="N24" i="1" s="1"/>
  <c r="AB24" i="1"/>
  <c r="AB20" i="1"/>
  <c r="R20" i="1"/>
  <c r="P20" i="1" s="1"/>
  <c r="S20" i="1" s="1"/>
  <c r="M20" i="1" s="1"/>
  <c r="N20" i="1" s="1"/>
  <c r="AD114" i="1" l="1"/>
  <c r="AE114" i="1" s="1"/>
  <c r="W114" i="1"/>
  <c r="AA114" i="1" s="1"/>
  <c r="AC114" i="1"/>
  <c r="W183" i="1"/>
  <c r="AA183" i="1" s="1"/>
  <c r="AD183" i="1"/>
  <c r="AE183" i="1" s="1"/>
  <c r="AC183" i="1"/>
  <c r="W159" i="1"/>
  <c r="AA159" i="1" s="1"/>
  <c r="AD159" i="1"/>
  <c r="AC159" i="1"/>
  <c r="W212" i="1"/>
  <c r="AA212" i="1" s="1"/>
  <c r="AD212" i="1"/>
  <c r="AE212" i="1" s="1"/>
  <c r="AC212" i="1"/>
  <c r="W119" i="1"/>
  <c r="AA119" i="1" s="1"/>
  <c r="AD119" i="1"/>
  <c r="AC119" i="1"/>
  <c r="AC94" i="1"/>
  <c r="AD94" i="1"/>
  <c r="AE94" i="1" s="1"/>
  <c r="W94" i="1"/>
  <c r="AA94" i="1" s="1"/>
  <c r="W199" i="1"/>
  <c r="AA199" i="1" s="1"/>
  <c r="AD199" i="1"/>
  <c r="AC199" i="1"/>
  <c r="R199" i="1"/>
  <c r="P199" i="1" s="1"/>
  <c r="S199" i="1" s="1"/>
  <c r="M199" i="1" s="1"/>
  <c r="N199" i="1" s="1"/>
  <c r="R114" i="1"/>
  <c r="P114" i="1" s="1"/>
  <c r="S114" i="1" s="1"/>
  <c r="M114" i="1" s="1"/>
  <c r="N114" i="1" s="1"/>
  <c r="AD42" i="1"/>
  <c r="AC42" i="1"/>
  <c r="W42" i="1"/>
  <c r="AA42" i="1" s="1"/>
  <c r="W39" i="1"/>
  <c r="AA39" i="1" s="1"/>
  <c r="AD39" i="1"/>
  <c r="AE39" i="1" s="1"/>
  <c r="AC39" i="1"/>
  <c r="W220" i="1"/>
  <c r="AA220" i="1" s="1"/>
  <c r="AD220" i="1"/>
  <c r="AE220" i="1" s="1"/>
  <c r="AC220" i="1"/>
  <c r="W75" i="1"/>
  <c r="AA75" i="1" s="1"/>
  <c r="AD75" i="1"/>
  <c r="AE75" i="1" s="1"/>
  <c r="AC75" i="1"/>
  <c r="W69" i="1"/>
  <c r="AA69" i="1" s="1"/>
  <c r="AD69" i="1"/>
  <c r="AC69" i="1"/>
  <c r="W103" i="1"/>
  <c r="AA103" i="1" s="1"/>
  <c r="AD103" i="1"/>
  <c r="AC103" i="1"/>
  <c r="W134" i="1"/>
  <c r="AA134" i="1" s="1"/>
  <c r="AD134" i="1"/>
  <c r="AC134" i="1"/>
  <c r="R134" i="1"/>
  <c r="P134" i="1" s="1"/>
  <c r="S134" i="1" s="1"/>
  <c r="M134" i="1" s="1"/>
  <c r="N134" i="1" s="1"/>
  <c r="W190" i="1"/>
  <c r="AA190" i="1" s="1"/>
  <c r="AD190" i="1"/>
  <c r="AE190" i="1" s="1"/>
  <c r="AC190" i="1"/>
  <c r="W224" i="1"/>
  <c r="AA224" i="1" s="1"/>
  <c r="AD224" i="1"/>
  <c r="AE224" i="1" s="1"/>
  <c r="AC224" i="1"/>
  <c r="AE57" i="1"/>
  <c r="AD145" i="1"/>
  <c r="W145" i="1"/>
  <c r="AA145" i="1" s="1"/>
  <c r="AC145" i="1"/>
  <c r="AD60" i="1"/>
  <c r="W60" i="1"/>
  <c r="AA60" i="1" s="1"/>
  <c r="AC60" i="1"/>
  <c r="R69" i="1"/>
  <c r="P69" i="1" s="1"/>
  <c r="S69" i="1" s="1"/>
  <c r="M69" i="1" s="1"/>
  <c r="N69" i="1" s="1"/>
  <c r="W125" i="1"/>
  <c r="AA125" i="1" s="1"/>
  <c r="AD125" i="1"/>
  <c r="AE125" i="1" s="1"/>
  <c r="AC125" i="1"/>
  <c r="W138" i="1"/>
  <c r="AA138" i="1" s="1"/>
  <c r="AD138" i="1"/>
  <c r="AC138" i="1"/>
  <c r="R138" i="1"/>
  <c r="P138" i="1" s="1"/>
  <c r="S138" i="1" s="1"/>
  <c r="M138" i="1" s="1"/>
  <c r="N138" i="1" s="1"/>
  <c r="AD167" i="1"/>
  <c r="W167" i="1"/>
  <c r="AA167" i="1" s="1"/>
  <c r="AC167" i="1"/>
  <c r="AD47" i="1"/>
  <c r="AE47" i="1" s="1"/>
  <c r="W47" i="1"/>
  <c r="AA47" i="1" s="1"/>
  <c r="AC47" i="1"/>
  <c r="W187" i="1"/>
  <c r="AA187" i="1" s="1"/>
  <c r="AD187" i="1"/>
  <c r="AE187" i="1" s="1"/>
  <c r="AC187" i="1"/>
  <c r="AE226" i="1"/>
  <c r="AD28" i="1"/>
  <c r="W28" i="1"/>
  <c r="AA28" i="1" s="1"/>
  <c r="AC28" i="1"/>
  <c r="W203" i="1"/>
  <c r="AA203" i="1" s="1"/>
  <c r="AD203" i="1"/>
  <c r="AE203" i="1" s="1"/>
  <c r="R203" i="1"/>
  <c r="P203" i="1" s="1"/>
  <c r="S203" i="1" s="1"/>
  <c r="M203" i="1" s="1"/>
  <c r="N203" i="1" s="1"/>
  <c r="AC203" i="1"/>
  <c r="AD72" i="1"/>
  <c r="W72" i="1"/>
  <c r="AA72" i="1" s="1"/>
  <c r="AC72" i="1"/>
  <c r="R119" i="1"/>
  <c r="P119" i="1" s="1"/>
  <c r="S119" i="1" s="1"/>
  <c r="M119" i="1" s="1"/>
  <c r="N119" i="1" s="1"/>
  <c r="W122" i="1"/>
  <c r="AA122" i="1" s="1"/>
  <c r="AD122" i="1"/>
  <c r="AC122" i="1"/>
  <c r="AD98" i="1"/>
  <c r="W98" i="1"/>
  <c r="AA98" i="1" s="1"/>
  <c r="AC98" i="1"/>
  <c r="AD156" i="1"/>
  <c r="AE156" i="1" s="1"/>
  <c r="W156" i="1"/>
  <c r="AA156" i="1" s="1"/>
  <c r="AC156" i="1"/>
  <c r="R156" i="1"/>
  <c r="P156" i="1" s="1"/>
  <c r="S156" i="1" s="1"/>
  <c r="M156" i="1" s="1"/>
  <c r="N156" i="1" s="1"/>
  <c r="AE202" i="1"/>
  <c r="R75" i="1"/>
  <c r="P75" i="1" s="1"/>
  <c r="S75" i="1" s="1"/>
  <c r="M75" i="1" s="1"/>
  <c r="N75" i="1" s="1"/>
  <c r="AD160" i="1"/>
  <c r="W160" i="1"/>
  <c r="AA160" i="1" s="1"/>
  <c r="R160" i="1"/>
  <c r="P160" i="1" s="1"/>
  <c r="S160" i="1" s="1"/>
  <c r="M160" i="1" s="1"/>
  <c r="N160" i="1" s="1"/>
  <c r="AC160" i="1"/>
  <c r="AD154" i="1"/>
  <c r="AC154" i="1"/>
  <c r="W154" i="1"/>
  <c r="AA154" i="1" s="1"/>
  <c r="R154" i="1"/>
  <c r="P154" i="1" s="1"/>
  <c r="S154" i="1" s="1"/>
  <c r="M154" i="1" s="1"/>
  <c r="N154" i="1" s="1"/>
  <c r="AE17" i="1"/>
  <c r="AE25" i="1"/>
  <c r="AD43" i="1"/>
  <c r="AC43" i="1"/>
  <c r="W43" i="1"/>
  <c r="AA43" i="1" s="1"/>
  <c r="AE177" i="1"/>
  <c r="AD147" i="1"/>
  <c r="AE147" i="1" s="1"/>
  <c r="W147" i="1"/>
  <c r="AA147" i="1" s="1"/>
  <c r="AC147" i="1"/>
  <c r="R147" i="1"/>
  <c r="P147" i="1" s="1"/>
  <c r="S147" i="1" s="1"/>
  <c r="M147" i="1" s="1"/>
  <c r="N147" i="1" s="1"/>
  <c r="W207" i="1"/>
  <c r="AA207" i="1" s="1"/>
  <c r="AD207" i="1"/>
  <c r="AE207" i="1" s="1"/>
  <c r="AC207" i="1"/>
  <c r="R207" i="1"/>
  <c r="P207" i="1" s="1"/>
  <c r="S207" i="1" s="1"/>
  <c r="M207" i="1" s="1"/>
  <c r="N207" i="1" s="1"/>
  <c r="W63" i="1"/>
  <c r="AA63" i="1" s="1"/>
  <c r="AD63" i="1"/>
  <c r="AE63" i="1" s="1"/>
  <c r="AC63" i="1"/>
  <c r="W130" i="1"/>
  <c r="AA130" i="1" s="1"/>
  <c r="AD130" i="1"/>
  <c r="AE130" i="1" s="1"/>
  <c r="R130" i="1"/>
  <c r="P130" i="1" s="1"/>
  <c r="S130" i="1" s="1"/>
  <c r="M130" i="1" s="1"/>
  <c r="N130" i="1" s="1"/>
  <c r="AC130" i="1"/>
  <c r="W179" i="1"/>
  <c r="AA179" i="1" s="1"/>
  <c r="AD179" i="1"/>
  <c r="AE179" i="1" s="1"/>
  <c r="AC179" i="1"/>
  <c r="AC62" i="1"/>
  <c r="AD62" i="1"/>
  <c r="AE62" i="1" s="1"/>
  <c r="W62" i="1"/>
  <c r="AA62" i="1" s="1"/>
  <c r="AE182" i="1"/>
  <c r="AE173" i="1"/>
  <c r="AD165" i="1"/>
  <c r="AE165" i="1" s="1"/>
  <c r="W165" i="1"/>
  <c r="AA165" i="1" s="1"/>
  <c r="R165" i="1"/>
  <c r="P165" i="1" s="1"/>
  <c r="S165" i="1" s="1"/>
  <c r="M165" i="1" s="1"/>
  <c r="N165" i="1" s="1"/>
  <c r="AC165" i="1"/>
  <c r="W157" i="1"/>
  <c r="AA157" i="1" s="1"/>
  <c r="AD157" i="1"/>
  <c r="AC157" i="1"/>
  <c r="W197" i="1"/>
  <c r="AA197" i="1" s="1"/>
  <c r="AD197" i="1"/>
  <c r="AC197" i="1"/>
  <c r="W172" i="1"/>
  <c r="AA172" i="1" s="1"/>
  <c r="AD172" i="1"/>
  <c r="AC172" i="1"/>
  <c r="R172" i="1"/>
  <c r="P172" i="1" s="1"/>
  <c r="S172" i="1" s="1"/>
  <c r="M172" i="1" s="1"/>
  <c r="N172" i="1" s="1"/>
  <c r="W139" i="1"/>
  <c r="AA139" i="1" s="1"/>
  <c r="AD139" i="1"/>
  <c r="AC139" i="1"/>
  <c r="AD146" i="1"/>
  <c r="AE146" i="1" s="1"/>
  <c r="W146" i="1"/>
  <c r="AA146" i="1" s="1"/>
  <c r="AC146" i="1"/>
  <c r="W176" i="1"/>
  <c r="AA176" i="1" s="1"/>
  <c r="AD176" i="1"/>
  <c r="AC176" i="1"/>
  <c r="R176" i="1"/>
  <c r="P176" i="1" s="1"/>
  <c r="S176" i="1" s="1"/>
  <c r="M176" i="1" s="1"/>
  <c r="N176" i="1" s="1"/>
  <c r="AE20" i="1"/>
  <c r="W59" i="1"/>
  <c r="AA59" i="1" s="1"/>
  <c r="AD59" i="1"/>
  <c r="AE59" i="1" s="1"/>
  <c r="AC59" i="1"/>
  <c r="AD89" i="1"/>
  <c r="W89" i="1"/>
  <c r="AA89" i="1" s="1"/>
  <c r="AC89" i="1"/>
  <c r="W108" i="1"/>
  <c r="AA108" i="1" s="1"/>
  <c r="AD108" i="1"/>
  <c r="AC108" i="1"/>
  <c r="R108" i="1"/>
  <c r="P108" i="1" s="1"/>
  <c r="S108" i="1" s="1"/>
  <c r="M108" i="1" s="1"/>
  <c r="N108" i="1" s="1"/>
  <c r="R220" i="1"/>
  <c r="P220" i="1" s="1"/>
  <c r="S220" i="1" s="1"/>
  <c r="M220" i="1" s="1"/>
  <c r="N220" i="1" s="1"/>
  <c r="W111" i="1"/>
  <c r="AA111" i="1" s="1"/>
  <c r="AD111" i="1"/>
  <c r="AC111" i="1"/>
  <c r="AC143" i="1"/>
  <c r="AD143" i="1"/>
  <c r="AE143" i="1" s="1"/>
  <c r="W143" i="1"/>
  <c r="AA143" i="1" s="1"/>
  <c r="W92" i="1"/>
  <c r="AA92" i="1" s="1"/>
  <c r="AD92" i="1"/>
  <c r="AC92" i="1"/>
  <c r="R92" i="1"/>
  <c r="P92" i="1" s="1"/>
  <c r="S92" i="1" s="1"/>
  <c r="M92" i="1" s="1"/>
  <c r="N92" i="1" s="1"/>
  <c r="AD30" i="1"/>
  <c r="AE30" i="1" s="1"/>
  <c r="W30" i="1"/>
  <c r="AA30" i="1" s="1"/>
  <c r="AC30" i="1"/>
  <c r="R30" i="1"/>
  <c r="P30" i="1" s="1"/>
  <c r="S30" i="1" s="1"/>
  <c r="M30" i="1" s="1"/>
  <c r="N30" i="1" s="1"/>
  <c r="W99" i="1"/>
  <c r="AA99" i="1" s="1"/>
  <c r="AD99" i="1"/>
  <c r="AC99" i="1"/>
  <c r="W196" i="1"/>
  <c r="AA196" i="1" s="1"/>
  <c r="AD196" i="1"/>
  <c r="AE196" i="1" s="1"/>
  <c r="AC196" i="1"/>
  <c r="W51" i="1"/>
  <c r="AA51" i="1" s="1"/>
  <c r="AD51" i="1"/>
  <c r="AE51" i="1" s="1"/>
  <c r="AC51" i="1"/>
  <c r="AD56" i="1"/>
  <c r="W56" i="1"/>
  <c r="AA56" i="1" s="1"/>
  <c r="AC56" i="1"/>
  <c r="W49" i="1"/>
  <c r="AA49" i="1" s="1"/>
  <c r="AD49" i="1"/>
  <c r="AC49" i="1"/>
  <c r="W123" i="1"/>
  <c r="AA123" i="1" s="1"/>
  <c r="AD123" i="1"/>
  <c r="AE123" i="1" s="1"/>
  <c r="AC123" i="1"/>
  <c r="W219" i="1"/>
  <c r="AA219" i="1" s="1"/>
  <c r="AD219" i="1"/>
  <c r="AC219" i="1"/>
  <c r="R219" i="1"/>
  <c r="P219" i="1" s="1"/>
  <c r="S219" i="1" s="1"/>
  <c r="M219" i="1" s="1"/>
  <c r="N219" i="1" s="1"/>
  <c r="AE129" i="1"/>
  <c r="AE133" i="1"/>
  <c r="AD82" i="1"/>
  <c r="AE82" i="1" s="1"/>
  <c r="W82" i="1"/>
  <c r="AA82" i="1" s="1"/>
  <c r="R82" i="1"/>
  <c r="P82" i="1" s="1"/>
  <c r="S82" i="1" s="1"/>
  <c r="M82" i="1" s="1"/>
  <c r="N82" i="1" s="1"/>
  <c r="AC82" i="1"/>
  <c r="W158" i="1"/>
  <c r="AA158" i="1" s="1"/>
  <c r="AD158" i="1"/>
  <c r="AC158" i="1"/>
  <c r="R158" i="1"/>
  <c r="P158" i="1" s="1"/>
  <c r="S158" i="1" s="1"/>
  <c r="M158" i="1" s="1"/>
  <c r="N158" i="1" s="1"/>
  <c r="AD168" i="1"/>
  <c r="AE168" i="1" s="1"/>
  <c r="AC168" i="1"/>
  <c r="W168" i="1"/>
  <c r="AA168" i="1" s="1"/>
  <c r="R168" i="1"/>
  <c r="P168" i="1" s="1"/>
  <c r="S168" i="1" s="1"/>
  <c r="M168" i="1" s="1"/>
  <c r="N168" i="1" s="1"/>
  <c r="AE101" i="1"/>
  <c r="AD36" i="1"/>
  <c r="W36" i="1"/>
  <c r="AA36" i="1" s="1"/>
  <c r="AC36" i="1"/>
  <c r="W27" i="1"/>
  <c r="AA27" i="1" s="1"/>
  <c r="AC27" i="1"/>
  <c r="AD27" i="1"/>
  <c r="AE27" i="1" s="1"/>
  <c r="AC66" i="1"/>
  <c r="AD66" i="1"/>
  <c r="AE66" i="1" s="1"/>
  <c r="W66" i="1"/>
  <c r="AA66" i="1" s="1"/>
  <c r="AD209" i="1"/>
  <c r="AC209" i="1"/>
  <c r="W209" i="1"/>
  <c r="AA209" i="1" s="1"/>
  <c r="R209" i="1"/>
  <c r="P209" i="1" s="1"/>
  <c r="S209" i="1" s="1"/>
  <c r="M209" i="1" s="1"/>
  <c r="N209" i="1" s="1"/>
  <c r="AE136" i="1"/>
  <c r="AD26" i="1"/>
  <c r="AE26" i="1" s="1"/>
  <c r="W26" i="1"/>
  <c r="AA26" i="1" s="1"/>
  <c r="AC26" i="1"/>
  <c r="R26" i="1"/>
  <c r="P26" i="1" s="1"/>
  <c r="S26" i="1" s="1"/>
  <c r="M26" i="1" s="1"/>
  <c r="N26" i="1" s="1"/>
  <c r="R139" i="1"/>
  <c r="P139" i="1" s="1"/>
  <c r="S139" i="1" s="1"/>
  <c r="M139" i="1" s="1"/>
  <c r="N139" i="1" s="1"/>
  <c r="W175" i="1"/>
  <c r="AA175" i="1" s="1"/>
  <c r="AD175" i="1"/>
  <c r="AC175" i="1"/>
  <c r="AD164" i="1"/>
  <c r="AE164" i="1" s="1"/>
  <c r="W164" i="1"/>
  <c r="AA164" i="1" s="1"/>
  <c r="AC164" i="1"/>
  <c r="AD18" i="1"/>
  <c r="AE18" i="1" s="1"/>
  <c r="W18" i="1"/>
  <c r="AA18" i="1" s="1"/>
  <c r="AC18" i="1"/>
  <c r="R18" i="1"/>
  <c r="P18" i="1" s="1"/>
  <c r="S18" i="1" s="1"/>
  <c r="M18" i="1" s="1"/>
  <c r="N18" i="1" s="1"/>
  <c r="R59" i="1"/>
  <c r="P59" i="1" s="1"/>
  <c r="S59" i="1" s="1"/>
  <c r="M59" i="1" s="1"/>
  <c r="N59" i="1" s="1"/>
  <c r="W35" i="1"/>
  <c r="AA35" i="1" s="1"/>
  <c r="AC35" i="1"/>
  <c r="AD35" i="1"/>
  <c r="AC70" i="1"/>
  <c r="AD70" i="1"/>
  <c r="AE70" i="1" s="1"/>
  <c r="W70" i="1"/>
  <c r="AA70" i="1" s="1"/>
  <c r="W170" i="1"/>
  <c r="AA170" i="1" s="1"/>
  <c r="AD170" i="1"/>
  <c r="AC170" i="1"/>
  <c r="AE214" i="1"/>
  <c r="R159" i="1"/>
  <c r="P159" i="1" s="1"/>
  <c r="S159" i="1" s="1"/>
  <c r="M159" i="1" s="1"/>
  <c r="N159" i="1" s="1"/>
  <c r="AC58" i="1"/>
  <c r="AD58" i="1"/>
  <c r="AE58" i="1" s="1"/>
  <c r="W58" i="1"/>
  <c r="AA58" i="1" s="1"/>
  <c r="W110" i="1"/>
  <c r="AA110" i="1" s="1"/>
  <c r="AD110" i="1"/>
  <c r="AC110" i="1"/>
  <c r="W198" i="1"/>
  <c r="AA198" i="1" s="1"/>
  <c r="AD198" i="1"/>
  <c r="AC198" i="1"/>
  <c r="AE200" i="1"/>
  <c r="R51" i="1"/>
  <c r="P51" i="1" s="1"/>
  <c r="S51" i="1" s="1"/>
  <c r="M51" i="1" s="1"/>
  <c r="N51" i="1" s="1"/>
  <c r="R49" i="1"/>
  <c r="P49" i="1" s="1"/>
  <c r="S49" i="1" s="1"/>
  <c r="M49" i="1" s="1"/>
  <c r="N49" i="1" s="1"/>
  <c r="AE115" i="1"/>
  <c r="R123" i="1"/>
  <c r="P123" i="1" s="1"/>
  <c r="S123" i="1" s="1"/>
  <c r="M123" i="1" s="1"/>
  <c r="N123" i="1" s="1"/>
  <c r="W191" i="1"/>
  <c r="AA191" i="1" s="1"/>
  <c r="AD191" i="1"/>
  <c r="AC191" i="1"/>
  <c r="AE117" i="1"/>
  <c r="AD34" i="1"/>
  <c r="AE34" i="1" s="1"/>
  <c r="W34" i="1"/>
  <c r="AA34" i="1" s="1"/>
  <c r="AC34" i="1"/>
  <c r="R34" i="1"/>
  <c r="P34" i="1" s="1"/>
  <c r="S34" i="1" s="1"/>
  <c r="M34" i="1" s="1"/>
  <c r="N34" i="1" s="1"/>
  <c r="W121" i="1"/>
  <c r="AA121" i="1" s="1"/>
  <c r="AD121" i="1"/>
  <c r="AC121" i="1"/>
  <c r="W227" i="1"/>
  <c r="AA227" i="1" s="1"/>
  <c r="AC227" i="1"/>
  <c r="AD227" i="1"/>
  <c r="AE227" i="1" s="1"/>
  <c r="R227" i="1"/>
  <c r="P227" i="1" s="1"/>
  <c r="S227" i="1" s="1"/>
  <c r="M227" i="1" s="1"/>
  <c r="N227" i="1" s="1"/>
  <c r="W19" i="1"/>
  <c r="AA19" i="1" s="1"/>
  <c r="AC19" i="1"/>
  <c r="AD19" i="1"/>
  <c r="W131" i="1"/>
  <c r="AA131" i="1" s="1"/>
  <c r="AD131" i="1"/>
  <c r="AE131" i="1" s="1"/>
  <c r="AC131" i="1"/>
  <c r="AD32" i="1"/>
  <c r="AE32" i="1" s="1"/>
  <c r="W32" i="1"/>
  <c r="AA32" i="1" s="1"/>
  <c r="AC32" i="1"/>
  <c r="W95" i="1"/>
  <c r="AA95" i="1" s="1"/>
  <c r="AD95" i="1"/>
  <c r="AC95" i="1"/>
  <c r="W149" i="1"/>
  <c r="AA149" i="1" s="1"/>
  <c r="AD149" i="1"/>
  <c r="AC149" i="1"/>
  <c r="W211" i="1"/>
  <c r="AA211" i="1" s="1"/>
  <c r="AD211" i="1"/>
  <c r="AC211" i="1"/>
  <c r="R211" i="1"/>
  <c r="P211" i="1" s="1"/>
  <c r="S211" i="1" s="1"/>
  <c r="M211" i="1" s="1"/>
  <c r="N211" i="1" s="1"/>
  <c r="W216" i="1"/>
  <c r="AA216" i="1" s="1"/>
  <c r="AD216" i="1"/>
  <c r="AE216" i="1" s="1"/>
  <c r="AC216" i="1"/>
  <c r="W153" i="1"/>
  <c r="AA153" i="1" s="1"/>
  <c r="AD153" i="1"/>
  <c r="AC153" i="1"/>
  <c r="R72" i="1"/>
  <c r="P72" i="1" s="1"/>
  <c r="S72" i="1" s="1"/>
  <c r="M72" i="1" s="1"/>
  <c r="N72" i="1" s="1"/>
  <c r="AD68" i="1"/>
  <c r="W68" i="1"/>
  <c r="AA68" i="1" s="1"/>
  <c r="AC68" i="1"/>
  <c r="W118" i="1"/>
  <c r="AA118" i="1" s="1"/>
  <c r="AD118" i="1"/>
  <c r="AE118" i="1" s="1"/>
  <c r="AC118" i="1"/>
  <c r="W162" i="1"/>
  <c r="AA162" i="1" s="1"/>
  <c r="AD162" i="1"/>
  <c r="AE162" i="1" s="1"/>
  <c r="AC162" i="1"/>
  <c r="R162" i="1"/>
  <c r="P162" i="1" s="1"/>
  <c r="S162" i="1" s="1"/>
  <c r="M162" i="1" s="1"/>
  <c r="N162" i="1" s="1"/>
  <c r="R35" i="1"/>
  <c r="P35" i="1" s="1"/>
  <c r="S35" i="1" s="1"/>
  <c r="M35" i="1" s="1"/>
  <c r="N35" i="1" s="1"/>
  <c r="R145" i="1"/>
  <c r="P145" i="1" s="1"/>
  <c r="S145" i="1" s="1"/>
  <c r="M145" i="1" s="1"/>
  <c r="N145" i="1" s="1"/>
  <c r="W215" i="1"/>
  <c r="AA215" i="1" s="1"/>
  <c r="AD215" i="1"/>
  <c r="R215" i="1"/>
  <c r="P215" i="1" s="1"/>
  <c r="S215" i="1" s="1"/>
  <c r="M215" i="1" s="1"/>
  <c r="N215" i="1" s="1"/>
  <c r="AC215" i="1"/>
  <c r="AD41" i="1"/>
  <c r="W41" i="1"/>
  <c r="AA41" i="1" s="1"/>
  <c r="AC41" i="1"/>
  <c r="R99" i="1"/>
  <c r="P99" i="1" s="1"/>
  <c r="S99" i="1" s="1"/>
  <c r="M99" i="1" s="1"/>
  <c r="N99" i="1" s="1"/>
  <c r="R70" i="1"/>
  <c r="P70" i="1" s="1"/>
  <c r="S70" i="1" s="1"/>
  <c r="M70" i="1" s="1"/>
  <c r="N70" i="1" s="1"/>
  <c r="AD189" i="1"/>
  <c r="W189" i="1"/>
  <c r="AA189" i="1" s="1"/>
  <c r="AC189" i="1"/>
  <c r="AE206" i="1"/>
  <c r="AD44" i="1"/>
  <c r="AE44" i="1" s="1"/>
  <c r="W44" i="1"/>
  <c r="AA44" i="1" s="1"/>
  <c r="R44" i="1"/>
  <c r="P44" i="1" s="1"/>
  <c r="S44" i="1" s="1"/>
  <c r="M44" i="1" s="1"/>
  <c r="N44" i="1" s="1"/>
  <c r="AC44" i="1"/>
  <c r="AD93" i="1"/>
  <c r="AC93" i="1"/>
  <c r="W93" i="1"/>
  <c r="AA93" i="1" s="1"/>
  <c r="R93" i="1"/>
  <c r="P93" i="1" s="1"/>
  <c r="S93" i="1" s="1"/>
  <c r="M93" i="1" s="1"/>
  <c r="N93" i="1" s="1"/>
  <c r="W171" i="1"/>
  <c r="AA171" i="1" s="1"/>
  <c r="AD171" i="1"/>
  <c r="AE171" i="1" s="1"/>
  <c r="AC171" i="1"/>
  <c r="R196" i="1"/>
  <c r="P196" i="1" s="1"/>
  <c r="S196" i="1" s="1"/>
  <c r="M196" i="1" s="1"/>
  <c r="N196" i="1" s="1"/>
  <c r="R28" i="1"/>
  <c r="P28" i="1" s="1"/>
  <c r="S28" i="1" s="1"/>
  <c r="M28" i="1" s="1"/>
  <c r="N28" i="1" s="1"/>
  <c r="AD40" i="1"/>
  <c r="AE40" i="1" s="1"/>
  <c r="W40" i="1"/>
  <c r="AA40" i="1" s="1"/>
  <c r="AC40" i="1"/>
  <c r="AE83" i="1"/>
  <c r="AE181" i="1"/>
  <c r="AE210" i="1"/>
  <c r="W23" i="1"/>
  <c r="AA23" i="1" s="1"/>
  <c r="AD23" i="1"/>
  <c r="AC23" i="1"/>
  <c r="W90" i="1"/>
  <c r="AA90" i="1" s="1"/>
  <c r="AD90" i="1"/>
  <c r="AC90" i="1"/>
  <c r="W100" i="1"/>
  <c r="AA100" i="1" s="1"/>
  <c r="AD100" i="1"/>
  <c r="AE100" i="1" s="1"/>
  <c r="R100" i="1"/>
  <c r="P100" i="1" s="1"/>
  <c r="S100" i="1" s="1"/>
  <c r="M100" i="1" s="1"/>
  <c r="N100" i="1" s="1"/>
  <c r="AC100" i="1"/>
  <c r="AD169" i="1"/>
  <c r="AE169" i="1" s="1"/>
  <c r="W169" i="1"/>
  <c r="AA169" i="1" s="1"/>
  <c r="AC169" i="1"/>
  <c r="W223" i="1"/>
  <c r="AA223" i="1" s="1"/>
  <c r="AC223" i="1"/>
  <c r="AD223" i="1"/>
  <c r="R223" i="1"/>
  <c r="P223" i="1" s="1"/>
  <c r="S223" i="1" s="1"/>
  <c r="M223" i="1" s="1"/>
  <c r="N223" i="1" s="1"/>
  <c r="W73" i="1"/>
  <c r="AA73" i="1" s="1"/>
  <c r="AD73" i="1"/>
  <c r="AC73" i="1"/>
  <c r="W178" i="1"/>
  <c r="AA178" i="1" s="1"/>
  <c r="AD178" i="1"/>
  <c r="AE178" i="1" s="1"/>
  <c r="R178" i="1"/>
  <c r="P178" i="1" s="1"/>
  <c r="S178" i="1" s="1"/>
  <c r="M178" i="1" s="1"/>
  <c r="N178" i="1" s="1"/>
  <c r="AC178" i="1"/>
  <c r="R42" i="1"/>
  <c r="P42" i="1" s="1"/>
  <c r="S42" i="1" s="1"/>
  <c r="M42" i="1" s="1"/>
  <c r="N42" i="1" s="1"/>
  <c r="W67" i="1"/>
  <c r="AA67" i="1" s="1"/>
  <c r="AD67" i="1"/>
  <c r="AC67" i="1"/>
  <c r="AC46" i="1"/>
  <c r="W46" i="1"/>
  <c r="AA46" i="1" s="1"/>
  <c r="AD46" i="1"/>
  <c r="AE46" i="1" s="1"/>
  <c r="W71" i="1"/>
  <c r="AA71" i="1" s="1"/>
  <c r="AD71" i="1"/>
  <c r="AE71" i="1" s="1"/>
  <c r="AC71" i="1"/>
  <c r="R32" i="1"/>
  <c r="P32" i="1" s="1"/>
  <c r="S32" i="1" s="1"/>
  <c r="M32" i="1" s="1"/>
  <c r="N32" i="1" s="1"/>
  <c r="R98" i="1"/>
  <c r="P98" i="1" s="1"/>
  <c r="S98" i="1" s="1"/>
  <c r="M98" i="1" s="1"/>
  <c r="N98" i="1" s="1"/>
  <c r="R122" i="1"/>
  <c r="P122" i="1" s="1"/>
  <c r="S122" i="1" s="1"/>
  <c r="M122" i="1" s="1"/>
  <c r="N122" i="1" s="1"/>
  <c r="W106" i="1"/>
  <c r="AA106" i="1" s="1"/>
  <c r="AD106" i="1"/>
  <c r="AE106" i="1" s="1"/>
  <c r="AC106" i="1"/>
  <c r="W166" i="1"/>
  <c r="AA166" i="1" s="1"/>
  <c r="AD166" i="1"/>
  <c r="AC166" i="1"/>
  <c r="R166" i="1"/>
  <c r="P166" i="1" s="1"/>
  <c r="S166" i="1" s="1"/>
  <c r="M166" i="1" s="1"/>
  <c r="N166" i="1" s="1"/>
  <c r="R36" i="1"/>
  <c r="P36" i="1" s="1"/>
  <c r="S36" i="1" s="1"/>
  <c r="M36" i="1" s="1"/>
  <c r="N36" i="1" s="1"/>
  <c r="AD74" i="1"/>
  <c r="AE74" i="1" s="1"/>
  <c r="W74" i="1"/>
  <c r="AA74" i="1" s="1"/>
  <c r="AC74" i="1"/>
  <c r="AD116" i="1"/>
  <c r="AE116" i="1" s="1"/>
  <c r="W116" i="1"/>
  <c r="AA116" i="1" s="1"/>
  <c r="AC116" i="1"/>
  <c r="W204" i="1"/>
  <c r="AA204" i="1" s="1"/>
  <c r="AD204" i="1"/>
  <c r="AC204" i="1"/>
  <c r="R41" i="1"/>
  <c r="P41" i="1" s="1"/>
  <c r="S41" i="1" s="1"/>
  <c r="M41" i="1" s="1"/>
  <c r="N41" i="1" s="1"/>
  <c r="AD86" i="1"/>
  <c r="AE86" i="1" s="1"/>
  <c r="W86" i="1"/>
  <c r="AA86" i="1" s="1"/>
  <c r="AC86" i="1"/>
  <c r="R86" i="1"/>
  <c r="P86" i="1" s="1"/>
  <c r="S86" i="1" s="1"/>
  <c r="M86" i="1" s="1"/>
  <c r="N86" i="1" s="1"/>
  <c r="W96" i="1"/>
  <c r="AA96" i="1" s="1"/>
  <c r="AD96" i="1"/>
  <c r="AC96" i="1"/>
  <c r="R96" i="1"/>
  <c r="P96" i="1" s="1"/>
  <c r="S96" i="1" s="1"/>
  <c r="M96" i="1" s="1"/>
  <c r="N96" i="1" s="1"/>
  <c r="W135" i="1"/>
  <c r="AA135" i="1" s="1"/>
  <c r="AD135" i="1"/>
  <c r="AE135" i="1" s="1"/>
  <c r="AC135" i="1"/>
  <c r="AD150" i="1"/>
  <c r="AC150" i="1"/>
  <c r="W150" i="1"/>
  <c r="AA150" i="1" s="1"/>
  <c r="R150" i="1"/>
  <c r="P150" i="1" s="1"/>
  <c r="S150" i="1" s="1"/>
  <c r="M150" i="1" s="1"/>
  <c r="N150" i="1" s="1"/>
  <c r="W174" i="1"/>
  <c r="AA174" i="1" s="1"/>
  <c r="AD174" i="1"/>
  <c r="AC174" i="1"/>
  <c r="AE45" i="1"/>
  <c r="R23" i="1"/>
  <c r="P23" i="1" s="1"/>
  <c r="S23" i="1" s="1"/>
  <c r="M23" i="1" s="1"/>
  <c r="N23" i="1" s="1"/>
  <c r="AD152" i="1"/>
  <c r="AE152" i="1" s="1"/>
  <c r="W152" i="1"/>
  <c r="AA152" i="1" s="1"/>
  <c r="R152" i="1"/>
  <c r="P152" i="1" s="1"/>
  <c r="S152" i="1" s="1"/>
  <c r="M152" i="1" s="1"/>
  <c r="N152" i="1" s="1"/>
  <c r="AC152" i="1"/>
  <c r="W195" i="1"/>
  <c r="AA195" i="1" s="1"/>
  <c r="AD195" i="1"/>
  <c r="AE195" i="1" s="1"/>
  <c r="AC195" i="1"/>
  <c r="R195" i="1"/>
  <c r="P195" i="1" s="1"/>
  <c r="S195" i="1" s="1"/>
  <c r="M195" i="1" s="1"/>
  <c r="N195" i="1" s="1"/>
  <c r="AD205" i="1"/>
  <c r="AE205" i="1" s="1"/>
  <c r="AC205" i="1"/>
  <c r="W205" i="1"/>
  <c r="AA205" i="1" s="1"/>
  <c r="W127" i="1"/>
  <c r="AA127" i="1" s="1"/>
  <c r="AD127" i="1"/>
  <c r="AC127" i="1"/>
  <c r="AD88" i="1"/>
  <c r="W88" i="1"/>
  <c r="AA88" i="1" s="1"/>
  <c r="AC88" i="1"/>
  <c r="R88" i="1"/>
  <c r="P88" i="1" s="1"/>
  <c r="S88" i="1" s="1"/>
  <c r="M88" i="1" s="1"/>
  <c r="N88" i="1" s="1"/>
  <c r="R94" i="1"/>
  <c r="P94" i="1" s="1"/>
  <c r="S94" i="1" s="1"/>
  <c r="M94" i="1" s="1"/>
  <c r="N94" i="1" s="1"/>
  <c r="W31" i="1"/>
  <c r="AA31" i="1" s="1"/>
  <c r="AC31" i="1"/>
  <c r="AD31" i="1"/>
  <c r="AE31" i="1" s="1"/>
  <c r="R103" i="1"/>
  <c r="P103" i="1" s="1"/>
  <c r="S103" i="1" s="1"/>
  <c r="M103" i="1" s="1"/>
  <c r="N103" i="1" s="1"/>
  <c r="AD78" i="1"/>
  <c r="AE78" i="1" s="1"/>
  <c r="W78" i="1"/>
  <c r="AA78" i="1" s="1"/>
  <c r="AC78" i="1"/>
  <c r="R78" i="1"/>
  <c r="P78" i="1" s="1"/>
  <c r="S78" i="1" s="1"/>
  <c r="M78" i="1" s="1"/>
  <c r="N78" i="1" s="1"/>
  <c r="AD91" i="1"/>
  <c r="AE91" i="1" s="1"/>
  <c r="W91" i="1"/>
  <c r="AA91" i="1" s="1"/>
  <c r="AC91" i="1"/>
  <c r="AE141" i="1"/>
  <c r="AD163" i="1"/>
  <c r="AE163" i="1" s="1"/>
  <c r="W163" i="1"/>
  <c r="AA163" i="1" s="1"/>
  <c r="AC163" i="1"/>
  <c r="R197" i="1"/>
  <c r="P197" i="1" s="1"/>
  <c r="S197" i="1" s="1"/>
  <c r="M197" i="1" s="1"/>
  <c r="N197" i="1" s="1"/>
  <c r="W208" i="1"/>
  <c r="AA208" i="1" s="1"/>
  <c r="AD208" i="1"/>
  <c r="AC208" i="1"/>
  <c r="AE38" i="1"/>
  <c r="R67" i="1"/>
  <c r="P67" i="1" s="1"/>
  <c r="S67" i="1" s="1"/>
  <c r="M67" i="1" s="1"/>
  <c r="N67" i="1" s="1"/>
  <c r="AD84" i="1"/>
  <c r="AE84" i="1" s="1"/>
  <c r="W84" i="1"/>
  <c r="AA84" i="1" s="1"/>
  <c r="AC84" i="1"/>
  <c r="R84" i="1"/>
  <c r="P84" i="1" s="1"/>
  <c r="S84" i="1" s="1"/>
  <c r="M84" i="1" s="1"/>
  <c r="N84" i="1" s="1"/>
  <c r="R163" i="1"/>
  <c r="P163" i="1" s="1"/>
  <c r="S163" i="1" s="1"/>
  <c r="M163" i="1" s="1"/>
  <c r="N163" i="1" s="1"/>
  <c r="AE180" i="1"/>
  <c r="R205" i="1"/>
  <c r="P205" i="1" s="1"/>
  <c r="S205" i="1" s="1"/>
  <c r="M205" i="1" s="1"/>
  <c r="N205" i="1" s="1"/>
  <c r="R71" i="1"/>
  <c r="P71" i="1" s="1"/>
  <c r="S71" i="1" s="1"/>
  <c r="M71" i="1" s="1"/>
  <c r="N71" i="1" s="1"/>
  <c r="W112" i="1"/>
  <c r="AA112" i="1" s="1"/>
  <c r="AD112" i="1"/>
  <c r="AC112" i="1"/>
  <c r="W194" i="1"/>
  <c r="AA194" i="1" s="1"/>
  <c r="AD194" i="1"/>
  <c r="AC194" i="1"/>
  <c r="AD221" i="1"/>
  <c r="W221" i="1"/>
  <c r="AA221" i="1" s="1"/>
  <c r="R221" i="1"/>
  <c r="P221" i="1" s="1"/>
  <c r="S221" i="1" s="1"/>
  <c r="M221" i="1" s="1"/>
  <c r="N221" i="1" s="1"/>
  <c r="AC221" i="1"/>
  <c r="AE105" i="1"/>
  <c r="AD113" i="1"/>
  <c r="AE113" i="1" s="1"/>
  <c r="AC113" i="1"/>
  <c r="W113" i="1"/>
  <c r="AA113" i="1" s="1"/>
  <c r="W107" i="1"/>
  <c r="AA107" i="1" s="1"/>
  <c r="AD107" i="1"/>
  <c r="AC107" i="1"/>
  <c r="AD80" i="1"/>
  <c r="W80" i="1"/>
  <c r="AA80" i="1" s="1"/>
  <c r="R80" i="1"/>
  <c r="P80" i="1" s="1"/>
  <c r="S80" i="1" s="1"/>
  <c r="M80" i="1" s="1"/>
  <c r="N80" i="1" s="1"/>
  <c r="AC80" i="1"/>
  <c r="AE137" i="1"/>
  <c r="W186" i="1"/>
  <c r="AA186" i="1" s="1"/>
  <c r="AD186" i="1"/>
  <c r="AC186" i="1"/>
  <c r="AD225" i="1"/>
  <c r="AE225" i="1" s="1"/>
  <c r="W225" i="1"/>
  <c r="AA225" i="1" s="1"/>
  <c r="R225" i="1"/>
  <c r="P225" i="1" s="1"/>
  <c r="S225" i="1" s="1"/>
  <c r="M225" i="1" s="1"/>
  <c r="N225" i="1" s="1"/>
  <c r="AC225" i="1"/>
  <c r="AE161" i="1"/>
  <c r="AC54" i="1"/>
  <c r="W54" i="1"/>
  <c r="AA54" i="1" s="1"/>
  <c r="AD54" i="1"/>
  <c r="AE54" i="1" s="1"/>
  <c r="R135" i="1"/>
  <c r="P135" i="1" s="1"/>
  <c r="S135" i="1" s="1"/>
  <c r="M135" i="1" s="1"/>
  <c r="N135" i="1" s="1"/>
  <c r="R212" i="1"/>
  <c r="P212" i="1" s="1"/>
  <c r="S212" i="1" s="1"/>
  <c r="M212" i="1" s="1"/>
  <c r="N212" i="1" s="1"/>
  <c r="R216" i="1"/>
  <c r="P216" i="1" s="1"/>
  <c r="S216" i="1" s="1"/>
  <c r="M216" i="1" s="1"/>
  <c r="N216" i="1" s="1"/>
  <c r="AD52" i="1"/>
  <c r="W52" i="1"/>
  <c r="AA52" i="1" s="1"/>
  <c r="R52" i="1"/>
  <c r="P52" i="1" s="1"/>
  <c r="S52" i="1" s="1"/>
  <c r="M52" i="1" s="1"/>
  <c r="N52" i="1" s="1"/>
  <c r="AC52" i="1"/>
  <c r="W126" i="1"/>
  <c r="AA126" i="1" s="1"/>
  <c r="AD126" i="1"/>
  <c r="AC126" i="1"/>
  <c r="AE192" i="1"/>
  <c r="R127" i="1"/>
  <c r="P127" i="1" s="1"/>
  <c r="S127" i="1" s="1"/>
  <c r="M127" i="1" s="1"/>
  <c r="N127" i="1" s="1"/>
  <c r="AC50" i="1"/>
  <c r="W50" i="1"/>
  <c r="AA50" i="1" s="1"/>
  <c r="AD50" i="1"/>
  <c r="AE50" i="1" s="1"/>
  <c r="R146" i="1"/>
  <c r="P146" i="1" s="1"/>
  <c r="S146" i="1" s="1"/>
  <c r="M146" i="1" s="1"/>
  <c r="N146" i="1" s="1"/>
  <c r="R118" i="1"/>
  <c r="P118" i="1" s="1"/>
  <c r="S118" i="1" s="1"/>
  <c r="M118" i="1" s="1"/>
  <c r="N118" i="1" s="1"/>
  <c r="R31" i="1"/>
  <c r="P31" i="1" s="1"/>
  <c r="S31" i="1" s="1"/>
  <c r="M31" i="1" s="1"/>
  <c r="N31" i="1" s="1"/>
  <c r="W104" i="1"/>
  <c r="AA104" i="1" s="1"/>
  <c r="AD104" i="1"/>
  <c r="AC104" i="1"/>
  <c r="R104" i="1"/>
  <c r="P104" i="1" s="1"/>
  <c r="S104" i="1" s="1"/>
  <c r="M104" i="1" s="1"/>
  <c r="N104" i="1" s="1"/>
  <c r="R153" i="1"/>
  <c r="P153" i="1" s="1"/>
  <c r="S153" i="1" s="1"/>
  <c r="M153" i="1" s="1"/>
  <c r="N153" i="1" s="1"/>
  <c r="AD213" i="1"/>
  <c r="AE213" i="1" s="1"/>
  <c r="AC213" i="1"/>
  <c r="W213" i="1"/>
  <c r="AA213" i="1" s="1"/>
  <c r="AD64" i="1"/>
  <c r="AE64" i="1" s="1"/>
  <c r="W64" i="1"/>
  <c r="AA64" i="1" s="1"/>
  <c r="AC64" i="1"/>
  <c r="W55" i="1"/>
  <c r="AA55" i="1" s="1"/>
  <c r="AD55" i="1"/>
  <c r="AC55" i="1"/>
  <c r="W102" i="1"/>
  <c r="AA102" i="1" s="1"/>
  <c r="AD102" i="1"/>
  <c r="AC102" i="1"/>
  <c r="R183" i="1"/>
  <c r="P183" i="1" s="1"/>
  <c r="S183" i="1" s="1"/>
  <c r="M183" i="1" s="1"/>
  <c r="N183" i="1" s="1"/>
  <c r="AD217" i="1"/>
  <c r="W217" i="1"/>
  <c r="AA217" i="1" s="1"/>
  <c r="R217" i="1"/>
  <c r="P217" i="1" s="1"/>
  <c r="S217" i="1" s="1"/>
  <c r="M217" i="1" s="1"/>
  <c r="N217" i="1" s="1"/>
  <c r="AC217" i="1"/>
  <c r="R89" i="1"/>
  <c r="P89" i="1" s="1"/>
  <c r="S89" i="1" s="1"/>
  <c r="M89" i="1" s="1"/>
  <c r="N89" i="1" s="1"/>
  <c r="R125" i="1"/>
  <c r="P125" i="1" s="1"/>
  <c r="S125" i="1" s="1"/>
  <c r="M125" i="1" s="1"/>
  <c r="N125" i="1" s="1"/>
  <c r="W228" i="1"/>
  <c r="AA228" i="1" s="1"/>
  <c r="AD228" i="1"/>
  <c r="AC228" i="1"/>
  <c r="W155" i="1"/>
  <c r="AA155" i="1" s="1"/>
  <c r="AD155" i="1"/>
  <c r="AC155" i="1"/>
  <c r="AD120" i="1"/>
  <c r="AE120" i="1" s="1"/>
  <c r="W120" i="1"/>
  <c r="AA120" i="1" s="1"/>
  <c r="R120" i="1"/>
  <c r="P120" i="1" s="1"/>
  <c r="S120" i="1" s="1"/>
  <c r="M120" i="1" s="1"/>
  <c r="N120" i="1" s="1"/>
  <c r="AC120" i="1"/>
  <c r="AD22" i="1"/>
  <c r="W22" i="1"/>
  <c r="AA22" i="1" s="1"/>
  <c r="R22" i="1"/>
  <c r="P22" i="1" s="1"/>
  <c r="S22" i="1" s="1"/>
  <c r="M22" i="1" s="1"/>
  <c r="N22" i="1" s="1"/>
  <c r="AC22" i="1"/>
  <c r="AE24" i="1"/>
  <c r="AE37" i="1"/>
  <c r="R106" i="1"/>
  <c r="P106" i="1" s="1"/>
  <c r="S106" i="1" s="1"/>
  <c r="M106" i="1" s="1"/>
  <c r="N106" i="1" s="1"/>
  <c r="AD124" i="1"/>
  <c r="W124" i="1"/>
  <c r="AA124" i="1" s="1"/>
  <c r="AC124" i="1"/>
  <c r="R124" i="1"/>
  <c r="P124" i="1" s="1"/>
  <c r="S124" i="1" s="1"/>
  <c r="M124" i="1" s="1"/>
  <c r="N124" i="1" s="1"/>
  <c r="AD151" i="1"/>
  <c r="AE151" i="1" s="1"/>
  <c r="AC151" i="1"/>
  <c r="W151" i="1"/>
  <c r="AA151" i="1" s="1"/>
  <c r="AD48" i="1"/>
  <c r="AE48" i="1" s="1"/>
  <c r="W48" i="1"/>
  <c r="AA48" i="1" s="1"/>
  <c r="AC48" i="1"/>
  <c r="AE61" i="1"/>
  <c r="AE185" i="1"/>
  <c r="AE126" i="1" l="1"/>
  <c r="AE80" i="1"/>
  <c r="AE112" i="1"/>
  <c r="AE96" i="1"/>
  <c r="AE204" i="1"/>
  <c r="AE90" i="1"/>
  <c r="AE41" i="1"/>
  <c r="AE68" i="1"/>
  <c r="AE95" i="1"/>
  <c r="AE19" i="1"/>
  <c r="AE121" i="1"/>
  <c r="AE191" i="1"/>
  <c r="AE198" i="1"/>
  <c r="AE35" i="1"/>
  <c r="AE36" i="1"/>
  <c r="AE158" i="1"/>
  <c r="AE49" i="1"/>
  <c r="AE139" i="1"/>
  <c r="AE154" i="1"/>
  <c r="AE138" i="1"/>
  <c r="AE60" i="1"/>
  <c r="AE103" i="1"/>
  <c r="AE42" i="1"/>
  <c r="AE159" i="1"/>
  <c r="AE155" i="1"/>
  <c r="AE55" i="1"/>
  <c r="AE186" i="1"/>
  <c r="AE107" i="1"/>
  <c r="AE150" i="1"/>
  <c r="AE67" i="1"/>
  <c r="AE73" i="1"/>
  <c r="AE211" i="1"/>
  <c r="AE219" i="1"/>
  <c r="AE111" i="1"/>
  <c r="AE176" i="1"/>
  <c r="AE157" i="1"/>
  <c r="AE43" i="1"/>
  <c r="AE119" i="1"/>
  <c r="AE221" i="1"/>
  <c r="AE88" i="1"/>
  <c r="AE166" i="1"/>
  <c r="AE23" i="1"/>
  <c r="AE93" i="1"/>
  <c r="AE189" i="1"/>
  <c r="AE215" i="1"/>
  <c r="AE153" i="1"/>
  <c r="AE110" i="1"/>
  <c r="AE170" i="1"/>
  <c r="AE89" i="1"/>
  <c r="AE28" i="1"/>
  <c r="AE145" i="1"/>
  <c r="AE69" i="1"/>
  <c r="AE22" i="1"/>
  <c r="AE217" i="1"/>
  <c r="AE175" i="1"/>
  <c r="AE56" i="1"/>
  <c r="AE99" i="1"/>
  <c r="AE92" i="1"/>
  <c r="AE172" i="1"/>
  <c r="AE160" i="1"/>
  <c r="AE72" i="1"/>
  <c r="AE199" i="1"/>
  <c r="AE124" i="1"/>
  <c r="AE228" i="1"/>
  <c r="AE104" i="1"/>
  <c r="AE52" i="1"/>
  <c r="AE194" i="1"/>
  <c r="AE208" i="1"/>
  <c r="AE127" i="1"/>
  <c r="AE174" i="1"/>
  <c r="AE223" i="1"/>
  <c r="AE149" i="1"/>
  <c r="AE98" i="1"/>
  <c r="AE167" i="1"/>
  <c r="AE134" i="1"/>
  <c r="AE102" i="1"/>
  <c r="AE209" i="1"/>
  <c r="AE108" i="1"/>
  <c r="AE197" i="1"/>
  <c r="AE122" i="1"/>
</calcChain>
</file>

<file path=xl/sharedStrings.xml><?xml version="1.0" encoding="utf-8"?>
<sst xmlns="http://schemas.openxmlformats.org/spreadsheetml/2006/main" count="3201" uniqueCount="757">
  <si>
    <t>File opened</t>
  </si>
  <si>
    <t>2023-07-24 11:53:26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</si>
  <si>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</si>
  <si>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</si>
  <si>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</si>
  <si>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</si>
  <si>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</si>
  <si>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</si>
  <si>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</si>
  <si>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</si>
  <si>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</si>
  <si>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</si>
  <si>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</si>
  <si>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</si>
  <si>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</si>
  <si>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</si>
  <si>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</si>
  <si>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</si>
  <si>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</si>
  <si>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</si>
  <si>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</si>
  <si>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</si>
  <si>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</si>
  <si>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</si>
  <si>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</si>
  <si>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</si>
  <si>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</si>
  <si>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</si>
  <si>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</si>
  <si>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</si>
  <si>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</si>
  <si>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</si>
  <si>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</si>
  <si>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</si>
  <si>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11:53:26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</si>
  <si>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</si>
  <si>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</si>
  <si>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</si>
  <si>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</si>
  <si>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</si>
  <si>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</si>
  <si>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</si>
  <si>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</si>
  <si>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</si>
  <si>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</si>
  <si>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</si>
  <si>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</si>
  <si>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</si>
  <si>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</si>
  <si>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</si>
  <si>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</si>
  <si>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</si>
  <si>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</si>
  <si>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</si>
  <si>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</si>
  <si>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</si>
  <si>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</si>
  <si>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</si>
  <si>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</si>
  <si>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</si>
  <si>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</si>
  <si>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</si>
  <si>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</si>
  <si>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</si>
  <si>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</si>
  <si>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</si>
  <si>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</si>
  <si>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</si>
  <si>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</si>
  <si>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</si>
  <si>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</si>
  <si>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</si>
  <si>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</si>
  <si>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</si>
  <si>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</si>
  <si>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</si>
  <si>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</si>
  <si>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</si>
  <si>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</si>
  <si>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</si>
  <si>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</si>
  <si>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</si>
  <si>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</si>
  <si>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</si>
  <si>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</si>
  <si>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</si>
  <si>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</si>
  <si>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</si>
  <si>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</si>
  <si>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</si>
  <si>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</si>
  <si>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</si>
  <si>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</si>
  <si>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</si>
  <si>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</si>
  <si>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</si>
  <si>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</si>
  <si>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</si>
  <si>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</si>
  <si>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</si>
  <si>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</si>
  <si>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</si>
  <si>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</si>
  <si>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</si>
  <si>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</si>
  <si>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</si>
  <si>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</si>
  <si>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</si>
  <si>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</si>
  <si>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</si>
  <si>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</si>
  <si>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</si>
  <si>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</si>
  <si>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</si>
  <si>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</si>
  <si>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</si>
  <si>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</si>
  <si>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</si>
  <si>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</si>
  <si>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</si>
  <si>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</si>
  <si>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</si>
  <si>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</si>
  <si>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</si>
  <si>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</si>
  <si>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</si>
  <si>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</si>
  <si>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</si>
  <si>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</si>
  <si>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</si>
  <si>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</si>
  <si>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</si>
  <si>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</si>
  <si>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</si>
  <si>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</si>
  <si>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</si>
  <si>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</si>
  <si>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</si>
  <si>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</si>
  <si>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</si>
  <si>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</si>
  <si>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</si>
  <si>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</si>
  <si>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</si>
  <si>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</si>
  <si>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</si>
  <si>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</si>
  <si>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</si>
  <si>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</si>
  <si>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</si>
  <si>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</si>
  <si>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</si>
  <si>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</si>
  <si>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</si>
  <si>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</si>
  <si>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</si>
  <si>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</si>
  <si>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</si>
  <si>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</si>
  <si>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</si>
  <si>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</si>
  <si>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</si>
  <si>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</si>
  <si>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</si>
  <si>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</si>
  <si>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</si>
  <si>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</si>
  <si>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</si>
  <si>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</si>
  <si>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</si>
  <si>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</si>
  <si>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</si>
  <si>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</si>
  <si>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</si>
  <si>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</si>
  <si>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</si>
  <si>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</si>
  <si>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</si>
  <si>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</si>
  <si>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</si>
  <si>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</si>
  <si>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</si>
  <si>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</si>
  <si>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</si>
  <si>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</si>
  <si>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</si>
  <si>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</si>
  <si>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</si>
  <si>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</si>
  <si>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</si>
  <si>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</si>
  <si>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</si>
  <si>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</si>
  <si>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</si>
  <si>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</si>
  <si>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</si>
  <si>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</si>
  <si>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</si>
  <si>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</si>
  <si>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</si>
  <si>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</si>
  <si>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</si>
  <si>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</si>
  <si>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</si>
  <si>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</si>
  <si>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</si>
  <si>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</si>
  <si>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</si>
  <si>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</si>
  <si>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</si>
  <si>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</si>
  <si>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</si>
  <si>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</si>
  <si>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</si>
  <si>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</si>
  <si>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</si>
  <si>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</si>
  <si>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</si>
  <si>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</si>
  <si>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</si>
  <si>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</si>
  <si>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</si>
  <si>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</si>
  <si>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</si>
  <si>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</si>
  <si>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</si>
  <si>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</si>
  <si>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</si>
  <si>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</si>
  <si>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</si>
  <si>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</si>
  <si>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</si>
  <si>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</si>
  <si>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</si>
  <si>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</si>
  <si>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</si>
  <si>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</si>
  <si>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</si>
  <si>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</si>
  <si>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</si>
  <si>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</si>
  <si>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</si>
  <si>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</si>
  <si>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</si>
  <si>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</si>
  <si>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</si>
  <si>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</si>
  <si>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</si>
  <si>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</si>
  <si>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</si>
  <si>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</si>
  <si>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</si>
  <si>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</si>
  <si>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</si>
  <si>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</si>
  <si>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</si>
  <si>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</si>
  <si>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</si>
  <si>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</si>
  <si>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</si>
  <si>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</si>
  <si>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</si>
  <si>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</si>
  <si>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</si>
  <si>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</si>
  <si>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</si>
  <si>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</si>
  <si>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</si>
  <si>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</si>
  <si>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</si>
  <si>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</si>
  <si>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</si>
  <si>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</si>
  <si>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</si>
  <si>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</si>
  <si>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</si>
  <si>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</si>
  <si>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</si>
  <si>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</si>
  <si>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</si>
  <si>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</si>
  <si>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</si>
  <si>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</si>
  <si>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</si>
  <si>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</si>
  <si>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</si>
  <si>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</si>
  <si>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</si>
  <si>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</si>
  <si>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</si>
  <si>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</si>
  <si>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</si>
  <si>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</si>
  <si>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</si>
  <si>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</si>
  <si>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</si>
  <si>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</si>
  <si>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</si>
  <si>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</si>
  <si>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</si>
  <si>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</si>
  <si>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</si>
  <si>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</si>
  <si>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</si>
  <si>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</si>
  <si>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</si>
  <si>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</si>
  <si>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</si>
  <si>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</si>
  <si>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</si>
  <si>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</si>
  <si>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</si>
  <si>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</si>
  <si>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</si>
  <si>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</si>
  <si>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</si>
  <si>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</si>
  <si>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</si>
  <si>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</si>
  <si>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</si>
  <si>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</si>
  <si>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</si>
  <si>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</si>
  <si>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</si>
  <si>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</si>
  <si>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</si>
  <si>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</si>
  <si>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</si>
  <si>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12:00:20</t>
  </si>
  <si>
    <t>12:00:20</t>
  </si>
  <si>
    <t>none</t>
  </si>
  <si>
    <t>0: Broadleaf</t>
  </si>
  <si>
    <t>11:53:12</t>
  </si>
  <si>
    <t>0/0</t>
  </si>
  <si>
    <t>00000000</t>
  </si>
  <si>
    <t>iiiiiiii</t>
  </si>
  <si>
    <t>off</t>
  </si>
  <si>
    <t>20230724 12:00:21</t>
  </si>
  <si>
    <t>12:00:21</t>
  </si>
  <si>
    <t>20230724 12:00:22</t>
  </si>
  <si>
    <t>12:00:22</t>
  </si>
  <si>
    <t>20230724 12:03:45</t>
  </si>
  <si>
    <t>12:03:45</t>
  </si>
  <si>
    <t>20230724 12:03:55</t>
  </si>
  <si>
    <t>12:03:55</t>
  </si>
  <si>
    <t>20230724 12:04:05</t>
  </si>
  <si>
    <t>12:04:05</t>
  </si>
  <si>
    <t>20230724 12:04:15</t>
  </si>
  <si>
    <t>12:04:15</t>
  </si>
  <si>
    <t>20230724 12:04:25</t>
  </si>
  <si>
    <t>12:04:25</t>
  </si>
  <si>
    <t>20230724 12:04:35</t>
  </si>
  <si>
    <t>12:04:35</t>
  </si>
  <si>
    <t>20230724 12:04:45</t>
  </si>
  <si>
    <t>12:04:45</t>
  </si>
  <si>
    <t>20230724 12:04:55</t>
  </si>
  <si>
    <t>12:04:55</t>
  </si>
  <si>
    <t>20230724 12:05:05</t>
  </si>
  <si>
    <t>12:05:05</t>
  </si>
  <si>
    <t>20230724 12:05:15</t>
  </si>
  <si>
    <t>12:05:15</t>
  </si>
  <si>
    <t>20230724 12:05:25</t>
  </si>
  <si>
    <t>12:05:25</t>
  </si>
  <si>
    <t>20230724 12:05:35</t>
  </si>
  <si>
    <t>12:05:35</t>
  </si>
  <si>
    <t>20230724 12:05:45</t>
  </si>
  <si>
    <t>12:05:45</t>
  </si>
  <si>
    <t>20230724 12:05:55</t>
  </si>
  <si>
    <t>12:05:55</t>
  </si>
  <si>
    <t>20230724 12:06:05</t>
  </si>
  <si>
    <t>12:06:05</t>
  </si>
  <si>
    <t>20230724 12:06:15</t>
  </si>
  <si>
    <t>12:06:15</t>
  </si>
  <si>
    <t>20230724 12:06:25</t>
  </si>
  <si>
    <t>12:06:25</t>
  </si>
  <si>
    <t>20230724 12:06:35</t>
  </si>
  <si>
    <t>12:06:35</t>
  </si>
  <si>
    <t>20230724 12:06:45</t>
  </si>
  <si>
    <t>12:06:45</t>
  </si>
  <si>
    <t>20230724 12:06:55</t>
  </si>
  <si>
    <t>12:06:55</t>
  </si>
  <si>
    <t>20230724 12:07:05</t>
  </si>
  <si>
    <t>12:07:05</t>
  </si>
  <si>
    <t>20230724 12:07:15</t>
  </si>
  <si>
    <t>12:07:15</t>
  </si>
  <si>
    <t>20230724 12:07:25</t>
  </si>
  <si>
    <t>12:07:25</t>
  </si>
  <si>
    <t>20230724 12:07:35</t>
  </si>
  <si>
    <t>12:07:35</t>
  </si>
  <si>
    <t>20230724 12:07:45</t>
  </si>
  <si>
    <t>12:07:45</t>
  </si>
  <si>
    <t>20230724 12:07:55</t>
  </si>
  <si>
    <t>12:07:55</t>
  </si>
  <si>
    <t>20230724 12:08:05</t>
  </si>
  <si>
    <t>12:08:05</t>
  </si>
  <si>
    <t>20230724 12:08:15</t>
  </si>
  <si>
    <t>12:08:15</t>
  </si>
  <si>
    <t>20230724 12:08:25</t>
  </si>
  <si>
    <t>12:08:25</t>
  </si>
  <si>
    <t>20230724 12:08:35</t>
  </si>
  <si>
    <t>12:08:35</t>
  </si>
  <si>
    <t>20230724 12:08:45</t>
  </si>
  <si>
    <t>12:08:45</t>
  </si>
  <si>
    <t>20230724 12:08:55</t>
  </si>
  <si>
    <t>12:08:55</t>
  </si>
  <si>
    <t>20230724 12:09:05</t>
  </si>
  <si>
    <t>12:09:05</t>
  </si>
  <si>
    <t>20230724 12:09:15</t>
  </si>
  <si>
    <t>12:09:15</t>
  </si>
  <si>
    <t>20230724 12:09:25</t>
  </si>
  <si>
    <t>12:09:25</t>
  </si>
  <si>
    <t>20230724 12:09:35</t>
  </si>
  <si>
    <t>12:09:35</t>
  </si>
  <si>
    <t>20230724 12:09:45</t>
  </si>
  <si>
    <t>12:09:45</t>
  </si>
  <si>
    <t>20230724 12:09:55</t>
  </si>
  <si>
    <t>12:09:55</t>
  </si>
  <si>
    <t>20230724 12:10:05</t>
  </si>
  <si>
    <t>12:10:05</t>
  </si>
  <si>
    <t>20230724 12:10:15</t>
  </si>
  <si>
    <t>12:10:15</t>
  </si>
  <si>
    <t>20230724 12:10:25</t>
  </si>
  <si>
    <t>12:10:25</t>
  </si>
  <si>
    <t>20230724 12:10:35</t>
  </si>
  <si>
    <t>12:10:35</t>
  </si>
  <si>
    <t>20230724 12:10:45</t>
  </si>
  <si>
    <t>12:10:45</t>
  </si>
  <si>
    <t>20230724 12:10:55</t>
  </si>
  <si>
    <t>12:10:55</t>
  </si>
  <si>
    <t>20230724 12:11:05</t>
  </si>
  <si>
    <t>12:11:05</t>
  </si>
  <si>
    <t>20230724 12:11:15</t>
  </si>
  <si>
    <t>12:11:15</t>
  </si>
  <si>
    <t>20230724 12:11:25</t>
  </si>
  <si>
    <t>12:11:25</t>
  </si>
  <si>
    <t>20230724 12:11:35</t>
  </si>
  <si>
    <t>12:11:35</t>
  </si>
  <si>
    <t>20230724 12:11:45</t>
  </si>
  <si>
    <t>12:11:45</t>
  </si>
  <si>
    <t>20230724 12:11:55</t>
  </si>
  <si>
    <t>12:11:55</t>
  </si>
  <si>
    <t>20230724 12:12:05</t>
  </si>
  <si>
    <t>12:12:05</t>
  </si>
  <si>
    <t>20230724 12:12:15</t>
  </si>
  <si>
    <t>12:12:15</t>
  </si>
  <si>
    <t>20230724 12:12:25</t>
  </si>
  <si>
    <t>12:12:25</t>
  </si>
  <si>
    <t>20230724 12:12:35</t>
  </si>
  <si>
    <t>12:12:35</t>
  </si>
  <si>
    <t>20230724 12:12:45</t>
  </si>
  <si>
    <t>12:12:45</t>
  </si>
  <si>
    <t>20230724 12:12:55</t>
  </si>
  <si>
    <t>12:12:55</t>
  </si>
  <si>
    <t>20230724 12:13:05</t>
  </si>
  <si>
    <t>12:13:05</t>
  </si>
  <si>
    <t>20230724 12:13:15</t>
  </si>
  <si>
    <t>12:13:15</t>
  </si>
  <si>
    <t>20230724 12:13:25</t>
  </si>
  <si>
    <t>12:13:25</t>
  </si>
  <si>
    <t>20230724 12:13:35</t>
  </si>
  <si>
    <t>12:13:35</t>
  </si>
  <si>
    <t>20230724 12:13:45</t>
  </si>
  <si>
    <t>12:13:45</t>
  </si>
  <si>
    <t>20230724 12:13:55</t>
  </si>
  <si>
    <t>12:13:55</t>
  </si>
  <si>
    <t>20230724 12:14:05</t>
  </si>
  <si>
    <t>12:14:05</t>
  </si>
  <si>
    <t>20230724 12:14:15</t>
  </si>
  <si>
    <t>12:14:15</t>
  </si>
  <si>
    <t>20230724 12:14:25</t>
  </si>
  <si>
    <t>12:14:25</t>
  </si>
  <si>
    <t>20230724 12:14:35</t>
  </si>
  <si>
    <t>12:14:35</t>
  </si>
  <si>
    <t>20230724 12:14:45</t>
  </si>
  <si>
    <t>12:14:45</t>
  </si>
  <si>
    <t>20230724 12:14:55</t>
  </si>
  <si>
    <t>12:14:55</t>
  </si>
  <si>
    <t>20230724 12:15:05</t>
  </si>
  <si>
    <t>12:15:05</t>
  </si>
  <si>
    <t>20230724 12:15:15</t>
  </si>
  <si>
    <t>12:15:15</t>
  </si>
  <si>
    <t>20230724 12:15:25</t>
  </si>
  <si>
    <t>12:15:25</t>
  </si>
  <si>
    <t>20230724 12:15:35</t>
  </si>
  <si>
    <t>12:15:35</t>
  </si>
  <si>
    <t>20230724 12:15:45</t>
  </si>
  <si>
    <t>12:15:45</t>
  </si>
  <si>
    <t>20230724 12:15:55</t>
  </si>
  <si>
    <t>12:15:55</t>
  </si>
  <si>
    <t>20230724 12:16:05</t>
  </si>
  <si>
    <t>12:16:05</t>
  </si>
  <si>
    <t>20230724 12:16:15</t>
  </si>
  <si>
    <t>12:16:15</t>
  </si>
  <si>
    <t>20230724 12:16:25</t>
  </si>
  <si>
    <t>12:16:25</t>
  </si>
  <si>
    <t>20230724 12:16:35</t>
  </si>
  <si>
    <t>12:16:35</t>
  </si>
  <si>
    <t>20230724 12:16:45</t>
  </si>
  <si>
    <t>12:16:45</t>
  </si>
  <si>
    <t>20230724 12:16:55</t>
  </si>
  <si>
    <t>12:16:55</t>
  </si>
  <si>
    <t>20230724 12:17:05</t>
  </si>
  <si>
    <t>12:17:05</t>
  </si>
  <si>
    <t>20230724 12:17:15</t>
  </si>
  <si>
    <t>12:17:15</t>
  </si>
  <si>
    <t>20230724 12:17:25</t>
  </si>
  <si>
    <t>12:17:25</t>
  </si>
  <si>
    <t>20230724 12:17:35</t>
  </si>
  <si>
    <t>12:17:35</t>
  </si>
  <si>
    <t>20230724 12:17:45</t>
  </si>
  <si>
    <t>12:17:45</t>
  </si>
  <si>
    <t>20230724 12:17:55</t>
  </si>
  <si>
    <t>12:17:55</t>
  </si>
  <si>
    <t>20230724 12:18:05</t>
  </si>
  <si>
    <t>12:18:05</t>
  </si>
  <si>
    <t>20230724 12:18:15</t>
  </si>
  <si>
    <t>12:18:15</t>
  </si>
  <si>
    <t>20230724 12:18:25</t>
  </si>
  <si>
    <t>12:18:25</t>
  </si>
  <si>
    <t>20230724 12:18:35</t>
  </si>
  <si>
    <t>12:18:35</t>
  </si>
  <si>
    <t>20230724 12:18:45</t>
  </si>
  <si>
    <t>12:18:45</t>
  </si>
  <si>
    <t>20230724 12:18:55</t>
  </si>
  <si>
    <t>12:18:55</t>
  </si>
  <si>
    <t>20230724 12:19:05</t>
  </si>
  <si>
    <t>12:19:05</t>
  </si>
  <si>
    <t>20230724 12:19:15</t>
  </si>
  <si>
    <t>12:19:15</t>
  </si>
  <si>
    <t>20230724 12:19:25</t>
  </si>
  <si>
    <t>12:19:25</t>
  </si>
  <si>
    <t>20230724 12:19:35</t>
  </si>
  <si>
    <t>12:19:35</t>
  </si>
  <si>
    <t>20230724 12:19:45</t>
  </si>
  <si>
    <t>12:19:45</t>
  </si>
  <si>
    <t>20230724 12:19:55</t>
  </si>
  <si>
    <t>12:19:55</t>
  </si>
  <si>
    <t>20230724 12:20:05</t>
  </si>
  <si>
    <t>12:20:05</t>
  </si>
  <si>
    <t>20230724 12:20:15</t>
  </si>
  <si>
    <t>12:20:15</t>
  </si>
  <si>
    <t>20230724 12:20:25</t>
  </si>
  <si>
    <t>12:20:25</t>
  </si>
  <si>
    <t>20230724 12:20:35</t>
  </si>
  <si>
    <t>12:20:35</t>
  </si>
  <si>
    <t>20230724 12:20:45</t>
  </si>
  <si>
    <t>12:20:45</t>
  </si>
  <si>
    <t>20230724 12:20:55</t>
  </si>
  <si>
    <t>12:20:55</t>
  </si>
  <si>
    <t>20230724 12:21:05</t>
  </si>
  <si>
    <t>12:21:05</t>
  </si>
  <si>
    <t>20230724 12:21:15</t>
  </si>
  <si>
    <t>12:21:15</t>
  </si>
  <si>
    <t>20230724 12:21:25</t>
  </si>
  <si>
    <t>12:21:25</t>
  </si>
  <si>
    <t>20230724 12:21:35</t>
  </si>
  <si>
    <t>12:21:35</t>
  </si>
  <si>
    <t>20230724 12:21:45</t>
  </si>
  <si>
    <t>12:21:45</t>
  </si>
  <si>
    <t>20230724 12:21:55</t>
  </si>
  <si>
    <t>12:21:55</t>
  </si>
  <si>
    <t>20230724 12:22:05</t>
  </si>
  <si>
    <t>12:22:05</t>
  </si>
  <si>
    <t>20230724 12:22:15</t>
  </si>
  <si>
    <t>12:22:15</t>
  </si>
  <si>
    <t>20230724 12:22:25</t>
  </si>
  <si>
    <t>12:22:25</t>
  </si>
  <si>
    <t>20230724 12:22:35</t>
  </si>
  <si>
    <t>12:22:35</t>
  </si>
  <si>
    <t>20230724 12:22:45</t>
  </si>
  <si>
    <t>12:22:45</t>
  </si>
  <si>
    <t>20230724 12:22:55</t>
  </si>
  <si>
    <t>12:22:55</t>
  </si>
  <si>
    <t>20230724 12:23:05</t>
  </si>
  <si>
    <t>12:23:05</t>
  </si>
  <si>
    <t>20230724 12:23:15</t>
  </si>
  <si>
    <t>12:23:15</t>
  </si>
  <si>
    <t>20230724 12:23:25</t>
  </si>
  <si>
    <t>12:23:25</t>
  </si>
  <si>
    <t>20230724 12:23:35</t>
  </si>
  <si>
    <t>12:23:35</t>
  </si>
  <si>
    <t>20230724 12:23:45</t>
  </si>
  <si>
    <t>12:23:45</t>
  </si>
  <si>
    <t>20230724 12:23:55</t>
  </si>
  <si>
    <t>12:23:55</t>
  </si>
  <si>
    <t>20230724 12:24:05</t>
  </si>
  <si>
    <t>12:24:05</t>
  </si>
  <si>
    <t>20230724 12:24:15</t>
  </si>
  <si>
    <t>12:24:15</t>
  </si>
  <si>
    <t>20230724 12:24:25</t>
  </si>
  <si>
    <t>12:24:25</t>
  </si>
  <si>
    <t>20230724 12:24:35</t>
  </si>
  <si>
    <t>12:24:35</t>
  </si>
  <si>
    <t>20230724 12:24:45</t>
  </si>
  <si>
    <t>12:24:45</t>
  </si>
  <si>
    <t>20230724 12:24:55</t>
  </si>
  <si>
    <t>12:24:55</t>
  </si>
  <si>
    <t>20230724 12:25:05</t>
  </si>
  <si>
    <t>12:25:05</t>
  </si>
  <si>
    <t>20230724 12:25:15</t>
  </si>
  <si>
    <t>12:25:15</t>
  </si>
  <si>
    <t>20230724 12:25:25</t>
  </si>
  <si>
    <t>12:25:25</t>
  </si>
  <si>
    <t>20230724 12:25:35</t>
  </si>
  <si>
    <t>12:25:35</t>
  </si>
  <si>
    <t>20230724 12:25:45</t>
  </si>
  <si>
    <t>12:25:45</t>
  </si>
  <si>
    <t>20230724 12:25:55</t>
  </si>
  <si>
    <t>12:25:55</t>
  </si>
  <si>
    <t>20230724 12:26:05</t>
  </si>
  <si>
    <t>12:26:05</t>
  </si>
  <si>
    <t>20230724 12:26:15</t>
  </si>
  <si>
    <t>12:26:15</t>
  </si>
  <si>
    <t>20230724 12:26:25</t>
  </si>
  <si>
    <t>12:26:25</t>
  </si>
  <si>
    <t>20230724 12:26:35</t>
  </si>
  <si>
    <t>12:26:35</t>
  </si>
  <si>
    <t>20230724 12:26:45</t>
  </si>
  <si>
    <t>12:26:45</t>
  </si>
  <si>
    <t>20230724 12:26:55</t>
  </si>
  <si>
    <t>12:26:55</t>
  </si>
  <si>
    <t>20230724 12:27:05</t>
  </si>
  <si>
    <t>12:27:05</t>
  </si>
  <si>
    <t>20230724 12:27:15</t>
  </si>
  <si>
    <t>12:27:15</t>
  </si>
  <si>
    <t>20230724 12:27:25</t>
  </si>
  <si>
    <t>12:27:25</t>
  </si>
  <si>
    <t>20230724 12:27:35</t>
  </si>
  <si>
    <t>12:27:35</t>
  </si>
  <si>
    <t>20230724 12:27:45</t>
  </si>
  <si>
    <t>12:27:45</t>
  </si>
  <si>
    <t>20230724 12:27:55</t>
  </si>
  <si>
    <t>12:27:55</t>
  </si>
  <si>
    <t>20230724 12:28:05</t>
  </si>
  <si>
    <t>12:28:05</t>
  </si>
  <si>
    <t>20230724 12:28:15</t>
  </si>
  <si>
    <t>12:28:15</t>
  </si>
  <si>
    <t>20230724 12:28:25</t>
  </si>
  <si>
    <t>12:28:25</t>
  </si>
  <si>
    <t>20230724 12:28:35</t>
  </si>
  <si>
    <t>12:28:35</t>
  </si>
  <si>
    <t>20230724 12:28:45</t>
  </si>
  <si>
    <t>12:28:45</t>
  </si>
  <si>
    <t>20230724 12:28:55</t>
  </si>
  <si>
    <t>12:28:55</t>
  </si>
  <si>
    <t>20230724 12:29:05</t>
  </si>
  <si>
    <t>12:29:05</t>
  </si>
  <si>
    <t>20230724 12:29:15</t>
  </si>
  <si>
    <t>12:29:15</t>
  </si>
  <si>
    <t>20230724 12:29:25</t>
  </si>
  <si>
    <t>12:29:25</t>
  </si>
  <si>
    <t>20230724 12:29:35</t>
  </si>
  <si>
    <t>12:29:35</t>
  </si>
  <si>
    <t>20230724 12:29:45</t>
  </si>
  <si>
    <t>12:29:45</t>
  </si>
  <si>
    <t>20230724 12:29:55</t>
  </si>
  <si>
    <t>12:29:55</t>
  </si>
  <si>
    <t>20230724 12:30:05</t>
  </si>
  <si>
    <t>12:30:05</t>
  </si>
  <si>
    <t>20230724 12:30:15</t>
  </si>
  <si>
    <t>12:30:15</t>
  </si>
  <si>
    <t>20230724 12:30:25</t>
  </si>
  <si>
    <t>12:30:25</t>
  </si>
  <si>
    <t>20230724 12:30:35</t>
  </si>
  <si>
    <t>12:30:35</t>
  </si>
  <si>
    <t>20230724 12:30:45</t>
  </si>
  <si>
    <t>12:30:45</t>
  </si>
  <si>
    <t>20230724 12:30:55</t>
  </si>
  <si>
    <t>12:30:55</t>
  </si>
  <si>
    <t>20230724 12:31:05</t>
  </si>
  <si>
    <t>12:31:05</t>
  </si>
  <si>
    <t>20230724 12:31:15</t>
  </si>
  <si>
    <t>12:31:15</t>
  </si>
  <si>
    <t>20230724 12:31:25</t>
  </si>
  <si>
    <t>12:31:25</t>
  </si>
  <si>
    <t>20230724 12:31:35</t>
  </si>
  <si>
    <t>12:31:35</t>
  </si>
  <si>
    <t>20230724 12:31:45</t>
  </si>
  <si>
    <t>12:31:45</t>
  </si>
  <si>
    <t>20230724 12:31:55</t>
  </si>
  <si>
    <t>12:31:55</t>
  </si>
  <si>
    <t>20230724 12:32:05</t>
  </si>
  <si>
    <t>12:32:05</t>
  </si>
  <si>
    <t>20230724 12:32:15</t>
  </si>
  <si>
    <t>12:32:15</t>
  </si>
  <si>
    <t>20230724 12:32:25</t>
  </si>
  <si>
    <t>12:32:25</t>
  </si>
  <si>
    <t>20230724 12:32:35</t>
  </si>
  <si>
    <t>12:32:35</t>
  </si>
  <si>
    <t>20230724 12:32:45</t>
  </si>
  <si>
    <t>12:32:45</t>
  </si>
  <si>
    <t>20230724 12:32:55</t>
  </si>
  <si>
    <t>12:32:55</t>
  </si>
  <si>
    <t>20230724 12:33:05</t>
  </si>
  <si>
    <t>12:33:05</t>
  </si>
  <si>
    <t>20230724 12:33:15</t>
  </si>
  <si>
    <t>12:33:15</t>
  </si>
  <si>
    <t>20230724 12:33:25</t>
  </si>
  <si>
    <t>12:33:25</t>
  </si>
  <si>
    <t>20230724 12:33:35</t>
  </si>
  <si>
    <t>12:33:35</t>
  </si>
  <si>
    <t>20230724 12:33:45</t>
  </si>
  <si>
    <t>12:33:45</t>
  </si>
  <si>
    <t>20230724 12:33:55</t>
  </si>
  <si>
    <t>12:33:55</t>
  </si>
  <si>
    <t>20230724 12:34:05</t>
  </si>
  <si>
    <t>12:34:05</t>
  </si>
  <si>
    <t>20230724 12:34:15</t>
  </si>
  <si>
    <t>12:34:15</t>
  </si>
  <si>
    <t>20230724 12:34:25</t>
  </si>
  <si>
    <t>12:34:25</t>
  </si>
  <si>
    <t>20230724 12:34:35</t>
  </si>
  <si>
    <t>12:34:35</t>
  </si>
  <si>
    <t>20230724 12:34:45</t>
  </si>
  <si>
    <t>12:34:45</t>
  </si>
  <si>
    <t>20230724 12:34:55</t>
  </si>
  <si>
    <t>12:34:55</t>
  </si>
  <si>
    <t>20230724 12:35:05</t>
  </si>
  <si>
    <t>12:35:05</t>
  </si>
  <si>
    <t>20230724 12:35:15</t>
  </si>
  <si>
    <t>12:35:15</t>
  </si>
  <si>
    <t>20230724 12:35:25</t>
  </si>
  <si>
    <t>12:35:25</t>
  </si>
  <si>
    <t>20230724 12:35:35</t>
  </si>
  <si>
    <t>12:35:35</t>
  </si>
  <si>
    <t>20230724 12:35:45</t>
  </si>
  <si>
    <t>12:35:45</t>
  </si>
  <si>
    <t>20230724 12:35:55</t>
  </si>
  <si>
    <t>12:35:55</t>
  </si>
  <si>
    <t>20230724 12:36:05</t>
  </si>
  <si>
    <t>12:36:05</t>
  </si>
  <si>
    <t>20230724 12:36:15</t>
  </si>
  <si>
    <t>12:36:15</t>
  </si>
  <si>
    <t>20230724 12:36:25</t>
  </si>
  <si>
    <t>12:36:25</t>
  </si>
  <si>
    <t>20230724 12:36:35</t>
  </si>
  <si>
    <t>12:36:35</t>
  </si>
  <si>
    <t>20230724 12:36:45</t>
  </si>
  <si>
    <t>12:36:45</t>
  </si>
  <si>
    <t>20230724 12:36:55</t>
  </si>
  <si>
    <t>12:36:55</t>
  </si>
  <si>
    <t>20230724 12:37:05</t>
  </si>
  <si>
    <t>12:37:05</t>
  </si>
  <si>
    <t>20230724 12:37:15</t>
  </si>
  <si>
    <t>12:37:15</t>
  </si>
  <si>
    <t>20230724 12:37:25</t>
  </si>
  <si>
    <t>12:37:25</t>
  </si>
  <si>
    <t>20230724 12:37:35</t>
  </si>
  <si>
    <t>12:37:35</t>
  </si>
  <si>
    <t>20230724 12:37:45</t>
  </si>
  <si>
    <t>12:37:45</t>
  </si>
  <si>
    <t>20230724 12:37:55</t>
  </si>
  <si>
    <t>12:37:55</t>
  </si>
  <si>
    <t>20230724 12:38:05</t>
  </si>
  <si>
    <t>12:38:05</t>
  </si>
  <si>
    <t>20230724 12:38:15</t>
  </si>
  <si>
    <t>12:38:15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</si>
</sst>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9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1690218020.5</v>
      </c>
      <c r="C17">
        <v>0</v>
      </c>
      <c r="D17" t="s">
        <v>328</v>
      </c>
      <c r="E17" t="s">
        <v>329</v>
      </c>
      <c r="F17" t="s">
        <v>330</v>
      </c>
      <c r="H17">
        <v>1690218020.5</v>
      </c>
      <c r="I17">
        <f t="shared" ref="I17:I80" si="0">(J17)/1000</f>
        <v>2.7272216580477094E-4</v>
      </c>
      <c r="J17">
        <f t="shared" ref="J17:J80" si="1">1000*AZ17*AH17*(AV17-AW17)/(100*AO17*(1000-AH17*AV17))</f>
        <v>0.27272216580477093</v>
      </c>
      <c r="K17">
        <f t="shared" ref="K17:K80" si="2">AZ17*AH17*(AU17-AT17*(1000-AH17*AW17)/(1000-AH17*AV17))/(100*AO17)</f>
        <v>-0.81889016128446845</v>
      </c>
      <c r="L17">
        <f t="shared" ref="L17:L80" si="3">AT17 - IF(AH17&gt;1, K17*AO17*100/(AJ17*BH17), 0)</f>
        <v>806.47900000000004</v>
      </c>
      <c r="M17">
        <f t="shared" ref="M17:M80" si="4">((S17-I17/2)*L17-K17)/(S17+I17/2)</f>
        <v>901.28912193720703</v>
      </c>
      <c r="N17">
        <f t="shared" ref="N17:N80" si="5">M17*(BA17+BB17)/1000</f>
        <v>89.398866923404611</v>
      </c>
      <c r="O17">
        <f t="shared" ref="O17:O80" si="6">(AT17 - IF(AH17&gt;1, K17*AO17*100/(AJ17*BH17), 0))*(BA17+BB17)/1000</f>
        <v>79.9946510422252</v>
      </c>
      <c r="P17">
        <f t="shared" ref="P17:P80" si="7">2/((1/R17-1/Q17)+SIGN(R17)*SQRT((1/R17-1/Q17)*(1/R17-1/Q17) + 4*AP17/((AP17+1)*(AP17+1))*(2*1/R17*1/Q17-1/Q17*1/Q17)))</f>
        <v>9.9114425883800785E-3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2.127231545551322</v>
      </c>
      <c r="R17">
        <f t="shared" ref="R17:R80" si="9">I17*(1000-(1000*0.61365*EXP(17.502*V17/(240.97+V17))/(BA17+BB17)+AV17)/2)/(1000*0.61365*EXP(17.502*V17/(240.97+V17))/(BA17+BB17)-AV17)</f>
        <v>9.8858582481796114E-3</v>
      </c>
      <c r="S17">
        <f t="shared" ref="S17:S80" si="10">1/((AP17+1)/(P17/1.6)+1/(Q17/1.37)) + AP17/((AP17+1)/(P17/1.6) + AP17/(Q17/1.37))</f>
        <v>6.1809545105221825E-3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26.795578076885633</v>
      </c>
      <c r="V17">
        <f t="shared" ref="V17:V80" si="13">($C$7*BD17+$D$7*BE17+$E$7*U17)</f>
        <v>26.795578076885633</v>
      </c>
      <c r="W17">
        <f t="shared" ref="W17:W80" si="14">0.61365*EXP(17.502*V17/(240.97+V17))</f>
        <v>3.536412087802264</v>
      </c>
      <c r="X17">
        <f t="shared" ref="X17:X80" si="15">(Y17/Z17*100)</f>
        <v>24.202316796144373</v>
      </c>
      <c r="Y17">
        <f t="shared" ref="Y17:Y80" si="16">AV17*(BA17+BB17)/1000</f>
        <v>0.86069939278726393</v>
      </c>
      <c r="Z17">
        <f t="shared" ref="Z17:Z80" si="17">0.61365*EXP(17.502*BC17/(240.97+BC17))</f>
        <v>3.5562686003861428</v>
      </c>
      <c r="AA17">
        <f t="shared" ref="AA17:AA80" si="18">(W17-AV17*(BA17+BB17)/1000)</f>
        <v>2.6757126950150001</v>
      </c>
      <c r="AB17">
        <f t="shared" ref="AB17:AB80" si="19">(-I17*44100)</f>
        <v>-12.027047511990398</v>
      </c>
      <c r="AC17">
        <f t="shared" ref="AC17:AC80" si="20">2*29.3*Q17*0.92*(BC17-V17)</f>
        <v>10.920365049631275</v>
      </c>
      <c r="AD17">
        <f t="shared" ref="AD17:AD80" si="21">2*0.95*0.0000000567*(((BC17+$B$7)+273)^4-(V17+273)^4)</f>
        <v>1.1061554799022624</v>
      </c>
      <c r="AE17">
        <f t="shared" ref="AE17:AE80" si="22">T17+AD17+AB17+AC17</f>
        <v>-5.2698245685967038E-4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52251.604345183274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32.4</v>
      </c>
      <c r="AP17">
        <v>0.5</v>
      </c>
      <c r="AQ17" t="s">
        <v>331</v>
      </c>
      <c r="AR17">
        <v>2</v>
      </c>
      <c r="AS17">
        <v>1690218020.5</v>
      </c>
      <c r="AT17">
        <v>806.47900000000004</v>
      </c>
      <c r="AU17">
        <v>800.01499999999999</v>
      </c>
      <c r="AV17">
        <v>8.6772799999999997</v>
      </c>
      <c r="AW17">
        <v>5.7595200000000002</v>
      </c>
      <c r="AX17">
        <v>806.75599999999997</v>
      </c>
      <c r="AY17">
        <v>8.7242099999999994</v>
      </c>
      <c r="AZ17">
        <v>300.214</v>
      </c>
      <c r="BA17">
        <v>99.09</v>
      </c>
      <c r="BB17">
        <v>9.9998799999999999E-2</v>
      </c>
      <c r="BC17">
        <v>26.890799999999999</v>
      </c>
      <c r="BD17">
        <v>26.999199999999998</v>
      </c>
      <c r="BE17">
        <v>27.0337</v>
      </c>
      <c r="BF17">
        <v>0</v>
      </c>
      <c r="BG17">
        <v>0</v>
      </c>
      <c r="BH17">
        <v>9967.5</v>
      </c>
      <c r="BI17">
        <v>0.71997699999999998</v>
      </c>
      <c r="BJ17">
        <v>1.22224</v>
      </c>
      <c r="BK17">
        <v>6.4642299999999997</v>
      </c>
      <c r="BL17">
        <v>813.53800000000001</v>
      </c>
      <c r="BM17">
        <v>804.649</v>
      </c>
      <c r="BN17">
        <v>2.91777</v>
      </c>
      <c r="BO17">
        <v>800.01499999999999</v>
      </c>
      <c r="BP17">
        <v>5.7595200000000002</v>
      </c>
      <c r="BQ17">
        <v>0.85983200000000004</v>
      </c>
      <c r="BR17">
        <v>0.57071099999999997</v>
      </c>
      <c r="BS17">
        <v>4.73543</v>
      </c>
      <c r="BT17">
        <v>-0.994645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1690217592</v>
      </c>
      <c r="CC17" t="s">
        <v>332</v>
      </c>
      <c r="CD17">
        <v>1690217586.5</v>
      </c>
      <c r="CE17">
        <v>1690217592</v>
      </c>
      <c r="CF17">
        <v>9</v>
      </c>
      <c r="CG17">
        <v>0.11600000000000001</v>
      </c>
      <c r="CH17">
        <v>-3.0000000000000001E-3</v>
      </c>
      <c r="CI17">
        <v>-0.27300000000000002</v>
      </c>
      <c r="CJ17">
        <v>-6.9000000000000006E-2</v>
      </c>
      <c r="CK17">
        <v>800</v>
      </c>
      <c r="CL17">
        <v>6</v>
      </c>
      <c r="CM17">
        <v>0.01</v>
      </c>
      <c r="CN17">
        <v>0.01</v>
      </c>
      <c r="CO17">
        <v>6.4647646341463414</v>
      </c>
      <c r="CP17">
        <v>0.39547672473866302</v>
      </c>
      <c r="CQ17">
        <v>4.9555496660374593E-2</v>
      </c>
      <c r="CR17">
        <v>-1</v>
      </c>
      <c r="CS17">
        <v>2.9300295121951221</v>
      </c>
      <c r="CT17">
        <v>-7.3699442508717697E-2</v>
      </c>
      <c r="CU17">
        <v>7.272674869815525E-3</v>
      </c>
      <c r="CV17">
        <v>-1</v>
      </c>
      <c r="CW17">
        <v>0</v>
      </c>
      <c r="CX17">
        <v>0</v>
      </c>
      <c r="CY17" t="s">
        <v>333</v>
      </c>
      <c r="CZ17">
        <v>2.3646099999999999</v>
      </c>
      <c r="DA17">
        <v>2.7137600000000002</v>
      </c>
      <c r="DB17">
        <v>0.14729600000000001</v>
      </c>
      <c r="DC17">
        <v>0.14610699999999999</v>
      </c>
      <c r="DD17">
        <v>5.4017700000000002E-2</v>
      </c>
      <c r="DE17">
        <v>3.81588E-2</v>
      </c>
      <c r="DF17">
        <v>31131.4</v>
      </c>
      <c r="DG17">
        <v>27512.7</v>
      </c>
      <c r="DH17">
        <v>31168.400000000001</v>
      </c>
      <c r="DI17">
        <v>28075.9</v>
      </c>
      <c r="DJ17">
        <v>40050.300000000003</v>
      </c>
      <c r="DK17">
        <v>38400</v>
      </c>
      <c r="DL17">
        <v>44355.6</v>
      </c>
      <c r="DM17">
        <v>42550</v>
      </c>
      <c r="DN17">
        <v>1.47353</v>
      </c>
      <c r="DO17">
        <v>2.0340500000000001</v>
      </c>
      <c r="DP17">
        <v>8.405E-2</v>
      </c>
      <c r="DQ17">
        <v>8.1405000000000005E-2</v>
      </c>
      <c r="DR17">
        <v>25.623200000000001</v>
      </c>
      <c r="DS17">
        <v>25.7011</v>
      </c>
      <c r="DT17">
        <v>16.899999999999999</v>
      </c>
      <c r="DU17">
        <v>29.8</v>
      </c>
      <c r="DV17">
        <v>7.1829400000000003</v>
      </c>
      <c r="DW17">
        <v>61.858600000000003</v>
      </c>
      <c r="DX17">
        <v>37.319699999999997</v>
      </c>
      <c r="DY17">
        <v>1</v>
      </c>
      <c r="DZ17">
        <v>-8.8915099999999997E-2</v>
      </c>
      <c r="EA17">
        <v>-1.6266799999999999</v>
      </c>
      <c r="EB17">
        <v>20.295400000000001</v>
      </c>
      <c r="EC17">
        <v>5.2415500000000002</v>
      </c>
      <c r="ED17">
        <v>12.039899999999999</v>
      </c>
      <c r="EE17">
        <v>5.0174000000000003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1.86893</v>
      </c>
      <c r="EL17">
        <v>1.86467</v>
      </c>
      <c r="EM17">
        <v>1.8692</v>
      </c>
      <c r="EN17">
        <v>1.8672500000000001</v>
      </c>
      <c r="EO17">
        <v>1.8633999999999999</v>
      </c>
      <c r="EP17">
        <v>1.8645499999999999</v>
      </c>
      <c r="EQ17">
        <v>1.8702000000000001</v>
      </c>
      <c r="ER17">
        <v>1.8694299999999999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-0.27700000000000002</v>
      </c>
      <c r="FG17">
        <v>-4.6899999999999997E-2</v>
      </c>
      <c r="FH17">
        <v>0.27827353915413472</v>
      </c>
      <c r="FI17">
        <v>-6.1462078757559423E-4</v>
      </c>
      <c r="FJ17">
        <v>-1.8861989874597051E-7</v>
      </c>
      <c r="FK17">
        <v>1.1980462299894961E-10</v>
      </c>
      <c r="FL17">
        <v>-3.2538871274648329E-2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7.2</v>
      </c>
      <c r="FU17">
        <v>7.1</v>
      </c>
      <c r="FV17">
        <v>1.7785599999999999</v>
      </c>
      <c r="FW17">
        <v>2.5793499999999998</v>
      </c>
      <c r="FX17">
        <v>1.5490699999999999</v>
      </c>
      <c r="FY17">
        <v>2.3290999999999999</v>
      </c>
      <c r="FZ17">
        <v>1.50146</v>
      </c>
      <c r="GA17">
        <v>2.3327599999999999</v>
      </c>
      <c r="GB17">
        <v>33.783200000000001</v>
      </c>
      <c r="GC17">
        <v>24.017499999999998</v>
      </c>
      <c r="GD17">
        <v>19</v>
      </c>
      <c r="GE17">
        <v>281.72699999999998</v>
      </c>
      <c r="GF17">
        <v>581.12800000000004</v>
      </c>
      <c r="GG17">
        <v>28.610099999999999</v>
      </c>
      <c r="GH17">
        <v>26.273099999999999</v>
      </c>
      <c r="GI17">
        <v>30.0002</v>
      </c>
      <c r="GJ17">
        <v>26.348199999999999</v>
      </c>
      <c r="GK17">
        <v>26.328099999999999</v>
      </c>
      <c r="GL17">
        <v>35.561199999999999</v>
      </c>
      <c r="GM17">
        <v>-30</v>
      </c>
      <c r="GN17">
        <v>-30</v>
      </c>
      <c r="GO17">
        <v>28.618200000000002</v>
      </c>
      <c r="GP17">
        <v>800</v>
      </c>
      <c r="GQ17">
        <v>12.5298</v>
      </c>
      <c r="GR17">
        <v>99.725700000000003</v>
      </c>
      <c r="GS17">
        <v>99.542299999999997</v>
      </c>
    </row>
    <row r="18" spans="1:201" x14ac:dyDescent="0.25">
      <c r="A18">
        <v>2</v>
      </c>
      <c r="B18">
        <v>1690218021</v>
      </c>
      <c r="C18">
        <v>0.5</v>
      </c>
      <c r="D18" t="s">
        <v>337</v>
      </c>
      <c r="E18" t="s">
        <v>338</v>
      </c>
      <c r="F18" t="s">
        <v>330</v>
      </c>
      <c r="H18">
        <v>1690218021</v>
      </c>
      <c r="I18">
        <f t="shared" si="0"/>
        <v>2.7256864252896671E-4</v>
      </c>
      <c r="J18">
        <f t="shared" si="1"/>
        <v>0.27256864252896673</v>
      </c>
      <c r="K18">
        <f t="shared" si="2"/>
        <v>-0.81883837660823611</v>
      </c>
      <c r="L18">
        <f t="shared" si="3"/>
        <v>806.48500000000001</v>
      </c>
      <c r="M18">
        <f t="shared" si="4"/>
        <v>901.35996771881969</v>
      </c>
      <c r="N18">
        <f t="shared" si="5"/>
        <v>89.406257364464764</v>
      </c>
      <c r="O18">
        <f t="shared" si="6"/>
        <v>79.995571195673008</v>
      </c>
      <c r="P18">
        <f t="shared" si="7"/>
        <v>9.9058319816361737E-3</v>
      </c>
      <c r="Q18">
        <f t="shared" si="8"/>
        <v>2.125995238506067</v>
      </c>
      <c r="R18">
        <f t="shared" si="9"/>
        <v>9.8802617386118622E-3</v>
      </c>
      <c r="S18">
        <f t="shared" si="10"/>
        <v>6.1774554284402226E-3</v>
      </c>
      <c r="T18">
        <f t="shared" si="11"/>
        <v>0</v>
      </c>
      <c r="U18">
        <f t="shared" si="12"/>
        <v>26.795381415409146</v>
      </c>
      <c r="V18">
        <f t="shared" si="13"/>
        <v>26.795381415409146</v>
      </c>
      <c r="W18">
        <f t="shared" si="14"/>
        <v>3.5363711785885181</v>
      </c>
      <c r="X18">
        <f t="shared" si="15"/>
        <v>24.200858780947243</v>
      </c>
      <c r="Y18">
        <f t="shared" si="16"/>
        <v>0.86063742406591603</v>
      </c>
      <c r="Z18">
        <f t="shared" si="17"/>
        <v>3.5562267928420592</v>
      </c>
      <c r="AA18">
        <f t="shared" si="18"/>
        <v>2.6757337545226019</v>
      </c>
      <c r="AB18">
        <f t="shared" si="19"/>
        <v>-12.020277135527433</v>
      </c>
      <c r="AC18">
        <f t="shared" si="20"/>
        <v>10.913635688045549</v>
      </c>
      <c r="AD18">
        <f t="shared" si="21"/>
        <v>1.1061145026754622</v>
      </c>
      <c r="AE18">
        <f t="shared" si="22"/>
        <v>-5.2694480642223596E-4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52198.453937431506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32.4</v>
      </c>
      <c r="AP18">
        <v>0.5</v>
      </c>
      <c r="AQ18" t="s">
        <v>331</v>
      </c>
      <c r="AR18">
        <v>2</v>
      </c>
      <c r="AS18">
        <v>1690218021</v>
      </c>
      <c r="AT18">
        <v>806.48500000000001</v>
      </c>
      <c r="AU18">
        <v>800.01800000000003</v>
      </c>
      <c r="AV18">
        <v>8.6766199999999998</v>
      </c>
      <c r="AW18">
        <v>5.7594900000000004</v>
      </c>
      <c r="AX18">
        <v>806.76199999999994</v>
      </c>
      <c r="AY18">
        <v>8.7235600000000009</v>
      </c>
      <c r="AZ18">
        <v>300.11</v>
      </c>
      <c r="BA18">
        <v>99.090500000000006</v>
      </c>
      <c r="BB18">
        <v>9.9901799999999999E-2</v>
      </c>
      <c r="BC18">
        <v>26.890599999999999</v>
      </c>
      <c r="BD18">
        <v>26.9986</v>
      </c>
      <c r="BE18">
        <v>27.0337</v>
      </c>
      <c r="BF18">
        <v>0</v>
      </c>
      <c r="BG18">
        <v>0</v>
      </c>
      <c r="BH18">
        <v>9956.8799999999992</v>
      </c>
      <c r="BI18">
        <v>0.72361299999999995</v>
      </c>
      <c r="BJ18">
        <v>1.2040200000000001</v>
      </c>
      <c r="BK18">
        <v>6.46692</v>
      </c>
      <c r="BL18">
        <v>813.54300000000001</v>
      </c>
      <c r="BM18">
        <v>804.65200000000004</v>
      </c>
      <c r="BN18">
        <v>2.9171299999999998</v>
      </c>
      <c r="BO18">
        <v>800.01800000000003</v>
      </c>
      <c r="BP18">
        <v>5.7594900000000004</v>
      </c>
      <c r="BQ18">
        <v>0.85977099999999995</v>
      </c>
      <c r="BR18">
        <v>0.57071099999999997</v>
      </c>
      <c r="BS18">
        <v>4.7344099999999996</v>
      </c>
      <c r="BT18">
        <v>-0.99464200000000003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1690217592</v>
      </c>
      <c r="CC18" t="s">
        <v>332</v>
      </c>
      <c r="CD18">
        <v>1690217586.5</v>
      </c>
      <c r="CE18">
        <v>1690217592</v>
      </c>
      <c r="CF18">
        <v>9</v>
      </c>
      <c r="CG18">
        <v>0.11600000000000001</v>
      </c>
      <c r="CH18">
        <v>-3.0000000000000001E-3</v>
      </c>
      <c r="CI18">
        <v>-0.27300000000000002</v>
      </c>
      <c r="CJ18">
        <v>-6.9000000000000006E-2</v>
      </c>
      <c r="CK18">
        <v>800</v>
      </c>
      <c r="CL18">
        <v>6</v>
      </c>
      <c r="CM18">
        <v>0.01</v>
      </c>
      <c r="CN18">
        <v>0.01</v>
      </c>
      <c r="CO18">
        <v>6.4675214634146343</v>
      </c>
      <c r="CP18">
        <v>0.37625414634146559</v>
      </c>
      <c r="CQ18">
        <v>4.9071187441133007E-2</v>
      </c>
      <c r="CR18">
        <v>-1</v>
      </c>
      <c r="CS18">
        <v>2.9288363414634149</v>
      </c>
      <c r="CT18">
        <v>-7.2445296167251483E-2</v>
      </c>
      <c r="CU18">
        <v>7.1516004540336476E-3</v>
      </c>
      <c r="CV18">
        <v>-1</v>
      </c>
      <c r="CW18">
        <v>0</v>
      </c>
      <c r="CX18">
        <v>0</v>
      </c>
      <c r="CY18" t="s">
        <v>333</v>
      </c>
      <c r="CZ18">
        <v>2.3642699999999999</v>
      </c>
      <c r="DA18">
        <v>2.7136499999999999</v>
      </c>
      <c r="DB18">
        <v>0.14729700000000001</v>
      </c>
      <c r="DC18">
        <v>0.14610799999999999</v>
      </c>
      <c r="DD18">
        <v>5.4014600000000003E-2</v>
      </c>
      <c r="DE18">
        <v>3.8158699999999997E-2</v>
      </c>
      <c r="DF18">
        <v>31131.4</v>
      </c>
      <c r="DG18">
        <v>27512.7</v>
      </c>
      <c r="DH18">
        <v>31168.400000000001</v>
      </c>
      <c r="DI18">
        <v>28075.8</v>
      </c>
      <c r="DJ18">
        <v>40050.400000000001</v>
      </c>
      <c r="DK18">
        <v>38399.9</v>
      </c>
      <c r="DL18">
        <v>44355.6</v>
      </c>
      <c r="DM18">
        <v>42549.8</v>
      </c>
      <c r="DN18">
        <v>1.47333</v>
      </c>
      <c r="DO18">
        <v>2.0342199999999999</v>
      </c>
      <c r="DP18">
        <v>8.4009E-2</v>
      </c>
      <c r="DQ18">
        <v>8.1408800000000003E-2</v>
      </c>
      <c r="DR18">
        <v>25.623200000000001</v>
      </c>
      <c r="DS18">
        <v>25.701000000000001</v>
      </c>
      <c r="DT18">
        <v>16.899999999999999</v>
      </c>
      <c r="DU18">
        <v>29.8</v>
      </c>
      <c r="DV18">
        <v>7.1821799999999998</v>
      </c>
      <c r="DW18">
        <v>62.028599999999997</v>
      </c>
      <c r="DX18">
        <v>36.670699999999997</v>
      </c>
      <c r="DY18">
        <v>1</v>
      </c>
      <c r="DZ18">
        <v>-8.88872E-2</v>
      </c>
      <c r="EA18">
        <v>-1.62303</v>
      </c>
      <c r="EB18">
        <v>20.295400000000001</v>
      </c>
      <c r="EC18">
        <v>5.2413999999999996</v>
      </c>
      <c r="ED18">
        <v>12.039899999999999</v>
      </c>
      <c r="EE18">
        <v>5.0171999999999999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1.86893</v>
      </c>
      <c r="EL18">
        <v>1.86466</v>
      </c>
      <c r="EM18">
        <v>1.8692</v>
      </c>
      <c r="EN18">
        <v>1.8672500000000001</v>
      </c>
      <c r="EO18">
        <v>1.8633999999999999</v>
      </c>
      <c r="EP18">
        <v>1.8645499999999999</v>
      </c>
      <c r="EQ18">
        <v>1.8702000000000001</v>
      </c>
      <c r="ER18">
        <v>1.8694299999999999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-0.27700000000000002</v>
      </c>
      <c r="FG18">
        <v>-4.6899999999999997E-2</v>
      </c>
      <c r="FH18">
        <v>0.27827353915413472</v>
      </c>
      <c r="FI18">
        <v>-6.1462078757559423E-4</v>
      </c>
      <c r="FJ18">
        <v>-1.8861989874597051E-7</v>
      </c>
      <c r="FK18">
        <v>1.1980462299894961E-10</v>
      </c>
      <c r="FL18">
        <v>-3.2538871274648329E-2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7.2</v>
      </c>
      <c r="FU18">
        <v>7.2</v>
      </c>
      <c r="FV18">
        <v>1.7785599999999999</v>
      </c>
      <c r="FW18">
        <v>2.5830099999999998</v>
      </c>
      <c r="FX18">
        <v>1.5490699999999999</v>
      </c>
      <c r="FY18">
        <v>2.3290999999999999</v>
      </c>
      <c r="FZ18">
        <v>1.50146</v>
      </c>
      <c r="GA18">
        <v>2.3803700000000001</v>
      </c>
      <c r="GB18">
        <v>33.783200000000001</v>
      </c>
      <c r="GC18">
        <v>24.017499999999998</v>
      </c>
      <c r="GD18">
        <v>19</v>
      </c>
      <c r="GE18">
        <v>281.642</v>
      </c>
      <c r="GF18">
        <v>581.27200000000005</v>
      </c>
      <c r="GG18">
        <v>28.611699999999999</v>
      </c>
      <c r="GH18">
        <v>26.273099999999999</v>
      </c>
      <c r="GI18">
        <v>30.0002</v>
      </c>
      <c r="GJ18">
        <v>26.348199999999999</v>
      </c>
      <c r="GK18">
        <v>26.328099999999999</v>
      </c>
      <c r="GL18">
        <v>35.561900000000001</v>
      </c>
      <c r="GM18">
        <v>-30</v>
      </c>
      <c r="GN18">
        <v>-30</v>
      </c>
      <c r="GO18">
        <v>28.618200000000002</v>
      </c>
      <c r="GP18">
        <v>800</v>
      </c>
      <c r="GQ18">
        <v>12.5298</v>
      </c>
      <c r="GR18">
        <v>99.725700000000003</v>
      </c>
      <c r="GS18">
        <v>99.542000000000002</v>
      </c>
    </row>
    <row r="19" spans="1:201" x14ac:dyDescent="0.25">
      <c r="A19">
        <v>3</v>
      </c>
      <c r="B19">
        <v>1690218021.5</v>
      </c>
      <c r="C19">
        <v>1</v>
      </c>
      <c r="D19" t="s">
        <v>337</v>
      </c>
      <c r="E19" t="s">
        <v>338</v>
      </c>
      <c r="F19" t="s">
        <v>330</v>
      </c>
      <c r="H19">
        <v>1690218021.5</v>
      </c>
      <c r="I19">
        <f t="shared" si="0"/>
        <v>2.7251259326519829E-4</v>
      </c>
      <c r="J19">
        <f t="shared" si="1"/>
        <v>0.27251259326519828</v>
      </c>
      <c r="K19">
        <f t="shared" si="2"/>
        <v>-0.81763882803874621</v>
      </c>
      <c r="L19">
        <f t="shared" si="3"/>
        <v>806.48500000000001</v>
      </c>
      <c r="M19">
        <f t="shared" si="4"/>
        <v>901.19964996979627</v>
      </c>
      <c r="N19">
        <f t="shared" si="5"/>
        <v>89.390379895153941</v>
      </c>
      <c r="O19">
        <f t="shared" si="6"/>
        <v>79.995593132065011</v>
      </c>
      <c r="P19">
        <f t="shared" si="7"/>
        <v>9.903475037274732E-3</v>
      </c>
      <c r="Q19">
        <f t="shared" si="8"/>
        <v>2.1250423067453816</v>
      </c>
      <c r="R19">
        <f t="shared" si="9"/>
        <v>9.8779055149120099E-3</v>
      </c>
      <c r="S19">
        <f t="shared" si="10"/>
        <v>6.1759827228846202E-3</v>
      </c>
      <c r="T19">
        <f t="shared" si="11"/>
        <v>0</v>
      </c>
      <c r="U19">
        <f t="shared" si="12"/>
        <v>26.795362237340544</v>
      </c>
      <c r="V19">
        <f t="shared" si="13"/>
        <v>26.795362237340544</v>
      </c>
      <c r="W19">
        <f t="shared" si="14"/>
        <v>3.5363671892186956</v>
      </c>
      <c r="X19">
        <f t="shared" si="15"/>
        <v>24.198215673267072</v>
      </c>
      <c r="Y19">
        <f t="shared" si="16"/>
        <v>0.8605434291624301</v>
      </c>
      <c r="Z19">
        <f t="shared" si="17"/>
        <v>3.5562267928420592</v>
      </c>
      <c r="AA19">
        <f t="shared" si="18"/>
        <v>2.6758237600562653</v>
      </c>
      <c r="AB19">
        <f t="shared" si="19"/>
        <v>-12.017805362995244</v>
      </c>
      <c r="AC19">
        <f t="shared" si="20"/>
        <v>10.910941025773411</v>
      </c>
      <c r="AD19">
        <f t="shared" si="21"/>
        <v>1.1063371801523132</v>
      </c>
      <c r="AE19">
        <f t="shared" si="22"/>
        <v>-5.2715706952000119E-4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52157.472989896611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32.4</v>
      </c>
      <c r="AP19">
        <v>0.5</v>
      </c>
      <c r="AQ19" t="s">
        <v>331</v>
      </c>
      <c r="AR19">
        <v>2</v>
      </c>
      <c r="AS19">
        <v>1690218021.5</v>
      </c>
      <c r="AT19">
        <v>806.48500000000001</v>
      </c>
      <c r="AU19">
        <v>800.03099999999995</v>
      </c>
      <c r="AV19">
        <v>8.6756700000000002</v>
      </c>
      <c r="AW19">
        <v>5.7593800000000002</v>
      </c>
      <c r="AX19">
        <v>806.76199999999994</v>
      </c>
      <c r="AY19">
        <v>8.7226199999999992</v>
      </c>
      <c r="AZ19">
        <v>300.13499999999999</v>
      </c>
      <c r="BA19">
        <v>99.090400000000002</v>
      </c>
      <c r="BB19">
        <v>0.10002900000000001</v>
      </c>
      <c r="BC19">
        <v>26.890599999999999</v>
      </c>
      <c r="BD19">
        <v>26.997699999999998</v>
      </c>
      <c r="BE19">
        <v>27.033799999999999</v>
      </c>
      <c r="BF19">
        <v>0</v>
      </c>
      <c r="BG19">
        <v>0</v>
      </c>
      <c r="BH19">
        <v>9948.75</v>
      </c>
      <c r="BI19">
        <v>0.71755199999999997</v>
      </c>
      <c r="BJ19">
        <v>1.1970099999999999</v>
      </c>
      <c r="BK19">
        <v>6.4536100000000003</v>
      </c>
      <c r="BL19">
        <v>813.54300000000001</v>
      </c>
      <c r="BM19">
        <v>804.66600000000005</v>
      </c>
      <c r="BN19">
        <v>2.91628</v>
      </c>
      <c r="BO19">
        <v>800.03099999999995</v>
      </c>
      <c r="BP19">
        <v>5.7593800000000002</v>
      </c>
      <c r="BQ19">
        <v>0.859676</v>
      </c>
      <c r="BR19">
        <v>0.57069999999999999</v>
      </c>
      <c r="BS19">
        <v>4.7328200000000002</v>
      </c>
      <c r="BT19">
        <v>-0.99490999999999996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1690217592</v>
      </c>
      <c r="CC19" t="s">
        <v>332</v>
      </c>
      <c r="CD19">
        <v>1690217586.5</v>
      </c>
      <c r="CE19">
        <v>1690217592</v>
      </c>
      <c r="CF19">
        <v>9</v>
      </c>
      <c r="CG19">
        <v>0.11600000000000001</v>
      </c>
      <c r="CH19">
        <v>-3.0000000000000001E-3</v>
      </c>
      <c r="CI19">
        <v>-0.27300000000000002</v>
      </c>
      <c r="CJ19">
        <v>-6.9000000000000006E-2</v>
      </c>
      <c r="CK19">
        <v>800</v>
      </c>
      <c r="CL19">
        <v>6</v>
      </c>
      <c r="CM19">
        <v>0.01</v>
      </c>
      <c r="CN19">
        <v>0.01</v>
      </c>
      <c r="CO19">
        <v>6.4675214634146343</v>
      </c>
      <c r="CP19">
        <v>0.37625414634146559</v>
      </c>
      <c r="CQ19">
        <v>4.9071187441133007E-2</v>
      </c>
      <c r="CR19">
        <v>-1</v>
      </c>
      <c r="CS19">
        <v>2.9288363414634149</v>
      </c>
      <c r="CT19">
        <v>-7.2445296167251483E-2</v>
      </c>
      <c r="CU19">
        <v>7.1516004540336476E-3</v>
      </c>
      <c r="CV19">
        <v>-1</v>
      </c>
      <c r="CW19">
        <v>0</v>
      </c>
      <c r="CX19">
        <v>0</v>
      </c>
      <c r="CY19" t="s">
        <v>333</v>
      </c>
      <c r="CZ19">
        <v>2.3643399999999999</v>
      </c>
      <c r="DA19">
        <v>2.7137699999999998</v>
      </c>
      <c r="DB19">
        <v>0.14729700000000001</v>
      </c>
      <c r="DC19">
        <v>0.14610899999999999</v>
      </c>
      <c r="DD19">
        <v>5.4010000000000002E-2</v>
      </c>
      <c r="DE19">
        <v>3.81581E-2</v>
      </c>
      <c r="DF19">
        <v>31131.4</v>
      </c>
      <c r="DG19">
        <v>27512.5</v>
      </c>
      <c r="DH19">
        <v>31168.400000000001</v>
      </c>
      <c r="DI19">
        <v>28075.7</v>
      </c>
      <c r="DJ19">
        <v>40050.5</v>
      </c>
      <c r="DK19">
        <v>38399.800000000003</v>
      </c>
      <c r="DL19">
        <v>44355.5</v>
      </c>
      <c r="DM19">
        <v>42549.7</v>
      </c>
      <c r="DN19">
        <v>1.4733499999999999</v>
      </c>
      <c r="DO19">
        <v>2.0342199999999999</v>
      </c>
      <c r="DP19">
        <v>8.3953100000000003E-2</v>
      </c>
      <c r="DQ19">
        <v>8.1427399999999997E-2</v>
      </c>
      <c r="DR19">
        <v>25.623200000000001</v>
      </c>
      <c r="DS19">
        <v>25.700800000000001</v>
      </c>
      <c r="DT19">
        <v>17</v>
      </c>
      <c r="DU19">
        <v>29.8</v>
      </c>
      <c r="DV19">
        <v>7.2249499999999998</v>
      </c>
      <c r="DW19">
        <v>62.028599999999997</v>
      </c>
      <c r="DX19">
        <v>36.129800000000003</v>
      </c>
      <c r="DY19">
        <v>1</v>
      </c>
      <c r="DZ19">
        <v>-8.8879600000000003E-2</v>
      </c>
      <c r="EA19">
        <v>-1.62001</v>
      </c>
      <c r="EB19">
        <v>20.295400000000001</v>
      </c>
      <c r="EC19">
        <v>5.2413999999999996</v>
      </c>
      <c r="ED19">
        <v>12.039899999999999</v>
      </c>
      <c r="EE19">
        <v>5.0171000000000001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1.8689199999999999</v>
      </c>
      <c r="EL19">
        <v>1.86466</v>
      </c>
      <c r="EM19">
        <v>1.8692</v>
      </c>
      <c r="EN19">
        <v>1.8672500000000001</v>
      </c>
      <c r="EO19">
        <v>1.8633999999999999</v>
      </c>
      <c r="EP19">
        <v>1.8645499999999999</v>
      </c>
      <c r="EQ19">
        <v>1.87019</v>
      </c>
      <c r="ER19">
        <v>1.8694500000000001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-0.27700000000000002</v>
      </c>
      <c r="FG19">
        <v>-4.6899999999999997E-2</v>
      </c>
      <c r="FH19">
        <v>0.27827353915413472</v>
      </c>
      <c r="FI19">
        <v>-6.1462078757559423E-4</v>
      </c>
      <c r="FJ19">
        <v>-1.8861989874597051E-7</v>
      </c>
      <c r="FK19">
        <v>1.1980462299894961E-10</v>
      </c>
      <c r="FL19">
        <v>-3.2538871274648329E-2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7.2</v>
      </c>
      <c r="FU19">
        <v>7.2</v>
      </c>
      <c r="FV19">
        <v>1.7785599999999999</v>
      </c>
      <c r="FW19">
        <v>2.5830099999999998</v>
      </c>
      <c r="FX19">
        <v>1.5490699999999999</v>
      </c>
      <c r="FY19">
        <v>2.3290999999999999</v>
      </c>
      <c r="FZ19">
        <v>1.50146</v>
      </c>
      <c r="GA19">
        <v>2.3730500000000001</v>
      </c>
      <c r="GB19">
        <v>33.783200000000001</v>
      </c>
      <c r="GC19">
        <v>24.017499999999998</v>
      </c>
      <c r="GD19">
        <v>19</v>
      </c>
      <c r="GE19">
        <v>281.65199999999999</v>
      </c>
      <c r="GF19">
        <v>581.27200000000005</v>
      </c>
      <c r="GG19">
        <v>28.613099999999999</v>
      </c>
      <c r="GH19">
        <v>26.273099999999999</v>
      </c>
      <c r="GI19">
        <v>30.0001</v>
      </c>
      <c r="GJ19">
        <v>26.348199999999999</v>
      </c>
      <c r="GK19">
        <v>26.328099999999999</v>
      </c>
      <c r="GL19">
        <v>35.562600000000003</v>
      </c>
      <c r="GM19">
        <v>-30</v>
      </c>
      <c r="GN19">
        <v>-30</v>
      </c>
      <c r="GO19">
        <v>28.618200000000002</v>
      </c>
      <c r="GP19">
        <v>800</v>
      </c>
      <c r="GQ19">
        <v>12.5298</v>
      </c>
      <c r="GR19">
        <v>99.7256</v>
      </c>
      <c r="GS19">
        <v>99.541700000000006</v>
      </c>
    </row>
    <row r="20" spans="1:201" x14ac:dyDescent="0.25">
      <c r="A20">
        <v>4</v>
      </c>
      <c r="B20">
        <v>1690218022</v>
      </c>
      <c r="C20">
        <v>1.5</v>
      </c>
      <c r="D20" t="s">
        <v>339</v>
      </c>
      <c r="E20" t="s">
        <v>340</v>
      </c>
      <c r="F20" t="s">
        <v>330</v>
      </c>
      <c r="H20">
        <v>1690218022</v>
      </c>
      <c r="I20">
        <f t="shared" si="0"/>
        <v>2.7248380831553751E-4</v>
      </c>
      <c r="J20">
        <f t="shared" si="1"/>
        <v>0.27248380831553753</v>
      </c>
      <c r="K20">
        <f t="shared" si="2"/>
        <v>-0.81874452013094445</v>
      </c>
      <c r="L20">
        <f t="shared" si="3"/>
        <v>806.49300000000005</v>
      </c>
      <c r="M20">
        <f t="shared" si="4"/>
        <v>901.39638893751828</v>
      </c>
      <c r="N20">
        <f t="shared" si="5"/>
        <v>89.409558296910205</v>
      </c>
      <c r="O20">
        <f t="shared" si="6"/>
        <v>79.996085833607992</v>
      </c>
      <c r="P20">
        <f t="shared" si="7"/>
        <v>9.9023923015887846E-3</v>
      </c>
      <c r="Q20">
        <f t="shared" si="8"/>
        <v>2.1261344600655789</v>
      </c>
      <c r="R20">
        <f t="shared" si="9"/>
        <v>9.8768414572104023E-3</v>
      </c>
      <c r="S20">
        <f t="shared" si="10"/>
        <v>6.1753160161339762E-3</v>
      </c>
      <c r="T20">
        <f t="shared" si="11"/>
        <v>0</v>
      </c>
      <c r="U20">
        <f t="shared" si="12"/>
        <v>26.794916666658427</v>
      </c>
      <c r="V20">
        <f t="shared" si="13"/>
        <v>26.794916666658427</v>
      </c>
      <c r="W20">
        <f t="shared" si="14"/>
        <v>3.5362745039197439</v>
      </c>
      <c r="X20">
        <f t="shared" si="15"/>
        <v>24.196381314824141</v>
      </c>
      <c r="Y20">
        <f t="shared" si="16"/>
        <v>0.86045290588823986</v>
      </c>
      <c r="Z20">
        <f t="shared" si="17"/>
        <v>3.5561222758589741</v>
      </c>
      <c r="AA20">
        <f t="shared" si="18"/>
        <v>2.6758215980315039</v>
      </c>
      <c r="AB20">
        <f t="shared" si="19"/>
        <v>-12.016535946715203</v>
      </c>
      <c r="AC20">
        <f t="shared" si="20"/>
        <v>10.910309726513486</v>
      </c>
      <c r="AD20">
        <f t="shared" si="21"/>
        <v>1.105699667203077</v>
      </c>
      <c r="AE20">
        <f t="shared" si="22"/>
        <v>-5.2655299864134975E-4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52204.519151644228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32.4</v>
      </c>
      <c r="AP20">
        <v>0.5</v>
      </c>
      <c r="AQ20" t="s">
        <v>331</v>
      </c>
      <c r="AR20">
        <v>2</v>
      </c>
      <c r="AS20">
        <v>1690218022</v>
      </c>
      <c r="AT20">
        <v>806.49300000000005</v>
      </c>
      <c r="AU20">
        <v>800.02800000000002</v>
      </c>
      <c r="AV20">
        <v>8.6747899999999998</v>
      </c>
      <c r="AW20">
        <v>5.7593300000000003</v>
      </c>
      <c r="AX20">
        <v>806.77</v>
      </c>
      <c r="AY20">
        <v>8.7217500000000001</v>
      </c>
      <c r="AZ20">
        <v>300.18900000000002</v>
      </c>
      <c r="BA20">
        <v>99.09</v>
      </c>
      <c r="BB20">
        <v>0.10005600000000001</v>
      </c>
      <c r="BC20">
        <v>26.8901</v>
      </c>
      <c r="BD20">
        <v>26.996200000000002</v>
      </c>
      <c r="BE20">
        <v>27.0334</v>
      </c>
      <c r="BF20">
        <v>0</v>
      </c>
      <c r="BG20">
        <v>0</v>
      </c>
      <c r="BH20">
        <v>9958.1200000000008</v>
      </c>
      <c r="BI20">
        <v>0.71270299999999998</v>
      </c>
      <c r="BJ20">
        <v>1.1886000000000001</v>
      </c>
      <c r="BK20">
        <v>6.4651500000000004</v>
      </c>
      <c r="BL20">
        <v>813.55</v>
      </c>
      <c r="BM20">
        <v>804.66200000000003</v>
      </c>
      <c r="BN20">
        <v>2.9154599999999999</v>
      </c>
      <c r="BO20">
        <v>800.02800000000002</v>
      </c>
      <c r="BP20">
        <v>5.7593300000000003</v>
      </c>
      <c r="BQ20">
        <v>0.85958500000000004</v>
      </c>
      <c r="BR20">
        <v>0.57069199999999998</v>
      </c>
      <c r="BS20">
        <v>4.7313200000000002</v>
      </c>
      <c r="BT20">
        <v>-0.99509999999999998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1690217592</v>
      </c>
      <c r="CC20" t="s">
        <v>332</v>
      </c>
      <c r="CD20">
        <v>1690217586.5</v>
      </c>
      <c r="CE20">
        <v>1690217592</v>
      </c>
      <c r="CF20">
        <v>9</v>
      </c>
      <c r="CG20">
        <v>0.11600000000000001</v>
      </c>
      <c r="CH20">
        <v>-3.0000000000000001E-3</v>
      </c>
      <c r="CI20">
        <v>-0.27300000000000002</v>
      </c>
      <c r="CJ20">
        <v>-6.9000000000000006E-2</v>
      </c>
      <c r="CK20">
        <v>800</v>
      </c>
      <c r="CL20">
        <v>6</v>
      </c>
      <c r="CM20">
        <v>0.01</v>
      </c>
      <c r="CN20">
        <v>0.01</v>
      </c>
      <c r="CO20">
        <v>6.4675214634146343</v>
      </c>
      <c r="CP20">
        <v>0.37625414634146559</v>
      </c>
      <c r="CQ20">
        <v>4.9071187441133007E-2</v>
      </c>
      <c r="CR20">
        <v>-1</v>
      </c>
      <c r="CS20">
        <v>2.9288363414634149</v>
      </c>
      <c r="CT20">
        <v>-7.2445296167251483E-2</v>
      </c>
      <c r="CU20">
        <v>7.1516004540336476E-3</v>
      </c>
      <c r="CV20">
        <v>-1</v>
      </c>
      <c r="CW20">
        <v>0</v>
      </c>
      <c r="CX20">
        <v>0</v>
      </c>
      <c r="CY20" t="s">
        <v>333</v>
      </c>
      <c r="CZ20">
        <v>2.3645100000000001</v>
      </c>
      <c r="DA20">
        <v>2.7138100000000001</v>
      </c>
      <c r="DB20">
        <v>0.14729800000000001</v>
      </c>
      <c r="DC20">
        <v>0.14610799999999999</v>
      </c>
      <c r="DD20">
        <v>5.4005600000000001E-2</v>
      </c>
      <c r="DE20">
        <v>3.8157700000000003E-2</v>
      </c>
      <c r="DF20">
        <v>31131.4</v>
      </c>
      <c r="DG20">
        <v>27512.6</v>
      </c>
      <c r="DH20">
        <v>31168.5</v>
      </c>
      <c r="DI20">
        <v>28075.8</v>
      </c>
      <c r="DJ20">
        <v>40050.699999999997</v>
      </c>
      <c r="DK20">
        <v>38399.800000000003</v>
      </c>
      <c r="DL20">
        <v>44355.5</v>
      </c>
      <c r="DM20">
        <v>42549.599999999999</v>
      </c>
      <c r="DN20">
        <v>1.4734700000000001</v>
      </c>
      <c r="DO20">
        <v>2.03417</v>
      </c>
      <c r="DP20">
        <v>8.3863699999999999E-2</v>
      </c>
      <c r="DQ20">
        <v>8.1423700000000002E-2</v>
      </c>
      <c r="DR20">
        <v>25.623200000000001</v>
      </c>
      <c r="DS20">
        <v>25.700500000000002</v>
      </c>
      <c r="DT20">
        <v>17</v>
      </c>
      <c r="DU20">
        <v>29.8</v>
      </c>
      <c r="DV20">
        <v>7.2245100000000004</v>
      </c>
      <c r="DW20">
        <v>62.258600000000001</v>
      </c>
      <c r="DX20">
        <v>36.614600000000003</v>
      </c>
      <c r="DY20">
        <v>1</v>
      </c>
      <c r="DZ20">
        <v>-8.89736E-2</v>
      </c>
      <c r="EA20">
        <v>-1.61775</v>
      </c>
      <c r="EB20">
        <v>20.295400000000001</v>
      </c>
      <c r="EC20">
        <v>5.24125</v>
      </c>
      <c r="ED20">
        <v>12.039899999999999</v>
      </c>
      <c r="EE20">
        <v>5.01715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1.86893</v>
      </c>
      <c r="EL20">
        <v>1.8646499999999999</v>
      </c>
      <c r="EM20">
        <v>1.8692</v>
      </c>
      <c r="EN20">
        <v>1.8672500000000001</v>
      </c>
      <c r="EO20">
        <v>1.8633999999999999</v>
      </c>
      <c r="EP20">
        <v>1.8645499999999999</v>
      </c>
      <c r="EQ20">
        <v>1.87019</v>
      </c>
      <c r="ER20">
        <v>1.8694500000000001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-0.27700000000000002</v>
      </c>
      <c r="FG20">
        <v>-4.7E-2</v>
      </c>
      <c r="FH20">
        <v>0.27827353915413472</v>
      </c>
      <c r="FI20">
        <v>-6.1462078757559423E-4</v>
      </c>
      <c r="FJ20">
        <v>-1.8861989874597051E-7</v>
      </c>
      <c r="FK20">
        <v>1.1980462299894961E-10</v>
      </c>
      <c r="FL20">
        <v>-3.2538871274648329E-2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7.3</v>
      </c>
      <c r="FU20">
        <v>7.2</v>
      </c>
      <c r="FV20">
        <v>1.7785599999999999</v>
      </c>
      <c r="FW20">
        <v>2.5891099999999998</v>
      </c>
      <c r="FX20">
        <v>1.5490699999999999</v>
      </c>
      <c r="FY20">
        <v>2.3290999999999999</v>
      </c>
      <c r="FZ20">
        <v>1.50146</v>
      </c>
      <c r="GA20">
        <v>2.2936999999999999</v>
      </c>
      <c r="GB20">
        <v>33.783200000000001</v>
      </c>
      <c r="GC20">
        <v>24.017499999999998</v>
      </c>
      <c r="GD20">
        <v>19</v>
      </c>
      <c r="GE20">
        <v>281.70600000000002</v>
      </c>
      <c r="GF20">
        <v>581.23099999999999</v>
      </c>
      <c r="GG20">
        <v>28.6142</v>
      </c>
      <c r="GH20">
        <v>26.273099999999999</v>
      </c>
      <c r="GI20">
        <v>30</v>
      </c>
      <c r="GJ20">
        <v>26.348199999999999</v>
      </c>
      <c r="GK20">
        <v>26.328099999999999</v>
      </c>
      <c r="GL20">
        <v>35.5625</v>
      </c>
      <c r="GM20">
        <v>-30</v>
      </c>
      <c r="GN20">
        <v>-30</v>
      </c>
      <c r="GO20">
        <v>28.618200000000002</v>
      </c>
      <c r="GP20">
        <v>800</v>
      </c>
      <c r="GQ20">
        <v>12.5298</v>
      </c>
      <c r="GR20">
        <v>99.725499999999997</v>
      </c>
      <c r="GS20">
        <v>99.541600000000003</v>
      </c>
    </row>
    <row r="21" spans="1:201" x14ac:dyDescent="0.25">
      <c r="A21">
        <v>5</v>
      </c>
      <c r="B21">
        <v>1690218022.5</v>
      </c>
      <c r="C21">
        <v>2</v>
      </c>
      <c r="D21" t="s">
        <v>339</v>
      </c>
      <c r="E21" t="s">
        <v>340</v>
      </c>
      <c r="F21" t="s">
        <v>330</v>
      </c>
      <c r="H21">
        <v>1690218022.5</v>
      </c>
      <c r="I21">
        <f t="shared" si="0"/>
        <v>2.72404286936503E-4</v>
      </c>
      <c r="J21">
        <f t="shared" si="1"/>
        <v>0.27240428693650298</v>
      </c>
      <c r="K21">
        <f t="shared" si="2"/>
        <v>-0.82011942654140757</v>
      </c>
      <c r="L21">
        <f t="shared" si="3"/>
        <v>806.48299999999995</v>
      </c>
      <c r="M21">
        <f t="shared" si="4"/>
        <v>901.6408983213646</v>
      </c>
      <c r="N21">
        <f t="shared" si="5"/>
        <v>89.43450275495546</v>
      </c>
      <c r="O21">
        <f t="shared" si="6"/>
        <v>79.99571250550899</v>
      </c>
      <c r="P21">
        <f t="shared" si="7"/>
        <v>9.8996388533475616E-3</v>
      </c>
      <c r="Q21">
        <f t="shared" si="8"/>
        <v>2.1297963796593362</v>
      </c>
      <c r="R21">
        <f t="shared" si="9"/>
        <v>9.8741459815130592E-3</v>
      </c>
      <c r="S21">
        <f t="shared" si="10"/>
        <v>6.1736261586684809E-3</v>
      </c>
      <c r="T21">
        <f t="shared" si="11"/>
        <v>0</v>
      </c>
      <c r="U21">
        <f t="shared" si="12"/>
        <v>26.794292945069135</v>
      </c>
      <c r="V21">
        <f t="shared" si="13"/>
        <v>26.794292945069135</v>
      </c>
      <c r="W21">
        <f t="shared" si="14"/>
        <v>3.5361447641565769</v>
      </c>
      <c r="X21">
        <f t="shared" si="15"/>
        <v>24.194610013618224</v>
      </c>
      <c r="Y21">
        <f t="shared" si="16"/>
        <v>0.86034945763863979</v>
      </c>
      <c r="Z21">
        <f t="shared" si="17"/>
        <v>3.5559550542636642</v>
      </c>
      <c r="AA21">
        <f t="shared" si="18"/>
        <v>2.6757953065179372</v>
      </c>
      <c r="AB21">
        <f t="shared" si="19"/>
        <v>-12.013029053899782</v>
      </c>
      <c r="AC21">
        <f t="shared" si="20"/>
        <v>10.908860388244129</v>
      </c>
      <c r="AD21">
        <f t="shared" si="21"/>
        <v>1.1036440637842351</v>
      </c>
      <c r="AE21">
        <f t="shared" si="22"/>
        <v>-5.2460187141711856E-4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52362.354971435634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32.4</v>
      </c>
      <c r="AP21">
        <v>0.5</v>
      </c>
      <c r="AQ21" t="s">
        <v>331</v>
      </c>
      <c r="AR21">
        <v>2</v>
      </c>
      <c r="AS21">
        <v>1690218022.5</v>
      </c>
      <c r="AT21">
        <v>806.48299999999995</v>
      </c>
      <c r="AU21">
        <v>800.00300000000004</v>
      </c>
      <c r="AV21">
        <v>8.6736799999999992</v>
      </c>
      <c r="AW21">
        <v>5.7593199999999998</v>
      </c>
      <c r="AX21">
        <v>806.76</v>
      </c>
      <c r="AY21">
        <v>8.7206499999999991</v>
      </c>
      <c r="AZ21">
        <v>300.21499999999997</v>
      </c>
      <c r="BA21">
        <v>99.090800000000002</v>
      </c>
      <c r="BB21">
        <v>0.100023</v>
      </c>
      <c r="BC21">
        <v>26.889299999999999</v>
      </c>
      <c r="BD21">
        <v>26.994399999999999</v>
      </c>
      <c r="BE21">
        <v>27.032800000000002</v>
      </c>
      <c r="BF21">
        <v>0</v>
      </c>
      <c r="BG21">
        <v>0</v>
      </c>
      <c r="BH21">
        <v>9989.3799999999992</v>
      </c>
      <c r="BI21">
        <v>0.71270299999999998</v>
      </c>
      <c r="BJ21">
        <v>1.17458</v>
      </c>
      <c r="BK21">
        <v>6.4798</v>
      </c>
      <c r="BL21">
        <v>813.53899999999999</v>
      </c>
      <c r="BM21">
        <v>804.63699999999994</v>
      </c>
      <c r="BN21">
        <v>2.9143599999999998</v>
      </c>
      <c r="BO21">
        <v>800.00300000000004</v>
      </c>
      <c r="BP21">
        <v>5.7593199999999998</v>
      </c>
      <c r="BQ21">
        <v>0.85948199999999997</v>
      </c>
      <c r="BR21">
        <v>0.57069499999999995</v>
      </c>
      <c r="BS21">
        <v>4.7295999999999996</v>
      </c>
      <c r="BT21">
        <v>-0.99501700000000004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1690217592</v>
      </c>
      <c r="CC21" t="s">
        <v>332</v>
      </c>
      <c r="CD21">
        <v>1690217586.5</v>
      </c>
      <c r="CE21">
        <v>1690217592</v>
      </c>
      <c r="CF21">
        <v>9</v>
      </c>
      <c r="CG21">
        <v>0.11600000000000001</v>
      </c>
      <c r="CH21">
        <v>-3.0000000000000001E-3</v>
      </c>
      <c r="CI21">
        <v>-0.27300000000000002</v>
      </c>
      <c r="CJ21">
        <v>-6.9000000000000006E-2</v>
      </c>
      <c r="CK21">
        <v>800</v>
      </c>
      <c r="CL21">
        <v>6</v>
      </c>
      <c r="CM21">
        <v>0.01</v>
      </c>
      <c r="CN21">
        <v>0.01</v>
      </c>
      <c r="CO21">
        <v>6.4743417499999989</v>
      </c>
      <c r="CP21">
        <v>0.25596191369603999</v>
      </c>
      <c r="CQ21">
        <v>4.337622222413455E-2</v>
      </c>
      <c r="CR21">
        <v>-1</v>
      </c>
      <c r="CS21">
        <v>2.9267397499999999</v>
      </c>
      <c r="CT21">
        <v>-7.075148217636551E-2</v>
      </c>
      <c r="CU21">
        <v>6.8146956966177279E-3</v>
      </c>
      <c r="CV21">
        <v>-1</v>
      </c>
      <c r="CW21">
        <v>0</v>
      </c>
      <c r="CX21">
        <v>0</v>
      </c>
      <c r="CY21" t="s">
        <v>333</v>
      </c>
      <c r="CZ21">
        <v>2.3645999999999998</v>
      </c>
      <c r="DA21">
        <v>2.7138100000000001</v>
      </c>
      <c r="DB21">
        <v>0.14729700000000001</v>
      </c>
      <c r="DC21">
        <v>0.14610600000000001</v>
      </c>
      <c r="DD21">
        <v>5.40005E-2</v>
      </c>
      <c r="DE21">
        <v>3.8157799999999999E-2</v>
      </c>
      <c r="DF21">
        <v>31131.4</v>
      </c>
      <c r="DG21">
        <v>27512.6</v>
      </c>
      <c r="DH21">
        <v>31168.400000000001</v>
      </c>
      <c r="DI21">
        <v>28075.7</v>
      </c>
      <c r="DJ21">
        <v>40050.800000000003</v>
      </c>
      <c r="DK21">
        <v>38399.699999999997</v>
      </c>
      <c r="DL21">
        <v>44355.3</v>
      </c>
      <c r="DM21">
        <v>42549.599999999999</v>
      </c>
      <c r="DN21">
        <v>1.47353</v>
      </c>
      <c r="DO21">
        <v>2.0340799999999999</v>
      </c>
      <c r="DP21">
        <v>8.3751999999999993E-2</v>
      </c>
      <c r="DQ21">
        <v>8.1405000000000005E-2</v>
      </c>
      <c r="DR21">
        <v>25.623200000000001</v>
      </c>
      <c r="DS21">
        <v>25.700199999999999</v>
      </c>
      <c r="DT21">
        <v>17</v>
      </c>
      <c r="DU21">
        <v>29.8</v>
      </c>
      <c r="DV21">
        <v>7.2259500000000001</v>
      </c>
      <c r="DW21">
        <v>62.258600000000001</v>
      </c>
      <c r="DX21">
        <v>37.103400000000001</v>
      </c>
      <c r="DY21">
        <v>1</v>
      </c>
      <c r="DZ21">
        <v>-8.9100600000000002E-2</v>
      </c>
      <c r="EA21">
        <v>-1.6158600000000001</v>
      </c>
      <c r="EB21">
        <v>20.295500000000001</v>
      </c>
      <c r="EC21">
        <v>5.2411000000000003</v>
      </c>
      <c r="ED21">
        <v>12.039899999999999</v>
      </c>
      <c r="EE21">
        <v>5.0172499999999998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1.86893</v>
      </c>
      <c r="EL21">
        <v>1.8646499999999999</v>
      </c>
      <c r="EM21">
        <v>1.8692</v>
      </c>
      <c r="EN21">
        <v>1.8672500000000001</v>
      </c>
      <c r="EO21">
        <v>1.8633999999999999</v>
      </c>
      <c r="EP21">
        <v>1.86456</v>
      </c>
      <c r="EQ21">
        <v>1.87019</v>
      </c>
      <c r="ER21">
        <v>1.8694500000000001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-0.27700000000000002</v>
      </c>
      <c r="FG21">
        <v>-4.7E-2</v>
      </c>
      <c r="FH21">
        <v>0.27827353915413472</v>
      </c>
      <c r="FI21">
        <v>-6.1462078757559423E-4</v>
      </c>
      <c r="FJ21">
        <v>-1.8861989874597051E-7</v>
      </c>
      <c r="FK21">
        <v>1.1980462299894961E-10</v>
      </c>
      <c r="FL21">
        <v>-3.2538871274648329E-2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7.3</v>
      </c>
      <c r="FU21">
        <v>7.2</v>
      </c>
      <c r="FV21">
        <v>1.7785599999999999</v>
      </c>
      <c r="FW21">
        <v>2.5793499999999998</v>
      </c>
      <c r="FX21">
        <v>1.5490699999999999</v>
      </c>
      <c r="FY21">
        <v>2.3290999999999999</v>
      </c>
      <c r="FZ21">
        <v>1.50146</v>
      </c>
      <c r="GA21">
        <v>2.3278799999999999</v>
      </c>
      <c r="GB21">
        <v>33.783200000000001</v>
      </c>
      <c r="GC21">
        <v>24.017499999999998</v>
      </c>
      <c r="GD21">
        <v>19</v>
      </c>
      <c r="GE21">
        <v>281.72699999999998</v>
      </c>
      <c r="GF21">
        <v>581.149</v>
      </c>
      <c r="GG21">
        <v>28.615100000000002</v>
      </c>
      <c r="GH21">
        <v>26.273099999999999</v>
      </c>
      <c r="GI21">
        <v>30</v>
      </c>
      <c r="GJ21">
        <v>26.348199999999999</v>
      </c>
      <c r="GK21">
        <v>26.328099999999999</v>
      </c>
      <c r="GL21">
        <v>35.562399999999997</v>
      </c>
      <c r="GM21">
        <v>-30</v>
      </c>
      <c r="GN21">
        <v>-30</v>
      </c>
      <c r="GO21">
        <v>28.618200000000002</v>
      </c>
      <c r="GP21">
        <v>800</v>
      </c>
      <c r="GQ21">
        <v>12.5298</v>
      </c>
      <c r="GR21">
        <v>99.725300000000004</v>
      </c>
      <c r="GS21">
        <v>99.541499999999999</v>
      </c>
    </row>
    <row r="22" spans="1:201" x14ac:dyDescent="0.25">
      <c r="A22">
        <v>6</v>
      </c>
      <c r="B22">
        <v>1690218225</v>
      </c>
      <c r="C22">
        <v>204.5</v>
      </c>
      <c r="D22" t="s">
        <v>341</v>
      </c>
      <c r="E22" t="s">
        <v>342</v>
      </c>
      <c r="F22" t="s">
        <v>330</v>
      </c>
      <c r="H22">
        <v>1690218225</v>
      </c>
      <c r="I22">
        <f t="shared" si="0"/>
        <v>2.6006304966497877E-4</v>
      </c>
      <c r="J22">
        <f t="shared" si="1"/>
        <v>0.26006304966497878</v>
      </c>
      <c r="K22">
        <f t="shared" si="2"/>
        <v>-0.84565753476996564</v>
      </c>
      <c r="L22">
        <f t="shared" si="3"/>
        <v>806.803</v>
      </c>
      <c r="M22">
        <f t="shared" si="4"/>
        <v>936.11675505891594</v>
      </c>
      <c r="N22">
        <f t="shared" si="5"/>
        <v>92.844884485604496</v>
      </c>
      <c r="O22">
        <f t="shared" si="6"/>
        <v>80.019432333442992</v>
      </c>
      <c r="P22">
        <f t="shared" si="7"/>
        <v>7.6722991701028377E-3</v>
      </c>
      <c r="Q22">
        <f t="shared" si="8"/>
        <v>2.1298245977538288</v>
      </c>
      <c r="R22">
        <f t="shared" si="9"/>
        <v>7.6569778160617491E-3</v>
      </c>
      <c r="S22">
        <f t="shared" si="10"/>
        <v>4.7869851206235273E-3</v>
      </c>
      <c r="T22">
        <f t="shared" si="11"/>
        <v>276.07075891422056</v>
      </c>
      <c r="U22">
        <f t="shared" si="12"/>
        <v>29.465989660072715</v>
      </c>
      <c r="V22">
        <f t="shared" si="13"/>
        <v>29.465989660072715</v>
      </c>
      <c r="W22">
        <f t="shared" si="14"/>
        <v>4.131502122305525</v>
      </c>
      <c r="X22">
        <f t="shared" si="15"/>
        <v>23.163413790101462</v>
      </c>
      <c r="Y22">
        <f t="shared" si="16"/>
        <v>0.84745698855736007</v>
      </c>
      <c r="Z22">
        <f t="shared" si="17"/>
        <v>3.6586014317091213</v>
      </c>
      <c r="AA22">
        <f t="shared" si="18"/>
        <v>3.2840451337481649</v>
      </c>
      <c r="AB22">
        <f t="shared" si="19"/>
        <v>-11.468780490225564</v>
      </c>
      <c r="AC22">
        <f t="shared" si="20"/>
        <v>-240.17429877624903</v>
      </c>
      <c r="AD22">
        <f t="shared" si="21"/>
        <v>-24.684023527320043</v>
      </c>
      <c r="AE22">
        <f t="shared" si="22"/>
        <v>-0.25634387957407512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52278.810022267011</v>
      </c>
      <c r="AK22">
        <f t="shared" si="26"/>
        <v>1799.71</v>
      </c>
      <c r="AL22">
        <f t="shared" si="27"/>
        <v>1498.8696323360098</v>
      </c>
      <c r="AM22">
        <f t="shared" si="28"/>
        <v>0.83283953099999986</v>
      </c>
      <c r="AN22">
        <f t="shared" si="29"/>
        <v>0.15339735785999997</v>
      </c>
      <c r="AO22">
        <v>32.4</v>
      </c>
      <c r="AP22">
        <v>0.5</v>
      </c>
      <c r="AQ22" t="s">
        <v>331</v>
      </c>
      <c r="AR22">
        <v>2</v>
      </c>
      <c r="AS22">
        <v>1690218225</v>
      </c>
      <c r="AT22">
        <v>806.803</v>
      </c>
      <c r="AU22">
        <v>799.94</v>
      </c>
      <c r="AV22">
        <v>8.5445600000000006</v>
      </c>
      <c r="AW22">
        <v>5.76152</v>
      </c>
      <c r="AX22">
        <v>807.08</v>
      </c>
      <c r="AY22">
        <v>8.5929699999999993</v>
      </c>
      <c r="AZ22">
        <v>300.17700000000002</v>
      </c>
      <c r="BA22">
        <v>99.0809</v>
      </c>
      <c r="BB22">
        <v>9.9981E-2</v>
      </c>
      <c r="BC22">
        <v>27.374300000000002</v>
      </c>
      <c r="BD22">
        <v>28.178699999999999</v>
      </c>
      <c r="BE22">
        <v>28.610099999999999</v>
      </c>
      <c r="BF22">
        <v>0</v>
      </c>
      <c r="BG22">
        <v>0</v>
      </c>
      <c r="BH22">
        <v>9990.6200000000008</v>
      </c>
      <c r="BI22">
        <v>1075.92</v>
      </c>
      <c r="BJ22">
        <v>1.1493599999999999</v>
      </c>
      <c r="BK22">
        <v>6.8624299999999998</v>
      </c>
      <c r="BL22">
        <v>813.75599999999997</v>
      </c>
      <c r="BM22">
        <v>804.57600000000002</v>
      </c>
      <c r="BN22">
        <v>2.7830400000000002</v>
      </c>
      <c r="BO22">
        <v>799.94</v>
      </c>
      <c r="BP22">
        <v>5.76152</v>
      </c>
      <c r="BQ22">
        <v>0.84660299999999999</v>
      </c>
      <c r="BR22">
        <v>0.57085699999999995</v>
      </c>
      <c r="BS22">
        <v>4.5136700000000003</v>
      </c>
      <c r="BT22">
        <v>-0.99115799999999998</v>
      </c>
      <c r="BU22">
        <v>1799.71</v>
      </c>
      <c r="BV22">
        <v>0.90999699999999994</v>
      </c>
      <c r="BW22">
        <v>3.4000799999999998E-2</v>
      </c>
      <c r="BX22">
        <v>2.1999299999999999E-2</v>
      </c>
      <c r="BY22">
        <v>3.40028E-2</v>
      </c>
      <c r="BZ22">
        <v>26</v>
      </c>
      <c r="CA22">
        <v>33523</v>
      </c>
      <c r="CB22">
        <v>1690217592</v>
      </c>
      <c r="CC22" t="s">
        <v>332</v>
      </c>
      <c r="CD22">
        <v>1690217586.5</v>
      </c>
      <c r="CE22">
        <v>1690217592</v>
      </c>
      <c r="CF22">
        <v>9</v>
      </c>
      <c r="CG22">
        <v>0.11600000000000001</v>
      </c>
      <c r="CH22">
        <v>-3.0000000000000001E-3</v>
      </c>
      <c r="CI22">
        <v>-0.27300000000000002</v>
      </c>
      <c r="CJ22">
        <v>-6.9000000000000006E-2</v>
      </c>
      <c r="CK22">
        <v>800</v>
      </c>
      <c r="CL22">
        <v>6</v>
      </c>
      <c r="CM22">
        <v>0.01</v>
      </c>
      <c r="CN22">
        <v>0.01</v>
      </c>
      <c r="CO22">
        <v>7.0435043902439034</v>
      </c>
      <c r="CP22">
        <v>-0.2221085017421531</v>
      </c>
      <c r="CQ22">
        <v>3.7785091526968267E-2</v>
      </c>
      <c r="CR22">
        <v>-1</v>
      </c>
      <c r="CS22">
        <v>2.7594029268292681</v>
      </c>
      <c r="CT22">
        <v>-1.014355400696172E-2</v>
      </c>
      <c r="CU22">
        <v>3.789768152959048E-3</v>
      </c>
      <c r="CV22">
        <v>-1</v>
      </c>
      <c r="CW22">
        <v>0</v>
      </c>
      <c r="CX22">
        <v>0</v>
      </c>
      <c r="CY22" t="s">
        <v>333</v>
      </c>
      <c r="CZ22">
        <v>2.3644500000000002</v>
      </c>
      <c r="DA22">
        <v>2.7137600000000002</v>
      </c>
      <c r="DB22">
        <v>0.147312</v>
      </c>
      <c r="DC22">
        <v>0.14607800000000001</v>
      </c>
      <c r="DD22">
        <v>5.3367699999999997E-2</v>
      </c>
      <c r="DE22">
        <v>3.8164200000000002E-2</v>
      </c>
      <c r="DF22">
        <v>31131.4</v>
      </c>
      <c r="DG22">
        <v>27514</v>
      </c>
      <c r="DH22">
        <v>31169</v>
      </c>
      <c r="DI22">
        <v>28076.3</v>
      </c>
      <c r="DJ22">
        <v>40078.400000000001</v>
      </c>
      <c r="DK22">
        <v>38400.6</v>
      </c>
      <c r="DL22">
        <v>44356.2</v>
      </c>
      <c r="DM22">
        <v>42550.9</v>
      </c>
      <c r="DN22">
        <v>1.4751000000000001</v>
      </c>
      <c r="DO22">
        <v>2.0340199999999999</v>
      </c>
      <c r="DP22">
        <v>0.15445800000000001</v>
      </c>
      <c r="DQ22">
        <v>0.17574400000000001</v>
      </c>
      <c r="DR22">
        <v>25.6523</v>
      </c>
      <c r="DS22">
        <v>25.736899999999999</v>
      </c>
      <c r="DT22">
        <v>16.899999999999999</v>
      </c>
      <c r="DU22">
        <v>29.8</v>
      </c>
      <c r="DV22">
        <v>7.1841699999999999</v>
      </c>
      <c r="DW22">
        <v>61.7286</v>
      </c>
      <c r="DX22">
        <v>37.171500000000002</v>
      </c>
      <c r="DY22">
        <v>1</v>
      </c>
      <c r="DZ22">
        <v>-8.9070099999999999E-2</v>
      </c>
      <c r="EA22">
        <v>-1.5880399999999999</v>
      </c>
      <c r="EB22">
        <v>20.181100000000001</v>
      </c>
      <c r="EC22">
        <v>5.2413999999999996</v>
      </c>
      <c r="ED22">
        <v>12.039899999999999</v>
      </c>
      <c r="EE22">
        <v>5.0172999999999996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1.8689199999999999</v>
      </c>
      <c r="EL22">
        <v>1.8646400000000001</v>
      </c>
      <c r="EM22">
        <v>1.8692</v>
      </c>
      <c r="EN22">
        <v>1.86727</v>
      </c>
      <c r="EO22">
        <v>1.8633999999999999</v>
      </c>
      <c r="EP22">
        <v>1.86456</v>
      </c>
      <c r="EQ22">
        <v>1.87015</v>
      </c>
      <c r="ER22">
        <v>1.8694500000000001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-0.27700000000000002</v>
      </c>
      <c r="FG22">
        <v>-4.8399999999999999E-2</v>
      </c>
      <c r="FH22">
        <v>0.27827353915413472</v>
      </c>
      <c r="FI22">
        <v>-6.1462078757559423E-4</v>
      </c>
      <c r="FJ22">
        <v>-1.8861989874597051E-7</v>
      </c>
      <c r="FK22">
        <v>1.1980462299894961E-10</v>
      </c>
      <c r="FL22">
        <v>-3.2538871274648329E-2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10.6</v>
      </c>
      <c r="FU22">
        <v>10.6</v>
      </c>
      <c r="FV22">
        <v>1.7785599999999999</v>
      </c>
      <c r="FW22">
        <v>2.5817899999999998</v>
      </c>
      <c r="FX22">
        <v>1.5490699999999999</v>
      </c>
      <c r="FY22">
        <v>2.3290999999999999</v>
      </c>
      <c r="FZ22">
        <v>1.50146</v>
      </c>
      <c r="GA22">
        <v>2.3901400000000002</v>
      </c>
      <c r="GB22">
        <v>33.760599999999997</v>
      </c>
      <c r="GC22">
        <v>23.982399999999998</v>
      </c>
      <c r="GD22">
        <v>19</v>
      </c>
      <c r="GE22">
        <v>282.464</v>
      </c>
      <c r="GF22">
        <v>581.25599999999997</v>
      </c>
      <c r="GG22">
        <v>28.6508</v>
      </c>
      <c r="GH22">
        <v>26.282</v>
      </c>
      <c r="GI22">
        <v>29.9999</v>
      </c>
      <c r="GJ22">
        <v>26.363299999999999</v>
      </c>
      <c r="GK22">
        <v>26.341200000000001</v>
      </c>
      <c r="GL22">
        <v>35.563499999999998</v>
      </c>
      <c r="GM22">
        <v>-30</v>
      </c>
      <c r="GN22">
        <v>-30</v>
      </c>
      <c r="GO22">
        <v>27.8398</v>
      </c>
      <c r="GP22">
        <v>800</v>
      </c>
      <c r="GQ22">
        <v>12.5298</v>
      </c>
      <c r="GR22">
        <v>99.727099999999993</v>
      </c>
      <c r="GS22">
        <v>99.5441</v>
      </c>
    </row>
    <row r="23" spans="1:201" x14ac:dyDescent="0.25">
      <c r="A23">
        <v>7</v>
      </c>
      <c r="B23">
        <v>1690218235</v>
      </c>
      <c r="C23">
        <v>214.5</v>
      </c>
      <c r="D23" t="s">
        <v>343</v>
      </c>
      <c r="E23" t="s">
        <v>344</v>
      </c>
      <c r="F23" t="s">
        <v>330</v>
      </c>
      <c r="H23">
        <v>1690218235</v>
      </c>
      <c r="I23">
        <f t="shared" si="0"/>
        <v>2.6895015076281727E-4</v>
      </c>
      <c r="J23">
        <f t="shared" si="1"/>
        <v>0.26895015076281725</v>
      </c>
      <c r="K23">
        <f t="shared" si="2"/>
        <v>-0.75157261346278237</v>
      </c>
      <c r="L23">
        <f t="shared" si="3"/>
        <v>805.79399999999998</v>
      </c>
      <c r="M23">
        <f t="shared" si="4"/>
        <v>912.90712185177802</v>
      </c>
      <c r="N23">
        <f t="shared" si="5"/>
        <v>90.546505917490038</v>
      </c>
      <c r="O23">
        <f t="shared" si="6"/>
        <v>79.922512863388789</v>
      </c>
      <c r="P23">
        <f t="shared" si="7"/>
        <v>7.7877612415152885E-3</v>
      </c>
      <c r="Q23">
        <f t="shared" si="8"/>
        <v>2.1254881290484988</v>
      </c>
      <c r="R23">
        <f t="shared" si="9"/>
        <v>7.7719436458615846E-3</v>
      </c>
      <c r="S23">
        <f t="shared" si="10"/>
        <v>4.8588832212718642E-3</v>
      </c>
      <c r="T23">
        <f t="shared" si="11"/>
        <v>276.10382610340429</v>
      </c>
      <c r="U23">
        <f t="shared" si="12"/>
        <v>29.758355786100999</v>
      </c>
      <c r="V23">
        <f t="shared" si="13"/>
        <v>29.758355786100999</v>
      </c>
      <c r="W23">
        <f t="shared" si="14"/>
        <v>4.2016718295627644</v>
      </c>
      <c r="X23">
        <f t="shared" si="15"/>
        <v>23.024452824090666</v>
      </c>
      <c r="Y23">
        <f t="shared" si="16"/>
        <v>0.85688224193160001</v>
      </c>
      <c r="Z23">
        <f t="shared" si="17"/>
        <v>3.7216182659291577</v>
      </c>
      <c r="AA23">
        <f t="shared" si="18"/>
        <v>3.3447895876311646</v>
      </c>
      <c r="AB23">
        <f t="shared" si="19"/>
        <v>-11.860701648640243</v>
      </c>
      <c r="AC23">
        <f t="shared" si="20"/>
        <v>-239.73870052250345</v>
      </c>
      <c r="AD23">
        <f t="shared" si="21"/>
        <v>-24.761379871653908</v>
      </c>
      <c r="AE23">
        <f t="shared" si="22"/>
        <v>-0.25695593939329342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52041.930080145132</v>
      </c>
      <c r="AK23">
        <f t="shared" si="26"/>
        <v>1799.93</v>
      </c>
      <c r="AL23">
        <f t="shared" si="27"/>
        <v>1499.0539063920201</v>
      </c>
      <c r="AM23">
        <f t="shared" si="28"/>
        <v>0.83284011400000002</v>
      </c>
      <c r="AN23">
        <f t="shared" si="29"/>
        <v>0.15339697994000004</v>
      </c>
      <c r="AO23">
        <v>32.4</v>
      </c>
      <c r="AP23">
        <v>0.5</v>
      </c>
      <c r="AQ23" t="s">
        <v>331</v>
      </c>
      <c r="AR23">
        <v>2</v>
      </c>
      <c r="AS23">
        <v>1690218235</v>
      </c>
      <c r="AT23">
        <v>805.79399999999998</v>
      </c>
      <c r="AU23">
        <v>800.02099999999996</v>
      </c>
      <c r="AV23">
        <v>8.6392500000000005</v>
      </c>
      <c r="AW23">
        <v>5.7613899999999996</v>
      </c>
      <c r="AX23">
        <v>806.07100000000003</v>
      </c>
      <c r="AY23">
        <v>8.6866000000000003</v>
      </c>
      <c r="AZ23">
        <v>300.178</v>
      </c>
      <c r="BA23">
        <v>99.084800000000001</v>
      </c>
      <c r="BB23">
        <v>9.9995200000000006E-2</v>
      </c>
      <c r="BC23">
        <v>27.6662</v>
      </c>
      <c r="BD23">
        <v>28.98</v>
      </c>
      <c r="BE23">
        <v>29.38</v>
      </c>
      <c r="BF23">
        <v>0</v>
      </c>
      <c r="BG23">
        <v>0</v>
      </c>
      <c r="BH23">
        <v>9953.1200000000008</v>
      </c>
      <c r="BI23">
        <v>1078.94</v>
      </c>
      <c r="BJ23">
        <v>1.4577199999999999</v>
      </c>
      <c r="BK23">
        <v>5.7731899999999996</v>
      </c>
      <c r="BL23">
        <v>812.81700000000001</v>
      </c>
      <c r="BM23">
        <v>804.65700000000004</v>
      </c>
      <c r="BN23">
        <v>2.8778600000000001</v>
      </c>
      <c r="BO23">
        <v>800.02099999999996</v>
      </c>
      <c r="BP23">
        <v>5.7613899999999996</v>
      </c>
      <c r="BQ23">
        <v>0.85601799999999995</v>
      </c>
      <c r="BR23">
        <v>0.57086599999999998</v>
      </c>
      <c r="BS23">
        <v>4.6718099999999998</v>
      </c>
      <c r="BT23">
        <v>-0.99093799999999999</v>
      </c>
      <c r="BU23">
        <v>1799.93</v>
      </c>
      <c r="BV23">
        <v>0.91000800000000004</v>
      </c>
      <c r="BW23">
        <v>3.3997600000000003E-2</v>
      </c>
      <c r="BX23">
        <v>2.1995199999999999E-2</v>
      </c>
      <c r="BY23">
        <v>3.3999000000000001E-2</v>
      </c>
      <c r="BZ23">
        <v>26</v>
      </c>
      <c r="CA23">
        <v>33527.199999999997</v>
      </c>
      <c r="CB23">
        <v>1690217592</v>
      </c>
      <c r="CC23" t="s">
        <v>332</v>
      </c>
      <c r="CD23">
        <v>1690217586.5</v>
      </c>
      <c r="CE23">
        <v>1690217592</v>
      </c>
      <c r="CF23">
        <v>9</v>
      </c>
      <c r="CG23">
        <v>0.11600000000000001</v>
      </c>
      <c r="CH23">
        <v>-3.0000000000000001E-3</v>
      </c>
      <c r="CI23">
        <v>-0.27300000000000002</v>
      </c>
      <c r="CJ23">
        <v>-6.9000000000000006E-2</v>
      </c>
      <c r="CK23">
        <v>800</v>
      </c>
      <c r="CL23">
        <v>6</v>
      </c>
      <c r="CM23">
        <v>0.01</v>
      </c>
      <c r="CN23">
        <v>0.01</v>
      </c>
      <c r="CO23">
        <v>6.7118470000000006</v>
      </c>
      <c r="CP23">
        <v>-3.763214859287066</v>
      </c>
      <c r="CQ23">
        <v>0.38934355545070992</v>
      </c>
      <c r="CR23">
        <v>-1</v>
      </c>
      <c r="CS23">
        <v>2.7915684999999999</v>
      </c>
      <c r="CT23">
        <v>0.37783114446528798</v>
      </c>
      <c r="CU23">
        <v>3.8512161037132189E-2</v>
      </c>
      <c r="CV23">
        <v>-1</v>
      </c>
      <c r="CW23">
        <v>0</v>
      </c>
      <c r="CX23">
        <v>0</v>
      </c>
      <c r="CY23" t="s">
        <v>333</v>
      </c>
      <c r="CZ23">
        <v>2.3644799999999999</v>
      </c>
      <c r="DA23">
        <v>2.7137500000000001</v>
      </c>
      <c r="DB23">
        <v>0.14719599999999999</v>
      </c>
      <c r="DC23">
        <v>0.146092</v>
      </c>
      <c r="DD23">
        <v>5.3827699999999999E-2</v>
      </c>
      <c r="DE23">
        <v>3.81646E-2</v>
      </c>
      <c r="DF23">
        <v>31134.9</v>
      </c>
      <c r="DG23">
        <v>27513.1</v>
      </c>
      <c r="DH23">
        <v>31168.2</v>
      </c>
      <c r="DI23">
        <v>28075.8</v>
      </c>
      <c r="DJ23">
        <v>40057.9</v>
      </c>
      <c r="DK23">
        <v>38399.9</v>
      </c>
      <c r="DL23">
        <v>44355.199999999997</v>
      </c>
      <c r="DM23">
        <v>42550.1</v>
      </c>
      <c r="DN23">
        <v>1.47245</v>
      </c>
      <c r="DO23">
        <v>2.0341200000000002</v>
      </c>
      <c r="DP23">
        <v>0.201069</v>
      </c>
      <c r="DQ23">
        <v>0.220947</v>
      </c>
      <c r="DR23">
        <v>25.6935</v>
      </c>
      <c r="DS23">
        <v>25.77</v>
      </c>
      <c r="DT23">
        <v>16.899999999999999</v>
      </c>
      <c r="DU23">
        <v>29.8</v>
      </c>
      <c r="DV23">
        <v>7.1841299999999997</v>
      </c>
      <c r="DW23">
        <v>62.138599999999997</v>
      </c>
      <c r="DX23">
        <v>37.275599999999997</v>
      </c>
      <c r="DY23">
        <v>1</v>
      </c>
      <c r="DZ23">
        <v>-7.6133099999999995E-2</v>
      </c>
      <c r="EA23">
        <v>6.0493300000000003</v>
      </c>
      <c r="EB23">
        <v>20.034400000000002</v>
      </c>
      <c r="EC23">
        <v>5.2416999999999998</v>
      </c>
      <c r="ED23">
        <v>12.039899999999999</v>
      </c>
      <c r="EE23">
        <v>5.0169499999999996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1.8689100000000001</v>
      </c>
      <c r="EL23">
        <v>1.86463</v>
      </c>
      <c r="EM23">
        <v>1.8692</v>
      </c>
      <c r="EN23">
        <v>1.8672500000000001</v>
      </c>
      <c r="EO23">
        <v>1.8633999999999999</v>
      </c>
      <c r="EP23">
        <v>1.8645499999999999</v>
      </c>
      <c r="EQ23">
        <v>1.8701300000000001</v>
      </c>
      <c r="ER23">
        <v>1.8694299999999999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-0.27700000000000002</v>
      </c>
      <c r="FG23">
        <v>-4.7300000000000002E-2</v>
      </c>
      <c r="FH23">
        <v>0.27827353915413472</v>
      </c>
      <c r="FI23">
        <v>-6.1462078757559423E-4</v>
      </c>
      <c r="FJ23">
        <v>-1.8861989874597051E-7</v>
      </c>
      <c r="FK23">
        <v>1.1980462299894961E-10</v>
      </c>
      <c r="FL23">
        <v>-3.2538871274648329E-2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10.8</v>
      </c>
      <c r="FU23">
        <v>10.7</v>
      </c>
      <c r="FV23">
        <v>1.7785599999999999</v>
      </c>
      <c r="FW23">
        <v>2.5793499999999998</v>
      </c>
      <c r="FX23">
        <v>1.5490699999999999</v>
      </c>
      <c r="FY23">
        <v>2.3290999999999999</v>
      </c>
      <c r="FZ23">
        <v>1.50146</v>
      </c>
      <c r="GA23">
        <v>2.36694</v>
      </c>
      <c r="GB23">
        <v>33.760599999999997</v>
      </c>
      <c r="GC23">
        <v>23.956199999999999</v>
      </c>
      <c r="GD23">
        <v>19</v>
      </c>
      <c r="GE23">
        <v>281.339</v>
      </c>
      <c r="GF23">
        <v>581.33799999999997</v>
      </c>
      <c r="GG23">
        <v>26.952400000000001</v>
      </c>
      <c r="GH23">
        <v>26.282</v>
      </c>
      <c r="GI23">
        <v>30.008099999999999</v>
      </c>
      <c r="GJ23">
        <v>26.363700000000001</v>
      </c>
      <c r="GK23">
        <v>26.341200000000001</v>
      </c>
      <c r="GL23">
        <v>35.561300000000003</v>
      </c>
      <c r="GM23">
        <v>-30</v>
      </c>
      <c r="GN23">
        <v>-30</v>
      </c>
      <c r="GO23">
        <v>24.465499999999999</v>
      </c>
      <c r="GP23">
        <v>800</v>
      </c>
      <c r="GQ23">
        <v>12.5298</v>
      </c>
      <c r="GR23">
        <v>99.724800000000002</v>
      </c>
      <c r="GS23">
        <v>99.542299999999997</v>
      </c>
    </row>
    <row r="24" spans="1:201" x14ac:dyDescent="0.25">
      <c r="A24">
        <v>8</v>
      </c>
      <c r="B24">
        <v>1690218245</v>
      </c>
      <c r="C24">
        <v>224.5</v>
      </c>
      <c r="D24" t="s">
        <v>345</v>
      </c>
      <c r="E24" t="s">
        <v>346</v>
      </c>
      <c r="F24" t="s">
        <v>330</v>
      </c>
      <c r="H24">
        <v>1690218245</v>
      </c>
      <c r="I24">
        <f t="shared" si="0"/>
        <v>2.7402130487962008E-4</v>
      </c>
      <c r="J24">
        <f t="shared" si="1"/>
        <v>0.27402130487962006</v>
      </c>
      <c r="K24">
        <f t="shared" si="2"/>
        <v>-0.68218719933892669</v>
      </c>
      <c r="L24">
        <f t="shared" si="3"/>
        <v>804.96799999999996</v>
      </c>
      <c r="M24">
        <f t="shared" si="4"/>
        <v>894.45033666732184</v>
      </c>
      <c r="N24">
        <f t="shared" si="5"/>
        <v>88.713392074795379</v>
      </c>
      <c r="O24">
        <f t="shared" si="6"/>
        <v>79.838353080327991</v>
      </c>
      <c r="P24">
        <f t="shared" si="7"/>
        <v>8.049055032136267E-3</v>
      </c>
      <c r="Q24">
        <f t="shared" si="8"/>
        <v>2.1333302375591106</v>
      </c>
      <c r="R24">
        <f t="shared" si="9"/>
        <v>8.0322214220264251E-3</v>
      </c>
      <c r="S24">
        <f t="shared" si="10"/>
        <v>5.0216478581080392E-3</v>
      </c>
      <c r="T24">
        <f t="shared" si="11"/>
        <v>276.106746854976</v>
      </c>
      <c r="U24">
        <f t="shared" si="12"/>
        <v>29.586647778336193</v>
      </c>
      <c r="V24">
        <f t="shared" si="13"/>
        <v>29.586647778336193</v>
      </c>
      <c r="W24">
        <f t="shared" si="14"/>
        <v>4.1603360350106984</v>
      </c>
      <c r="X24">
        <f t="shared" si="15"/>
        <v>23.39483165688906</v>
      </c>
      <c r="Y24">
        <f t="shared" si="16"/>
        <v>0.86239163987583989</v>
      </c>
      <c r="Z24">
        <f t="shared" si="17"/>
        <v>3.686248537812804</v>
      </c>
      <c r="AA24">
        <f t="shared" si="18"/>
        <v>3.2979443951348584</v>
      </c>
      <c r="AB24">
        <f t="shared" si="19"/>
        <v>-12.084339545191245</v>
      </c>
      <c r="AC24">
        <f t="shared" si="20"/>
        <v>-239.65620737186435</v>
      </c>
      <c r="AD24">
        <f t="shared" si="21"/>
        <v>-24.620813797384617</v>
      </c>
      <c r="AE24">
        <f t="shared" si="22"/>
        <v>-0.25461385946422865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52407.391354002801</v>
      </c>
      <c r="AK24">
        <f t="shared" si="26"/>
        <v>1799.94</v>
      </c>
      <c r="AL24">
        <f t="shared" si="27"/>
        <v>1499.0620296000002</v>
      </c>
      <c r="AM24">
        <f t="shared" si="28"/>
        <v>0.83284000000000002</v>
      </c>
      <c r="AN24">
        <f t="shared" si="29"/>
        <v>0.15339775039999998</v>
      </c>
      <c r="AO24">
        <v>32.4</v>
      </c>
      <c r="AP24">
        <v>0.5</v>
      </c>
      <c r="AQ24" t="s">
        <v>331</v>
      </c>
      <c r="AR24">
        <v>2</v>
      </c>
      <c r="AS24">
        <v>1690218245</v>
      </c>
      <c r="AT24">
        <v>804.96799999999996</v>
      </c>
      <c r="AU24">
        <v>799.98500000000001</v>
      </c>
      <c r="AV24">
        <v>8.6950400000000005</v>
      </c>
      <c r="AW24">
        <v>5.76274</v>
      </c>
      <c r="AX24">
        <v>805.24400000000003</v>
      </c>
      <c r="AY24">
        <v>8.7417700000000007</v>
      </c>
      <c r="AZ24">
        <v>300.14299999999997</v>
      </c>
      <c r="BA24">
        <v>99.081999999999994</v>
      </c>
      <c r="BB24">
        <v>0.100021</v>
      </c>
      <c r="BC24">
        <v>27.5029</v>
      </c>
      <c r="BD24">
        <v>28.936499999999999</v>
      </c>
      <c r="BE24">
        <v>29.298200000000001</v>
      </c>
      <c r="BF24">
        <v>0</v>
      </c>
      <c r="BG24">
        <v>0</v>
      </c>
      <c r="BH24">
        <v>10020.6</v>
      </c>
      <c r="BI24">
        <v>1080.55</v>
      </c>
      <c r="BJ24">
        <v>1.4577199999999999</v>
      </c>
      <c r="BK24">
        <v>4.9825999999999997</v>
      </c>
      <c r="BL24">
        <v>812.029</v>
      </c>
      <c r="BM24">
        <v>804.62199999999996</v>
      </c>
      <c r="BN24">
        <v>2.9322900000000001</v>
      </c>
      <c r="BO24">
        <v>799.98500000000001</v>
      </c>
      <c r="BP24">
        <v>5.76274</v>
      </c>
      <c r="BQ24">
        <v>0.86152099999999998</v>
      </c>
      <c r="BR24">
        <v>0.57098400000000005</v>
      </c>
      <c r="BS24">
        <v>4.7635300000000003</v>
      </c>
      <c r="BT24">
        <v>-0.98811400000000005</v>
      </c>
      <c r="BU24">
        <v>1799.94</v>
      </c>
      <c r="BV24">
        <v>0.90998999999999997</v>
      </c>
      <c r="BW24">
        <v>3.39946E-2</v>
      </c>
      <c r="BX24">
        <v>2.2003999999999999E-2</v>
      </c>
      <c r="BY24">
        <v>3.4011600000000003E-2</v>
      </c>
      <c r="BZ24">
        <v>26</v>
      </c>
      <c r="CA24">
        <v>33527.199999999997</v>
      </c>
      <c r="CB24">
        <v>1690217592</v>
      </c>
      <c r="CC24" t="s">
        <v>332</v>
      </c>
      <c r="CD24">
        <v>1690217586.5</v>
      </c>
      <c r="CE24">
        <v>1690217592</v>
      </c>
      <c r="CF24">
        <v>9</v>
      </c>
      <c r="CG24">
        <v>0.11600000000000001</v>
      </c>
      <c r="CH24">
        <v>-3.0000000000000001E-3</v>
      </c>
      <c r="CI24">
        <v>-0.27300000000000002</v>
      </c>
      <c r="CJ24">
        <v>-6.9000000000000006E-2</v>
      </c>
      <c r="CK24">
        <v>800</v>
      </c>
      <c r="CL24">
        <v>6</v>
      </c>
      <c r="CM24">
        <v>0.01</v>
      </c>
      <c r="CN24">
        <v>0.01</v>
      </c>
      <c r="CO24">
        <v>5.8987814634146343</v>
      </c>
      <c r="CP24">
        <v>-5.6627801393728259</v>
      </c>
      <c r="CQ24">
        <v>0.56180189981167283</v>
      </c>
      <c r="CR24">
        <v>-1</v>
      </c>
      <c r="CS24">
        <v>2.8660519512195122</v>
      </c>
      <c r="CT24">
        <v>0.47283993031359678</v>
      </c>
      <c r="CU24">
        <v>4.7032902039333302E-2</v>
      </c>
      <c r="CV24">
        <v>-1</v>
      </c>
      <c r="CW24">
        <v>0</v>
      </c>
      <c r="CX24">
        <v>0</v>
      </c>
      <c r="CY24" t="s">
        <v>333</v>
      </c>
      <c r="CZ24">
        <v>2.3643700000000001</v>
      </c>
      <c r="DA24">
        <v>2.7138300000000002</v>
      </c>
      <c r="DB24">
        <v>0.147094</v>
      </c>
      <c r="DC24">
        <v>0.14608599999999999</v>
      </c>
      <c r="DD24">
        <v>5.4096199999999997E-2</v>
      </c>
      <c r="DE24">
        <v>3.8171499999999997E-2</v>
      </c>
      <c r="DF24">
        <v>31135.3</v>
      </c>
      <c r="DG24">
        <v>27510</v>
      </c>
      <c r="DH24">
        <v>31164.9</v>
      </c>
      <c r="DI24">
        <v>28072.5</v>
      </c>
      <c r="DJ24">
        <v>40042.6</v>
      </c>
      <c r="DK24">
        <v>38395.300000000003</v>
      </c>
      <c r="DL24">
        <v>44350.9</v>
      </c>
      <c r="DM24">
        <v>42545.3</v>
      </c>
      <c r="DN24">
        <v>1.4704699999999999</v>
      </c>
      <c r="DO24">
        <v>2.0342199999999999</v>
      </c>
      <c r="DP24">
        <v>0.19509299999999999</v>
      </c>
      <c r="DQ24">
        <v>0.21340000000000001</v>
      </c>
      <c r="DR24">
        <v>25.747699999999998</v>
      </c>
      <c r="DS24">
        <v>25.811299999999999</v>
      </c>
      <c r="DT24">
        <v>16.899999999999999</v>
      </c>
      <c r="DU24">
        <v>29.8</v>
      </c>
      <c r="DV24">
        <v>7.1829000000000001</v>
      </c>
      <c r="DW24">
        <v>62.398600000000002</v>
      </c>
      <c r="DX24">
        <v>37.103400000000001</v>
      </c>
      <c r="DY24">
        <v>1</v>
      </c>
      <c r="DZ24">
        <v>-6.4192100000000002E-2</v>
      </c>
      <c r="EA24">
        <v>9.2810500000000005</v>
      </c>
      <c r="EB24">
        <v>19.8627</v>
      </c>
      <c r="EC24">
        <v>5.24125</v>
      </c>
      <c r="ED24">
        <v>12.039899999999999</v>
      </c>
      <c r="EE24">
        <v>5.0170500000000002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1.8689199999999999</v>
      </c>
      <c r="EL24">
        <v>1.86463</v>
      </c>
      <c r="EM24">
        <v>1.8692</v>
      </c>
      <c r="EN24">
        <v>1.8672299999999999</v>
      </c>
      <c r="EO24">
        <v>1.8633999999999999</v>
      </c>
      <c r="EP24">
        <v>1.86452</v>
      </c>
      <c r="EQ24">
        <v>1.8701399999999999</v>
      </c>
      <c r="ER24">
        <v>1.8694500000000001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-0.27600000000000002</v>
      </c>
      <c r="FG24">
        <v>-4.6699999999999998E-2</v>
      </c>
      <c r="FH24">
        <v>0.27827353915413472</v>
      </c>
      <c r="FI24">
        <v>-6.1462078757559423E-4</v>
      </c>
      <c r="FJ24">
        <v>-1.8861989874597051E-7</v>
      </c>
      <c r="FK24">
        <v>1.1980462299894961E-10</v>
      </c>
      <c r="FL24">
        <v>-3.2538871274648329E-2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11</v>
      </c>
      <c r="FU24">
        <v>10.9</v>
      </c>
      <c r="FV24">
        <v>1.7785599999999999</v>
      </c>
      <c r="FW24">
        <v>2.5793499999999998</v>
      </c>
      <c r="FX24">
        <v>1.5490699999999999</v>
      </c>
      <c r="FY24">
        <v>2.3290999999999999</v>
      </c>
      <c r="FZ24">
        <v>1.50146</v>
      </c>
      <c r="GA24">
        <v>2.3571800000000001</v>
      </c>
      <c r="GB24">
        <v>33.760599999999997</v>
      </c>
      <c r="GC24">
        <v>23.868600000000001</v>
      </c>
      <c r="GD24">
        <v>19</v>
      </c>
      <c r="GE24">
        <v>280.50799999999998</v>
      </c>
      <c r="GF24">
        <v>581.43799999999999</v>
      </c>
      <c r="GG24">
        <v>24.172499999999999</v>
      </c>
      <c r="GH24">
        <v>26.284199999999998</v>
      </c>
      <c r="GI24">
        <v>30.004999999999999</v>
      </c>
      <c r="GJ24">
        <v>26.365500000000001</v>
      </c>
      <c r="GK24">
        <v>26.3429</v>
      </c>
      <c r="GL24">
        <v>35.559800000000003</v>
      </c>
      <c r="GM24">
        <v>-30</v>
      </c>
      <c r="GN24">
        <v>-30</v>
      </c>
      <c r="GO24">
        <v>20.469899999999999</v>
      </c>
      <c r="GP24">
        <v>800</v>
      </c>
      <c r="GQ24">
        <v>12.5298</v>
      </c>
      <c r="GR24">
        <v>99.714799999999997</v>
      </c>
      <c r="GS24">
        <v>99.530900000000003</v>
      </c>
    </row>
    <row r="25" spans="1:201" x14ac:dyDescent="0.25">
      <c r="A25">
        <v>9</v>
      </c>
      <c r="B25">
        <v>1690218255</v>
      </c>
      <c r="C25">
        <v>234.5</v>
      </c>
      <c r="D25" t="s">
        <v>347</v>
      </c>
      <c r="E25" t="s">
        <v>348</v>
      </c>
      <c r="F25" t="s">
        <v>330</v>
      </c>
      <c r="H25">
        <v>1690218255</v>
      </c>
      <c r="I25">
        <f t="shared" si="0"/>
        <v>2.7603129111947763E-4</v>
      </c>
      <c r="J25">
        <f t="shared" si="1"/>
        <v>0.27603129111947761</v>
      </c>
      <c r="K25">
        <f t="shared" si="2"/>
        <v>-0.59770828187868696</v>
      </c>
      <c r="L25">
        <f t="shared" si="3"/>
        <v>803.98</v>
      </c>
      <c r="M25">
        <f t="shared" si="4"/>
        <v>874.64863519418975</v>
      </c>
      <c r="N25">
        <f t="shared" si="5"/>
        <v>86.750455762084172</v>
      </c>
      <c r="O25">
        <f t="shared" si="6"/>
        <v>79.741313959880003</v>
      </c>
      <c r="P25">
        <f t="shared" si="7"/>
        <v>8.3026169579079878E-3</v>
      </c>
      <c r="Q25">
        <f t="shared" si="8"/>
        <v>2.1323317880521611</v>
      </c>
      <c r="R25">
        <f t="shared" si="9"/>
        <v>8.2846989627162106E-3</v>
      </c>
      <c r="S25">
        <f t="shared" si="10"/>
        <v>5.1795434584449469E-3</v>
      </c>
      <c r="T25">
        <f t="shared" si="11"/>
        <v>276.10713703625299</v>
      </c>
      <c r="U25">
        <f t="shared" si="12"/>
        <v>29.277032380100732</v>
      </c>
      <c r="V25">
        <f t="shared" si="13"/>
        <v>29.277032380100732</v>
      </c>
      <c r="W25">
        <f t="shared" si="14"/>
        <v>4.0866966348146079</v>
      </c>
      <c r="X25">
        <f t="shared" si="15"/>
        <v>23.884409785046277</v>
      </c>
      <c r="Y25">
        <f t="shared" si="16"/>
        <v>0.86457405570963985</v>
      </c>
      <c r="Z25">
        <f t="shared" si="17"/>
        <v>3.6198259177873369</v>
      </c>
      <c r="AA25">
        <f t="shared" si="18"/>
        <v>3.2221225791049681</v>
      </c>
      <c r="AB25">
        <f t="shared" si="19"/>
        <v>-12.172979938368963</v>
      </c>
      <c r="AC25">
        <f t="shared" si="20"/>
        <v>-239.6342390050489</v>
      </c>
      <c r="AD25">
        <f t="shared" si="21"/>
        <v>-24.554199263003362</v>
      </c>
      <c r="AE25">
        <f t="shared" si="22"/>
        <v>-0.25428117016824103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52418.546539626659</v>
      </c>
      <c r="AK25">
        <f t="shared" si="26"/>
        <v>1799.95</v>
      </c>
      <c r="AL25">
        <f t="shared" si="27"/>
        <v>1499.0731281230499</v>
      </c>
      <c r="AM25">
        <f t="shared" si="28"/>
        <v>0.83284153899999991</v>
      </c>
      <c r="AN25">
        <f t="shared" si="29"/>
        <v>0.15339711494</v>
      </c>
      <c r="AO25">
        <v>32.4</v>
      </c>
      <c r="AP25">
        <v>0.5</v>
      </c>
      <c r="AQ25" t="s">
        <v>331</v>
      </c>
      <c r="AR25">
        <v>2</v>
      </c>
      <c r="AS25">
        <v>1690218255</v>
      </c>
      <c r="AT25">
        <v>803.98</v>
      </c>
      <c r="AU25">
        <v>799.92399999999998</v>
      </c>
      <c r="AV25">
        <v>8.7169399999999992</v>
      </c>
      <c r="AW25">
        <v>5.7635899999999998</v>
      </c>
      <c r="AX25">
        <v>804.25599999999997</v>
      </c>
      <c r="AY25">
        <v>8.76342</v>
      </c>
      <c r="AZ25">
        <v>300.18299999999999</v>
      </c>
      <c r="BA25">
        <v>99.083200000000005</v>
      </c>
      <c r="BB25">
        <v>0.100006</v>
      </c>
      <c r="BC25">
        <v>27.192499999999999</v>
      </c>
      <c r="BD25">
        <v>28.6997</v>
      </c>
      <c r="BE25">
        <v>28.994900000000001</v>
      </c>
      <c r="BF25">
        <v>0</v>
      </c>
      <c r="BG25">
        <v>0</v>
      </c>
      <c r="BH25">
        <v>10011.9</v>
      </c>
      <c r="BI25">
        <v>1081.1500000000001</v>
      </c>
      <c r="BJ25">
        <v>1.4577199999999999</v>
      </c>
      <c r="BK25">
        <v>4.0566399999999998</v>
      </c>
      <c r="BL25">
        <v>811.05</v>
      </c>
      <c r="BM25">
        <v>804.56100000000004</v>
      </c>
      <c r="BN25">
        <v>2.9533499999999999</v>
      </c>
      <c r="BO25">
        <v>799.92399999999998</v>
      </c>
      <c r="BP25">
        <v>5.7635899999999998</v>
      </c>
      <c r="BQ25">
        <v>0.86370199999999997</v>
      </c>
      <c r="BR25">
        <v>0.571075</v>
      </c>
      <c r="BS25">
        <v>4.7997300000000003</v>
      </c>
      <c r="BT25">
        <v>-0.98593600000000003</v>
      </c>
      <c r="BU25">
        <v>1799.95</v>
      </c>
      <c r="BV25">
        <v>0.91001699999999996</v>
      </c>
      <c r="BW25">
        <v>3.3994299999999998E-2</v>
      </c>
      <c r="BX25">
        <v>2.1997699999999999E-2</v>
      </c>
      <c r="BY25">
        <v>3.3991E-2</v>
      </c>
      <c r="BZ25">
        <v>26</v>
      </c>
      <c r="CA25">
        <v>33527.5</v>
      </c>
      <c r="CB25">
        <v>1690217592</v>
      </c>
      <c r="CC25" t="s">
        <v>332</v>
      </c>
      <c r="CD25">
        <v>1690217586.5</v>
      </c>
      <c r="CE25">
        <v>1690217592</v>
      </c>
      <c r="CF25">
        <v>9</v>
      </c>
      <c r="CG25">
        <v>0.11600000000000001</v>
      </c>
      <c r="CH25">
        <v>-3.0000000000000001E-3</v>
      </c>
      <c r="CI25">
        <v>-0.27300000000000002</v>
      </c>
      <c r="CJ25">
        <v>-6.9000000000000006E-2</v>
      </c>
      <c r="CK25">
        <v>800</v>
      </c>
      <c r="CL25">
        <v>6</v>
      </c>
      <c r="CM25">
        <v>0.01</v>
      </c>
      <c r="CN25">
        <v>0.01</v>
      </c>
      <c r="CO25">
        <v>5.0670565853658536</v>
      </c>
      <c r="CP25">
        <v>-5.1960783972125499</v>
      </c>
      <c r="CQ25">
        <v>0.51452517640460893</v>
      </c>
      <c r="CR25">
        <v>-1</v>
      </c>
      <c r="CS25">
        <v>2.9205841463414641</v>
      </c>
      <c r="CT25">
        <v>0.25252160278746488</v>
      </c>
      <c r="CU25">
        <v>2.5542125603967E-2</v>
      </c>
      <c r="CV25">
        <v>-1</v>
      </c>
      <c r="CW25">
        <v>0</v>
      </c>
      <c r="CX25">
        <v>0</v>
      </c>
      <c r="CY25" t="s">
        <v>333</v>
      </c>
      <c r="CZ25">
        <v>2.3644699999999998</v>
      </c>
      <c r="DA25">
        <v>2.7138100000000001</v>
      </c>
      <c r="DB25">
        <v>0.146976</v>
      </c>
      <c r="DC25">
        <v>0.14607899999999999</v>
      </c>
      <c r="DD25">
        <v>5.4202100000000003E-2</v>
      </c>
      <c r="DE25">
        <v>3.8176300000000003E-2</v>
      </c>
      <c r="DF25">
        <v>31139.200000000001</v>
      </c>
      <c r="DG25">
        <v>27510.400000000001</v>
      </c>
      <c r="DH25">
        <v>31164.5</v>
      </c>
      <c r="DI25">
        <v>28072.6</v>
      </c>
      <c r="DJ25">
        <v>40037.199999999997</v>
      </c>
      <c r="DK25">
        <v>38395.4</v>
      </c>
      <c r="DL25">
        <v>44349.9</v>
      </c>
      <c r="DM25">
        <v>42545.599999999999</v>
      </c>
      <c r="DN25">
        <v>1.47037</v>
      </c>
      <c r="DO25">
        <v>2.0339299999999998</v>
      </c>
      <c r="DP25">
        <v>0.17771899999999999</v>
      </c>
      <c r="DQ25">
        <v>0.19356599999999999</v>
      </c>
      <c r="DR25">
        <v>25.794499999999999</v>
      </c>
      <c r="DS25">
        <v>25.831499999999998</v>
      </c>
      <c r="DT25">
        <v>16.899999999999999</v>
      </c>
      <c r="DU25">
        <v>29.8</v>
      </c>
      <c r="DV25">
        <v>7.1836099999999998</v>
      </c>
      <c r="DW25">
        <v>62.358600000000003</v>
      </c>
      <c r="DX25">
        <v>36.935099999999998</v>
      </c>
      <c r="DY25">
        <v>1</v>
      </c>
      <c r="DZ25">
        <v>-6.4636700000000005E-2</v>
      </c>
      <c r="EA25">
        <v>9.2810500000000005</v>
      </c>
      <c r="EB25">
        <v>19.874700000000001</v>
      </c>
      <c r="EC25">
        <v>5.2404999999999999</v>
      </c>
      <c r="ED25">
        <v>12.039899999999999</v>
      </c>
      <c r="EE25">
        <v>5.016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1.86463</v>
      </c>
      <c r="EM25">
        <v>1.8691899999999999</v>
      </c>
      <c r="EN25">
        <v>1.86724</v>
      </c>
      <c r="EO25">
        <v>1.8633999999999999</v>
      </c>
      <c r="EP25">
        <v>1.8645099999999999</v>
      </c>
      <c r="EQ25">
        <v>1.87012</v>
      </c>
      <c r="ER25">
        <v>1.8694299999999999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-0.27600000000000002</v>
      </c>
      <c r="FG25">
        <v>-4.65E-2</v>
      </c>
      <c r="FH25">
        <v>0.27827353915413472</v>
      </c>
      <c r="FI25">
        <v>-6.1462078757559423E-4</v>
      </c>
      <c r="FJ25">
        <v>-1.8861989874597051E-7</v>
      </c>
      <c r="FK25">
        <v>1.1980462299894961E-10</v>
      </c>
      <c r="FL25">
        <v>-3.2538871274648329E-2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11.1</v>
      </c>
      <c r="FU25">
        <v>11.1</v>
      </c>
      <c r="FV25">
        <v>1.7785599999999999</v>
      </c>
      <c r="FW25">
        <v>2.5805699999999998</v>
      </c>
      <c r="FX25">
        <v>1.5490699999999999</v>
      </c>
      <c r="FY25">
        <v>2.3290999999999999</v>
      </c>
      <c r="FZ25">
        <v>1.50146</v>
      </c>
      <c r="GA25">
        <v>2.3535200000000001</v>
      </c>
      <c r="GB25">
        <v>33.760599999999997</v>
      </c>
      <c r="GC25">
        <v>23.868600000000001</v>
      </c>
      <c r="GD25">
        <v>19</v>
      </c>
      <c r="GE25">
        <v>280.46800000000002</v>
      </c>
      <c r="GF25">
        <v>581.19799999999998</v>
      </c>
      <c r="GG25">
        <v>22.177099999999999</v>
      </c>
      <c r="GH25">
        <v>26.2883</v>
      </c>
      <c r="GI25">
        <v>30.000299999999999</v>
      </c>
      <c r="GJ25">
        <v>26.3659</v>
      </c>
      <c r="GK25">
        <v>26.343399999999999</v>
      </c>
      <c r="GL25">
        <v>35.5593</v>
      </c>
      <c r="GM25">
        <v>-30</v>
      </c>
      <c r="GN25">
        <v>-30</v>
      </c>
      <c r="GO25">
        <v>16.812799999999999</v>
      </c>
      <c r="GP25">
        <v>800</v>
      </c>
      <c r="GQ25">
        <v>12.5298</v>
      </c>
      <c r="GR25">
        <v>99.712900000000005</v>
      </c>
      <c r="GS25">
        <v>99.531599999999997</v>
      </c>
    </row>
    <row r="26" spans="1:201" x14ac:dyDescent="0.25">
      <c r="A26">
        <v>10</v>
      </c>
      <c r="B26">
        <v>1690218265</v>
      </c>
      <c r="C26">
        <v>244.5</v>
      </c>
      <c r="D26" t="s">
        <v>349</v>
      </c>
      <c r="E26" t="s">
        <v>350</v>
      </c>
      <c r="F26" t="s">
        <v>330</v>
      </c>
      <c r="H26">
        <v>1690218265</v>
      </c>
      <c r="I26">
        <f t="shared" si="0"/>
        <v>2.758779118253547E-4</v>
      </c>
      <c r="J26">
        <f t="shared" si="1"/>
        <v>0.2758779118253547</v>
      </c>
      <c r="K26">
        <f t="shared" si="2"/>
        <v>-0.49275512965712776</v>
      </c>
      <c r="L26">
        <f t="shared" si="3"/>
        <v>802.85</v>
      </c>
      <c r="M26">
        <f t="shared" si="4"/>
        <v>852.76395910624012</v>
      </c>
      <c r="N26">
        <f t="shared" si="5"/>
        <v>84.576358309708667</v>
      </c>
      <c r="O26">
        <f t="shared" si="6"/>
        <v>79.625936982745003</v>
      </c>
      <c r="P26">
        <f t="shared" si="7"/>
        <v>8.4908545938459697E-3</v>
      </c>
      <c r="Q26">
        <f t="shared" si="8"/>
        <v>2.1305335130436438</v>
      </c>
      <c r="R26">
        <f t="shared" si="9"/>
        <v>8.4721001230978771E-3</v>
      </c>
      <c r="S26">
        <f t="shared" si="10"/>
        <v>5.2967441068105126E-3</v>
      </c>
      <c r="T26">
        <f t="shared" si="11"/>
        <v>276.10779914786053</v>
      </c>
      <c r="U26">
        <f t="shared" si="12"/>
        <v>28.969083844868656</v>
      </c>
      <c r="V26">
        <f t="shared" si="13"/>
        <v>28.969083844868656</v>
      </c>
      <c r="W26">
        <f t="shared" si="14"/>
        <v>4.0145835156519842</v>
      </c>
      <c r="X26">
        <f t="shared" si="15"/>
        <v>24.319705440329717</v>
      </c>
      <c r="Y26">
        <f t="shared" si="16"/>
        <v>0.86444202274832904</v>
      </c>
      <c r="Z26">
        <f t="shared" si="17"/>
        <v>3.5544921580950253</v>
      </c>
      <c r="AA26">
        <f t="shared" si="18"/>
        <v>3.1501414929036553</v>
      </c>
      <c r="AB26">
        <f t="shared" si="19"/>
        <v>-12.166215911498142</v>
      </c>
      <c r="AC26">
        <f t="shared" si="20"/>
        <v>-239.69075272581449</v>
      </c>
      <c r="AD26">
        <f t="shared" si="21"/>
        <v>-24.505137373875467</v>
      </c>
      <c r="AE26">
        <f t="shared" si="22"/>
        <v>-0.25430686332757091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52395.103511659319</v>
      </c>
      <c r="AK26">
        <f t="shared" si="26"/>
        <v>1799.95</v>
      </c>
      <c r="AL26">
        <f t="shared" si="27"/>
        <v>1499.0695282230499</v>
      </c>
      <c r="AM26">
        <f t="shared" si="28"/>
        <v>0.83283953899999996</v>
      </c>
      <c r="AN26">
        <f t="shared" si="29"/>
        <v>0.15339748279000001</v>
      </c>
      <c r="AO26">
        <v>32.4</v>
      </c>
      <c r="AP26">
        <v>0.5</v>
      </c>
      <c r="AQ26" t="s">
        <v>331</v>
      </c>
      <c r="AR26">
        <v>2</v>
      </c>
      <c r="AS26">
        <v>1690218265</v>
      </c>
      <c r="AT26">
        <v>802.85</v>
      </c>
      <c r="AU26">
        <v>799.92200000000003</v>
      </c>
      <c r="AV26">
        <v>8.7159700000000004</v>
      </c>
      <c r="AW26">
        <v>5.7641499999999999</v>
      </c>
      <c r="AX26">
        <v>803.125</v>
      </c>
      <c r="AY26">
        <v>8.7624499999999994</v>
      </c>
      <c r="AZ26">
        <v>300.17200000000003</v>
      </c>
      <c r="BA26">
        <v>99.079099999999997</v>
      </c>
      <c r="BB26">
        <v>9.9995700000000007E-2</v>
      </c>
      <c r="BC26">
        <v>26.882300000000001</v>
      </c>
      <c r="BD26">
        <v>28.363099999999999</v>
      </c>
      <c r="BE26">
        <v>28.592300000000002</v>
      </c>
      <c r="BF26">
        <v>0</v>
      </c>
      <c r="BG26">
        <v>0</v>
      </c>
      <c r="BH26">
        <v>9996.8799999999992</v>
      </c>
      <c r="BI26">
        <v>1080.9100000000001</v>
      </c>
      <c r="BJ26">
        <v>1.4577199999999999</v>
      </c>
      <c r="BK26">
        <v>2.92767</v>
      </c>
      <c r="BL26">
        <v>809.90899999999999</v>
      </c>
      <c r="BM26">
        <v>804.56</v>
      </c>
      <c r="BN26">
        <v>2.9518200000000001</v>
      </c>
      <c r="BO26">
        <v>799.92200000000003</v>
      </c>
      <c r="BP26">
        <v>5.7641499999999999</v>
      </c>
      <c r="BQ26">
        <v>0.86356999999999995</v>
      </c>
      <c r="BR26">
        <v>0.571106</v>
      </c>
      <c r="BS26">
        <v>4.7975399999999997</v>
      </c>
      <c r="BT26">
        <v>-0.98518799999999995</v>
      </c>
      <c r="BU26">
        <v>1799.95</v>
      </c>
      <c r="BV26">
        <v>0.90999399999999997</v>
      </c>
      <c r="BW26">
        <v>3.3998300000000002E-2</v>
      </c>
      <c r="BX26">
        <v>2.2001199999999999E-2</v>
      </c>
      <c r="BY26">
        <v>3.4006300000000003E-2</v>
      </c>
      <c r="BZ26">
        <v>26</v>
      </c>
      <c r="CA26">
        <v>33527.4</v>
      </c>
      <c r="CB26">
        <v>1690217592</v>
      </c>
      <c r="CC26" t="s">
        <v>332</v>
      </c>
      <c r="CD26">
        <v>1690217586.5</v>
      </c>
      <c r="CE26">
        <v>1690217592</v>
      </c>
      <c r="CF26">
        <v>9</v>
      </c>
      <c r="CG26">
        <v>0.11600000000000001</v>
      </c>
      <c r="CH26">
        <v>-3.0000000000000001E-3</v>
      </c>
      <c r="CI26">
        <v>-0.27300000000000002</v>
      </c>
      <c r="CJ26">
        <v>-6.9000000000000006E-2</v>
      </c>
      <c r="CK26">
        <v>800</v>
      </c>
      <c r="CL26">
        <v>6</v>
      </c>
      <c r="CM26">
        <v>0.01</v>
      </c>
      <c r="CN26">
        <v>0.01</v>
      </c>
      <c r="CO26">
        <v>4.03964225</v>
      </c>
      <c r="CP26">
        <v>-6.2708880675422227</v>
      </c>
      <c r="CQ26">
        <v>0.6051709137734872</v>
      </c>
      <c r="CR26">
        <v>-1</v>
      </c>
      <c r="CS26">
        <v>2.9487142500000001</v>
      </c>
      <c r="CT26">
        <v>6.5301050656653814E-2</v>
      </c>
      <c r="CU26">
        <v>7.2003360642056164E-3</v>
      </c>
      <c r="CV26">
        <v>-1</v>
      </c>
      <c r="CW26">
        <v>0</v>
      </c>
      <c r="CX26">
        <v>0</v>
      </c>
      <c r="CY26" t="s">
        <v>333</v>
      </c>
      <c r="CZ26">
        <v>2.36443</v>
      </c>
      <c r="DA26">
        <v>2.7137799999999999</v>
      </c>
      <c r="DB26">
        <v>0.14683099999999999</v>
      </c>
      <c r="DC26">
        <v>0.14607300000000001</v>
      </c>
      <c r="DD26">
        <v>5.4195E-2</v>
      </c>
      <c r="DE26">
        <v>3.8177799999999998E-2</v>
      </c>
      <c r="DF26">
        <v>31145.1</v>
      </c>
      <c r="DG26">
        <v>27512.3</v>
      </c>
      <c r="DH26">
        <v>31165.200000000001</v>
      </c>
      <c r="DI26">
        <v>28074.400000000001</v>
      </c>
      <c r="DJ26">
        <v>40038.699999999997</v>
      </c>
      <c r="DK26">
        <v>38397.4</v>
      </c>
      <c r="DL26">
        <v>44351.199999999997</v>
      </c>
      <c r="DM26">
        <v>42547.9</v>
      </c>
      <c r="DN26">
        <v>1.47075</v>
      </c>
      <c r="DO26">
        <v>2.0339</v>
      </c>
      <c r="DP26">
        <v>0.15545600000000001</v>
      </c>
      <c r="DQ26">
        <v>0.169739</v>
      </c>
      <c r="DR26">
        <v>25.821100000000001</v>
      </c>
      <c r="DS26">
        <v>25.817299999999999</v>
      </c>
      <c r="DT26">
        <v>17</v>
      </c>
      <c r="DU26">
        <v>29.8</v>
      </c>
      <c r="DV26">
        <v>7.22715</v>
      </c>
      <c r="DW26">
        <v>62.558599999999998</v>
      </c>
      <c r="DX26">
        <v>36.694699999999997</v>
      </c>
      <c r="DY26">
        <v>1</v>
      </c>
      <c r="DZ26">
        <v>-6.5498000000000001E-2</v>
      </c>
      <c r="EA26">
        <v>9.2810500000000005</v>
      </c>
      <c r="EB26">
        <v>19.8842</v>
      </c>
      <c r="EC26">
        <v>5.2408000000000001</v>
      </c>
      <c r="ED26">
        <v>12.039899999999999</v>
      </c>
      <c r="EE26">
        <v>5.0165499999999996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1.8689100000000001</v>
      </c>
      <c r="EL26">
        <v>1.86463</v>
      </c>
      <c r="EM26">
        <v>1.8691899999999999</v>
      </c>
      <c r="EN26">
        <v>1.8672299999999999</v>
      </c>
      <c r="EO26">
        <v>1.8633999999999999</v>
      </c>
      <c r="EP26">
        <v>1.8645099999999999</v>
      </c>
      <c r="EQ26">
        <v>1.87012</v>
      </c>
      <c r="ER26">
        <v>1.8694299999999999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-0.27500000000000002</v>
      </c>
      <c r="FG26">
        <v>-4.65E-2</v>
      </c>
      <c r="FH26">
        <v>0.27827353915413472</v>
      </c>
      <c r="FI26">
        <v>-6.1462078757559423E-4</v>
      </c>
      <c r="FJ26">
        <v>-1.8861989874597051E-7</v>
      </c>
      <c r="FK26">
        <v>1.1980462299894961E-10</v>
      </c>
      <c r="FL26">
        <v>-3.2538871274648329E-2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11.3</v>
      </c>
      <c r="FU26">
        <v>11.2</v>
      </c>
      <c r="FV26">
        <v>1.7785599999999999</v>
      </c>
      <c r="FW26">
        <v>2.5854499999999998</v>
      </c>
      <c r="FX26">
        <v>1.5490699999999999</v>
      </c>
      <c r="FY26">
        <v>2.3290999999999999</v>
      </c>
      <c r="FZ26">
        <v>1.50146</v>
      </c>
      <c r="GA26">
        <v>2.2778299999999998</v>
      </c>
      <c r="GB26">
        <v>33.760599999999997</v>
      </c>
      <c r="GC26">
        <v>23.868600000000001</v>
      </c>
      <c r="GD26">
        <v>19</v>
      </c>
      <c r="GE26">
        <v>280.63499999999999</v>
      </c>
      <c r="GF26">
        <v>581.178</v>
      </c>
      <c r="GG26">
        <v>20.6511</v>
      </c>
      <c r="GH26">
        <v>26.296600000000002</v>
      </c>
      <c r="GI26">
        <v>29.999700000000001</v>
      </c>
      <c r="GJ26">
        <v>26.367699999999999</v>
      </c>
      <c r="GK26">
        <v>26.343399999999999</v>
      </c>
      <c r="GL26">
        <v>35.563699999999997</v>
      </c>
      <c r="GM26">
        <v>-30</v>
      </c>
      <c r="GN26">
        <v>-30</v>
      </c>
      <c r="GO26">
        <v>13.7446</v>
      </c>
      <c r="GP26">
        <v>800</v>
      </c>
      <c r="GQ26">
        <v>12.5298</v>
      </c>
      <c r="GR26">
        <v>99.715599999999995</v>
      </c>
      <c r="GS26">
        <v>99.537300000000002</v>
      </c>
    </row>
    <row r="27" spans="1:201" x14ac:dyDescent="0.25">
      <c r="A27">
        <v>11</v>
      </c>
      <c r="B27">
        <v>1690218275</v>
      </c>
      <c r="C27">
        <v>254.5</v>
      </c>
      <c r="D27" t="s">
        <v>351</v>
      </c>
      <c r="E27" t="s">
        <v>352</v>
      </c>
      <c r="F27" t="s">
        <v>330</v>
      </c>
      <c r="H27">
        <v>1690218275</v>
      </c>
      <c r="I27">
        <f t="shared" si="0"/>
        <v>2.7403178927698431E-4</v>
      </c>
      <c r="J27">
        <f t="shared" si="1"/>
        <v>0.27403178927698429</v>
      </c>
      <c r="K27">
        <f t="shared" si="2"/>
        <v>-0.34659195498591522</v>
      </c>
      <c r="L27">
        <f t="shared" si="3"/>
        <v>801.30399999999997</v>
      </c>
      <c r="M27">
        <f t="shared" si="4"/>
        <v>824.34233636400711</v>
      </c>
      <c r="N27">
        <f t="shared" si="5"/>
        <v>81.760001566461582</v>
      </c>
      <c r="O27">
        <f t="shared" si="6"/>
        <v>79.475011054488007</v>
      </c>
      <c r="P27">
        <f t="shared" si="7"/>
        <v>8.6180510444564869E-3</v>
      </c>
      <c r="Q27">
        <f t="shared" si="8"/>
        <v>2.1294011484533089</v>
      </c>
      <c r="R27">
        <f t="shared" si="9"/>
        <v>8.5987209070610988E-3</v>
      </c>
      <c r="S27">
        <f t="shared" si="10"/>
        <v>5.3759336562473701E-3</v>
      </c>
      <c r="T27">
        <f t="shared" si="11"/>
        <v>276.10822022541998</v>
      </c>
      <c r="U27">
        <f t="shared" si="12"/>
        <v>28.674907695156886</v>
      </c>
      <c r="V27">
        <f t="shared" si="13"/>
        <v>28.674907695156886</v>
      </c>
      <c r="W27">
        <f t="shared" si="14"/>
        <v>3.9467343397305537</v>
      </c>
      <c r="X27">
        <f t="shared" si="15"/>
        <v>24.693268752893314</v>
      </c>
      <c r="Y27">
        <f t="shared" si="16"/>
        <v>0.86254305748631999</v>
      </c>
      <c r="Z27">
        <f t="shared" si="17"/>
        <v>3.4930290765383409</v>
      </c>
      <c r="AA27">
        <f t="shared" si="18"/>
        <v>3.0841912822442339</v>
      </c>
      <c r="AB27">
        <f t="shared" si="19"/>
        <v>-12.084801907115008</v>
      </c>
      <c r="AC27">
        <f t="shared" si="20"/>
        <v>-239.81865728662612</v>
      </c>
      <c r="AD27">
        <f t="shared" si="21"/>
        <v>-24.459109097488366</v>
      </c>
      <c r="AE27">
        <f t="shared" si="22"/>
        <v>-0.25434806580949498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52398.144772235726</v>
      </c>
      <c r="AK27">
        <f t="shared" si="26"/>
        <v>1799.96</v>
      </c>
      <c r="AL27">
        <f t="shared" si="27"/>
        <v>1499.0774984264001</v>
      </c>
      <c r="AM27">
        <f t="shared" si="28"/>
        <v>0.83283934000000004</v>
      </c>
      <c r="AN27">
        <f t="shared" si="29"/>
        <v>0.15339686449999998</v>
      </c>
      <c r="AO27">
        <v>32.4</v>
      </c>
      <c r="AP27">
        <v>0.5</v>
      </c>
      <c r="AQ27" t="s">
        <v>331</v>
      </c>
      <c r="AR27">
        <v>2</v>
      </c>
      <c r="AS27">
        <v>1690218275</v>
      </c>
      <c r="AT27">
        <v>801.30399999999997</v>
      </c>
      <c r="AU27">
        <v>799.93299999999999</v>
      </c>
      <c r="AV27">
        <v>8.6965599999999998</v>
      </c>
      <c r="AW27">
        <v>5.7642499999999997</v>
      </c>
      <c r="AX27">
        <v>801.57799999999997</v>
      </c>
      <c r="AY27">
        <v>8.7432700000000008</v>
      </c>
      <c r="AZ27">
        <v>300.15300000000002</v>
      </c>
      <c r="BA27">
        <v>99.081999999999994</v>
      </c>
      <c r="BB27">
        <v>0.10009700000000001</v>
      </c>
      <c r="BC27">
        <v>26.585899999999999</v>
      </c>
      <c r="BD27">
        <v>28.066199999999998</v>
      </c>
      <c r="BE27">
        <v>28.2425</v>
      </c>
      <c r="BF27">
        <v>0</v>
      </c>
      <c r="BG27">
        <v>0</v>
      </c>
      <c r="BH27">
        <v>9986.8799999999992</v>
      </c>
      <c r="BI27">
        <v>1080.17</v>
      </c>
      <c r="BJ27">
        <v>1.4577199999999999</v>
      </c>
      <c r="BK27">
        <v>1.3711500000000001</v>
      </c>
      <c r="BL27">
        <v>808.33399999999995</v>
      </c>
      <c r="BM27">
        <v>804.57</v>
      </c>
      <c r="BN27">
        <v>2.9323100000000002</v>
      </c>
      <c r="BO27">
        <v>799.93299999999999</v>
      </c>
      <c r="BP27">
        <v>5.7642499999999997</v>
      </c>
      <c r="BQ27">
        <v>0.86167300000000002</v>
      </c>
      <c r="BR27">
        <v>0.571133</v>
      </c>
      <c r="BS27">
        <v>4.7660400000000003</v>
      </c>
      <c r="BT27">
        <v>-0.98453900000000005</v>
      </c>
      <c r="BU27">
        <v>1799.96</v>
      </c>
      <c r="BV27">
        <v>0.91000700000000001</v>
      </c>
      <c r="BW27">
        <v>3.4006000000000002E-2</v>
      </c>
      <c r="BX27">
        <v>2.1992999999999999E-2</v>
      </c>
      <c r="BY27">
        <v>3.3993799999999998E-2</v>
      </c>
      <c r="BZ27">
        <v>26</v>
      </c>
      <c r="CA27">
        <v>33527.800000000003</v>
      </c>
      <c r="CB27">
        <v>1690217592</v>
      </c>
      <c r="CC27" t="s">
        <v>332</v>
      </c>
      <c r="CD27">
        <v>1690217586.5</v>
      </c>
      <c r="CE27">
        <v>1690217592</v>
      </c>
      <c r="CF27">
        <v>9</v>
      </c>
      <c r="CG27">
        <v>0.11600000000000001</v>
      </c>
      <c r="CH27">
        <v>-3.0000000000000001E-3</v>
      </c>
      <c r="CI27">
        <v>-0.27300000000000002</v>
      </c>
      <c r="CJ27">
        <v>-6.9000000000000006E-2</v>
      </c>
      <c r="CK27">
        <v>800</v>
      </c>
      <c r="CL27">
        <v>6</v>
      </c>
      <c r="CM27">
        <v>0.01</v>
      </c>
      <c r="CN27">
        <v>0.01</v>
      </c>
      <c r="CO27">
        <v>2.88802475</v>
      </c>
      <c r="CP27">
        <v>-7.5907935084427853</v>
      </c>
      <c r="CQ27">
        <v>0.73276025945730539</v>
      </c>
      <c r="CR27">
        <v>-1</v>
      </c>
      <c r="CS27">
        <v>2.9492565000000002</v>
      </c>
      <c r="CT27">
        <v>-5.7000450281430748E-2</v>
      </c>
      <c r="CU27">
        <v>6.1331413443683142E-3</v>
      </c>
      <c r="CV27">
        <v>-1</v>
      </c>
      <c r="CW27">
        <v>0</v>
      </c>
      <c r="CX27">
        <v>0</v>
      </c>
      <c r="CY27" t="s">
        <v>333</v>
      </c>
      <c r="CZ27">
        <v>2.36436</v>
      </c>
      <c r="DA27">
        <v>2.7138800000000001</v>
      </c>
      <c r="DB27">
        <v>0.146646</v>
      </c>
      <c r="DC27">
        <v>0.14607800000000001</v>
      </c>
      <c r="DD27">
        <v>5.4102699999999997E-2</v>
      </c>
      <c r="DE27">
        <v>3.8179200000000003E-2</v>
      </c>
      <c r="DF27">
        <v>31152.9</v>
      </c>
      <c r="DG27">
        <v>27512.5</v>
      </c>
      <c r="DH27">
        <v>31166.2</v>
      </c>
      <c r="DI27">
        <v>28074.799999999999</v>
      </c>
      <c r="DJ27">
        <v>40043.800000000003</v>
      </c>
      <c r="DK27">
        <v>38398.1</v>
      </c>
      <c r="DL27">
        <v>44352.5</v>
      </c>
      <c r="DM27">
        <v>42548.800000000003</v>
      </c>
      <c r="DN27">
        <v>1.4710700000000001</v>
      </c>
      <c r="DO27">
        <v>2.0339299999999998</v>
      </c>
      <c r="DP27">
        <v>0.137068</v>
      </c>
      <c r="DQ27">
        <v>0.15102299999999999</v>
      </c>
      <c r="DR27">
        <v>25.824400000000001</v>
      </c>
      <c r="DS27">
        <v>25.7727</v>
      </c>
      <c r="DT27">
        <v>17</v>
      </c>
      <c r="DU27">
        <v>29.8</v>
      </c>
      <c r="DV27">
        <v>7.2269399999999999</v>
      </c>
      <c r="DW27">
        <v>62.698599999999999</v>
      </c>
      <c r="DX27">
        <v>36.277999999999999</v>
      </c>
      <c r="DY27">
        <v>1</v>
      </c>
      <c r="DZ27">
        <v>-6.6351599999999997E-2</v>
      </c>
      <c r="EA27">
        <v>9.2810500000000005</v>
      </c>
      <c r="EB27">
        <v>19.891400000000001</v>
      </c>
      <c r="EC27">
        <v>5.2408000000000001</v>
      </c>
      <c r="ED27">
        <v>12.039899999999999</v>
      </c>
      <c r="EE27">
        <v>5.01675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1.8689100000000001</v>
      </c>
      <c r="EL27">
        <v>1.8646199999999999</v>
      </c>
      <c r="EM27">
        <v>1.86917</v>
      </c>
      <c r="EN27">
        <v>1.8672299999999999</v>
      </c>
      <c r="EO27">
        <v>1.8633999999999999</v>
      </c>
      <c r="EP27">
        <v>1.8645</v>
      </c>
      <c r="EQ27">
        <v>1.8701399999999999</v>
      </c>
      <c r="ER27">
        <v>1.8694200000000001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-0.27400000000000002</v>
      </c>
      <c r="FG27">
        <v>-4.6699999999999998E-2</v>
      </c>
      <c r="FH27">
        <v>0.27827353915413472</v>
      </c>
      <c r="FI27">
        <v>-6.1462078757559423E-4</v>
      </c>
      <c r="FJ27">
        <v>-1.8861989874597051E-7</v>
      </c>
      <c r="FK27">
        <v>1.1980462299894961E-10</v>
      </c>
      <c r="FL27">
        <v>-3.2538871274648329E-2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11.5</v>
      </c>
      <c r="FU27">
        <v>11.4</v>
      </c>
      <c r="FV27">
        <v>1.7785599999999999</v>
      </c>
      <c r="FW27">
        <v>2.5866699999999998</v>
      </c>
      <c r="FX27">
        <v>1.5490699999999999</v>
      </c>
      <c r="FY27">
        <v>2.3290999999999999</v>
      </c>
      <c r="FZ27">
        <v>1.50146</v>
      </c>
      <c r="GA27">
        <v>2.3034699999999999</v>
      </c>
      <c r="GB27">
        <v>33.760599999999997</v>
      </c>
      <c r="GC27">
        <v>23.877400000000002</v>
      </c>
      <c r="GD27">
        <v>19</v>
      </c>
      <c r="GE27">
        <v>280.78500000000003</v>
      </c>
      <c r="GF27">
        <v>581.22299999999996</v>
      </c>
      <c r="GG27">
        <v>19.449200000000001</v>
      </c>
      <c r="GH27">
        <v>26.308800000000002</v>
      </c>
      <c r="GI27">
        <v>29.999700000000001</v>
      </c>
      <c r="GJ27">
        <v>26.3703</v>
      </c>
      <c r="GK27">
        <v>26.345600000000001</v>
      </c>
      <c r="GL27">
        <v>35.5672</v>
      </c>
      <c r="GM27">
        <v>-30</v>
      </c>
      <c r="GN27">
        <v>-30</v>
      </c>
      <c r="GO27">
        <v>11.3034</v>
      </c>
      <c r="GP27">
        <v>800</v>
      </c>
      <c r="GQ27">
        <v>12.5298</v>
      </c>
      <c r="GR27">
        <v>99.718699999999998</v>
      </c>
      <c r="GS27">
        <v>99.539100000000005</v>
      </c>
    </row>
    <row r="28" spans="1:201" x14ac:dyDescent="0.25">
      <c r="A28">
        <v>12</v>
      </c>
      <c r="B28">
        <v>1690218285</v>
      </c>
      <c r="C28">
        <v>264.5</v>
      </c>
      <c r="D28" t="s">
        <v>353</v>
      </c>
      <c r="E28" t="s">
        <v>354</v>
      </c>
      <c r="F28" t="s">
        <v>330</v>
      </c>
      <c r="H28">
        <v>1690218285</v>
      </c>
      <c r="I28">
        <f t="shared" si="0"/>
        <v>2.7162314363845679E-4</v>
      </c>
      <c r="J28">
        <f t="shared" si="1"/>
        <v>0.2716231436384568</v>
      </c>
      <c r="K28">
        <f t="shared" si="2"/>
        <v>-0.19323643127511406</v>
      </c>
      <c r="L28">
        <f t="shared" si="3"/>
        <v>799.76300000000003</v>
      </c>
      <c r="M28">
        <f t="shared" si="4"/>
        <v>795.45428460052597</v>
      </c>
      <c r="N28">
        <f t="shared" si="5"/>
        <v>78.894306969029984</v>
      </c>
      <c r="O28">
        <f t="shared" si="6"/>
        <v>79.321651597061006</v>
      </c>
      <c r="P28">
        <f t="shared" si="7"/>
        <v>8.7109290922586669E-3</v>
      </c>
      <c r="Q28">
        <f t="shared" si="8"/>
        <v>2.130195577255344</v>
      </c>
      <c r="R28">
        <f t="shared" si="9"/>
        <v>8.6911879244370976E-3</v>
      </c>
      <c r="S28">
        <f t="shared" si="10"/>
        <v>5.4337623558387994E-3</v>
      </c>
      <c r="T28">
        <f t="shared" si="11"/>
        <v>276.11326250677263</v>
      </c>
      <c r="U28">
        <f t="shared" si="12"/>
        <v>28.405297970294303</v>
      </c>
      <c r="V28">
        <f t="shared" si="13"/>
        <v>28.405297970294303</v>
      </c>
      <c r="W28">
        <f t="shared" si="14"/>
        <v>3.8854316909154853</v>
      </c>
      <c r="X28">
        <f t="shared" si="15"/>
        <v>25.013028333983478</v>
      </c>
      <c r="Y28">
        <f t="shared" si="16"/>
        <v>0.85989521097423993</v>
      </c>
      <c r="Z28">
        <f t="shared" si="17"/>
        <v>3.437789297211804</v>
      </c>
      <c r="AA28">
        <f t="shared" si="18"/>
        <v>3.0255364799412456</v>
      </c>
      <c r="AB28">
        <f t="shared" si="19"/>
        <v>-11.978580634455945</v>
      </c>
      <c r="AC28">
        <f t="shared" si="20"/>
        <v>-239.98740124957862</v>
      </c>
      <c r="AD28">
        <f t="shared" si="21"/>
        <v>-24.401339196354094</v>
      </c>
      <c r="AE28">
        <f t="shared" si="22"/>
        <v>-0.25405857361602102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52479.75637422673</v>
      </c>
      <c r="AK28">
        <f t="shared" si="26"/>
        <v>1799.98</v>
      </c>
      <c r="AL28">
        <f t="shared" si="27"/>
        <v>1499.09750677596</v>
      </c>
      <c r="AM28">
        <f t="shared" si="28"/>
        <v>0.832841202</v>
      </c>
      <c r="AN28">
        <f t="shared" si="29"/>
        <v>0.15339796137</v>
      </c>
      <c r="AO28">
        <v>32.4</v>
      </c>
      <c r="AP28">
        <v>0.5</v>
      </c>
      <c r="AQ28" t="s">
        <v>331</v>
      </c>
      <c r="AR28">
        <v>2</v>
      </c>
      <c r="AS28">
        <v>1690218285</v>
      </c>
      <c r="AT28">
        <v>799.76300000000003</v>
      </c>
      <c r="AU28">
        <v>800.02200000000005</v>
      </c>
      <c r="AV28">
        <v>8.6699199999999994</v>
      </c>
      <c r="AW28">
        <v>5.7637900000000002</v>
      </c>
      <c r="AX28">
        <v>800.03599999999994</v>
      </c>
      <c r="AY28">
        <v>8.7169399999999992</v>
      </c>
      <c r="AZ28">
        <v>300.20299999999997</v>
      </c>
      <c r="BA28">
        <v>99.081400000000002</v>
      </c>
      <c r="BB28">
        <v>0.100047</v>
      </c>
      <c r="BC28">
        <v>26.3156</v>
      </c>
      <c r="BD28">
        <v>27.732600000000001</v>
      </c>
      <c r="BE28">
        <v>27.9117</v>
      </c>
      <c r="BF28">
        <v>0</v>
      </c>
      <c r="BG28">
        <v>0</v>
      </c>
      <c r="BH28">
        <v>9993.75</v>
      </c>
      <c r="BI28">
        <v>1078.83</v>
      </c>
      <c r="BJ28">
        <v>1.4577199999999999</v>
      </c>
      <c r="BK28">
        <v>-0.258606</v>
      </c>
      <c r="BL28">
        <v>806.75800000000004</v>
      </c>
      <c r="BM28">
        <v>804.66</v>
      </c>
      <c r="BN28">
        <v>2.9061300000000001</v>
      </c>
      <c r="BO28">
        <v>800.02200000000005</v>
      </c>
      <c r="BP28">
        <v>5.7637900000000002</v>
      </c>
      <c r="BQ28">
        <v>0.85902900000000004</v>
      </c>
      <c r="BR28">
        <v>0.57108499999999995</v>
      </c>
      <c r="BS28">
        <v>4.7220500000000003</v>
      </c>
      <c r="BT28">
        <v>-0.985703</v>
      </c>
      <c r="BU28">
        <v>1799.98</v>
      </c>
      <c r="BV28">
        <v>0.91</v>
      </c>
      <c r="BW28">
        <v>3.3996899999999997E-2</v>
      </c>
      <c r="BX28">
        <v>2.2008099999999999E-2</v>
      </c>
      <c r="BY28">
        <v>3.39951E-2</v>
      </c>
      <c r="BZ28">
        <v>26</v>
      </c>
      <c r="CA28">
        <v>33527.9</v>
      </c>
      <c r="CB28">
        <v>1690217592</v>
      </c>
      <c r="CC28" t="s">
        <v>332</v>
      </c>
      <c r="CD28">
        <v>1690217586.5</v>
      </c>
      <c r="CE28">
        <v>1690217592</v>
      </c>
      <c r="CF28">
        <v>9</v>
      </c>
      <c r="CG28">
        <v>0.11600000000000001</v>
      </c>
      <c r="CH28">
        <v>-3.0000000000000001E-3</v>
      </c>
      <c r="CI28">
        <v>-0.27300000000000002</v>
      </c>
      <c r="CJ28">
        <v>-6.9000000000000006E-2</v>
      </c>
      <c r="CK28">
        <v>800</v>
      </c>
      <c r="CL28">
        <v>6</v>
      </c>
      <c r="CM28">
        <v>0.01</v>
      </c>
      <c r="CN28">
        <v>0.01</v>
      </c>
      <c r="CO28">
        <v>1.5596861463414631</v>
      </c>
      <c r="CP28">
        <v>-9.6564197477351872</v>
      </c>
      <c r="CQ28">
        <v>0.95311992530102985</v>
      </c>
      <c r="CR28">
        <v>-1</v>
      </c>
      <c r="CS28">
        <v>2.934853414634147</v>
      </c>
      <c r="CT28">
        <v>-0.13000599303135851</v>
      </c>
      <c r="CU28">
        <v>1.2896060205662739E-2</v>
      </c>
      <c r="CV28">
        <v>-1</v>
      </c>
      <c r="CW28">
        <v>0</v>
      </c>
      <c r="CX28">
        <v>0</v>
      </c>
      <c r="CY28" t="s">
        <v>333</v>
      </c>
      <c r="CZ28">
        <v>2.3645</v>
      </c>
      <c r="DA28">
        <v>2.7138300000000002</v>
      </c>
      <c r="DB28">
        <v>0.146455</v>
      </c>
      <c r="DC28">
        <v>0.14608699999999999</v>
      </c>
      <c r="DD28">
        <v>5.3973199999999999E-2</v>
      </c>
      <c r="DE28">
        <v>3.81762E-2</v>
      </c>
      <c r="DF28">
        <v>31160.1</v>
      </c>
      <c r="DG28">
        <v>27512.3</v>
      </c>
      <c r="DH28">
        <v>31166.6</v>
      </c>
      <c r="DI28">
        <v>28074.9</v>
      </c>
      <c r="DJ28">
        <v>40049.599999999999</v>
      </c>
      <c r="DK28">
        <v>38398.300000000003</v>
      </c>
      <c r="DL28">
        <v>44352.9</v>
      </c>
      <c r="DM28">
        <v>42548.9</v>
      </c>
      <c r="DN28">
        <v>1.4714799999999999</v>
      </c>
      <c r="DO28">
        <v>2.03355</v>
      </c>
      <c r="DP28">
        <v>0.11763700000000001</v>
      </c>
      <c r="DQ28">
        <v>0.13486999999999999</v>
      </c>
      <c r="DR28">
        <v>25.8081</v>
      </c>
      <c r="DS28">
        <v>25.705400000000001</v>
      </c>
      <c r="DT28">
        <v>17</v>
      </c>
      <c r="DU28">
        <v>29.8</v>
      </c>
      <c r="DV28">
        <v>7.2259000000000002</v>
      </c>
      <c r="DW28">
        <v>62.718600000000002</v>
      </c>
      <c r="DX28">
        <v>36.033700000000003</v>
      </c>
      <c r="DY28">
        <v>1</v>
      </c>
      <c r="DZ28">
        <v>-6.6338900000000006E-2</v>
      </c>
      <c r="EA28">
        <v>9.2810500000000005</v>
      </c>
      <c r="EB28">
        <v>19.896599999999999</v>
      </c>
      <c r="EC28">
        <v>5.2411000000000003</v>
      </c>
      <c r="ED28">
        <v>12.039899999999999</v>
      </c>
      <c r="EE28">
        <v>5.01715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1.8689100000000001</v>
      </c>
      <c r="EL28">
        <v>1.8646400000000001</v>
      </c>
      <c r="EM28">
        <v>1.86917</v>
      </c>
      <c r="EN28">
        <v>1.8672299999999999</v>
      </c>
      <c r="EO28">
        <v>1.8633999999999999</v>
      </c>
      <c r="EP28">
        <v>1.8645499999999999</v>
      </c>
      <c r="EQ28">
        <v>1.8701300000000001</v>
      </c>
      <c r="ER28">
        <v>1.86941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-0.27300000000000002</v>
      </c>
      <c r="FG28">
        <v>-4.7E-2</v>
      </c>
      <c r="FH28">
        <v>0.27827353915413472</v>
      </c>
      <c r="FI28">
        <v>-6.1462078757559423E-4</v>
      </c>
      <c r="FJ28">
        <v>-1.8861989874597051E-7</v>
      </c>
      <c r="FK28">
        <v>1.1980462299894961E-10</v>
      </c>
      <c r="FL28">
        <v>-3.2538871274648329E-2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11.6</v>
      </c>
      <c r="FU28">
        <v>11.6</v>
      </c>
      <c r="FV28">
        <v>1.7785599999999999</v>
      </c>
      <c r="FW28">
        <v>2.5903299999999998</v>
      </c>
      <c r="FX28">
        <v>1.5490699999999999</v>
      </c>
      <c r="FY28">
        <v>2.3290999999999999</v>
      </c>
      <c r="FZ28">
        <v>1.50146</v>
      </c>
      <c r="GA28">
        <v>2.33643</v>
      </c>
      <c r="GB28">
        <v>33.783200000000001</v>
      </c>
      <c r="GC28">
        <v>23.877400000000002</v>
      </c>
      <c r="GD28">
        <v>19</v>
      </c>
      <c r="GE28">
        <v>280.97399999999999</v>
      </c>
      <c r="GF28">
        <v>580.94500000000005</v>
      </c>
      <c r="GG28">
        <v>18.4819</v>
      </c>
      <c r="GH28">
        <v>26.323899999999998</v>
      </c>
      <c r="GI28">
        <v>30.0001</v>
      </c>
      <c r="GJ28">
        <v>26.3749</v>
      </c>
      <c r="GK28">
        <v>26.348400000000002</v>
      </c>
      <c r="GL28">
        <v>35.566299999999998</v>
      </c>
      <c r="GM28">
        <v>-30</v>
      </c>
      <c r="GN28">
        <v>-30</v>
      </c>
      <c r="GO28">
        <v>9.5383800000000001</v>
      </c>
      <c r="GP28">
        <v>800</v>
      </c>
      <c r="GQ28">
        <v>12.5298</v>
      </c>
      <c r="GR28">
        <v>99.719700000000003</v>
      </c>
      <c r="GS28">
        <v>99.539500000000004</v>
      </c>
    </row>
    <row r="29" spans="1:201" x14ac:dyDescent="0.25">
      <c r="A29">
        <v>13</v>
      </c>
      <c r="B29">
        <v>1690218295</v>
      </c>
      <c r="C29">
        <v>274.5</v>
      </c>
      <c r="D29" t="s">
        <v>355</v>
      </c>
      <c r="E29" t="s">
        <v>356</v>
      </c>
      <c r="F29" t="s">
        <v>330</v>
      </c>
      <c r="H29">
        <v>1690218295</v>
      </c>
      <c r="I29">
        <f t="shared" si="0"/>
        <v>2.6849695031905355E-4</v>
      </c>
      <c r="J29">
        <f t="shared" si="1"/>
        <v>0.26849695031905357</v>
      </c>
      <c r="K29">
        <f t="shared" si="2"/>
        <v>-7.8310396636276688E-2</v>
      </c>
      <c r="L29">
        <f t="shared" si="3"/>
        <v>798.44200000000001</v>
      </c>
      <c r="M29">
        <f t="shared" si="4"/>
        <v>774.15455024740959</v>
      </c>
      <c r="N29">
        <f t="shared" si="5"/>
        <v>76.782990111052584</v>
      </c>
      <c r="O29">
        <f t="shared" si="6"/>
        <v>79.191892847049999</v>
      </c>
      <c r="P29">
        <f t="shared" si="7"/>
        <v>8.7662089644186831E-3</v>
      </c>
      <c r="Q29">
        <f t="shared" si="8"/>
        <v>2.1318170228547051</v>
      </c>
      <c r="R29">
        <f t="shared" si="9"/>
        <v>8.7462319242145349E-3</v>
      </c>
      <c r="S29">
        <f t="shared" si="10"/>
        <v>5.4681859819969494E-3</v>
      </c>
      <c r="T29">
        <f t="shared" si="11"/>
        <v>276.1110995816415</v>
      </c>
      <c r="U29">
        <f t="shared" si="12"/>
        <v>28.15580385237422</v>
      </c>
      <c r="V29">
        <f t="shared" si="13"/>
        <v>28.15580385237422</v>
      </c>
      <c r="W29">
        <f t="shared" si="14"/>
        <v>3.8294444329992317</v>
      </c>
      <c r="X29">
        <f t="shared" si="15"/>
        <v>25.287191117536796</v>
      </c>
      <c r="Y29">
        <f t="shared" si="16"/>
        <v>0.85659320358225</v>
      </c>
      <c r="Z29">
        <f t="shared" si="17"/>
        <v>3.3874588901580225</v>
      </c>
      <c r="AA29">
        <f t="shared" si="18"/>
        <v>2.9728512294169818</v>
      </c>
      <c r="AB29">
        <f t="shared" si="19"/>
        <v>-11.840715509070261</v>
      </c>
      <c r="AC29">
        <f t="shared" si="20"/>
        <v>-240.18224206404125</v>
      </c>
      <c r="AD29">
        <f t="shared" si="21"/>
        <v>-24.341803786031722</v>
      </c>
      <c r="AE29">
        <f t="shared" si="22"/>
        <v>-0.25366177750174757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52593.713535509123</v>
      </c>
      <c r="AK29">
        <f t="shared" si="26"/>
        <v>1799.97</v>
      </c>
      <c r="AL29">
        <f t="shared" si="27"/>
        <v>1499.0844498427498</v>
      </c>
      <c r="AM29">
        <f t="shared" si="28"/>
        <v>0.83283857499999991</v>
      </c>
      <c r="AN29">
        <f t="shared" si="29"/>
        <v>0.15339761194999998</v>
      </c>
      <c r="AO29">
        <v>32.4</v>
      </c>
      <c r="AP29">
        <v>0.5</v>
      </c>
      <c r="AQ29" t="s">
        <v>331</v>
      </c>
      <c r="AR29">
        <v>2</v>
      </c>
      <c r="AS29">
        <v>1690218295</v>
      </c>
      <c r="AT29">
        <v>798.44200000000001</v>
      </c>
      <c r="AU29">
        <v>799.91099999999994</v>
      </c>
      <c r="AV29">
        <v>8.6364900000000002</v>
      </c>
      <c r="AW29">
        <v>5.7628300000000001</v>
      </c>
      <c r="AX29">
        <v>798.71400000000006</v>
      </c>
      <c r="AY29">
        <v>8.6838800000000003</v>
      </c>
      <c r="AZ29">
        <v>300.11099999999999</v>
      </c>
      <c r="BA29">
        <v>99.082999999999998</v>
      </c>
      <c r="BB29">
        <v>0.100025</v>
      </c>
      <c r="BC29">
        <v>26.065999999999999</v>
      </c>
      <c r="BD29">
        <v>27.529900000000001</v>
      </c>
      <c r="BE29">
        <v>27.577100000000002</v>
      </c>
      <c r="BF29">
        <v>0</v>
      </c>
      <c r="BG29">
        <v>0</v>
      </c>
      <c r="BH29">
        <v>10007.5</v>
      </c>
      <c r="BI29">
        <v>1077.3699999999999</v>
      </c>
      <c r="BJ29">
        <v>1.4577199999999999</v>
      </c>
      <c r="BK29">
        <v>-1.46899</v>
      </c>
      <c r="BL29">
        <v>805.39800000000002</v>
      </c>
      <c r="BM29">
        <v>804.548</v>
      </c>
      <c r="BN29">
        <v>2.8736600000000001</v>
      </c>
      <c r="BO29">
        <v>799.91099999999994</v>
      </c>
      <c r="BP29">
        <v>5.7628300000000001</v>
      </c>
      <c r="BQ29">
        <v>0.85572899999999996</v>
      </c>
      <c r="BR29">
        <v>0.57099800000000001</v>
      </c>
      <c r="BS29">
        <v>4.6669700000000001</v>
      </c>
      <c r="BT29">
        <v>-0.98777199999999998</v>
      </c>
      <c r="BU29">
        <v>1799.97</v>
      </c>
      <c r="BV29">
        <v>0.90998599999999996</v>
      </c>
      <c r="BW29">
        <v>3.4005100000000003E-2</v>
      </c>
      <c r="BX29">
        <v>2.2002000000000001E-2</v>
      </c>
      <c r="BY29">
        <v>3.4006700000000001E-2</v>
      </c>
      <c r="BZ29">
        <v>26</v>
      </c>
      <c r="CA29">
        <v>33527.699999999997</v>
      </c>
      <c r="CB29">
        <v>1690217592</v>
      </c>
      <c r="CC29" t="s">
        <v>332</v>
      </c>
      <c r="CD29">
        <v>1690217586.5</v>
      </c>
      <c r="CE29">
        <v>1690217592</v>
      </c>
      <c r="CF29">
        <v>9</v>
      </c>
      <c r="CG29">
        <v>0.11600000000000001</v>
      </c>
      <c r="CH29">
        <v>-3.0000000000000001E-3</v>
      </c>
      <c r="CI29">
        <v>-0.27300000000000002</v>
      </c>
      <c r="CJ29">
        <v>-6.9000000000000006E-2</v>
      </c>
      <c r="CK29">
        <v>800</v>
      </c>
      <c r="CL29">
        <v>6</v>
      </c>
      <c r="CM29">
        <v>0.01</v>
      </c>
      <c r="CN29">
        <v>0.01</v>
      </c>
      <c r="CO29">
        <v>-8.838565000000001E-2</v>
      </c>
      <c r="CP29">
        <v>-8.6964937621013156</v>
      </c>
      <c r="CQ29">
        <v>0.8388258648108593</v>
      </c>
      <c r="CR29">
        <v>-1</v>
      </c>
      <c r="CS29">
        <v>2.907346</v>
      </c>
      <c r="CT29">
        <v>-0.17725328330206791</v>
      </c>
      <c r="CU29">
        <v>1.7086956399546389E-2</v>
      </c>
      <c r="CV29">
        <v>-1</v>
      </c>
      <c r="CW29">
        <v>0</v>
      </c>
      <c r="CX29">
        <v>0</v>
      </c>
      <c r="CY29" t="s">
        <v>333</v>
      </c>
      <c r="CZ29">
        <v>2.3642300000000001</v>
      </c>
      <c r="DA29">
        <v>2.7138200000000001</v>
      </c>
      <c r="DB29">
        <v>0.14629300000000001</v>
      </c>
      <c r="DC29">
        <v>0.14607500000000001</v>
      </c>
      <c r="DD29">
        <v>5.3811699999999997E-2</v>
      </c>
      <c r="DE29">
        <v>3.8171200000000002E-2</v>
      </c>
      <c r="DF29">
        <v>31165.7</v>
      </c>
      <c r="DG29">
        <v>27512.1</v>
      </c>
      <c r="DH29">
        <v>31166.3</v>
      </c>
      <c r="DI29">
        <v>28074.400000000001</v>
      </c>
      <c r="DJ29">
        <v>40056.1</v>
      </c>
      <c r="DK29">
        <v>38397.699999999997</v>
      </c>
      <c r="DL29">
        <v>44352.4</v>
      </c>
      <c r="DM29">
        <v>42548</v>
      </c>
      <c r="DN29">
        <v>1.4714499999999999</v>
      </c>
      <c r="DO29">
        <v>2.0335200000000002</v>
      </c>
      <c r="DP29">
        <v>0.107422</v>
      </c>
      <c r="DQ29">
        <v>0.119634</v>
      </c>
      <c r="DR29">
        <v>25.772200000000002</v>
      </c>
      <c r="DS29">
        <v>25.619399999999999</v>
      </c>
      <c r="DT29">
        <v>17</v>
      </c>
      <c r="DU29">
        <v>29.8</v>
      </c>
      <c r="DV29">
        <v>7.2264099999999996</v>
      </c>
      <c r="DW29">
        <v>62.5886</v>
      </c>
      <c r="DX29">
        <v>36.041699999999999</v>
      </c>
      <c r="DY29">
        <v>1</v>
      </c>
      <c r="DZ29">
        <v>-6.5548800000000004E-2</v>
      </c>
      <c r="EA29">
        <v>9.2810500000000005</v>
      </c>
      <c r="EB29">
        <v>19.900099999999998</v>
      </c>
      <c r="EC29">
        <v>5.24125</v>
      </c>
      <c r="ED29">
        <v>12.039899999999999</v>
      </c>
      <c r="EE29">
        <v>5.0168499999999998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1.8689100000000001</v>
      </c>
      <c r="EL29">
        <v>1.8646400000000001</v>
      </c>
      <c r="EM29">
        <v>1.8691899999999999</v>
      </c>
      <c r="EN29">
        <v>1.8672299999999999</v>
      </c>
      <c r="EO29">
        <v>1.8633999999999999</v>
      </c>
      <c r="EP29">
        <v>1.8645799999999999</v>
      </c>
      <c r="EQ29">
        <v>1.8701399999999999</v>
      </c>
      <c r="ER29">
        <v>1.8694200000000001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-0.27200000000000002</v>
      </c>
      <c r="FG29">
        <v>-4.7399999999999998E-2</v>
      </c>
      <c r="FH29">
        <v>0.27827353915413472</v>
      </c>
      <c r="FI29">
        <v>-6.1462078757559423E-4</v>
      </c>
      <c r="FJ29">
        <v>-1.8861989874597051E-7</v>
      </c>
      <c r="FK29">
        <v>1.1980462299894961E-10</v>
      </c>
      <c r="FL29">
        <v>-3.2538871274648329E-2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11.8</v>
      </c>
      <c r="FU29">
        <v>11.7</v>
      </c>
      <c r="FV29">
        <v>1.7785599999999999</v>
      </c>
      <c r="FW29">
        <v>2.5830099999999998</v>
      </c>
      <c r="FX29">
        <v>1.5490699999999999</v>
      </c>
      <c r="FY29">
        <v>2.3290999999999999</v>
      </c>
      <c r="FZ29">
        <v>1.50146</v>
      </c>
      <c r="GA29">
        <v>2.36816</v>
      </c>
      <c r="GB29">
        <v>33.783200000000001</v>
      </c>
      <c r="GC29">
        <v>23.877400000000002</v>
      </c>
      <c r="GD29">
        <v>19</v>
      </c>
      <c r="GE29">
        <v>280.99</v>
      </c>
      <c r="GF29">
        <v>580.96799999999996</v>
      </c>
      <c r="GG29">
        <v>17.688199999999998</v>
      </c>
      <c r="GH29">
        <v>26.3428</v>
      </c>
      <c r="GI29">
        <v>30.000299999999999</v>
      </c>
      <c r="GJ29">
        <v>26.3811</v>
      </c>
      <c r="GK29">
        <v>26.3522</v>
      </c>
      <c r="GL29">
        <v>35.568800000000003</v>
      </c>
      <c r="GM29">
        <v>-30</v>
      </c>
      <c r="GN29">
        <v>-30</v>
      </c>
      <c r="GO29">
        <v>8.2866400000000002</v>
      </c>
      <c r="GP29">
        <v>800</v>
      </c>
      <c r="GQ29">
        <v>12.5298</v>
      </c>
      <c r="GR29">
        <v>99.718699999999998</v>
      </c>
      <c r="GS29">
        <v>99.537499999999994</v>
      </c>
    </row>
    <row r="30" spans="1:201" x14ac:dyDescent="0.25">
      <c r="A30">
        <v>14</v>
      </c>
      <c r="B30">
        <v>1690218305</v>
      </c>
      <c r="C30">
        <v>284.5</v>
      </c>
      <c r="D30" t="s">
        <v>357</v>
      </c>
      <c r="E30" t="s">
        <v>358</v>
      </c>
      <c r="F30" t="s">
        <v>330</v>
      </c>
      <c r="H30">
        <v>1690218305</v>
      </c>
      <c r="I30">
        <f t="shared" si="0"/>
        <v>2.6566524269044055E-4</v>
      </c>
      <c r="J30">
        <f t="shared" si="1"/>
        <v>0.26566524269044056</v>
      </c>
      <c r="K30">
        <f t="shared" si="2"/>
        <v>2.2629463734045899E-2</v>
      </c>
      <c r="L30">
        <f t="shared" si="3"/>
        <v>797.48400000000004</v>
      </c>
      <c r="M30">
        <f t="shared" si="4"/>
        <v>755.83491723346788</v>
      </c>
      <c r="N30">
        <f t="shared" si="5"/>
        <v>74.961824306436512</v>
      </c>
      <c r="O30">
        <f t="shared" si="6"/>
        <v>79.092476587356003</v>
      </c>
      <c r="P30">
        <f t="shared" si="7"/>
        <v>8.8131112843415956E-3</v>
      </c>
      <c r="Q30">
        <f t="shared" si="8"/>
        <v>2.1310182766770738</v>
      </c>
      <c r="R30">
        <f t="shared" si="9"/>
        <v>8.7929126203304554E-3</v>
      </c>
      <c r="S30">
        <f t="shared" si="10"/>
        <v>5.4973812647627568E-3</v>
      </c>
      <c r="T30">
        <f t="shared" si="11"/>
        <v>276.11007556070882</v>
      </c>
      <c r="U30">
        <f t="shared" si="12"/>
        <v>27.932526433540033</v>
      </c>
      <c r="V30">
        <f t="shared" si="13"/>
        <v>27.932526433540033</v>
      </c>
      <c r="W30">
        <f t="shared" si="14"/>
        <v>3.7799383522621555</v>
      </c>
      <c r="X30">
        <f t="shared" si="15"/>
        <v>25.532130830495646</v>
      </c>
      <c r="Y30">
        <f t="shared" si="16"/>
        <v>0.85342742382045</v>
      </c>
      <c r="Z30">
        <f t="shared" si="17"/>
        <v>3.3425624734818995</v>
      </c>
      <c r="AA30">
        <f t="shared" si="18"/>
        <v>2.9265109284417052</v>
      </c>
      <c r="AB30">
        <f t="shared" si="19"/>
        <v>-11.715837202648428</v>
      </c>
      <c r="AC30">
        <f t="shared" si="20"/>
        <v>-240.33610887546223</v>
      </c>
      <c r="AD30">
        <f t="shared" si="21"/>
        <v>-24.31192590122998</v>
      </c>
      <c r="AE30">
        <f t="shared" si="22"/>
        <v>-0.25379641863182201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52598.685551514049</v>
      </c>
      <c r="AK30">
        <f t="shared" si="26"/>
        <v>1799.97</v>
      </c>
      <c r="AL30">
        <f t="shared" si="27"/>
        <v>1499.0870399995799</v>
      </c>
      <c r="AM30">
        <f t="shared" si="28"/>
        <v>0.83284001399999996</v>
      </c>
      <c r="AN30">
        <f t="shared" si="29"/>
        <v>0.15339704304000001</v>
      </c>
      <c r="AO30">
        <v>32.4</v>
      </c>
      <c r="AP30">
        <v>0.5</v>
      </c>
      <c r="AQ30" t="s">
        <v>331</v>
      </c>
      <c r="AR30">
        <v>2</v>
      </c>
      <c r="AS30">
        <v>1690218305</v>
      </c>
      <c r="AT30">
        <v>797.48400000000004</v>
      </c>
      <c r="AU30">
        <v>800.01499999999999</v>
      </c>
      <c r="AV30">
        <v>8.6050500000000003</v>
      </c>
      <c r="AW30">
        <v>5.76227</v>
      </c>
      <c r="AX30">
        <v>797.755</v>
      </c>
      <c r="AY30">
        <v>8.6527899999999995</v>
      </c>
      <c r="AZ30">
        <v>300.18099999999998</v>
      </c>
      <c r="BA30">
        <v>99.077500000000001</v>
      </c>
      <c r="BB30">
        <v>0.100009</v>
      </c>
      <c r="BC30">
        <v>25.840599999999998</v>
      </c>
      <c r="BD30">
        <v>27.2532</v>
      </c>
      <c r="BE30">
        <v>27.336099999999998</v>
      </c>
      <c r="BF30">
        <v>0</v>
      </c>
      <c r="BG30">
        <v>0</v>
      </c>
      <c r="BH30">
        <v>10001.200000000001</v>
      </c>
      <c r="BI30">
        <v>1075.6099999999999</v>
      </c>
      <c r="BJ30">
        <v>1.4577199999999999</v>
      </c>
      <c r="BK30">
        <v>-2.5310700000000002</v>
      </c>
      <c r="BL30">
        <v>804.40599999999995</v>
      </c>
      <c r="BM30">
        <v>804.65200000000004</v>
      </c>
      <c r="BN30">
        <v>2.8427799999999999</v>
      </c>
      <c r="BO30">
        <v>800.01499999999999</v>
      </c>
      <c r="BP30">
        <v>5.76227</v>
      </c>
      <c r="BQ30">
        <v>0.85256699999999996</v>
      </c>
      <c r="BR30">
        <v>0.57091199999999998</v>
      </c>
      <c r="BS30">
        <v>4.6140299999999996</v>
      </c>
      <c r="BT30">
        <v>-0.98984499999999997</v>
      </c>
      <c r="BU30">
        <v>1799.97</v>
      </c>
      <c r="BV30">
        <v>0.91000700000000001</v>
      </c>
      <c r="BW30">
        <v>3.39987E-2</v>
      </c>
      <c r="BX30">
        <v>2.19962E-2</v>
      </c>
      <c r="BY30">
        <v>3.3997800000000002E-2</v>
      </c>
      <c r="BZ30">
        <v>26</v>
      </c>
      <c r="CA30">
        <v>33527.9</v>
      </c>
      <c r="CB30">
        <v>1690217592</v>
      </c>
      <c r="CC30" t="s">
        <v>332</v>
      </c>
      <c r="CD30">
        <v>1690217586.5</v>
      </c>
      <c r="CE30">
        <v>1690217592</v>
      </c>
      <c r="CF30">
        <v>9</v>
      </c>
      <c r="CG30">
        <v>0.11600000000000001</v>
      </c>
      <c r="CH30">
        <v>-3.0000000000000001E-3</v>
      </c>
      <c r="CI30">
        <v>-0.27300000000000002</v>
      </c>
      <c r="CJ30">
        <v>-6.9000000000000006E-2</v>
      </c>
      <c r="CK30">
        <v>800</v>
      </c>
      <c r="CL30">
        <v>6</v>
      </c>
      <c r="CM30">
        <v>0.01</v>
      </c>
      <c r="CN30">
        <v>0.01</v>
      </c>
      <c r="CO30">
        <v>-1.3858170999999999</v>
      </c>
      <c r="CP30">
        <v>-7.1006890581613504</v>
      </c>
      <c r="CQ30">
        <v>0.68447646795312844</v>
      </c>
      <c r="CR30">
        <v>-1</v>
      </c>
      <c r="CS30">
        <v>2.8765827499999999</v>
      </c>
      <c r="CT30">
        <v>-0.19152484052533481</v>
      </c>
      <c r="CU30">
        <v>1.8430742658327708E-2</v>
      </c>
      <c r="CV30">
        <v>-1</v>
      </c>
      <c r="CW30">
        <v>0</v>
      </c>
      <c r="CX30">
        <v>0</v>
      </c>
      <c r="CY30" t="s">
        <v>333</v>
      </c>
      <c r="CZ30">
        <v>2.36442</v>
      </c>
      <c r="DA30">
        <v>2.7138</v>
      </c>
      <c r="DB30">
        <v>0.14616399999999999</v>
      </c>
      <c r="DC30">
        <v>0.14607800000000001</v>
      </c>
      <c r="DD30">
        <v>5.3655700000000001E-2</v>
      </c>
      <c r="DE30">
        <v>3.8165600000000001E-2</v>
      </c>
      <c r="DF30">
        <v>31169.7</v>
      </c>
      <c r="DG30">
        <v>27511.200000000001</v>
      </c>
      <c r="DH30">
        <v>31165.7</v>
      </c>
      <c r="DI30">
        <v>28073.7</v>
      </c>
      <c r="DJ30">
        <v>40061.800000000003</v>
      </c>
      <c r="DK30">
        <v>38396.9</v>
      </c>
      <c r="DL30">
        <v>44351.4</v>
      </c>
      <c r="DM30">
        <v>42546.9</v>
      </c>
      <c r="DN30">
        <v>1.47177</v>
      </c>
      <c r="DO30">
        <v>2.0331700000000001</v>
      </c>
      <c r="DP30">
        <v>9.3638899999999997E-2</v>
      </c>
      <c r="DQ30">
        <v>0.110805</v>
      </c>
      <c r="DR30">
        <v>25.720600000000001</v>
      </c>
      <c r="DS30">
        <v>25.522300000000001</v>
      </c>
      <c r="DT30">
        <v>17</v>
      </c>
      <c r="DU30">
        <v>29.8</v>
      </c>
      <c r="DV30">
        <v>7.2270799999999999</v>
      </c>
      <c r="DW30">
        <v>62.638599999999997</v>
      </c>
      <c r="DX30">
        <v>36.017600000000002</v>
      </c>
      <c r="DY30">
        <v>1</v>
      </c>
      <c r="DZ30">
        <v>-6.4890699999999996E-2</v>
      </c>
      <c r="EA30">
        <v>9.2810500000000005</v>
      </c>
      <c r="EB30">
        <v>19.902899999999999</v>
      </c>
      <c r="EC30">
        <v>5.2406499999999996</v>
      </c>
      <c r="ED30">
        <v>12.039899999999999</v>
      </c>
      <c r="EE30">
        <v>5.0170500000000002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1.8689100000000001</v>
      </c>
      <c r="EL30">
        <v>1.86463</v>
      </c>
      <c r="EM30">
        <v>1.8692</v>
      </c>
      <c r="EN30">
        <v>1.8672299999999999</v>
      </c>
      <c r="EO30">
        <v>1.8633999999999999</v>
      </c>
      <c r="EP30">
        <v>1.8645499999999999</v>
      </c>
      <c r="EQ30">
        <v>1.87015</v>
      </c>
      <c r="ER30">
        <v>1.86938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-0.27100000000000002</v>
      </c>
      <c r="FG30">
        <v>-4.7699999999999999E-2</v>
      </c>
      <c r="FH30">
        <v>0.27827353915413472</v>
      </c>
      <c r="FI30">
        <v>-6.1462078757559423E-4</v>
      </c>
      <c r="FJ30">
        <v>-1.8861989874597051E-7</v>
      </c>
      <c r="FK30">
        <v>1.1980462299894961E-10</v>
      </c>
      <c r="FL30">
        <v>-3.2538871274648329E-2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12</v>
      </c>
      <c r="FU30">
        <v>11.9</v>
      </c>
      <c r="FV30">
        <v>1.7785599999999999</v>
      </c>
      <c r="FW30">
        <v>2.5817899999999998</v>
      </c>
      <c r="FX30">
        <v>1.5490699999999999</v>
      </c>
      <c r="FY30">
        <v>2.3290999999999999</v>
      </c>
      <c r="FZ30">
        <v>1.50146</v>
      </c>
      <c r="GA30">
        <v>2.3791500000000001</v>
      </c>
      <c r="GB30">
        <v>33.783200000000001</v>
      </c>
      <c r="GC30">
        <v>23.886099999999999</v>
      </c>
      <c r="GD30">
        <v>19</v>
      </c>
      <c r="GE30">
        <v>281.16399999999999</v>
      </c>
      <c r="GF30">
        <v>580.72900000000004</v>
      </c>
      <c r="GG30">
        <v>17.024699999999999</v>
      </c>
      <c r="GH30">
        <v>26.363499999999998</v>
      </c>
      <c r="GI30">
        <v>30.000499999999999</v>
      </c>
      <c r="GJ30">
        <v>26.389299999999999</v>
      </c>
      <c r="GK30">
        <v>26.3567</v>
      </c>
      <c r="GL30">
        <v>35.567700000000002</v>
      </c>
      <c r="GM30">
        <v>-30</v>
      </c>
      <c r="GN30">
        <v>-30</v>
      </c>
      <c r="GO30">
        <v>7.5455300000000003</v>
      </c>
      <c r="GP30">
        <v>800</v>
      </c>
      <c r="GQ30">
        <v>12.5298</v>
      </c>
      <c r="GR30">
        <v>99.7166</v>
      </c>
      <c r="GS30">
        <v>99.534899999999993</v>
      </c>
    </row>
    <row r="31" spans="1:201" x14ac:dyDescent="0.25">
      <c r="A31">
        <v>15</v>
      </c>
      <c r="B31">
        <v>1690218315</v>
      </c>
      <c r="C31">
        <v>294.5</v>
      </c>
      <c r="D31" t="s">
        <v>359</v>
      </c>
      <c r="E31" t="s">
        <v>360</v>
      </c>
      <c r="F31" t="s">
        <v>330</v>
      </c>
      <c r="H31">
        <v>1690218315</v>
      </c>
      <c r="I31">
        <f t="shared" si="0"/>
        <v>2.6252164335790996E-4</v>
      </c>
      <c r="J31">
        <f t="shared" si="1"/>
        <v>0.26252164335790995</v>
      </c>
      <c r="K31">
        <f t="shared" si="2"/>
        <v>9.6078796399176311E-2</v>
      </c>
      <c r="L31">
        <f t="shared" si="3"/>
        <v>796.65</v>
      </c>
      <c r="M31">
        <f t="shared" si="4"/>
        <v>742.58934522958373</v>
      </c>
      <c r="N31">
        <f t="shared" si="5"/>
        <v>73.649355850514013</v>
      </c>
      <c r="O31">
        <f t="shared" si="6"/>
        <v>79.011043876710005</v>
      </c>
      <c r="P31">
        <f t="shared" si="7"/>
        <v>8.8407309761994717E-3</v>
      </c>
      <c r="Q31">
        <f t="shared" si="8"/>
        <v>2.1275428636779701</v>
      </c>
      <c r="R31">
        <f t="shared" si="9"/>
        <v>8.8203725494346713E-3</v>
      </c>
      <c r="S31">
        <f t="shared" si="10"/>
        <v>5.5145580252522171E-3</v>
      </c>
      <c r="T31">
        <f t="shared" si="11"/>
        <v>276.11081035801902</v>
      </c>
      <c r="U31">
        <f t="shared" si="12"/>
        <v>27.721849233013064</v>
      </c>
      <c r="V31">
        <f t="shared" si="13"/>
        <v>27.721849233013064</v>
      </c>
      <c r="W31">
        <f t="shared" si="14"/>
        <v>3.7337389991936187</v>
      </c>
      <c r="X31">
        <f t="shared" si="15"/>
        <v>25.758571674646635</v>
      </c>
      <c r="Y31">
        <f t="shared" si="16"/>
        <v>0.85007512493831383</v>
      </c>
      <c r="Z31">
        <f t="shared" si="17"/>
        <v>3.3001640606300247</v>
      </c>
      <c r="AA31">
        <f t="shared" si="18"/>
        <v>2.8836638742553049</v>
      </c>
      <c r="AB31">
        <f t="shared" si="19"/>
        <v>-11.57720447208383</v>
      </c>
      <c r="AC31">
        <f t="shared" si="20"/>
        <v>-240.47438753291317</v>
      </c>
      <c r="AD31">
        <f t="shared" si="21"/>
        <v>-24.31377400230792</v>
      </c>
      <c r="AE31">
        <f t="shared" si="22"/>
        <v>-0.25455564928589069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52486.261593884519</v>
      </c>
      <c r="AK31">
        <f t="shared" si="26"/>
        <v>1799.98</v>
      </c>
      <c r="AL31">
        <f t="shared" si="27"/>
        <v>1499.0969271824001</v>
      </c>
      <c r="AM31">
        <f t="shared" si="28"/>
        <v>0.83284088000000001</v>
      </c>
      <c r="AN31">
        <f t="shared" si="29"/>
        <v>0.15339659905</v>
      </c>
      <c r="AO31">
        <v>32.4</v>
      </c>
      <c r="AP31">
        <v>0.5</v>
      </c>
      <c r="AQ31" t="s">
        <v>331</v>
      </c>
      <c r="AR31">
        <v>2</v>
      </c>
      <c r="AS31">
        <v>1690218315</v>
      </c>
      <c r="AT31">
        <v>796.65</v>
      </c>
      <c r="AU31">
        <v>799.94500000000005</v>
      </c>
      <c r="AV31">
        <v>8.5711099999999991</v>
      </c>
      <c r="AW31">
        <v>5.7613200000000004</v>
      </c>
      <c r="AX31">
        <v>796.92100000000005</v>
      </c>
      <c r="AY31">
        <v>8.6192299999999999</v>
      </c>
      <c r="AZ31">
        <v>300.12200000000001</v>
      </c>
      <c r="BA31">
        <v>99.0792</v>
      </c>
      <c r="BB31">
        <v>9.9917400000000003E-2</v>
      </c>
      <c r="BC31">
        <v>25.625299999999999</v>
      </c>
      <c r="BD31">
        <v>27.004999999999999</v>
      </c>
      <c r="BE31">
        <v>27.119599999999998</v>
      </c>
      <c r="BF31">
        <v>0</v>
      </c>
      <c r="BG31">
        <v>0</v>
      </c>
      <c r="BH31">
        <v>9971.25</v>
      </c>
      <c r="BI31">
        <v>1073.69</v>
      </c>
      <c r="BJ31">
        <v>1.4577199999999999</v>
      </c>
      <c r="BK31">
        <v>-3.29474</v>
      </c>
      <c r="BL31">
        <v>803.53700000000003</v>
      </c>
      <c r="BM31">
        <v>804.58</v>
      </c>
      <c r="BN31">
        <v>2.80979</v>
      </c>
      <c r="BO31">
        <v>799.94500000000005</v>
      </c>
      <c r="BP31">
        <v>5.7613200000000004</v>
      </c>
      <c r="BQ31">
        <v>0.84921899999999995</v>
      </c>
      <c r="BR31">
        <v>0.57082699999999997</v>
      </c>
      <c r="BS31">
        <v>4.55776</v>
      </c>
      <c r="BT31">
        <v>-0.99187099999999995</v>
      </c>
      <c r="BU31">
        <v>1799.98</v>
      </c>
      <c r="BV31">
        <v>0.910022</v>
      </c>
      <c r="BW31">
        <v>3.3995600000000001E-2</v>
      </c>
      <c r="BX31">
        <v>2.1991500000000001E-2</v>
      </c>
      <c r="BY31">
        <v>3.39905E-2</v>
      </c>
      <c r="BZ31">
        <v>26</v>
      </c>
      <c r="CA31">
        <v>33528.199999999997</v>
      </c>
      <c r="CB31">
        <v>1690217592</v>
      </c>
      <c r="CC31" t="s">
        <v>332</v>
      </c>
      <c r="CD31">
        <v>1690217586.5</v>
      </c>
      <c r="CE31">
        <v>1690217592</v>
      </c>
      <c r="CF31">
        <v>9</v>
      </c>
      <c r="CG31">
        <v>0.11600000000000001</v>
      </c>
      <c r="CH31">
        <v>-3.0000000000000001E-3</v>
      </c>
      <c r="CI31">
        <v>-0.27300000000000002</v>
      </c>
      <c r="CJ31">
        <v>-6.9000000000000006E-2</v>
      </c>
      <c r="CK31">
        <v>800</v>
      </c>
      <c r="CL31">
        <v>6</v>
      </c>
      <c r="CM31">
        <v>0.01</v>
      </c>
      <c r="CN31">
        <v>0.01</v>
      </c>
      <c r="CO31">
        <v>-2.3559821951219511</v>
      </c>
      <c r="CP31">
        <v>-5.6367656445993051</v>
      </c>
      <c r="CQ31">
        <v>0.55848590384426211</v>
      </c>
      <c r="CR31">
        <v>-1</v>
      </c>
      <c r="CS31">
        <v>2.846940731707317</v>
      </c>
      <c r="CT31">
        <v>-0.19128940766550251</v>
      </c>
      <c r="CU31">
        <v>1.8867705327957968E-2</v>
      </c>
      <c r="CV31">
        <v>-1</v>
      </c>
      <c r="CW31">
        <v>0</v>
      </c>
      <c r="CX31">
        <v>0</v>
      </c>
      <c r="CY31" t="s">
        <v>333</v>
      </c>
      <c r="CZ31">
        <v>2.3641800000000002</v>
      </c>
      <c r="DA31">
        <v>2.7136800000000001</v>
      </c>
      <c r="DB31">
        <v>0.146061</v>
      </c>
      <c r="DC31">
        <v>0.14607000000000001</v>
      </c>
      <c r="DD31">
        <v>5.3490999999999997E-2</v>
      </c>
      <c r="DE31">
        <v>3.81605E-2</v>
      </c>
      <c r="DF31">
        <v>31173.1</v>
      </c>
      <c r="DG31">
        <v>27510.7</v>
      </c>
      <c r="DH31">
        <v>31165.4</v>
      </c>
      <c r="DI31">
        <v>28073.1</v>
      </c>
      <c r="DJ31">
        <v>40068.5</v>
      </c>
      <c r="DK31">
        <v>38396.1</v>
      </c>
      <c r="DL31">
        <v>44351.199999999997</v>
      </c>
      <c r="DM31">
        <v>42545.8</v>
      </c>
      <c r="DN31">
        <v>1.4717199999999999</v>
      </c>
      <c r="DO31">
        <v>2.0327000000000002</v>
      </c>
      <c r="DP31">
        <v>8.2224599999999995E-2</v>
      </c>
      <c r="DQ31">
        <v>0.10374899999999999</v>
      </c>
      <c r="DR31">
        <v>25.658799999999999</v>
      </c>
      <c r="DS31">
        <v>25.4209</v>
      </c>
      <c r="DT31">
        <v>16.899999999999999</v>
      </c>
      <c r="DU31">
        <v>29.8</v>
      </c>
      <c r="DV31">
        <v>7.1833499999999999</v>
      </c>
      <c r="DW31">
        <v>62.568600000000004</v>
      </c>
      <c r="DX31">
        <v>36.458300000000001</v>
      </c>
      <c r="DY31">
        <v>1</v>
      </c>
      <c r="DZ31">
        <v>-6.3602599999999995E-2</v>
      </c>
      <c r="EA31">
        <v>9.2810500000000005</v>
      </c>
      <c r="EB31">
        <v>19.904499999999999</v>
      </c>
      <c r="EC31">
        <v>5.2409499999999998</v>
      </c>
      <c r="ED31">
        <v>12.039899999999999</v>
      </c>
      <c r="EE31">
        <v>5.01675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1.8689100000000001</v>
      </c>
      <c r="EL31">
        <v>1.8646199999999999</v>
      </c>
      <c r="EM31">
        <v>1.8691899999999999</v>
      </c>
      <c r="EN31">
        <v>1.8672299999999999</v>
      </c>
      <c r="EO31">
        <v>1.8633999999999999</v>
      </c>
      <c r="EP31">
        <v>1.8645499999999999</v>
      </c>
      <c r="EQ31">
        <v>1.8701399999999999</v>
      </c>
      <c r="ER31">
        <v>1.8693900000000001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-0.27100000000000002</v>
      </c>
      <c r="FG31">
        <v>-4.8099999999999997E-2</v>
      </c>
      <c r="FH31">
        <v>0.27827353915413472</v>
      </c>
      <c r="FI31">
        <v>-6.1462078757559423E-4</v>
      </c>
      <c r="FJ31">
        <v>-1.8861989874597051E-7</v>
      </c>
      <c r="FK31">
        <v>1.1980462299894961E-10</v>
      </c>
      <c r="FL31">
        <v>-3.2538871274648329E-2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12.1</v>
      </c>
      <c r="FU31">
        <v>12.1</v>
      </c>
      <c r="FV31">
        <v>1.7785599999999999</v>
      </c>
      <c r="FW31">
        <v>2.5830099999999998</v>
      </c>
      <c r="FX31">
        <v>1.5490699999999999</v>
      </c>
      <c r="FY31">
        <v>2.3290999999999999</v>
      </c>
      <c r="FZ31">
        <v>1.50146</v>
      </c>
      <c r="GA31">
        <v>2.3925800000000002</v>
      </c>
      <c r="GB31">
        <v>33.805700000000002</v>
      </c>
      <c r="GC31">
        <v>23.886099999999999</v>
      </c>
      <c r="GD31">
        <v>19</v>
      </c>
      <c r="GE31">
        <v>281.18200000000002</v>
      </c>
      <c r="GF31">
        <v>580.4</v>
      </c>
      <c r="GG31">
        <v>16.458400000000001</v>
      </c>
      <c r="GH31">
        <v>26.3858</v>
      </c>
      <c r="GI31">
        <v>30.000699999999998</v>
      </c>
      <c r="GJ31">
        <v>26.398199999999999</v>
      </c>
      <c r="GK31">
        <v>26.362200000000001</v>
      </c>
      <c r="GL31">
        <v>35.569099999999999</v>
      </c>
      <c r="GM31">
        <v>-30</v>
      </c>
      <c r="GN31">
        <v>-30</v>
      </c>
      <c r="GO31">
        <v>7.2521500000000003</v>
      </c>
      <c r="GP31">
        <v>800</v>
      </c>
      <c r="GQ31">
        <v>12.5298</v>
      </c>
      <c r="GR31">
        <v>99.715900000000005</v>
      </c>
      <c r="GS31">
        <v>99.532499999999999</v>
      </c>
    </row>
    <row r="32" spans="1:201" x14ac:dyDescent="0.25">
      <c r="A32">
        <v>16</v>
      </c>
      <c r="B32">
        <v>1690218325</v>
      </c>
      <c r="C32">
        <v>304.5</v>
      </c>
      <c r="D32" t="s">
        <v>361</v>
      </c>
      <c r="E32" t="s">
        <v>362</v>
      </c>
      <c r="F32" t="s">
        <v>330</v>
      </c>
      <c r="H32">
        <v>1690218325</v>
      </c>
      <c r="I32">
        <f t="shared" si="0"/>
        <v>2.6023089447037799E-4</v>
      </c>
      <c r="J32">
        <f t="shared" si="1"/>
        <v>0.260230894470378</v>
      </c>
      <c r="K32">
        <f t="shared" si="2"/>
        <v>0.15342653536880849</v>
      </c>
      <c r="L32">
        <f t="shared" si="3"/>
        <v>796.06299999999999</v>
      </c>
      <c r="M32">
        <f t="shared" si="4"/>
        <v>732.42988365837107</v>
      </c>
      <c r="N32">
        <f t="shared" si="5"/>
        <v>72.641817974059023</v>
      </c>
      <c r="O32">
        <f t="shared" si="6"/>
        <v>78.952900246292998</v>
      </c>
      <c r="P32">
        <f t="shared" si="7"/>
        <v>8.8760112041168585E-3</v>
      </c>
      <c r="Q32">
        <f t="shared" si="8"/>
        <v>2.1305335130436438</v>
      </c>
      <c r="R32">
        <f t="shared" si="9"/>
        <v>8.8555189039628817E-3</v>
      </c>
      <c r="S32">
        <f t="shared" si="10"/>
        <v>5.5365364888053008E-3</v>
      </c>
      <c r="T32">
        <f t="shared" si="11"/>
        <v>276.11499997525578</v>
      </c>
      <c r="U32">
        <f t="shared" si="12"/>
        <v>27.544841708471644</v>
      </c>
      <c r="V32">
        <f t="shared" si="13"/>
        <v>27.544841708471644</v>
      </c>
      <c r="W32">
        <f t="shared" si="14"/>
        <v>3.6953047287255734</v>
      </c>
      <c r="X32">
        <f t="shared" si="15"/>
        <v>25.950900904153411</v>
      </c>
      <c r="Y32">
        <f t="shared" si="16"/>
        <v>0.84754388193737984</v>
      </c>
      <c r="Z32">
        <f t="shared" si="17"/>
        <v>3.2659516718424655</v>
      </c>
      <c r="AA32">
        <f t="shared" si="18"/>
        <v>2.8477608467881934</v>
      </c>
      <c r="AB32">
        <f t="shared" si="19"/>
        <v>-11.476182446143669</v>
      </c>
      <c r="AC32">
        <f t="shared" si="20"/>
        <v>-240.63926186238587</v>
      </c>
      <c r="AD32">
        <f t="shared" si="21"/>
        <v>-24.253446531715756</v>
      </c>
      <c r="AE32">
        <f t="shared" si="22"/>
        <v>-0.25389086498950064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52646.589643599946</v>
      </c>
      <c r="AK32">
        <f t="shared" si="26"/>
        <v>1799.99</v>
      </c>
      <c r="AL32">
        <f t="shared" si="27"/>
        <v>1499.10346820113</v>
      </c>
      <c r="AM32">
        <f t="shared" si="28"/>
        <v>0.832839887</v>
      </c>
      <c r="AN32">
        <f t="shared" si="29"/>
        <v>0.15339807442</v>
      </c>
      <c r="AO32">
        <v>32.4</v>
      </c>
      <c r="AP32">
        <v>0.5</v>
      </c>
      <c r="AQ32" t="s">
        <v>331</v>
      </c>
      <c r="AR32">
        <v>2</v>
      </c>
      <c r="AS32">
        <v>1690218325</v>
      </c>
      <c r="AT32">
        <v>796.06299999999999</v>
      </c>
      <c r="AU32">
        <v>799.95600000000002</v>
      </c>
      <c r="AV32">
        <v>8.5455799999999993</v>
      </c>
      <c r="AW32">
        <v>5.7600600000000002</v>
      </c>
      <c r="AX32">
        <v>796.33399999999995</v>
      </c>
      <c r="AY32">
        <v>8.5939899999999998</v>
      </c>
      <c r="AZ32">
        <v>300.10300000000001</v>
      </c>
      <c r="BA32">
        <v>99.079099999999997</v>
      </c>
      <c r="BB32">
        <v>0.10011100000000001</v>
      </c>
      <c r="BC32">
        <v>25.4498</v>
      </c>
      <c r="BD32">
        <v>26.828499999999998</v>
      </c>
      <c r="BE32">
        <v>26.8964</v>
      </c>
      <c r="BF32">
        <v>0</v>
      </c>
      <c r="BG32">
        <v>0</v>
      </c>
      <c r="BH32">
        <v>9996.8799999999992</v>
      </c>
      <c r="BI32">
        <v>1071.52</v>
      </c>
      <c r="BJ32">
        <v>1.4577199999999999</v>
      </c>
      <c r="BK32">
        <v>-3.8923299999999998</v>
      </c>
      <c r="BL32">
        <v>802.92499999999995</v>
      </c>
      <c r="BM32">
        <v>804.59</v>
      </c>
      <c r="BN32">
        <v>2.7855300000000001</v>
      </c>
      <c r="BO32">
        <v>799.95600000000002</v>
      </c>
      <c r="BP32">
        <v>5.7600600000000002</v>
      </c>
      <c r="BQ32">
        <v>0.846688</v>
      </c>
      <c r="BR32">
        <v>0.57070100000000001</v>
      </c>
      <c r="BS32">
        <v>4.5151199999999996</v>
      </c>
      <c r="BT32">
        <v>-0.99487999999999999</v>
      </c>
      <c r="BU32">
        <v>1799.99</v>
      </c>
      <c r="BV32">
        <v>0.90998900000000005</v>
      </c>
      <c r="BW32">
        <v>3.4004899999999998E-2</v>
      </c>
      <c r="BX32">
        <v>2.2008099999999999E-2</v>
      </c>
      <c r="BY32">
        <v>3.3998199999999999E-2</v>
      </c>
      <c r="BZ32">
        <v>26</v>
      </c>
      <c r="CA32">
        <v>33528.1</v>
      </c>
      <c r="CB32">
        <v>1690217592</v>
      </c>
      <c r="CC32" t="s">
        <v>332</v>
      </c>
      <c r="CD32">
        <v>1690217586.5</v>
      </c>
      <c r="CE32">
        <v>1690217592</v>
      </c>
      <c r="CF32">
        <v>9</v>
      </c>
      <c r="CG32">
        <v>0.11600000000000001</v>
      </c>
      <c r="CH32">
        <v>-3.0000000000000001E-3</v>
      </c>
      <c r="CI32">
        <v>-0.27300000000000002</v>
      </c>
      <c r="CJ32">
        <v>-6.9000000000000006E-2</v>
      </c>
      <c r="CK32">
        <v>800</v>
      </c>
      <c r="CL32">
        <v>6</v>
      </c>
      <c r="CM32">
        <v>0.01</v>
      </c>
      <c r="CN32">
        <v>0.01</v>
      </c>
      <c r="CO32">
        <v>-3.1797351219512189</v>
      </c>
      <c r="CP32">
        <v>-4.2890567247386739</v>
      </c>
      <c r="CQ32">
        <v>0.42480216946371951</v>
      </c>
      <c r="CR32">
        <v>-1</v>
      </c>
      <c r="CS32">
        <v>2.8155024390243901</v>
      </c>
      <c r="CT32">
        <v>-0.1854857142857089</v>
      </c>
      <c r="CU32">
        <v>1.831509410568067E-2</v>
      </c>
      <c r="CV32">
        <v>-1</v>
      </c>
      <c r="CW32">
        <v>0</v>
      </c>
      <c r="CX32">
        <v>0</v>
      </c>
      <c r="CY32" t="s">
        <v>333</v>
      </c>
      <c r="CZ32">
        <v>2.3641100000000002</v>
      </c>
      <c r="DA32">
        <v>2.7139000000000002</v>
      </c>
      <c r="DB32">
        <v>0.145985</v>
      </c>
      <c r="DC32">
        <v>0.146069</v>
      </c>
      <c r="DD32">
        <v>5.3365700000000002E-2</v>
      </c>
      <c r="DE32">
        <v>3.8152899999999997E-2</v>
      </c>
      <c r="DF32">
        <v>31175.1</v>
      </c>
      <c r="DG32">
        <v>27509.7</v>
      </c>
      <c r="DH32">
        <v>31164.799999999999</v>
      </c>
      <c r="DI32">
        <v>28072.1</v>
      </c>
      <c r="DJ32">
        <v>40072.9</v>
      </c>
      <c r="DK32">
        <v>38395.199999999997</v>
      </c>
      <c r="DL32">
        <v>44350.1</v>
      </c>
      <c r="DM32">
        <v>42544.5</v>
      </c>
      <c r="DN32">
        <v>1.4745699999999999</v>
      </c>
      <c r="DO32">
        <v>2.03207</v>
      </c>
      <c r="DP32">
        <v>7.5623399999999993E-2</v>
      </c>
      <c r="DQ32">
        <v>9.6715999999999996E-2</v>
      </c>
      <c r="DR32">
        <v>25.590199999999999</v>
      </c>
      <c r="DS32">
        <v>25.3124</v>
      </c>
      <c r="DT32">
        <v>16.899999999999999</v>
      </c>
      <c r="DU32">
        <v>29.8</v>
      </c>
      <c r="DV32">
        <v>7.1841900000000001</v>
      </c>
      <c r="DW32">
        <v>62.378599999999999</v>
      </c>
      <c r="DX32">
        <v>37.0593</v>
      </c>
      <c r="DY32">
        <v>1</v>
      </c>
      <c r="DZ32">
        <v>-6.5116900000000005E-2</v>
      </c>
      <c r="EA32">
        <v>-6.6666699999999999</v>
      </c>
      <c r="EB32">
        <v>19.9754</v>
      </c>
      <c r="EC32">
        <v>5.2391500000000004</v>
      </c>
      <c r="ED32">
        <v>12.04</v>
      </c>
      <c r="EE32">
        <v>5.0122999999999998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1.8689199999999999</v>
      </c>
      <c r="EL32">
        <v>1.8646400000000001</v>
      </c>
      <c r="EM32">
        <v>1.8691899999999999</v>
      </c>
      <c r="EN32">
        <v>1.8672200000000001</v>
      </c>
      <c r="EO32">
        <v>1.8633999999999999</v>
      </c>
      <c r="EP32">
        <v>1.8645499999999999</v>
      </c>
      <c r="EQ32">
        <v>1.87015</v>
      </c>
      <c r="ER32">
        <v>1.8694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-0.27100000000000002</v>
      </c>
      <c r="FG32">
        <v>-4.8399999999999999E-2</v>
      </c>
      <c r="FH32">
        <v>0.27827353915413472</v>
      </c>
      <c r="FI32">
        <v>-6.1462078757559423E-4</v>
      </c>
      <c r="FJ32">
        <v>-1.8861989874597051E-7</v>
      </c>
      <c r="FK32">
        <v>1.1980462299894961E-10</v>
      </c>
      <c r="FL32">
        <v>-3.2538871274648329E-2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12.3</v>
      </c>
      <c r="FU32">
        <v>12.2</v>
      </c>
      <c r="FV32">
        <v>1.7785599999999999</v>
      </c>
      <c r="FW32">
        <v>2.5781200000000002</v>
      </c>
      <c r="FX32">
        <v>1.5490699999999999</v>
      </c>
      <c r="FY32">
        <v>2.3290999999999999</v>
      </c>
      <c r="FZ32">
        <v>1.50146</v>
      </c>
      <c r="GA32">
        <v>2.4108900000000002</v>
      </c>
      <c r="GB32">
        <v>33.805700000000002</v>
      </c>
      <c r="GC32">
        <v>23.912400000000002</v>
      </c>
      <c r="GD32">
        <v>19</v>
      </c>
      <c r="GE32">
        <v>282.43900000000002</v>
      </c>
      <c r="GF32">
        <v>579.96100000000001</v>
      </c>
      <c r="GG32">
        <v>18.102799999999998</v>
      </c>
      <c r="GH32">
        <v>26.408000000000001</v>
      </c>
      <c r="GI32">
        <v>29.998699999999999</v>
      </c>
      <c r="GJ32">
        <v>26.408300000000001</v>
      </c>
      <c r="GK32">
        <v>26.3688</v>
      </c>
      <c r="GL32">
        <v>35.570999999999998</v>
      </c>
      <c r="GM32">
        <v>-30</v>
      </c>
      <c r="GN32">
        <v>-30</v>
      </c>
      <c r="GO32">
        <v>22.515999999999998</v>
      </c>
      <c r="GP32">
        <v>800</v>
      </c>
      <c r="GQ32">
        <v>12.5298</v>
      </c>
      <c r="GR32">
        <v>99.7136</v>
      </c>
      <c r="GS32">
        <v>99.529200000000003</v>
      </c>
    </row>
    <row r="33" spans="1:201" x14ac:dyDescent="0.25">
      <c r="A33">
        <v>17</v>
      </c>
      <c r="B33">
        <v>1690218335</v>
      </c>
      <c r="C33">
        <v>314.5</v>
      </c>
      <c r="D33" t="s">
        <v>363</v>
      </c>
      <c r="E33" t="s">
        <v>364</v>
      </c>
      <c r="F33" t="s">
        <v>330</v>
      </c>
      <c r="H33">
        <v>1690218335</v>
      </c>
      <c r="I33">
        <f t="shared" si="0"/>
        <v>2.666638561016672E-4</v>
      </c>
      <c r="J33">
        <f t="shared" si="1"/>
        <v>0.26666385610166721</v>
      </c>
      <c r="K33">
        <f t="shared" si="2"/>
        <v>0.19843606311110296</v>
      </c>
      <c r="L33">
        <f t="shared" si="3"/>
        <v>795.55200000000002</v>
      </c>
      <c r="M33">
        <f t="shared" si="4"/>
        <v>723.42780983979344</v>
      </c>
      <c r="N33">
        <f t="shared" si="5"/>
        <v>71.74947331292698</v>
      </c>
      <c r="O33">
        <f t="shared" si="6"/>
        <v>78.90274083558721</v>
      </c>
      <c r="P33">
        <f t="shared" si="7"/>
        <v>8.9126675081023475E-3</v>
      </c>
      <c r="Q33">
        <f t="shared" si="8"/>
        <v>2.131931967445166</v>
      </c>
      <c r="R33">
        <f t="shared" si="9"/>
        <v>8.892019331513944E-3</v>
      </c>
      <c r="S33">
        <f t="shared" si="10"/>
        <v>5.559363216927426E-3</v>
      </c>
      <c r="T33">
        <f t="shared" si="11"/>
        <v>276.1131035145392</v>
      </c>
      <c r="U33">
        <f t="shared" si="12"/>
        <v>27.838963822368743</v>
      </c>
      <c r="V33">
        <f t="shared" si="13"/>
        <v>27.838963822368743</v>
      </c>
      <c r="W33">
        <f t="shared" si="14"/>
        <v>3.7593598289373715</v>
      </c>
      <c r="X33">
        <f t="shared" si="15"/>
        <v>25.696515325878366</v>
      </c>
      <c r="Y33">
        <f t="shared" si="16"/>
        <v>0.85422130973938504</v>
      </c>
      <c r="Z33">
        <f t="shared" si="17"/>
        <v>3.3242690649152671</v>
      </c>
      <c r="AA33">
        <f t="shared" si="18"/>
        <v>2.9051385191979864</v>
      </c>
      <c r="AB33">
        <f t="shared" si="19"/>
        <v>-11.759876054083524</v>
      </c>
      <c r="AC33">
        <f t="shared" si="20"/>
        <v>-240.32851549650013</v>
      </c>
      <c r="AD33">
        <f t="shared" si="21"/>
        <v>-24.278117571401449</v>
      </c>
      <c r="AE33">
        <f t="shared" si="22"/>
        <v>-0.2534056074458988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52654.607486485969</v>
      </c>
      <c r="AK33">
        <f t="shared" si="26"/>
        <v>1799.98</v>
      </c>
      <c r="AL33">
        <f t="shared" si="27"/>
        <v>1499.0946574076199</v>
      </c>
      <c r="AM33">
        <f t="shared" si="28"/>
        <v>0.83283961899999992</v>
      </c>
      <c r="AN33">
        <f t="shared" si="29"/>
        <v>0.15339787303999999</v>
      </c>
      <c r="AO33">
        <v>32.4</v>
      </c>
      <c r="AP33">
        <v>0.5</v>
      </c>
      <c r="AQ33" t="s">
        <v>331</v>
      </c>
      <c r="AR33">
        <v>2</v>
      </c>
      <c r="AS33">
        <v>1690218335</v>
      </c>
      <c r="AT33">
        <v>795.55200000000002</v>
      </c>
      <c r="AU33">
        <v>799.98400000000004</v>
      </c>
      <c r="AV33">
        <v>8.6128499999999999</v>
      </c>
      <c r="AW33">
        <v>5.75915</v>
      </c>
      <c r="AX33">
        <v>795.822</v>
      </c>
      <c r="AY33">
        <v>8.6605000000000008</v>
      </c>
      <c r="AZ33">
        <v>300.154</v>
      </c>
      <c r="BA33">
        <v>99.079899999999995</v>
      </c>
      <c r="BB33">
        <v>9.9966100000000002E-2</v>
      </c>
      <c r="BC33">
        <v>25.748000000000001</v>
      </c>
      <c r="BD33">
        <v>26.982500000000002</v>
      </c>
      <c r="BE33">
        <v>27.098299999999998</v>
      </c>
      <c r="BF33">
        <v>0</v>
      </c>
      <c r="BG33">
        <v>0</v>
      </c>
      <c r="BH33">
        <v>10008.799999999999</v>
      </c>
      <c r="BI33">
        <v>1070.29</v>
      </c>
      <c r="BJ33">
        <v>1.4577199999999999</v>
      </c>
      <c r="BK33">
        <v>-4.43262</v>
      </c>
      <c r="BL33">
        <v>802.46299999999997</v>
      </c>
      <c r="BM33">
        <v>804.61800000000005</v>
      </c>
      <c r="BN33">
        <v>2.8536899999999998</v>
      </c>
      <c r="BO33">
        <v>799.98400000000004</v>
      </c>
      <c r="BP33">
        <v>5.75915</v>
      </c>
      <c r="BQ33">
        <v>0.85336000000000001</v>
      </c>
      <c r="BR33">
        <v>0.57061600000000001</v>
      </c>
      <c r="BS33">
        <v>4.6273200000000001</v>
      </c>
      <c r="BT33">
        <v>-0.99690500000000004</v>
      </c>
      <c r="BU33">
        <v>1799.98</v>
      </c>
      <c r="BV33">
        <v>0.90998599999999996</v>
      </c>
      <c r="BW33">
        <v>3.3999700000000001E-2</v>
      </c>
      <c r="BX33">
        <v>2.2004699999999999E-2</v>
      </c>
      <c r="BY33">
        <v>3.4009999999999999E-2</v>
      </c>
      <c r="BZ33">
        <v>25.708300000000001</v>
      </c>
      <c r="CA33">
        <v>33527.9</v>
      </c>
      <c r="CB33">
        <v>1690217592</v>
      </c>
      <c r="CC33" t="s">
        <v>332</v>
      </c>
      <c r="CD33">
        <v>1690217586.5</v>
      </c>
      <c r="CE33">
        <v>1690217592</v>
      </c>
      <c r="CF33">
        <v>9</v>
      </c>
      <c r="CG33">
        <v>0.11600000000000001</v>
      </c>
      <c r="CH33">
        <v>-3.0000000000000001E-3</v>
      </c>
      <c r="CI33">
        <v>-0.27300000000000002</v>
      </c>
      <c r="CJ33">
        <v>-6.9000000000000006E-2</v>
      </c>
      <c r="CK33">
        <v>800</v>
      </c>
      <c r="CL33">
        <v>6</v>
      </c>
      <c r="CM33">
        <v>0.01</v>
      </c>
      <c r="CN33">
        <v>0.01</v>
      </c>
      <c r="CO33">
        <v>-3.85550375</v>
      </c>
      <c r="CP33">
        <v>-3.257770469043145</v>
      </c>
      <c r="CQ33">
        <v>0.31522626705025308</v>
      </c>
      <c r="CR33">
        <v>-1</v>
      </c>
      <c r="CS33">
        <v>2.8040250000000002</v>
      </c>
      <c r="CT33">
        <v>8.7228742964352804E-2</v>
      </c>
      <c r="CU33">
        <v>1.6394637385437959E-2</v>
      </c>
      <c r="CV33">
        <v>-1</v>
      </c>
      <c r="CW33">
        <v>0</v>
      </c>
      <c r="CX33">
        <v>0</v>
      </c>
      <c r="CY33" t="s">
        <v>333</v>
      </c>
      <c r="CZ33">
        <v>2.3642500000000002</v>
      </c>
      <c r="DA33">
        <v>2.7137600000000002</v>
      </c>
      <c r="DB33">
        <v>0.145921</v>
      </c>
      <c r="DC33">
        <v>0.14607200000000001</v>
      </c>
      <c r="DD33">
        <v>5.3690399999999999E-2</v>
      </c>
      <c r="DE33">
        <v>3.8147599999999997E-2</v>
      </c>
      <c r="DF33">
        <v>31177.5</v>
      </c>
      <c r="DG33">
        <v>27509.7</v>
      </c>
      <c r="DH33">
        <v>31164.9</v>
      </c>
      <c r="DI33">
        <v>28072.2</v>
      </c>
      <c r="DJ33">
        <v>40058.699999999997</v>
      </c>
      <c r="DK33">
        <v>38395.599999999999</v>
      </c>
      <c r="DL33">
        <v>44349.7</v>
      </c>
      <c r="DM33">
        <v>42544.7</v>
      </c>
      <c r="DN33">
        <v>1.4770000000000001</v>
      </c>
      <c r="DO33">
        <v>2.0316999999999998</v>
      </c>
      <c r="DP33">
        <v>8.9600700000000005E-2</v>
      </c>
      <c r="DQ33">
        <v>0.115424</v>
      </c>
      <c r="DR33">
        <v>25.5154</v>
      </c>
      <c r="DS33">
        <v>25.208100000000002</v>
      </c>
      <c r="DT33">
        <v>16.899999999999999</v>
      </c>
      <c r="DU33">
        <v>29.8</v>
      </c>
      <c r="DV33">
        <v>7.1844400000000004</v>
      </c>
      <c r="DW33">
        <v>62.188600000000001</v>
      </c>
      <c r="DX33">
        <v>37.391800000000003</v>
      </c>
      <c r="DY33">
        <v>1</v>
      </c>
      <c r="DZ33">
        <v>-6.8559499999999995E-2</v>
      </c>
      <c r="EA33">
        <v>-4.6273299999999997</v>
      </c>
      <c r="EB33">
        <v>20.075299999999999</v>
      </c>
      <c r="EC33">
        <v>5.2393000000000001</v>
      </c>
      <c r="ED33">
        <v>12.04</v>
      </c>
      <c r="EE33">
        <v>5.0126999999999997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1.86893</v>
      </c>
      <c r="EL33">
        <v>1.86467</v>
      </c>
      <c r="EM33">
        <v>1.8691899999999999</v>
      </c>
      <c r="EN33">
        <v>1.8672500000000001</v>
      </c>
      <c r="EO33">
        <v>1.8633999999999999</v>
      </c>
      <c r="EP33">
        <v>1.86456</v>
      </c>
      <c r="EQ33">
        <v>1.8701700000000001</v>
      </c>
      <c r="ER33">
        <v>1.86944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-0.27</v>
      </c>
      <c r="FG33">
        <v>-4.7699999999999999E-2</v>
      </c>
      <c r="FH33">
        <v>0.27827353915413472</v>
      </c>
      <c r="FI33">
        <v>-6.1462078757559423E-4</v>
      </c>
      <c r="FJ33">
        <v>-1.8861989874597051E-7</v>
      </c>
      <c r="FK33">
        <v>1.1980462299894961E-10</v>
      </c>
      <c r="FL33">
        <v>-3.2538871274648329E-2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12.5</v>
      </c>
      <c r="FU33">
        <v>12.4</v>
      </c>
      <c r="FV33">
        <v>1.7785599999999999</v>
      </c>
      <c r="FW33">
        <v>2.5769000000000002</v>
      </c>
      <c r="FX33">
        <v>1.5490699999999999</v>
      </c>
      <c r="FY33">
        <v>2.3290999999999999</v>
      </c>
      <c r="FZ33">
        <v>1.50024</v>
      </c>
      <c r="GA33">
        <v>2.3779300000000001</v>
      </c>
      <c r="GB33">
        <v>33.805700000000002</v>
      </c>
      <c r="GC33">
        <v>23.982399999999998</v>
      </c>
      <c r="GD33">
        <v>19</v>
      </c>
      <c r="GE33">
        <v>283.52199999999999</v>
      </c>
      <c r="GF33">
        <v>579.72699999999998</v>
      </c>
      <c r="GG33">
        <v>23.2224</v>
      </c>
      <c r="GH33">
        <v>26.430399999999999</v>
      </c>
      <c r="GI33">
        <v>29.9986</v>
      </c>
      <c r="GJ33">
        <v>26.419499999999999</v>
      </c>
      <c r="GK33">
        <v>26.375399999999999</v>
      </c>
      <c r="GL33">
        <v>35.574100000000001</v>
      </c>
      <c r="GM33">
        <v>-30</v>
      </c>
      <c r="GN33">
        <v>-30</v>
      </c>
      <c r="GO33">
        <v>22.678999999999998</v>
      </c>
      <c r="GP33">
        <v>800</v>
      </c>
      <c r="GQ33">
        <v>12.5298</v>
      </c>
      <c r="GR33">
        <v>99.713200000000001</v>
      </c>
      <c r="GS33">
        <v>99.529700000000005</v>
      </c>
    </row>
    <row r="34" spans="1:201" x14ac:dyDescent="0.25">
      <c r="A34">
        <v>18</v>
      </c>
      <c r="B34">
        <v>1690218345</v>
      </c>
      <c r="C34">
        <v>324.5</v>
      </c>
      <c r="D34" t="s">
        <v>365</v>
      </c>
      <c r="E34" t="s">
        <v>366</v>
      </c>
      <c r="F34" t="s">
        <v>330</v>
      </c>
      <c r="H34">
        <v>1690218345</v>
      </c>
      <c r="I34">
        <f t="shared" si="0"/>
        <v>2.715747044735219E-4</v>
      </c>
      <c r="J34">
        <f t="shared" si="1"/>
        <v>0.27157470447352189</v>
      </c>
      <c r="K34">
        <f t="shared" si="2"/>
        <v>0.24033547555704898</v>
      </c>
      <c r="L34">
        <f t="shared" si="3"/>
        <v>795.00599999999997</v>
      </c>
      <c r="M34">
        <f t="shared" si="4"/>
        <v>714.43276464150085</v>
      </c>
      <c r="N34">
        <f t="shared" si="5"/>
        <v>70.855373314290404</v>
      </c>
      <c r="O34">
        <f t="shared" si="6"/>
        <v>78.846393537629993</v>
      </c>
      <c r="P34">
        <f t="shared" si="7"/>
        <v>8.8600923997453826E-3</v>
      </c>
      <c r="Q34">
        <f t="shared" si="8"/>
        <v>2.1305099845905833</v>
      </c>
      <c r="R34">
        <f t="shared" si="9"/>
        <v>8.8396732218471597E-3</v>
      </c>
      <c r="S34">
        <f t="shared" si="10"/>
        <v>5.5266263888989215E-3</v>
      </c>
      <c r="T34">
        <f t="shared" si="11"/>
        <v>276.11239288243513</v>
      </c>
      <c r="U34">
        <f t="shared" si="12"/>
        <v>28.176765344852992</v>
      </c>
      <c r="V34">
        <f t="shared" si="13"/>
        <v>28.176765344852992</v>
      </c>
      <c r="W34">
        <f t="shared" si="14"/>
        <v>3.8341210216943011</v>
      </c>
      <c r="X34">
        <f t="shared" si="15"/>
        <v>25.334949665883322</v>
      </c>
      <c r="Y34">
        <f t="shared" si="16"/>
        <v>0.85927242126210002</v>
      </c>
      <c r="Z34">
        <f t="shared" si="17"/>
        <v>3.3916484247814309</v>
      </c>
      <c r="AA34">
        <f t="shared" si="18"/>
        <v>2.974848600432201</v>
      </c>
      <c r="AB34">
        <f t="shared" si="19"/>
        <v>-11.976444467282317</v>
      </c>
      <c r="AC34">
        <f t="shared" si="20"/>
        <v>-240.04204696703169</v>
      </c>
      <c r="AD34">
        <f t="shared" si="21"/>
        <v>-24.34761356332293</v>
      </c>
      <c r="AE34">
        <f t="shared" si="22"/>
        <v>-0.25371211520180736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52533.384049019165</v>
      </c>
      <c r="AK34">
        <f t="shared" si="26"/>
        <v>1799.98</v>
      </c>
      <c r="AL34">
        <f t="shared" si="27"/>
        <v>1499.09625038992</v>
      </c>
      <c r="AM34">
        <f t="shared" si="28"/>
        <v>0.83284050399999998</v>
      </c>
      <c r="AN34">
        <f t="shared" si="29"/>
        <v>0.15339747823999997</v>
      </c>
      <c r="AO34">
        <v>32.4</v>
      </c>
      <c r="AP34">
        <v>0.5</v>
      </c>
      <c r="AQ34" t="s">
        <v>331</v>
      </c>
      <c r="AR34">
        <v>2</v>
      </c>
      <c r="AS34">
        <v>1690218345</v>
      </c>
      <c r="AT34">
        <v>795.00599999999997</v>
      </c>
      <c r="AU34">
        <v>799.93</v>
      </c>
      <c r="AV34">
        <v>8.6640200000000007</v>
      </c>
      <c r="AW34">
        <v>5.7584200000000001</v>
      </c>
      <c r="AX34">
        <v>795.27599999999995</v>
      </c>
      <c r="AY34">
        <v>8.7111000000000001</v>
      </c>
      <c r="AZ34">
        <v>300.20600000000002</v>
      </c>
      <c r="BA34">
        <v>99.077100000000002</v>
      </c>
      <c r="BB34">
        <v>0.100005</v>
      </c>
      <c r="BC34">
        <v>26.0869</v>
      </c>
      <c r="BD34">
        <v>27.386800000000001</v>
      </c>
      <c r="BE34">
        <v>27.571400000000001</v>
      </c>
      <c r="BF34">
        <v>0</v>
      </c>
      <c r="BG34">
        <v>0</v>
      </c>
      <c r="BH34">
        <v>9996.8799999999992</v>
      </c>
      <c r="BI34">
        <v>1070.23</v>
      </c>
      <c r="BJ34">
        <v>1.4577199999999999</v>
      </c>
      <c r="BK34">
        <v>-4.9238900000000001</v>
      </c>
      <c r="BL34">
        <v>801.95399999999995</v>
      </c>
      <c r="BM34">
        <v>804.56299999999999</v>
      </c>
      <c r="BN34">
        <v>2.9056000000000002</v>
      </c>
      <c r="BO34">
        <v>799.93</v>
      </c>
      <c r="BP34">
        <v>5.7584200000000001</v>
      </c>
      <c r="BQ34">
        <v>0.858406</v>
      </c>
      <c r="BR34">
        <v>0.57052700000000001</v>
      </c>
      <c r="BS34">
        <v>4.7116699999999998</v>
      </c>
      <c r="BT34">
        <v>-0.99904300000000001</v>
      </c>
      <c r="BU34">
        <v>1799.98</v>
      </c>
      <c r="BV34">
        <v>0.91</v>
      </c>
      <c r="BW34">
        <v>3.3994299999999998E-2</v>
      </c>
      <c r="BX34">
        <v>2.2001199999999999E-2</v>
      </c>
      <c r="BY34">
        <v>3.4004600000000003E-2</v>
      </c>
      <c r="BZ34">
        <v>25.5</v>
      </c>
      <c r="CA34">
        <v>33528.1</v>
      </c>
      <c r="CB34">
        <v>1690217592</v>
      </c>
      <c r="CC34" t="s">
        <v>332</v>
      </c>
      <c r="CD34">
        <v>1690217586.5</v>
      </c>
      <c r="CE34">
        <v>1690217592</v>
      </c>
      <c r="CF34">
        <v>9</v>
      </c>
      <c r="CG34">
        <v>0.11600000000000001</v>
      </c>
      <c r="CH34">
        <v>-3.0000000000000001E-3</v>
      </c>
      <c r="CI34">
        <v>-0.27300000000000002</v>
      </c>
      <c r="CJ34">
        <v>-6.9000000000000006E-2</v>
      </c>
      <c r="CK34">
        <v>800</v>
      </c>
      <c r="CL34">
        <v>6</v>
      </c>
      <c r="CM34">
        <v>0.01</v>
      </c>
      <c r="CN34">
        <v>0.01</v>
      </c>
      <c r="CO34">
        <v>-4.3492519512195127</v>
      </c>
      <c r="CP34">
        <v>-3.1543795818815421</v>
      </c>
      <c r="CQ34">
        <v>0.31178200778999199</v>
      </c>
      <c r="CR34">
        <v>-1</v>
      </c>
      <c r="CS34">
        <v>2.8409573170731708</v>
      </c>
      <c r="CT34">
        <v>0.40268425087108722</v>
      </c>
      <c r="CU34">
        <v>3.9930345207769717E-2</v>
      </c>
      <c r="CV34">
        <v>-1</v>
      </c>
      <c r="CW34">
        <v>0</v>
      </c>
      <c r="CX34">
        <v>0</v>
      </c>
      <c r="CY34" t="s">
        <v>333</v>
      </c>
      <c r="CZ34">
        <v>2.3644099999999999</v>
      </c>
      <c r="DA34">
        <v>2.7137899999999999</v>
      </c>
      <c r="DB34">
        <v>0.145847</v>
      </c>
      <c r="DC34">
        <v>0.14605899999999999</v>
      </c>
      <c r="DD34">
        <v>5.3934299999999998E-2</v>
      </c>
      <c r="DE34">
        <v>3.8141799999999997E-2</v>
      </c>
      <c r="DF34">
        <v>31181.4</v>
      </c>
      <c r="DG34">
        <v>27511</v>
      </c>
      <c r="DH34">
        <v>31166.2</v>
      </c>
      <c r="DI34">
        <v>28073.200000000001</v>
      </c>
      <c r="DJ34">
        <v>40049.699999999997</v>
      </c>
      <c r="DK34">
        <v>38397.599999999999</v>
      </c>
      <c r="DL34">
        <v>44351.3</v>
      </c>
      <c r="DM34">
        <v>42546.7</v>
      </c>
      <c r="DN34">
        <v>1.4742500000000001</v>
      </c>
      <c r="DO34">
        <v>2.03145</v>
      </c>
      <c r="DP34">
        <v>0.118002</v>
      </c>
      <c r="DQ34">
        <v>0.14827399999999999</v>
      </c>
      <c r="DR34">
        <v>25.455200000000001</v>
      </c>
      <c r="DS34">
        <v>25.143999999999998</v>
      </c>
      <c r="DT34">
        <v>16.899999999999999</v>
      </c>
      <c r="DU34">
        <v>29.8</v>
      </c>
      <c r="DV34">
        <v>7.1830800000000004</v>
      </c>
      <c r="DW34">
        <v>61.3386</v>
      </c>
      <c r="DX34">
        <v>37.203499999999998</v>
      </c>
      <c r="DY34">
        <v>1</v>
      </c>
      <c r="DZ34">
        <v>-8.0924800000000005E-2</v>
      </c>
      <c r="EA34">
        <v>1.1274500000000001</v>
      </c>
      <c r="EB34">
        <v>20.1844</v>
      </c>
      <c r="EC34">
        <v>5.2403500000000003</v>
      </c>
      <c r="ED34">
        <v>12.039899999999999</v>
      </c>
      <c r="EE34">
        <v>5.01675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1.86893</v>
      </c>
      <c r="EL34">
        <v>1.86466</v>
      </c>
      <c r="EM34">
        <v>1.8692</v>
      </c>
      <c r="EN34">
        <v>1.8672800000000001</v>
      </c>
      <c r="EO34">
        <v>1.8633999999999999</v>
      </c>
      <c r="EP34">
        <v>1.86459</v>
      </c>
      <c r="EQ34">
        <v>1.87016</v>
      </c>
      <c r="ER34">
        <v>1.8694599999999999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-0.27</v>
      </c>
      <c r="FG34">
        <v>-4.7100000000000003E-2</v>
      </c>
      <c r="FH34">
        <v>0.27827353915413472</v>
      </c>
      <c r="FI34">
        <v>-6.1462078757559423E-4</v>
      </c>
      <c r="FJ34">
        <v>-1.8861989874597051E-7</v>
      </c>
      <c r="FK34">
        <v>1.1980462299894961E-10</v>
      </c>
      <c r="FL34">
        <v>-3.2538871274648329E-2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12.6</v>
      </c>
      <c r="FU34">
        <v>12.6</v>
      </c>
      <c r="FV34">
        <v>1.77979</v>
      </c>
      <c r="FW34">
        <v>2.5805699999999998</v>
      </c>
      <c r="FX34">
        <v>1.5490699999999999</v>
      </c>
      <c r="FY34">
        <v>2.3290999999999999</v>
      </c>
      <c r="FZ34">
        <v>1.50146</v>
      </c>
      <c r="GA34">
        <v>2.3962400000000001</v>
      </c>
      <c r="GB34">
        <v>33.828299999999999</v>
      </c>
      <c r="GC34">
        <v>23.982399999999998</v>
      </c>
      <c r="GD34">
        <v>19</v>
      </c>
      <c r="GE34">
        <v>282.404</v>
      </c>
      <c r="GF34">
        <v>579.60199999999998</v>
      </c>
      <c r="GG34">
        <v>23.411899999999999</v>
      </c>
      <c r="GH34">
        <v>26.4498</v>
      </c>
      <c r="GI34">
        <v>29.9968</v>
      </c>
      <c r="GJ34">
        <v>26.432099999999998</v>
      </c>
      <c r="GK34">
        <v>26.3826</v>
      </c>
      <c r="GL34">
        <v>35.5794</v>
      </c>
      <c r="GM34">
        <v>-30</v>
      </c>
      <c r="GN34">
        <v>-30</v>
      </c>
      <c r="GO34">
        <v>22.6922</v>
      </c>
      <c r="GP34">
        <v>800</v>
      </c>
      <c r="GQ34">
        <v>12.5298</v>
      </c>
      <c r="GR34">
        <v>99.716999999999999</v>
      </c>
      <c r="GS34">
        <v>99.533900000000003</v>
      </c>
    </row>
    <row r="35" spans="1:201" x14ac:dyDescent="0.25">
      <c r="A35">
        <v>19</v>
      </c>
      <c r="B35">
        <v>1690218355</v>
      </c>
      <c r="C35">
        <v>334.5</v>
      </c>
      <c r="D35" t="s">
        <v>367</v>
      </c>
      <c r="E35" t="s">
        <v>368</v>
      </c>
      <c r="F35" t="s">
        <v>330</v>
      </c>
      <c r="H35">
        <v>1690218355</v>
      </c>
      <c r="I35">
        <f t="shared" si="0"/>
        <v>2.7380541747478181E-4</v>
      </c>
      <c r="J35">
        <f t="shared" si="1"/>
        <v>0.27380541747478182</v>
      </c>
      <c r="K35">
        <f t="shared" si="2"/>
        <v>0.30888275963387674</v>
      </c>
      <c r="L35">
        <f t="shared" si="3"/>
        <v>794.38599999999997</v>
      </c>
      <c r="M35">
        <f t="shared" si="4"/>
        <v>701.58626327362265</v>
      </c>
      <c r="N35">
        <f t="shared" si="5"/>
        <v>69.583373229185156</v>
      </c>
      <c r="O35">
        <f t="shared" si="6"/>
        <v>78.787257418809403</v>
      </c>
      <c r="P35">
        <f t="shared" si="7"/>
        <v>8.8742266834054753E-3</v>
      </c>
      <c r="Q35">
        <f t="shared" si="8"/>
        <v>2.1292317466869477</v>
      </c>
      <c r="R35">
        <f t="shared" si="9"/>
        <v>8.8537301198169435E-3</v>
      </c>
      <c r="S35">
        <f t="shared" si="10"/>
        <v>5.5354188793299876E-3</v>
      </c>
      <c r="T35">
        <f t="shared" si="11"/>
        <v>276.11358910709401</v>
      </c>
      <c r="U35">
        <f t="shared" si="12"/>
        <v>28.273351636079582</v>
      </c>
      <c r="V35">
        <f t="shared" si="13"/>
        <v>28.273351636079582</v>
      </c>
      <c r="W35">
        <f t="shared" si="14"/>
        <v>3.855734219069046</v>
      </c>
      <c r="X35">
        <f t="shared" si="15"/>
        <v>25.255970164542553</v>
      </c>
      <c r="Y35">
        <f t="shared" si="16"/>
        <v>0.86148897958686899</v>
      </c>
      <c r="Z35">
        <f t="shared" si="17"/>
        <v>3.4110310313730632</v>
      </c>
      <c r="AA35">
        <f t="shared" si="18"/>
        <v>2.994245239482177</v>
      </c>
      <c r="AB35">
        <f t="shared" si="19"/>
        <v>-12.074818910637878</v>
      </c>
      <c r="AC35">
        <f t="shared" si="20"/>
        <v>-239.91941399277823</v>
      </c>
      <c r="AD35">
        <f t="shared" si="21"/>
        <v>-24.373276883079999</v>
      </c>
      <c r="AE35">
        <f t="shared" si="22"/>
        <v>-0.25392067940208563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52461.297637212912</v>
      </c>
      <c r="AK35">
        <f t="shared" si="26"/>
        <v>1799.99</v>
      </c>
      <c r="AL35">
        <f t="shared" si="27"/>
        <v>1499.1025196063999</v>
      </c>
      <c r="AM35">
        <f t="shared" si="28"/>
        <v>0.83283935999999992</v>
      </c>
      <c r="AN35">
        <f t="shared" si="29"/>
        <v>0.15339729060000001</v>
      </c>
      <c r="AO35">
        <v>32.4</v>
      </c>
      <c r="AP35">
        <v>0.5</v>
      </c>
      <c r="AQ35" t="s">
        <v>331</v>
      </c>
      <c r="AR35">
        <v>2</v>
      </c>
      <c r="AS35">
        <v>1690218355</v>
      </c>
      <c r="AT35">
        <v>794.38599999999997</v>
      </c>
      <c r="AU35">
        <v>800.06799999999998</v>
      </c>
      <c r="AV35">
        <v>8.6861099999999993</v>
      </c>
      <c r="AW35">
        <v>5.7562499999999996</v>
      </c>
      <c r="AX35">
        <v>794.65599999999995</v>
      </c>
      <c r="AY35">
        <v>8.7329399999999993</v>
      </c>
      <c r="AZ35">
        <v>300.15899999999999</v>
      </c>
      <c r="BA35">
        <v>99.080100000000002</v>
      </c>
      <c r="BB35">
        <v>9.9967899999999998E-2</v>
      </c>
      <c r="BC35">
        <v>26.183299999999999</v>
      </c>
      <c r="BD35">
        <v>27.4831</v>
      </c>
      <c r="BE35">
        <v>27.7605</v>
      </c>
      <c r="BF35">
        <v>0</v>
      </c>
      <c r="BG35">
        <v>0</v>
      </c>
      <c r="BH35">
        <v>9985.6200000000008</v>
      </c>
      <c r="BI35">
        <v>1070.21</v>
      </c>
      <c r="BJ35">
        <v>1.3315699999999999</v>
      </c>
      <c r="BK35">
        <v>-5.6810299999999998</v>
      </c>
      <c r="BL35">
        <v>801.34699999999998</v>
      </c>
      <c r="BM35">
        <v>804.7</v>
      </c>
      <c r="BN35">
        <v>2.9298700000000002</v>
      </c>
      <c r="BO35">
        <v>800.06799999999998</v>
      </c>
      <c r="BP35">
        <v>5.7562499999999996</v>
      </c>
      <c r="BQ35">
        <v>0.86062099999999997</v>
      </c>
      <c r="BR35">
        <v>0.57032899999999997</v>
      </c>
      <c r="BS35">
        <v>4.7485499999999998</v>
      </c>
      <c r="BT35">
        <v>-1.0037799999999999</v>
      </c>
      <c r="BU35">
        <v>1799.99</v>
      </c>
      <c r="BV35">
        <v>0.90999799999999997</v>
      </c>
      <c r="BW35">
        <v>3.4004399999999997E-2</v>
      </c>
      <c r="BX35">
        <v>2.1998E-2</v>
      </c>
      <c r="BY35">
        <v>3.3999599999999998E-2</v>
      </c>
      <c r="BZ35">
        <v>25</v>
      </c>
      <c r="CA35">
        <v>33528.199999999997</v>
      </c>
      <c r="CB35">
        <v>1690217592</v>
      </c>
      <c r="CC35" t="s">
        <v>332</v>
      </c>
      <c r="CD35">
        <v>1690217586.5</v>
      </c>
      <c r="CE35">
        <v>1690217592</v>
      </c>
      <c r="CF35">
        <v>9</v>
      </c>
      <c r="CG35">
        <v>0.11600000000000001</v>
      </c>
      <c r="CH35">
        <v>-3.0000000000000001E-3</v>
      </c>
      <c r="CI35">
        <v>-0.27300000000000002</v>
      </c>
      <c r="CJ35">
        <v>-6.9000000000000006E-2</v>
      </c>
      <c r="CK35">
        <v>800</v>
      </c>
      <c r="CL35">
        <v>6</v>
      </c>
      <c r="CM35">
        <v>0.01</v>
      </c>
      <c r="CN35">
        <v>0.01</v>
      </c>
      <c r="CO35">
        <v>-4.9612579999999991</v>
      </c>
      <c r="CP35">
        <v>-3.7581876923076951</v>
      </c>
      <c r="CQ35">
        <v>0.36482664117495578</v>
      </c>
      <c r="CR35">
        <v>-1</v>
      </c>
      <c r="CS35">
        <v>2.8982100000000002</v>
      </c>
      <c r="CT35">
        <v>0.22256555347091661</v>
      </c>
      <c r="CU35">
        <v>2.193399655785511E-2</v>
      </c>
      <c r="CV35">
        <v>-1</v>
      </c>
      <c r="CW35">
        <v>0</v>
      </c>
      <c r="CX35">
        <v>0</v>
      </c>
      <c r="CY35" t="s">
        <v>333</v>
      </c>
      <c r="CZ35">
        <v>2.3642099999999999</v>
      </c>
      <c r="DA35">
        <v>2.7137500000000001</v>
      </c>
      <c r="DB35">
        <v>0.14577200000000001</v>
      </c>
      <c r="DC35">
        <v>0.14607700000000001</v>
      </c>
      <c r="DD35">
        <v>5.40408E-2</v>
      </c>
      <c r="DE35">
        <v>3.8130299999999999E-2</v>
      </c>
      <c r="DF35">
        <v>31183</v>
      </c>
      <c r="DG35">
        <v>27508.7</v>
      </c>
      <c r="DH35">
        <v>31165.1</v>
      </c>
      <c r="DI35">
        <v>28071.4</v>
      </c>
      <c r="DJ35">
        <v>40043.5</v>
      </c>
      <c r="DK35">
        <v>38395.5</v>
      </c>
      <c r="DL35">
        <v>44349.5</v>
      </c>
      <c r="DM35">
        <v>42543.9</v>
      </c>
      <c r="DN35">
        <v>1.4726300000000001</v>
      </c>
      <c r="DO35">
        <v>2.03105</v>
      </c>
      <c r="DP35">
        <v>0.126086</v>
      </c>
      <c r="DQ35">
        <v>0.16140199999999999</v>
      </c>
      <c r="DR35">
        <v>25.4193</v>
      </c>
      <c r="DS35">
        <v>25.118500000000001</v>
      </c>
      <c r="DT35">
        <v>16.899999999999999</v>
      </c>
      <c r="DU35">
        <v>29.8</v>
      </c>
      <c r="DV35">
        <v>7.1849699999999999</v>
      </c>
      <c r="DW35">
        <v>61.208599999999997</v>
      </c>
      <c r="DX35">
        <v>37.4679</v>
      </c>
      <c r="DY35">
        <v>1</v>
      </c>
      <c r="DZ35">
        <v>-7.0927299999999999E-2</v>
      </c>
      <c r="EA35">
        <v>4.5466600000000001</v>
      </c>
      <c r="EB35">
        <v>20.113800000000001</v>
      </c>
      <c r="EC35">
        <v>5.2406499999999996</v>
      </c>
      <c r="ED35">
        <v>12.039899999999999</v>
      </c>
      <c r="EE35">
        <v>5.0166000000000004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1.86893</v>
      </c>
      <c r="EL35">
        <v>1.86466</v>
      </c>
      <c r="EM35">
        <v>1.8691899999999999</v>
      </c>
      <c r="EN35">
        <v>1.8672599999999999</v>
      </c>
      <c r="EO35">
        <v>1.8633999999999999</v>
      </c>
      <c r="EP35">
        <v>1.86459</v>
      </c>
      <c r="EQ35">
        <v>1.87015</v>
      </c>
      <c r="ER35">
        <v>1.86947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-0.27</v>
      </c>
      <c r="FG35">
        <v>-4.6800000000000001E-2</v>
      </c>
      <c r="FH35">
        <v>0.27827353915413472</v>
      </c>
      <c r="FI35">
        <v>-6.1462078757559423E-4</v>
      </c>
      <c r="FJ35">
        <v>-1.8861989874597051E-7</v>
      </c>
      <c r="FK35">
        <v>1.1980462299894961E-10</v>
      </c>
      <c r="FL35">
        <v>-3.2538871274648329E-2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12.8</v>
      </c>
      <c r="FU35">
        <v>12.7</v>
      </c>
      <c r="FV35">
        <v>1.77979</v>
      </c>
      <c r="FW35">
        <v>2.5805699999999998</v>
      </c>
      <c r="FX35">
        <v>1.5490699999999999</v>
      </c>
      <c r="FY35">
        <v>2.3290999999999999</v>
      </c>
      <c r="FZ35">
        <v>1.50146</v>
      </c>
      <c r="GA35">
        <v>2.3571800000000001</v>
      </c>
      <c r="GB35">
        <v>33.828299999999999</v>
      </c>
      <c r="GC35">
        <v>23.9649</v>
      </c>
      <c r="GD35">
        <v>19</v>
      </c>
      <c r="GE35">
        <v>281.76400000000001</v>
      </c>
      <c r="GF35">
        <v>579.36599999999999</v>
      </c>
      <c r="GG35">
        <v>22.5273</v>
      </c>
      <c r="GH35">
        <v>26.465399999999999</v>
      </c>
      <c r="GI35">
        <v>30.004300000000001</v>
      </c>
      <c r="GJ35">
        <v>26.4438</v>
      </c>
      <c r="GK35">
        <v>26.390899999999998</v>
      </c>
      <c r="GL35">
        <v>35.5747</v>
      </c>
      <c r="GM35">
        <v>-30</v>
      </c>
      <c r="GN35">
        <v>-30</v>
      </c>
      <c r="GO35">
        <v>21.759399999999999</v>
      </c>
      <c r="GP35">
        <v>800</v>
      </c>
      <c r="GQ35">
        <v>12.5298</v>
      </c>
      <c r="GR35">
        <v>99.713200000000001</v>
      </c>
      <c r="GS35">
        <v>99.5274</v>
      </c>
    </row>
    <row r="36" spans="1:201" x14ac:dyDescent="0.25">
      <c r="A36">
        <v>20</v>
      </c>
      <c r="B36">
        <v>1690218365</v>
      </c>
      <c r="C36">
        <v>344.5</v>
      </c>
      <c r="D36" t="s">
        <v>369</v>
      </c>
      <c r="E36" t="s">
        <v>370</v>
      </c>
      <c r="F36" t="s">
        <v>330</v>
      </c>
      <c r="H36">
        <v>1690218365</v>
      </c>
      <c r="I36">
        <f t="shared" si="0"/>
        <v>2.7556786974184506E-4</v>
      </c>
      <c r="J36">
        <f t="shared" si="1"/>
        <v>0.27556786974184505</v>
      </c>
      <c r="K36">
        <f t="shared" si="2"/>
        <v>0.35648311741975242</v>
      </c>
      <c r="L36">
        <f t="shared" si="3"/>
        <v>793.83399999999995</v>
      </c>
      <c r="M36">
        <f t="shared" si="4"/>
        <v>693.80299234966947</v>
      </c>
      <c r="N36">
        <f t="shared" si="5"/>
        <v>68.810813250392471</v>
      </c>
      <c r="O36">
        <f t="shared" si="6"/>
        <v>78.731806763787986</v>
      </c>
      <c r="P36">
        <f t="shared" si="7"/>
        <v>8.9985786673050776E-3</v>
      </c>
      <c r="Q36">
        <f t="shared" si="8"/>
        <v>2.1265911921196805</v>
      </c>
      <c r="R36">
        <f t="shared" si="9"/>
        <v>8.9774782893038418E-3</v>
      </c>
      <c r="S36">
        <f t="shared" si="10"/>
        <v>5.6128155566308536E-3</v>
      </c>
      <c r="T36">
        <f t="shared" si="11"/>
        <v>276.1133005146973</v>
      </c>
      <c r="U36">
        <f t="shared" si="12"/>
        <v>28.182469233528401</v>
      </c>
      <c r="V36">
        <f t="shared" si="13"/>
        <v>28.182469233528401</v>
      </c>
      <c r="W36">
        <f t="shared" si="14"/>
        <v>3.8353944429433211</v>
      </c>
      <c r="X36">
        <f t="shared" si="15"/>
        <v>25.444019840986311</v>
      </c>
      <c r="Y36">
        <f t="shared" si="16"/>
        <v>0.86315542915417998</v>
      </c>
      <c r="Z36">
        <f t="shared" si="17"/>
        <v>3.392370523795035</v>
      </c>
      <c r="AA36">
        <f t="shared" si="18"/>
        <v>2.972239013789141</v>
      </c>
      <c r="AB36">
        <f t="shared" si="19"/>
        <v>-12.152543055615368</v>
      </c>
      <c r="AC36">
        <f t="shared" si="20"/>
        <v>-239.84172952070426</v>
      </c>
      <c r="AD36">
        <f t="shared" si="21"/>
        <v>-24.373258436445028</v>
      </c>
      <c r="AE36">
        <f t="shared" si="22"/>
        <v>-0.25423049806735776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52363.556653342828</v>
      </c>
      <c r="AK36">
        <f t="shared" si="26"/>
        <v>1799.99</v>
      </c>
      <c r="AL36">
        <f t="shared" si="27"/>
        <v>1499.1029642039298</v>
      </c>
      <c r="AM36">
        <f t="shared" si="28"/>
        <v>0.83283960699999993</v>
      </c>
      <c r="AN36">
        <f t="shared" si="29"/>
        <v>0.15339713026999999</v>
      </c>
      <c r="AO36">
        <v>32.4</v>
      </c>
      <c r="AP36">
        <v>0.5</v>
      </c>
      <c r="AQ36" t="s">
        <v>331</v>
      </c>
      <c r="AR36">
        <v>2</v>
      </c>
      <c r="AS36">
        <v>1690218365</v>
      </c>
      <c r="AT36">
        <v>793.83399999999995</v>
      </c>
      <c r="AU36">
        <v>800.04200000000003</v>
      </c>
      <c r="AV36">
        <v>8.7029899999999998</v>
      </c>
      <c r="AW36">
        <v>5.7549299999999999</v>
      </c>
      <c r="AX36">
        <v>794.10299999999995</v>
      </c>
      <c r="AY36">
        <v>8.7496299999999998</v>
      </c>
      <c r="AZ36">
        <v>300.221</v>
      </c>
      <c r="BA36">
        <v>99.079099999999997</v>
      </c>
      <c r="BB36">
        <v>0.100082</v>
      </c>
      <c r="BC36">
        <v>26.090499999999999</v>
      </c>
      <c r="BD36">
        <v>27.4758</v>
      </c>
      <c r="BE36">
        <v>27.709900000000001</v>
      </c>
      <c r="BF36">
        <v>0</v>
      </c>
      <c r="BG36">
        <v>0</v>
      </c>
      <c r="BH36">
        <v>9963.1200000000008</v>
      </c>
      <c r="BI36">
        <v>1069.8499999999999</v>
      </c>
      <c r="BJ36">
        <v>1.2054199999999999</v>
      </c>
      <c r="BK36">
        <v>-6.2080099999999998</v>
      </c>
      <c r="BL36">
        <v>800.80399999999997</v>
      </c>
      <c r="BM36">
        <v>804.673</v>
      </c>
      <c r="BN36">
        <v>2.9480599999999999</v>
      </c>
      <c r="BO36">
        <v>800.04200000000003</v>
      </c>
      <c r="BP36">
        <v>5.7549299999999999</v>
      </c>
      <c r="BQ36">
        <v>0.86228400000000005</v>
      </c>
      <c r="BR36">
        <v>0.57019399999999998</v>
      </c>
      <c r="BS36">
        <v>4.7762000000000002</v>
      </c>
      <c r="BT36">
        <v>-1.0070300000000001</v>
      </c>
      <c r="BU36">
        <v>1799.99</v>
      </c>
      <c r="BV36">
        <v>0.91000300000000001</v>
      </c>
      <c r="BW36">
        <v>3.40057E-2</v>
      </c>
      <c r="BX36">
        <v>2.1995600000000001E-2</v>
      </c>
      <c r="BY36">
        <v>3.3995900000000003E-2</v>
      </c>
      <c r="BZ36">
        <v>25</v>
      </c>
      <c r="CA36">
        <v>33528.199999999997</v>
      </c>
      <c r="CB36">
        <v>1690217592</v>
      </c>
      <c r="CC36" t="s">
        <v>332</v>
      </c>
      <c r="CD36">
        <v>1690217586.5</v>
      </c>
      <c r="CE36">
        <v>1690217592</v>
      </c>
      <c r="CF36">
        <v>9</v>
      </c>
      <c r="CG36">
        <v>0.11600000000000001</v>
      </c>
      <c r="CH36">
        <v>-3.0000000000000001E-3</v>
      </c>
      <c r="CI36">
        <v>-0.27300000000000002</v>
      </c>
      <c r="CJ36">
        <v>-6.9000000000000006E-2</v>
      </c>
      <c r="CK36">
        <v>800</v>
      </c>
      <c r="CL36">
        <v>6</v>
      </c>
      <c r="CM36">
        <v>0.01</v>
      </c>
      <c r="CN36">
        <v>0.01</v>
      </c>
      <c r="CO36">
        <v>-5.5237917073170726</v>
      </c>
      <c r="CP36">
        <v>-3.7077656445993021</v>
      </c>
      <c r="CQ36">
        <v>0.37015451507940628</v>
      </c>
      <c r="CR36">
        <v>-1</v>
      </c>
      <c r="CS36">
        <v>2.925411951219512</v>
      </c>
      <c r="CT36">
        <v>0.1347905226480878</v>
      </c>
      <c r="CU36">
        <v>1.334290918282198E-2</v>
      </c>
      <c r="CV36">
        <v>-1</v>
      </c>
      <c r="CW36">
        <v>0</v>
      </c>
      <c r="CX36">
        <v>0</v>
      </c>
      <c r="CY36" t="s">
        <v>333</v>
      </c>
      <c r="CZ36">
        <v>2.36442</v>
      </c>
      <c r="DA36">
        <v>2.7138399999999998</v>
      </c>
      <c r="DB36">
        <v>0.1457</v>
      </c>
      <c r="DC36">
        <v>0.14607000000000001</v>
      </c>
      <c r="DD36">
        <v>5.4120099999999997E-2</v>
      </c>
      <c r="DE36">
        <v>3.8122000000000003E-2</v>
      </c>
      <c r="DF36">
        <v>31182.799999999999</v>
      </c>
      <c r="DG36">
        <v>27505.5</v>
      </c>
      <c r="DH36">
        <v>31162.3</v>
      </c>
      <c r="DI36">
        <v>28068.1</v>
      </c>
      <c r="DJ36">
        <v>40036.5</v>
      </c>
      <c r="DK36">
        <v>38391.5</v>
      </c>
      <c r="DL36">
        <v>44345.4</v>
      </c>
      <c r="DM36">
        <v>42539.1</v>
      </c>
      <c r="DN36">
        <v>1.47183</v>
      </c>
      <c r="DO36">
        <v>2.0306999999999999</v>
      </c>
      <c r="DP36">
        <v>0.126943</v>
      </c>
      <c r="DQ36">
        <v>0.158884</v>
      </c>
      <c r="DR36">
        <v>25.3978</v>
      </c>
      <c r="DS36">
        <v>25.109000000000002</v>
      </c>
      <c r="DT36">
        <v>16.899999999999999</v>
      </c>
      <c r="DU36">
        <v>29.8</v>
      </c>
      <c r="DV36">
        <v>7.1840799999999998</v>
      </c>
      <c r="DW36">
        <v>61.858600000000003</v>
      </c>
      <c r="DX36">
        <v>37.135399999999997</v>
      </c>
      <c r="DY36">
        <v>1</v>
      </c>
      <c r="DZ36">
        <v>-6.3216499999999995E-2</v>
      </c>
      <c r="EA36">
        <v>5.7900400000000003</v>
      </c>
      <c r="EB36">
        <v>20.066199999999998</v>
      </c>
      <c r="EC36">
        <v>5.2404999999999999</v>
      </c>
      <c r="ED36">
        <v>12.039899999999999</v>
      </c>
      <c r="EE36">
        <v>5.0167000000000002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1.86893</v>
      </c>
      <c r="EL36">
        <v>1.8646499999999999</v>
      </c>
      <c r="EM36">
        <v>1.8692</v>
      </c>
      <c r="EN36">
        <v>1.8672599999999999</v>
      </c>
      <c r="EO36">
        <v>1.8633999999999999</v>
      </c>
      <c r="EP36">
        <v>1.8645499999999999</v>
      </c>
      <c r="EQ36">
        <v>1.8701700000000001</v>
      </c>
      <c r="ER36">
        <v>1.86947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-0.26900000000000002</v>
      </c>
      <c r="FG36">
        <v>-4.6600000000000003E-2</v>
      </c>
      <c r="FH36">
        <v>0.27827353915413472</v>
      </c>
      <c r="FI36">
        <v>-6.1462078757559423E-4</v>
      </c>
      <c r="FJ36">
        <v>-1.8861989874597051E-7</v>
      </c>
      <c r="FK36">
        <v>1.1980462299894961E-10</v>
      </c>
      <c r="FL36">
        <v>-3.2538871274648329E-2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13</v>
      </c>
      <c r="FU36">
        <v>12.9</v>
      </c>
      <c r="FV36">
        <v>1.7785599999999999</v>
      </c>
      <c r="FW36">
        <v>2.5830099999999998</v>
      </c>
      <c r="FX36">
        <v>1.5490699999999999</v>
      </c>
      <c r="FY36">
        <v>2.3290999999999999</v>
      </c>
      <c r="FZ36">
        <v>1.50146</v>
      </c>
      <c r="GA36">
        <v>2.3120099999999999</v>
      </c>
      <c r="GB36">
        <v>33.828299999999999</v>
      </c>
      <c r="GC36">
        <v>23.956199999999999</v>
      </c>
      <c r="GD36">
        <v>19</v>
      </c>
      <c r="GE36">
        <v>281.47199999999998</v>
      </c>
      <c r="GF36">
        <v>579.16399999999999</v>
      </c>
      <c r="GG36">
        <v>21.3536</v>
      </c>
      <c r="GH36">
        <v>26.478200000000001</v>
      </c>
      <c r="GI36">
        <v>30.003599999999999</v>
      </c>
      <c r="GJ36">
        <v>26.454899999999999</v>
      </c>
      <c r="GK36">
        <v>26.398599999999998</v>
      </c>
      <c r="GL36">
        <v>35.571399999999997</v>
      </c>
      <c r="GM36">
        <v>-30</v>
      </c>
      <c r="GN36">
        <v>-30</v>
      </c>
      <c r="GO36">
        <v>20.788900000000002</v>
      </c>
      <c r="GP36">
        <v>800</v>
      </c>
      <c r="GQ36">
        <v>12.5298</v>
      </c>
      <c r="GR36">
        <v>99.704099999999997</v>
      </c>
      <c r="GS36">
        <v>99.515900000000002</v>
      </c>
    </row>
    <row r="37" spans="1:201" x14ac:dyDescent="0.25">
      <c r="A37">
        <v>21</v>
      </c>
      <c r="B37">
        <v>1690218375</v>
      </c>
      <c r="C37">
        <v>354.5</v>
      </c>
      <c r="D37" t="s">
        <v>371</v>
      </c>
      <c r="E37" t="s">
        <v>372</v>
      </c>
      <c r="F37" t="s">
        <v>330</v>
      </c>
      <c r="H37">
        <v>1690218375</v>
      </c>
      <c r="I37">
        <f t="shared" si="0"/>
        <v>2.7728355198326229E-4</v>
      </c>
      <c r="J37">
        <f t="shared" si="1"/>
        <v>0.27728355198326227</v>
      </c>
      <c r="K37">
        <f t="shared" si="2"/>
        <v>0.41304731050593402</v>
      </c>
      <c r="L37">
        <f t="shared" si="3"/>
        <v>793.17100000000005</v>
      </c>
      <c r="M37">
        <f t="shared" si="4"/>
        <v>685.1975741246074</v>
      </c>
      <c r="N37">
        <f t="shared" si="5"/>
        <v>67.958477751096808</v>
      </c>
      <c r="O37">
        <f t="shared" si="6"/>
        <v>78.667373896032913</v>
      </c>
      <c r="P37">
        <f t="shared" si="7"/>
        <v>9.1767307721505754E-3</v>
      </c>
      <c r="Q37">
        <f t="shared" si="8"/>
        <v>2.1306992570653547</v>
      </c>
      <c r="R37">
        <f t="shared" si="9"/>
        <v>9.1548299392702169E-3</v>
      </c>
      <c r="S37">
        <f t="shared" si="10"/>
        <v>5.7237320218588164E-3</v>
      </c>
      <c r="T37">
        <f t="shared" si="11"/>
        <v>276.11257114074942</v>
      </c>
      <c r="U37">
        <f t="shared" si="12"/>
        <v>28.015310977306669</v>
      </c>
      <c r="V37">
        <f t="shared" si="13"/>
        <v>28.015310977306669</v>
      </c>
      <c r="W37">
        <f t="shared" si="14"/>
        <v>3.798228186786909</v>
      </c>
      <c r="X37">
        <f t="shared" si="15"/>
        <v>25.740875390111491</v>
      </c>
      <c r="Y37">
        <f t="shared" si="16"/>
        <v>0.86483419953252305</v>
      </c>
      <c r="Z37">
        <f t="shared" si="17"/>
        <v>3.3597699628535334</v>
      </c>
      <c r="AA37">
        <f t="shared" si="18"/>
        <v>2.9333939872543859</v>
      </c>
      <c r="AB37">
        <f t="shared" si="19"/>
        <v>-12.228204642461867</v>
      </c>
      <c r="AC37">
        <f t="shared" si="20"/>
        <v>-239.85036039439584</v>
      </c>
      <c r="AD37">
        <f t="shared" si="21"/>
        <v>-24.286997536065059</v>
      </c>
      <c r="AE37">
        <f t="shared" si="22"/>
        <v>-0.25299143217333153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52569.701831693172</v>
      </c>
      <c r="AK37">
        <f t="shared" si="26"/>
        <v>1799.99</v>
      </c>
      <c r="AL37">
        <f t="shared" si="27"/>
        <v>1499.1041413973901</v>
      </c>
      <c r="AM37">
        <f t="shared" si="28"/>
        <v>0.83284026100000008</v>
      </c>
      <c r="AN37">
        <f t="shared" si="29"/>
        <v>0.15339672506000002</v>
      </c>
      <c r="AO37">
        <v>32.4</v>
      </c>
      <c r="AP37">
        <v>0.5</v>
      </c>
      <c r="AQ37" t="s">
        <v>331</v>
      </c>
      <c r="AR37">
        <v>2</v>
      </c>
      <c r="AS37">
        <v>1690218375</v>
      </c>
      <c r="AT37">
        <v>793.17100000000005</v>
      </c>
      <c r="AU37">
        <v>800.00300000000004</v>
      </c>
      <c r="AV37">
        <v>8.7197700000000005</v>
      </c>
      <c r="AW37">
        <v>5.7530400000000004</v>
      </c>
      <c r="AX37">
        <v>793.43899999999996</v>
      </c>
      <c r="AY37">
        <v>8.7662099999999992</v>
      </c>
      <c r="AZ37">
        <v>300.18400000000003</v>
      </c>
      <c r="BA37">
        <v>99.0809</v>
      </c>
      <c r="BB37">
        <v>9.9949899999999994E-2</v>
      </c>
      <c r="BC37">
        <v>25.927299999999999</v>
      </c>
      <c r="BD37">
        <v>27.395499999999998</v>
      </c>
      <c r="BE37">
        <v>27.536799999999999</v>
      </c>
      <c r="BF37">
        <v>0</v>
      </c>
      <c r="BG37">
        <v>0</v>
      </c>
      <c r="BH37">
        <v>9998.1200000000008</v>
      </c>
      <c r="BI37">
        <v>1068.93</v>
      </c>
      <c r="BJ37">
        <v>1.2474700000000001</v>
      </c>
      <c r="BK37">
        <v>-6.83148</v>
      </c>
      <c r="BL37">
        <v>800.14800000000002</v>
      </c>
      <c r="BM37">
        <v>804.63199999999995</v>
      </c>
      <c r="BN37">
        <v>2.9667300000000001</v>
      </c>
      <c r="BO37">
        <v>800.00300000000004</v>
      </c>
      <c r="BP37">
        <v>5.7530400000000004</v>
      </c>
      <c r="BQ37">
        <v>0.86396300000000004</v>
      </c>
      <c r="BR37">
        <v>0.570017</v>
      </c>
      <c r="BS37">
        <v>4.8040500000000002</v>
      </c>
      <c r="BT37">
        <v>-1.01126</v>
      </c>
      <c r="BU37">
        <v>1799.99</v>
      </c>
      <c r="BV37">
        <v>0.91001600000000005</v>
      </c>
      <c r="BW37">
        <v>3.4000599999999999E-2</v>
      </c>
      <c r="BX37">
        <v>2.1992299999999999E-2</v>
      </c>
      <c r="BY37">
        <v>3.3990800000000002E-2</v>
      </c>
      <c r="BZ37">
        <v>25</v>
      </c>
      <c r="CA37">
        <v>33528.199999999997</v>
      </c>
      <c r="CB37">
        <v>1690217592</v>
      </c>
      <c r="CC37" t="s">
        <v>332</v>
      </c>
      <c r="CD37">
        <v>1690217586.5</v>
      </c>
      <c r="CE37">
        <v>1690217592</v>
      </c>
      <c r="CF37">
        <v>9</v>
      </c>
      <c r="CG37">
        <v>0.11600000000000001</v>
      </c>
      <c r="CH37">
        <v>-3.0000000000000001E-3</v>
      </c>
      <c r="CI37">
        <v>-0.27300000000000002</v>
      </c>
      <c r="CJ37">
        <v>-6.9000000000000006E-2</v>
      </c>
      <c r="CK37">
        <v>800</v>
      </c>
      <c r="CL37">
        <v>6</v>
      </c>
      <c r="CM37">
        <v>0.01</v>
      </c>
      <c r="CN37">
        <v>0.01</v>
      </c>
      <c r="CO37">
        <v>-6.1263885365853659</v>
      </c>
      <c r="CP37">
        <v>-3.4524311498257751</v>
      </c>
      <c r="CQ37">
        <v>0.34260215728793397</v>
      </c>
      <c r="CR37">
        <v>-1</v>
      </c>
      <c r="CS37">
        <v>2.9454939024390252</v>
      </c>
      <c r="CT37">
        <v>0.10628696864111629</v>
      </c>
      <c r="CU37">
        <v>1.04906201723367E-2</v>
      </c>
      <c r="CV37">
        <v>-1</v>
      </c>
      <c r="CW37">
        <v>0</v>
      </c>
      <c r="CX37">
        <v>0</v>
      </c>
      <c r="CY37" t="s">
        <v>333</v>
      </c>
      <c r="CZ37">
        <v>2.3643000000000001</v>
      </c>
      <c r="DA37">
        <v>2.71374</v>
      </c>
      <c r="DB37">
        <v>0.145618</v>
      </c>
      <c r="DC37">
        <v>0.146065</v>
      </c>
      <c r="DD37">
        <v>5.4200499999999999E-2</v>
      </c>
      <c r="DE37">
        <v>3.8111600000000002E-2</v>
      </c>
      <c r="DF37">
        <v>31183.599999999999</v>
      </c>
      <c r="DG37">
        <v>27504.1</v>
      </c>
      <c r="DH37">
        <v>31160.2</v>
      </c>
      <c r="DI37">
        <v>28066.5</v>
      </c>
      <c r="DJ37">
        <v>40030.400000000001</v>
      </c>
      <c r="DK37">
        <v>38389.9</v>
      </c>
      <c r="DL37">
        <v>44342.400000000001</v>
      </c>
      <c r="DM37">
        <v>42536.9</v>
      </c>
      <c r="DN37">
        <v>1.4719500000000001</v>
      </c>
      <c r="DO37">
        <v>2.0306000000000002</v>
      </c>
      <c r="DP37">
        <v>0.12324</v>
      </c>
      <c r="DQ37">
        <v>0.14931700000000001</v>
      </c>
      <c r="DR37">
        <v>25.3781</v>
      </c>
      <c r="DS37">
        <v>25.092099999999999</v>
      </c>
      <c r="DT37">
        <v>16.899999999999999</v>
      </c>
      <c r="DU37">
        <v>29.8</v>
      </c>
      <c r="DV37">
        <v>7.1851700000000003</v>
      </c>
      <c r="DW37">
        <v>62.208599999999997</v>
      </c>
      <c r="DX37">
        <v>37.027200000000001</v>
      </c>
      <c r="DY37">
        <v>1</v>
      </c>
      <c r="DZ37">
        <v>-5.9824700000000001E-2</v>
      </c>
      <c r="EA37">
        <v>6.1994699999999998</v>
      </c>
      <c r="EB37">
        <v>20.050899999999999</v>
      </c>
      <c r="EC37">
        <v>5.2404999999999999</v>
      </c>
      <c r="ED37">
        <v>12.039899999999999</v>
      </c>
      <c r="EE37">
        <v>5.0164499999999999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1.86893</v>
      </c>
      <c r="EL37">
        <v>1.86466</v>
      </c>
      <c r="EM37">
        <v>1.8691899999999999</v>
      </c>
      <c r="EN37">
        <v>1.8672500000000001</v>
      </c>
      <c r="EO37">
        <v>1.8633999999999999</v>
      </c>
      <c r="EP37">
        <v>1.8645499999999999</v>
      </c>
      <c r="EQ37">
        <v>1.8702000000000001</v>
      </c>
      <c r="ER37">
        <v>1.86948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-0.26800000000000002</v>
      </c>
      <c r="FG37">
        <v>-4.6399999999999997E-2</v>
      </c>
      <c r="FH37">
        <v>0.27827353915413472</v>
      </c>
      <c r="FI37">
        <v>-6.1462078757559423E-4</v>
      </c>
      <c r="FJ37">
        <v>-1.8861989874597051E-7</v>
      </c>
      <c r="FK37">
        <v>1.1980462299894961E-10</v>
      </c>
      <c r="FL37">
        <v>-3.2538871274648329E-2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13.1</v>
      </c>
      <c r="FU37">
        <v>13.1</v>
      </c>
      <c r="FV37">
        <v>1.7785599999999999</v>
      </c>
      <c r="FW37">
        <v>2.5817899999999998</v>
      </c>
      <c r="FX37">
        <v>1.5490699999999999</v>
      </c>
      <c r="FY37">
        <v>2.3290999999999999</v>
      </c>
      <c r="FZ37">
        <v>1.50146</v>
      </c>
      <c r="GA37">
        <v>2.36084</v>
      </c>
      <c r="GB37">
        <v>33.850900000000003</v>
      </c>
      <c r="GC37">
        <v>23.947399999999998</v>
      </c>
      <c r="GD37">
        <v>19</v>
      </c>
      <c r="GE37">
        <v>281.56900000000002</v>
      </c>
      <c r="GF37">
        <v>579.16899999999998</v>
      </c>
      <c r="GG37">
        <v>20.336099999999998</v>
      </c>
      <c r="GH37">
        <v>26.4893</v>
      </c>
      <c r="GI37">
        <v>30.001899999999999</v>
      </c>
      <c r="GJ37">
        <v>26.4649</v>
      </c>
      <c r="GK37">
        <v>26.406300000000002</v>
      </c>
      <c r="GL37">
        <v>35.570599999999999</v>
      </c>
      <c r="GM37">
        <v>-30</v>
      </c>
      <c r="GN37">
        <v>-30</v>
      </c>
      <c r="GO37">
        <v>19.943100000000001</v>
      </c>
      <c r="GP37">
        <v>800</v>
      </c>
      <c r="GQ37">
        <v>12.5298</v>
      </c>
      <c r="GR37">
        <v>99.697400000000002</v>
      </c>
      <c r="GS37">
        <v>99.5107</v>
      </c>
    </row>
    <row r="38" spans="1:201" x14ac:dyDescent="0.25">
      <c r="A38">
        <v>22</v>
      </c>
      <c r="B38">
        <v>1690218385</v>
      </c>
      <c r="C38">
        <v>364.5</v>
      </c>
      <c r="D38" t="s">
        <v>373</v>
      </c>
      <c r="E38" t="s">
        <v>374</v>
      </c>
      <c r="F38" t="s">
        <v>330</v>
      </c>
      <c r="H38">
        <v>1690218385</v>
      </c>
      <c r="I38">
        <f t="shared" si="0"/>
        <v>2.7894925857994052E-4</v>
      </c>
      <c r="J38">
        <f t="shared" si="1"/>
        <v>0.27894925857994052</v>
      </c>
      <c r="K38">
        <f t="shared" si="2"/>
        <v>0.49156320340932885</v>
      </c>
      <c r="L38">
        <f t="shared" si="3"/>
        <v>792.29600000000005</v>
      </c>
      <c r="M38">
        <f t="shared" si="4"/>
        <v>673.08089293879198</v>
      </c>
      <c r="N38">
        <f t="shared" si="5"/>
        <v>66.76139306943989</v>
      </c>
      <c r="O38">
        <f t="shared" si="6"/>
        <v>78.586073736838415</v>
      </c>
      <c r="P38">
        <f t="shared" si="7"/>
        <v>9.3598848574337409E-3</v>
      </c>
      <c r="Q38">
        <f t="shared" si="8"/>
        <v>2.1312210288969977</v>
      </c>
      <c r="R38">
        <f t="shared" si="9"/>
        <v>9.3371078182604237E-3</v>
      </c>
      <c r="S38">
        <f t="shared" si="10"/>
        <v>5.8377341553259602E-3</v>
      </c>
      <c r="T38">
        <f t="shared" si="11"/>
        <v>276.11343880792901</v>
      </c>
      <c r="U38">
        <f t="shared" si="12"/>
        <v>27.844995406327143</v>
      </c>
      <c r="V38">
        <f t="shared" si="13"/>
        <v>27.844995406327143</v>
      </c>
      <c r="W38">
        <f t="shared" si="14"/>
        <v>3.7606834849546833</v>
      </c>
      <c r="X38">
        <f t="shared" si="15"/>
        <v>26.051951269360679</v>
      </c>
      <c r="Y38">
        <f t="shared" si="16"/>
        <v>0.86653511042322395</v>
      </c>
      <c r="Z38">
        <f t="shared" si="17"/>
        <v>3.3261812194556928</v>
      </c>
      <c r="AA38">
        <f t="shared" si="18"/>
        <v>2.8941483745314596</v>
      </c>
      <c r="AB38">
        <f t="shared" si="19"/>
        <v>-12.301662303375377</v>
      </c>
      <c r="AC38">
        <f t="shared" si="20"/>
        <v>-239.82687769617704</v>
      </c>
      <c r="AD38">
        <f t="shared" si="21"/>
        <v>-24.237430334279889</v>
      </c>
      <c r="AE38">
        <f t="shared" si="22"/>
        <v>-0.25253152590326522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52622.282584751199</v>
      </c>
      <c r="AK38">
        <f t="shared" si="26"/>
        <v>1799.99</v>
      </c>
      <c r="AL38">
        <f t="shared" si="27"/>
        <v>1499.1060205869501</v>
      </c>
      <c r="AM38">
        <f t="shared" si="28"/>
        <v>0.83284130500000009</v>
      </c>
      <c r="AN38">
        <f t="shared" si="29"/>
        <v>0.15339720710000002</v>
      </c>
      <c r="AO38">
        <v>32.4</v>
      </c>
      <c r="AP38">
        <v>0.5</v>
      </c>
      <c r="AQ38" t="s">
        <v>331</v>
      </c>
      <c r="AR38">
        <v>2</v>
      </c>
      <c r="AS38">
        <v>1690218385</v>
      </c>
      <c r="AT38">
        <v>792.29600000000005</v>
      </c>
      <c r="AU38">
        <v>799.98800000000006</v>
      </c>
      <c r="AV38">
        <v>8.7363099999999996</v>
      </c>
      <c r="AW38">
        <v>5.7514500000000002</v>
      </c>
      <c r="AX38">
        <v>792.56399999999996</v>
      </c>
      <c r="AY38">
        <v>8.7825699999999998</v>
      </c>
      <c r="AZ38">
        <v>300.14800000000002</v>
      </c>
      <c r="BA38">
        <v>99.087800000000001</v>
      </c>
      <c r="BB38">
        <v>9.9970400000000001E-2</v>
      </c>
      <c r="BC38">
        <v>25.7577</v>
      </c>
      <c r="BD38">
        <v>27.176100000000002</v>
      </c>
      <c r="BE38">
        <v>27.3353</v>
      </c>
      <c r="BF38">
        <v>0</v>
      </c>
      <c r="BG38">
        <v>0</v>
      </c>
      <c r="BH38">
        <v>10001.9</v>
      </c>
      <c r="BI38">
        <v>1067.96</v>
      </c>
      <c r="BJ38">
        <v>1.4577199999999999</v>
      </c>
      <c r="BK38">
        <v>-7.6918899999999999</v>
      </c>
      <c r="BL38">
        <v>799.279</v>
      </c>
      <c r="BM38">
        <v>804.61599999999999</v>
      </c>
      <c r="BN38">
        <v>2.9848599999999998</v>
      </c>
      <c r="BO38">
        <v>799.98800000000006</v>
      </c>
      <c r="BP38">
        <v>5.7514500000000002</v>
      </c>
      <c r="BQ38">
        <v>0.86566200000000004</v>
      </c>
      <c r="BR38">
        <v>0.56989900000000004</v>
      </c>
      <c r="BS38">
        <v>4.8322000000000003</v>
      </c>
      <c r="BT38">
        <v>-1.0140800000000001</v>
      </c>
      <c r="BU38">
        <v>1799.99</v>
      </c>
      <c r="BV38">
        <v>0.91001600000000005</v>
      </c>
      <c r="BW38">
        <v>3.3996999999999999E-2</v>
      </c>
      <c r="BX38">
        <v>2.1999500000000002E-2</v>
      </c>
      <c r="BY38">
        <v>3.3987200000000002E-2</v>
      </c>
      <c r="BZ38">
        <v>25</v>
      </c>
      <c r="CA38">
        <v>33528.199999999997</v>
      </c>
      <c r="CB38">
        <v>1690217592</v>
      </c>
      <c r="CC38" t="s">
        <v>332</v>
      </c>
      <c r="CD38">
        <v>1690217586.5</v>
      </c>
      <c r="CE38">
        <v>1690217592</v>
      </c>
      <c r="CF38">
        <v>9</v>
      </c>
      <c r="CG38">
        <v>0.11600000000000001</v>
      </c>
      <c r="CH38">
        <v>-3.0000000000000001E-3</v>
      </c>
      <c r="CI38">
        <v>-0.27300000000000002</v>
      </c>
      <c r="CJ38">
        <v>-6.9000000000000006E-2</v>
      </c>
      <c r="CK38">
        <v>800</v>
      </c>
      <c r="CL38">
        <v>6</v>
      </c>
      <c r="CM38">
        <v>0.01</v>
      </c>
      <c r="CN38">
        <v>0.01</v>
      </c>
      <c r="CO38">
        <v>-6.8134524999999986</v>
      </c>
      <c r="CP38">
        <v>-4.1620858536585406</v>
      </c>
      <c r="CQ38">
        <v>0.40221000173883048</v>
      </c>
      <c r="CR38">
        <v>-1</v>
      </c>
      <c r="CS38">
        <v>2.9650205000000001</v>
      </c>
      <c r="CT38">
        <v>0.11067647279548649</v>
      </c>
      <c r="CU38">
        <v>1.065519332297634E-2</v>
      </c>
      <c r="CV38">
        <v>-1</v>
      </c>
      <c r="CW38">
        <v>0</v>
      </c>
      <c r="CX38">
        <v>0</v>
      </c>
      <c r="CY38" t="s">
        <v>333</v>
      </c>
      <c r="CZ38">
        <v>2.36415</v>
      </c>
      <c r="DA38">
        <v>2.7137600000000002</v>
      </c>
      <c r="DB38">
        <v>0.14551800000000001</v>
      </c>
      <c r="DC38">
        <v>0.14607100000000001</v>
      </c>
      <c r="DD38">
        <v>5.4282400000000001E-2</v>
      </c>
      <c r="DE38">
        <v>3.8104800000000001E-2</v>
      </c>
      <c r="DF38">
        <v>31187.3</v>
      </c>
      <c r="DG38">
        <v>27504</v>
      </c>
      <c r="DH38">
        <v>31160.3</v>
      </c>
      <c r="DI38">
        <v>28066.6</v>
      </c>
      <c r="DJ38">
        <v>40027.1</v>
      </c>
      <c r="DK38">
        <v>38390.400000000001</v>
      </c>
      <c r="DL38">
        <v>44342.7</v>
      </c>
      <c r="DM38">
        <v>42537.1</v>
      </c>
      <c r="DN38">
        <v>1.4712499999999999</v>
      </c>
      <c r="DO38">
        <v>2.0301999999999998</v>
      </c>
      <c r="DP38">
        <v>0.111446</v>
      </c>
      <c r="DQ38">
        <v>0.13875999999999999</v>
      </c>
      <c r="DR38">
        <v>25.351299999999998</v>
      </c>
      <c r="DS38">
        <v>25.063099999999999</v>
      </c>
      <c r="DT38">
        <v>16.899999999999999</v>
      </c>
      <c r="DU38">
        <v>29.8</v>
      </c>
      <c r="DV38">
        <v>7.1825200000000002</v>
      </c>
      <c r="DW38">
        <v>62.258600000000001</v>
      </c>
      <c r="DX38">
        <v>36.650599999999997</v>
      </c>
      <c r="DY38">
        <v>1</v>
      </c>
      <c r="DZ38">
        <v>-5.9527400000000001E-2</v>
      </c>
      <c r="EA38">
        <v>6.0537599999999996</v>
      </c>
      <c r="EB38">
        <v>20.060199999999998</v>
      </c>
      <c r="EC38">
        <v>5.2401999999999997</v>
      </c>
      <c r="ED38">
        <v>12.039899999999999</v>
      </c>
      <c r="EE38">
        <v>5.0166500000000003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1.86894</v>
      </c>
      <c r="EL38">
        <v>1.86466</v>
      </c>
      <c r="EM38">
        <v>1.8692</v>
      </c>
      <c r="EN38">
        <v>1.8672800000000001</v>
      </c>
      <c r="EO38">
        <v>1.8634200000000001</v>
      </c>
      <c r="EP38">
        <v>1.8645400000000001</v>
      </c>
      <c r="EQ38">
        <v>1.8702099999999999</v>
      </c>
      <c r="ER38">
        <v>1.86947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-0.26800000000000002</v>
      </c>
      <c r="FG38">
        <v>-4.6300000000000001E-2</v>
      </c>
      <c r="FH38">
        <v>0.27827353915413472</v>
      </c>
      <c r="FI38">
        <v>-6.1462078757559423E-4</v>
      </c>
      <c r="FJ38">
        <v>-1.8861989874597051E-7</v>
      </c>
      <c r="FK38">
        <v>1.1980462299894961E-10</v>
      </c>
      <c r="FL38">
        <v>-3.2538871274648329E-2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13.3</v>
      </c>
      <c r="FU38">
        <v>13.2</v>
      </c>
      <c r="FV38">
        <v>1.7785599999999999</v>
      </c>
      <c r="FW38">
        <v>2.5866699999999998</v>
      </c>
      <c r="FX38">
        <v>1.5490699999999999</v>
      </c>
      <c r="FY38">
        <v>2.3290999999999999</v>
      </c>
      <c r="FZ38">
        <v>1.50146</v>
      </c>
      <c r="GA38">
        <v>2.3022499999999999</v>
      </c>
      <c r="GB38">
        <v>33.850900000000003</v>
      </c>
      <c r="GC38">
        <v>23.938700000000001</v>
      </c>
      <c r="GD38">
        <v>19</v>
      </c>
      <c r="GE38">
        <v>281.315</v>
      </c>
      <c r="GF38">
        <v>578.92100000000005</v>
      </c>
      <c r="GG38">
        <v>19.553999999999998</v>
      </c>
      <c r="GH38">
        <v>26.500499999999999</v>
      </c>
      <c r="GI38">
        <v>30.000599999999999</v>
      </c>
      <c r="GJ38">
        <v>26.474900000000002</v>
      </c>
      <c r="GK38">
        <v>26.413399999999999</v>
      </c>
      <c r="GL38">
        <v>35.572899999999997</v>
      </c>
      <c r="GM38">
        <v>-30</v>
      </c>
      <c r="GN38">
        <v>-30</v>
      </c>
      <c r="GO38">
        <v>19.377700000000001</v>
      </c>
      <c r="GP38">
        <v>800</v>
      </c>
      <c r="GQ38">
        <v>12.5298</v>
      </c>
      <c r="GR38">
        <v>99.697800000000001</v>
      </c>
      <c r="GS38">
        <v>99.511200000000002</v>
      </c>
    </row>
    <row r="39" spans="1:201" x14ac:dyDescent="0.25">
      <c r="A39">
        <v>23</v>
      </c>
      <c r="B39">
        <v>1690218395</v>
      </c>
      <c r="C39">
        <v>374.5</v>
      </c>
      <c r="D39" t="s">
        <v>375</v>
      </c>
      <c r="E39" t="s">
        <v>376</v>
      </c>
      <c r="F39" t="s">
        <v>330</v>
      </c>
      <c r="H39">
        <v>1690218395</v>
      </c>
      <c r="I39">
        <f t="shared" si="0"/>
        <v>2.8101592642027737E-4</v>
      </c>
      <c r="J39">
        <f t="shared" si="1"/>
        <v>0.2810159264202774</v>
      </c>
      <c r="K39">
        <f t="shared" si="2"/>
        <v>0.5731712796647731</v>
      </c>
      <c r="L39">
        <f t="shared" si="3"/>
        <v>791.47400000000005</v>
      </c>
      <c r="M39">
        <f t="shared" si="4"/>
        <v>660.8430927995521</v>
      </c>
      <c r="N39">
        <f t="shared" si="5"/>
        <v>65.544257863198553</v>
      </c>
      <c r="O39">
        <f t="shared" si="6"/>
        <v>78.500594941910805</v>
      </c>
      <c r="P39">
        <f t="shared" si="7"/>
        <v>9.5400531923881381E-3</v>
      </c>
      <c r="Q39">
        <f t="shared" si="8"/>
        <v>2.1273666409127507</v>
      </c>
      <c r="R39">
        <f t="shared" si="9"/>
        <v>9.5163492859011503E-3</v>
      </c>
      <c r="S39">
        <f t="shared" si="10"/>
        <v>5.9498430575596929E-3</v>
      </c>
      <c r="T39">
        <f t="shared" si="11"/>
        <v>276.11493216963248</v>
      </c>
      <c r="U39">
        <f t="shared" si="12"/>
        <v>27.702600134182937</v>
      </c>
      <c r="V39">
        <f t="shared" si="13"/>
        <v>27.702600134182937</v>
      </c>
      <c r="W39">
        <f t="shared" si="14"/>
        <v>3.7295425403096223</v>
      </c>
      <c r="X39">
        <f t="shared" si="15"/>
        <v>26.339770218801366</v>
      </c>
      <c r="Y39">
        <f t="shared" si="16"/>
        <v>0.86858529800876394</v>
      </c>
      <c r="Z39">
        <f t="shared" si="17"/>
        <v>3.2976191166191966</v>
      </c>
      <c r="AA39">
        <f t="shared" si="18"/>
        <v>2.8609572423008585</v>
      </c>
      <c r="AB39">
        <f t="shared" si="19"/>
        <v>-12.392802355134233</v>
      </c>
      <c r="AC39">
        <f t="shared" si="20"/>
        <v>-239.73775638743999</v>
      </c>
      <c r="AD39">
        <f t="shared" si="21"/>
        <v>-24.237388345649684</v>
      </c>
      <c r="AE39">
        <f t="shared" si="22"/>
        <v>-0.25301491859141834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52481.004967734225</v>
      </c>
      <c r="AK39">
        <f t="shared" si="26"/>
        <v>1799.99</v>
      </c>
      <c r="AL39">
        <f t="shared" si="27"/>
        <v>1499.1042385968501</v>
      </c>
      <c r="AM39">
        <f t="shared" si="28"/>
        <v>0.832840315</v>
      </c>
      <c r="AN39">
        <f t="shared" si="29"/>
        <v>0.15339803674999999</v>
      </c>
      <c r="AO39">
        <v>32.4</v>
      </c>
      <c r="AP39">
        <v>0.5</v>
      </c>
      <c r="AQ39" t="s">
        <v>331</v>
      </c>
      <c r="AR39">
        <v>2</v>
      </c>
      <c r="AS39">
        <v>1690218395</v>
      </c>
      <c r="AT39">
        <v>791.47400000000005</v>
      </c>
      <c r="AU39">
        <v>800.06200000000001</v>
      </c>
      <c r="AV39">
        <v>8.7574199999999998</v>
      </c>
      <c r="AW39">
        <v>5.7505499999999996</v>
      </c>
      <c r="AX39">
        <v>791.74099999999999</v>
      </c>
      <c r="AY39">
        <v>8.8034300000000005</v>
      </c>
      <c r="AZ39">
        <v>300.15199999999999</v>
      </c>
      <c r="BA39">
        <v>99.082800000000006</v>
      </c>
      <c r="BB39">
        <v>9.9984199999999995E-2</v>
      </c>
      <c r="BC39">
        <v>25.612300000000001</v>
      </c>
      <c r="BD39">
        <v>26.957000000000001</v>
      </c>
      <c r="BE39">
        <v>27.176600000000001</v>
      </c>
      <c r="BF39">
        <v>0</v>
      </c>
      <c r="BG39">
        <v>0</v>
      </c>
      <c r="BH39">
        <v>9969.3799999999992</v>
      </c>
      <c r="BI39">
        <v>1067.05</v>
      </c>
      <c r="BJ39">
        <v>1.4577199999999999</v>
      </c>
      <c r="BK39">
        <v>-8.5880100000000006</v>
      </c>
      <c r="BL39">
        <v>798.46699999999998</v>
      </c>
      <c r="BM39">
        <v>804.69</v>
      </c>
      <c r="BN39">
        <v>3.0068700000000002</v>
      </c>
      <c r="BO39">
        <v>800.06200000000001</v>
      </c>
      <c r="BP39">
        <v>5.7505499999999996</v>
      </c>
      <c r="BQ39">
        <v>0.86770999999999998</v>
      </c>
      <c r="BR39">
        <v>0.56978099999999998</v>
      </c>
      <c r="BS39">
        <v>4.8660500000000004</v>
      </c>
      <c r="BT39">
        <v>-1.01692</v>
      </c>
      <c r="BU39">
        <v>1799.99</v>
      </c>
      <c r="BV39">
        <v>0.90998699999999999</v>
      </c>
      <c r="BW39">
        <v>3.3992500000000002E-2</v>
      </c>
      <c r="BX39">
        <v>2.2008E-2</v>
      </c>
      <c r="BY39">
        <v>3.40127E-2</v>
      </c>
      <c r="BZ39">
        <v>25</v>
      </c>
      <c r="CA39">
        <v>33528.1</v>
      </c>
      <c r="CB39">
        <v>1690217592</v>
      </c>
      <c r="CC39" t="s">
        <v>332</v>
      </c>
      <c r="CD39">
        <v>1690217586.5</v>
      </c>
      <c r="CE39">
        <v>1690217592</v>
      </c>
      <c r="CF39">
        <v>9</v>
      </c>
      <c r="CG39">
        <v>0.11600000000000001</v>
      </c>
      <c r="CH39">
        <v>-3.0000000000000001E-3</v>
      </c>
      <c r="CI39">
        <v>-0.27300000000000002</v>
      </c>
      <c r="CJ39">
        <v>-6.9000000000000006E-2</v>
      </c>
      <c r="CK39">
        <v>800</v>
      </c>
      <c r="CL39">
        <v>6</v>
      </c>
      <c r="CM39">
        <v>0.01</v>
      </c>
      <c r="CN39">
        <v>0.01</v>
      </c>
      <c r="CO39">
        <v>-7.5997620000000001</v>
      </c>
      <c r="CP39">
        <v>-5.2156232645403362</v>
      </c>
      <c r="CQ39">
        <v>0.50332061298540109</v>
      </c>
      <c r="CR39">
        <v>-1</v>
      </c>
      <c r="CS39">
        <v>2.9841372499999999</v>
      </c>
      <c r="CT39">
        <v>0.1175213133208223</v>
      </c>
      <c r="CU39">
        <v>1.1328373004871439E-2</v>
      </c>
      <c r="CV39">
        <v>-1</v>
      </c>
      <c r="CW39">
        <v>0</v>
      </c>
      <c r="CX39">
        <v>0</v>
      </c>
      <c r="CY39" t="s">
        <v>333</v>
      </c>
      <c r="CZ39">
        <v>2.36416</v>
      </c>
      <c r="DA39">
        <v>2.7137500000000001</v>
      </c>
      <c r="DB39">
        <v>0.14540700000000001</v>
      </c>
      <c r="DC39">
        <v>0.14607000000000001</v>
      </c>
      <c r="DD39">
        <v>5.4379900000000002E-2</v>
      </c>
      <c r="DE39">
        <v>3.8097100000000002E-2</v>
      </c>
      <c r="DF39">
        <v>31191.3</v>
      </c>
      <c r="DG39">
        <v>27504.1</v>
      </c>
      <c r="DH39">
        <v>31160.3</v>
      </c>
      <c r="DI39">
        <v>28066.799999999999</v>
      </c>
      <c r="DJ39">
        <v>40022.800000000003</v>
      </c>
      <c r="DK39">
        <v>38390.9</v>
      </c>
      <c r="DL39">
        <v>44342.5</v>
      </c>
      <c r="DM39">
        <v>42537.3</v>
      </c>
      <c r="DN39">
        <v>1.4716499999999999</v>
      </c>
      <c r="DO39">
        <v>2.0301</v>
      </c>
      <c r="DP39">
        <v>0.100262</v>
      </c>
      <c r="DQ39">
        <v>0.13162199999999999</v>
      </c>
      <c r="DR39">
        <v>25.315000000000001</v>
      </c>
      <c r="DS39">
        <v>25.020900000000001</v>
      </c>
      <c r="DT39">
        <v>16.899999999999999</v>
      </c>
      <c r="DU39">
        <v>29.8</v>
      </c>
      <c r="DV39">
        <v>7.1833</v>
      </c>
      <c r="DW39">
        <v>62.458599999999997</v>
      </c>
      <c r="DX39">
        <v>36.402200000000001</v>
      </c>
      <c r="DY39">
        <v>1</v>
      </c>
      <c r="DZ39">
        <v>-6.20198E-2</v>
      </c>
      <c r="EA39">
        <v>5.0973699999999997</v>
      </c>
      <c r="EB39">
        <v>20.1005</v>
      </c>
      <c r="EC39">
        <v>5.2404999999999999</v>
      </c>
      <c r="ED39">
        <v>12.039899999999999</v>
      </c>
      <c r="EE39">
        <v>5.0164499999999999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1.86893</v>
      </c>
      <c r="EL39">
        <v>1.86469</v>
      </c>
      <c r="EM39">
        <v>1.8692</v>
      </c>
      <c r="EN39">
        <v>1.8673</v>
      </c>
      <c r="EO39">
        <v>1.8634200000000001</v>
      </c>
      <c r="EP39">
        <v>1.86453</v>
      </c>
      <c r="EQ39">
        <v>1.8702000000000001</v>
      </c>
      <c r="ER39">
        <v>1.86948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-0.26700000000000002</v>
      </c>
      <c r="FG39">
        <v>-4.5999999999999999E-2</v>
      </c>
      <c r="FH39">
        <v>0.27827353915413472</v>
      </c>
      <c r="FI39">
        <v>-6.1462078757559423E-4</v>
      </c>
      <c r="FJ39">
        <v>-1.8861989874597051E-7</v>
      </c>
      <c r="FK39">
        <v>1.1980462299894961E-10</v>
      </c>
      <c r="FL39">
        <v>-3.2538871274648329E-2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13.5</v>
      </c>
      <c r="FU39">
        <v>13.4</v>
      </c>
      <c r="FV39">
        <v>1.7785599999999999</v>
      </c>
      <c r="FW39">
        <v>2.5903299999999998</v>
      </c>
      <c r="FX39">
        <v>1.5490699999999999</v>
      </c>
      <c r="FY39">
        <v>2.3290999999999999</v>
      </c>
      <c r="FZ39">
        <v>1.50024</v>
      </c>
      <c r="GA39">
        <v>2.2753899999999998</v>
      </c>
      <c r="GB39">
        <v>33.850900000000003</v>
      </c>
      <c r="GC39">
        <v>23.956199999999999</v>
      </c>
      <c r="GD39">
        <v>19</v>
      </c>
      <c r="GE39">
        <v>281.524</v>
      </c>
      <c r="GF39">
        <v>578.93200000000002</v>
      </c>
      <c r="GG39">
        <v>19.133400000000002</v>
      </c>
      <c r="GH39">
        <v>26.511700000000001</v>
      </c>
      <c r="GI39">
        <v>29.998899999999999</v>
      </c>
      <c r="GJ39">
        <v>26.483799999999999</v>
      </c>
      <c r="GK39">
        <v>26.421800000000001</v>
      </c>
      <c r="GL39">
        <v>35.573900000000002</v>
      </c>
      <c r="GM39">
        <v>-30</v>
      </c>
      <c r="GN39">
        <v>-30</v>
      </c>
      <c r="GO39">
        <v>19.2315</v>
      </c>
      <c r="GP39">
        <v>800</v>
      </c>
      <c r="GQ39">
        <v>12.5298</v>
      </c>
      <c r="GR39">
        <v>99.697500000000005</v>
      </c>
      <c r="GS39">
        <v>99.511600000000001</v>
      </c>
    </row>
    <row r="40" spans="1:201" x14ac:dyDescent="0.25">
      <c r="A40">
        <v>24</v>
      </c>
      <c r="B40">
        <v>1690218405</v>
      </c>
      <c r="C40">
        <v>384.5</v>
      </c>
      <c r="D40" t="s">
        <v>377</v>
      </c>
      <c r="E40" t="s">
        <v>378</v>
      </c>
      <c r="F40" t="s">
        <v>330</v>
      </c>
      <c r="H40">
        <v>1690218405</v>
      </c>
      <c r="I40">
        <f t="shared" si="0"/>
        <v>2.8420516974266149E-4</v>
      </c>
      <c r="J40">
        <f t="shared" si="1"/>
        <v>0.28420516974266147</v>
      </c>
      <c r="K40">
        <f t="shared" si="2"/>
        <v>0.65265818793979047</v>
      </c>
      <c r="L40">
        <f t="shared" si="3"/>
        <v>790.49300000000005</v>
      </c>
      <c r="M40">
        <f t="shared" si="4"/>
        <v>649.37406874184796</v>
      </c>
      <c r="N40">
        <f t="shared" si="5"/>
        <v>64.407701147203269</v>
      </c>
      <c r="O40">
        <f t="shared" si="6"/>
        <v>78.404481105321821</v>
      </c>
      <c r="P40">
        <f t="shared" si="7"/>
        <v>9.7407869046751885E-3</v>
      </c>
      <c r="Q40">
        <f t="shared" si="8"/>
        <v>2.1308126983445419</v>
      </c>
      <c r="R40">
        <f t="shared" si="9"/>
        <v>9.7161162374076945E-3</v>
      </c>
      <c r="S40">
        <f t="shared" si="10"/>
        <v>6.0747839615571848E-3</v>
      </c>
      <c r="T40">
        <f t="shared" si="11"/>
        <v>276.11469759493571</v>
      </c>
      <c r="U40">
        <f t="shared" si="12"/>
        <v>27.594709290324886</v>
      </c>
      <c r="V40">
        <f t="shared" si="13"/>
        <v>27.594709290324886</v>
      </c>
      <c r="W40">
        <f t="shared" si="14"/>
        <v>3.7060975611432418</v>
      </c>
      <c r="X40">
        <f t="shared" si="15"/>
        <v>26.601503968767837</v>
      </c>
      <c r="Y40">
        <f t="shared" si="16"/>
        <v>0.87182190931139214</v>
      </c>
      <c r="Z40">
        <f t="shared" si="17"/>
        <v>3.2773406734257451</v>
      </c>
      <c r="AA40">
        <f t="shared" si="18"/>
        <v>2.8342756518318497</v>
      </c>
      <c r="AB40">
        <f t="shared" si="19"/>
        <v>-12.533447985651371</v>
      </c>
      <c r="AC40">
        <f t="shared" si="20"/>
        <v>-239.6676467180086</v>
      </c>
      <c r="AD40">
        <f t="shared" si="21"/>
        <v>-24.165475408698939</v>
      </c>
      <c r="AE40">
        <f t="shared" si="22"/>
        <v>-0.25187251742320882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52648.461743748543</v>
      </c>
      <c r="AK40">
        <f t="shared" si="26"/>
        <v>1799.99</v>
      </c>
      <c r="AL40">
        <f t="shared" si="27"/>
        <v>1499.1008150158698</v>
      </c>
      <c r="AM40">
        <f t="shared" si="28"/>
        <v>0.83283841299999983</v>
      </c>
      <c r="AN40">
        <f t="shared" si="29"/>
        <v>0.15339790643000001</v>
      </c>
      <c r="AO40">
        <v>32.4</v>
      </c>
      <c r="AP40">
        <v>0.5</v>
      </c>
      <c r="AQ40" t="s">
        <v>331</v>
      </c>
      <c r="AR40">
        <v>2</v>
      </c>
      <c r="AS40">
        <v>1690218405</v>
      </c>
      <c r="AT40">
        <v>790.49300000000005</v>
      </c>
      <c r="AU40">
        <v>799.96199999999999</v>
      </c>
      <c r="AV40">
        <v>8.7899200000000004</v>
      </c>
      <c r="AW40">
        <v>5.7494300000000003</v>
      </c>
      <c r="AX40">
        <v>790.75900000000001</v>
      </c>
      <c r="AY40">
        <v>8.8355599999999992</v>
      </c>
      <c r="AZ40">
        <v>300.19200000000001</v>
      </c>
      <c r="BA40">
        <v>99.084299999999999</v>
      </c>
      <c r="BB40">
        <v>9.9982600000000005E-2</v>
      </c>
      <c r="BC40">
        <v>25.508400000000002</v>
      </c>
      <c r="BD40">
        <v>26.859200000000001</v>
      </c>
      <c r="BE40">
        <v>27.038399999999999</v>
      </c>
      <c r="BF40">
        <v>0</v>
      </c>
      <c r="BG40">
        <v>0</v>
      </c>
      <c r="BH40">
        <v>9998.75</v>
      </c>
      <c r="BI40">
        <v>1065.96</v>
      </c>
      <c r="BJ40">
        <v>1.4577199999999999</v>
      </c>
      <c r="BK40">
        <v>-9.4697300000000002</v>
      </c>
      <c r="BL40">
        <v>797.50300000000004</v>
      </c>
      <c r="BM40">
        <v>804.58799999999997</v>
      </c>
      <c r="BN40">
        <v>3.0404900000000001</v>
      </c>
      <c r="BO40">
        <v>799.96199999999999</v>
      </c>
      <c r="BP40">
        <v>5.7494300000000003</v>
      </c>
      <c r="BQ40">
        <v>0.87094400000000005</v>
      </c>
      <c r="BR40">
        <v>0.56967900000000005</v>
      </c>
      <c r="BS40">
        <v>4.9193699999999998</v>
      </c>
      <c r="BT40">
        <v>-1.01936</v>
      </c>
      <c r="BU40">
        <v>1799.99</v>
      </c>
      <c r="BV40">
        <v>0.90997899999999998</v>
      </c>
      <c r="BW40">
        <v>3.4005399999999998E-2</v>
      </c>
      <c r="BX40">
        <v>2.2005400000000001E-2</v>
      </c>
      <c r="BY40">
        <v>3.4010100000000001E-2</v>
      </c>
      <c r="BZ40">
        <v>25</v>
      </c>
      <c r="CA40">
        <v>33528.1</v>
      </c>
      <c r="CB40">
        <v>1690217592</v>
      </c>
      <c r="CC40" t="s">
        <v>332</v>
      </c>
      <c r="CD40">
        <v>1690217586.5</v>
      </c>
      <c r="CE40">
        <v>1690217592</v>
      </c>
      <c r="CF40">
        <v>9</v>
      </c>
      <c r="CG40">
        <v>0.11600000000000001</v>
      </c>
      <c r="CH40">
        <v>-3.0000000000000001E-3</v>
      </c>
      <c r="CI40">
        <v>-0.27300000000000002</v>
      </c>
      <c r="CJ40">
        <v>-6.9000000000000006E-2</v>
      </c>
      <c r="CK40">
        <v>800</v>
      </c>
      <c r="CL40">
        <v>6</v>
      </c>
      <c r="CM40">
        <v>0.01</v>
      </c>
      <c r="CN40">
        <v>0.01</v>
      </c>
      <c r="CO40">
        <v>-8.4136797560975616</v>
      </c>
      <c r="CP40">
        <v>-5.2969045296167501</v>
      </c>
      <c r="CQ40">
        <v>0.52358020917659209</v>
      </c>
      <c r="CR40">
        <v>-1</v>
      </c>
      <c r="CS40">
        <v>3.004283902439024</v>
      </c>
      <c r="CT40">
        <v>0.1452213240418154</v>
      </c>
      <c r="CU40">
        <v>1.436984068653291E-2</v>
      </c>
      <c r="CV40">
        <v>-1</v>
      </c>
      <c r="CW40">
        <v>0</v>
      </c>
      <c r="CX40">
        <v>0</v>
      </c>
      <c r="CY40" t="s">
        <v>333</v>
      </c>
      <c r="CZ40">
        <v>2.3642799999999999</v>
      </c>
      <c r="DA40">
        <v>2.7137699999999998</v>
      </c>
      <c r="DB40">
        <v>0.145287</v>
      </c>
      <c r="DC40">
        <v>0.14605799999999999</v>
      </c>
      <c r="DD40">
        <v>5.4535599999999997E-2</v>
      </c>
      <c r="DE40">
        <v>3.8090899999999997E-2</v>
      </c>
      <c r="DF40">
        <v>31196</v>
      </c>
      <c r="DG40">
        <v>27504.3</v>
      </c>
      <c r="DH40">
        <v>31160.7</v>
      </c>
      <c r="DI40">
        <v>28066.5</v>
      </c>
      <c r="DJ40">
        <v>40016.400000000001</v>
      </c>
      <c r="DK40">
        <v>38391.199999999997</v>
      </c>
      <c r="DL40">
        <v>44342.8</v>
      </c>
      <c r="DM40">
        <v>42537.5</v>
      </c>
      <c r="DN40">
        <v>1.4738199999999999</v>
      </c>
      <c r="DO40">
        <v>2.0299200000000002</v>
      </c>
      <c r="DP40">
        <v>9.6812800000000004E-2</v>
      </c>
      <c r="DQ40">
        <v>0.12628</v>
      </c>
      <c r="DR40">
        <v>25.273499999999999</v>
      </c>
      <c r="DS40">
        <v>24.969799999999999</v>
      </c>
      <c r="DT40">
        <v>16.899999999999999</v>
      </c>
      <c r="DU40">
        <v>29.8</v>
      </c>
      <c r="DV40">
        <v>7.1839700000000004</v>
      </c>
      <c r="DW40">
        <v>61.848599999999998</v>
      </c>
      <c r="DX40">
        <v>36.262</v>
      </c>
      <c r="DY40">
        <v>1</v>
      </c>
      <c r="DZ40">
        <v>-6.54497E-2</v>
      </c>
      <c r="EA40">
        <v>-2.4582899999999999</v>
      </c>
      <c r="EB40">
        <v>20.143699999999999</v>
      </c>
      <c r="EC40">
        <v>5.2398999999999996</v>
      </c>
      <c r="ED40">
        <v>12.039899999999999</v>
      </c>
      <c r="EE40">
        <v>5.0164999999999997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1.8689499999999999</v>
      </c>
      <c r="EL40">
        <v>1.86466</v>
      </c>
      <c r="EM40">
        <v>1.8692</v>
      </c>
      <c r="EN40">
        <v>1.8672800000000001</v>
      </c>
      <c r="EO40">
        <v>1.8633999999999999</v>
      </c>
      <c r="EP40">
        <v>1.8645700000000001</v>
      </c>
      <c r="EQ40">
        <v>1.87015</v>
      </c>
      <c r="ER40">
        <v>1.86941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-0.26600000000000001</v>
      </c>
      <c r="FG40">
        <v>-4.5600000000000002E-2</v>
      </c>
      <c r="FH40">
        <v>0.27827353915413472</v>
      </c>
      <c r="FI40">
        <v>-6.1462078757559423E-4</v>
      </c>
      <c r="FJ40">
        <v>-1.8861989874597051E-7</v>
      </c>
      <c r="FK40">
        <v>1.1980462299894961E-10</v>
      </c>
      <c r="FL40">
        <v>-3.2538871274648329E-2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13.6</v>
      </c>
      <c r="FU40">
        <v>13.6</v>
      </c>
      <c r="FV40">
        <v>1.77979</v>
      </c>
      <c r="FW40">
        <v>2.5915499999999998</v>
      </c>
      <c r="FX40">
        <v>1.5490699999999999</v>
      </c>
      <c r="FY40">
        <v>2.3290999999999999</v>
      </c>
      <c r="FZ40">
        <v>1.50146</v>
      </c>
      <c r="GA40">
        <v>2.32666</v>
      </c>
      <c r="GB40">
        <v>33.850900000000003</v>
      </c>
      <c r="GC40">
        <v>23.982399999999998</v>
      </c>
      <c r="GD40">
        <v>19</v>
      </c>
      <c r="GE40">
        <v>282.49200000000002</v>
      </c>
      <c r="GF40">
        <v>578.86800000000005</v>
      </c>
      <c r="GG40">
        <v>20.316600000000001</v>
      </c>
      <c r="GH40">
        <v>26.5229</v>
      </c>
      <c r="GI40">
        <v>29.9986</v>
      </c>
      <c r="GJ40">
        <v>26.493099999999998</v>
      </c>
      <c r="GK40">
        <v>26.428899999999999</v>
      </c>
      <c r="GL40">
        <v>35.5747</v>
      </c>
      <c r="GM40">
        <v>-30</v>
      </c>
      <c r="GN40">
        <v>-30</v>
      </c>
      <c r="GO40">
        <v>21.1279</v>
      </c>
      <c r="GP40">
        <v>800</v>
      </c>
      <c r="GQ40">
        <v>12.5298</v>
      </c>
      <c r="GR40">
        <v>99.698499999999996</v>
      </c>
      <c r="GS40">
        <v>99.511499999999998</v>
      </c>
    </row>
    <row r="41" spans="1:201" x14ac:dyDescent="0.25">
      <c r="A41">
        <v>25</v>
      </c>
      <c r="B41">
        <v>1690218415</v>
      </c>
      <c r="C41">
        <v>394.5</v>
      </c>
      <c r="D41" t="s">
        <v>379</v>
      </c>
      <c r="E41" t="s">
        <v>380</v>
      </c>
      <c r="F41" t="s">
        <v>330</v>
      </c>
      <c r="H41">
        <v>1690218415</v>
      </c>
      <c r="I41">
        <f t="shared" si="0"/>
        <v>2.9105389841500796E-4</v>
      </c>
      <c r="J41">
        <f t="shared" si="1"/>
        <v>0.29105389841500795</v>
      </c>
      <c r="K41">
        <f t="shared" si="2"/>
        <v>0.75758710830480724</v>
      </c>
      <c r="L41">
        <f t="shared" si="3"/>
        <v>789.36500000000001</v>
      </c>
      <c r="M41">
        <f t="shared" si="4"/>
        <v>633.53469883782998</v>
      </c>
      <c r="N41">
        <f t="shared" si="5"/>
        <v>62.838512607457247</v>
      </c>
      <c r="O41">
        <f t="shared" si="6"/>
        <v>78.294878868319998</v>
      </c>
      <c r="P41">
        <f t="shared" si="7"/>
        <v>9.9266610458510485E-3</v>
      </c>
      <c r="Q41">
        <f t="shared" si="8"/>
        <v>2.1289498797942605</v>
      </c>
      <c r="R41">
        <f t="shared" si="9"/>
        <v>9.901018843979547E-3</v>
      </c>
      <c r="S41">
        <f t="shared" si="10"/>
        <v>6.1904350650073495E-3</v>
      </c>
      <c r="T41">
        <f t="shared" si="11"/>
        <v>276.11306332098582</v>
      </c>
      <c r="U41">
        <f t="shared" si="12"/>
        <v>27.690978540279701</v>
      </c>
      <c r="V41">
        <f t="shared" si="13"/>
        <v>27.690978540279701</v>
      </c>
      <c r="W41">
        <f t="shared" si="14"/>
        <v>3.7270109320347191</v>
      </c>
      <c r="X41">
        <f t="shared" si="15"/>
        <v>26.665252986385241</v>
      </c>
      <c r="Y41">
        <f t="shared" si="16"/>
        <v>0.87896891040896008</v>
      </c>
      <c r="Z41">
        <f t="shared" si="17"/>
        <v>3.2963081612529406</v>
      </c>
      <c r="AA41">
        <f t="shared" si="18"/>
        <v>2.8480420216257589</v>
      </c>
      <c r="AB41">
        <f t="shared" si="19"/>
        <v>-12.835476920101851</v>
      </c>
      <c r="AC41">
        <f t="shared" si="20"/>
        <v>-239.35129456076262</v>
      </c>
      <c r="AD41">
        <f t="shared" si="21"/>
        <v>-24.178102680728063</v>
      </c>
      <c r="AE41">
        <f t="shared" si="22"/>
        <v>-0.25181084060673697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52550.746444213197</v>
      </c>
      <c r="AK41">
        <f t="shared" si="26"/>
        <v>1799.98</v>
      </c>
      <c r="AL41">
        <f t="shared" si="27"/>
        <v>1499.0940760140802</v>
      </c>
      <c r="AM41">
        <f t="shared" si="28"/>
        <v>0.83283929600000006</v>
      </c>
      <c r="AN41">
        <f t="shared" si="29"/>
        <v>0.15339785071000001</v>
      </c>
      <c r="AO41">
        <v>32.4</v>
      </c>
      <c r="AP41">
        <v>0.5</v>
      </c>
      <c r="AQ41" t="s">
        <v>331</v>
      </c>
      <c r="AR41">
        <v>2</v>
      </c>
      <c r="AS41">
        <v>1690218415</v>
      </c>
      <c r="AT41">
        <v>789.36500000000001</v>
      </c>
      <c r="AU41">
        <v>800.02200000000005</v>
      </c>
      <c r="AV41">
        <v>8.86172</v>
      </c>
      <c r="AW41">
        <v>5.7480099999999998</v>
      </c>
      <c r="AX41">
        <v>789.63099999999997</v>
      </c>
      <c r="AY41">
        <v>8.9065100000000008</v>
      </c>
      <c r="AZ41">
        <v>300.17500000000001</v>
      </c>
      <c r="BA41">
        <v>99.087100000000007</v>
      </c>
      <c r="BB41">
        <v>0.100068</v>
      </c>
      <c r="BC41">
        <v>25.605599999999999</v>
      </c>
      <c r="BD41">
        <v>26.919799999999999</v>
      </c>
      <c r="BE41">
        <v>27.119800000000001</v>
      </c>
      <c r="BF41">
        <v>0</v>
      </c>
      <c r="BG41">
        <v>0</v>
      </c>
      <c r="BH41">
        <v>9982.5</v>
      </c>
      <c r="BI41">
        <v>1065.31</v>
      </c>
      <c r="BJ41">
        <v>1.4577199999999999</v>
      </c>
      <c r="BK41">
        <v>-10.656499999999999</v>
      </c>
      <c r="BL41">
        <v>796.423</v>
      </c>
      <c r="BM41">
        <v>804.64700000000005</v>
      </c>
      <c r="BN41">
        <v>3.1137100000000002</v>
      </c>
      <c r="BO41">
        <v>800.02200000000005</v>
      </c>
      <c r="BP41">
        <v>5.7480099999999998</v>
      </c>
      <c r="BQ41">
        <v>0.87808200000000003</v>
      </c>
      <c r="BR41">
        <v>0.569554</v>
      </c>
      <c r="BS41">
        <v>5.0364500000000003</v>
      </c>
      <c r="BT41">
        <v>-1.0223500000000001</v>
      </c>
      <c r="BU41">
        <v>1799.98</v>
      </c>
      <c r="BV41">
        <v>0.90998500000000004</v>
      </c>
      <c r="BW41">
        <v>3.4005500000000001E-2</v>
      </c>
      <c r="BX41">
        <v>2.20033E-2</v>
      </c>
      <c r="BY41">
        <v>3.40069E-2</v>
      </c>
      <c r="BZ41">
        <v>25</v>
      </c>
      <c r="CA41">
        <v>33528</v>
      </c>
      <c r="CB41">
        <v>1690217592</v>
      </c>
      <c r="CC41" t="s">
        <v>332</v>
      </c>
      <c r="CD41">
        <v>1690217586.5</v>
      </c>
      <c r="CE41">
        <v>1690217592</v>
      </c>
      <c r="CF41">
        <v>9</v>
      </c>
      <c r="CG41">
        <v>0.11600000000000001</v>
      </c>
      <c r="CH41">
        <v>-3.0000000000000001E-3</v>
      </c>
      <c r="CI41">
        <v>-0.27300000000000002</v>
      </c>
      <c r="CJ41">
        <v>-6.9000000000000006E-2</v>
      </c>
      <c r="CK41">
        <v>800</v>
      </c>
      <c r="CL41">
        <v>6</v>
      </c>
      <c r="CM41">
        <v>0.01</v>
      </c>
      <c r="CN41">
        <v>0.01</v>
      </c>
      <c r="CO41">
        <v>-9.4451750000000008</v>
      </c>
      <c r="CP41">
        <v>-6.3176116322701343</v>
      </c>
      <c r="CQ41">
        <v>0.60952378502811499</v>
      </c>
      <c r="CR41">
        <v>-1</v>
      </c>
      <c r="CS41">
        <v>3.04528475</v>
      </c>
      <c r="CT41">
        <v>0.32021752345215532</v>
      </c>
      <c r="CU41">
        <v>3.1495471578268187E-2</v>
      </c>
      <c r="CV41">
        <v>-1</v>
      </c>
      <c r="CW41">
        <v>0</v>
      </c>
      <c r="CX41">
        <v>0</v>
      </c>
      <c r="CY41" t="s">
        <v>333</v>
      </c>
      <c r="CZ41">
        <v>2.3642099999999999</v>
      </c>
      <c r="DA41">
        <v>2.7138399999999998</v>
      </c>
      <c r="DB41">
        <v>0.14515</v>
      </c>
      <c r="DC41">
        <v>0.146066</v>
      </c>
      <c r="DD41">
        <v>5.4879999999999998E-2</v>
      </c>
      <c r="DE41">
        <v>3.8083400000000003E-2</v>
      </c>
      <c r="DF41">
        <v>31201.7</v>
      </c>
      <c r="DG41">
        <v>27504.799999999999</v>
      </c>
      <c r="DH41">
        <v>31161.3</v>
      </c>
      <c r="DI41">
        <v>28067.4</v>
      </c>
      <c r="DJ41">
        <v>40002.699999999997</v>
      </c>
      <c r="DK41">
        <v>38392.6</v>
      </c>
      <c r="DL41">
        <v>44343.8</v>
      </c>
      <c r="DM41">
        <v>42538.7</v>
      </c>
      <c r="DN41">
        <v>1.47322</v>
      </c>
      <c r="DO41">
        <v>2.0297000000000001</v>
      </c>
      <c r="DP41">
        <v>0.103243</v>
      </c>
      <c r="DQ41">
        <v>0.13449</v>
      </c>
      <c r="DR41">
        <v>25.2288</v>
      </c>
      <c r="DS41">
        <v>24.916799999999999</v>
      </c>
      <c r="DT41">
        <v>16.899999999999999</v>
      </c>
      <c r="DU41">
        <v>29.8</v>
      </c>
      <c r="DV41">
        <v>7.1831699999999996</v>
      </c>
      <c r="DW41">
        <v>62.018599999999999</v>
      </c>
      <c r="DX41">
        <v>35.973599999999998</v>
      </c>
      <c r="DY41">
        <v>1</v>
      </c>
      <c r="DZ41">
        <v>-7.2350100000000001E-2</v>
      </c>
      <c r="EA41">
        <v>1.2647600000000001</v>
      </c>
      <c r="EB41">
        <v>20.184799999999999</v>
      </c>
      <c r="EC41">
        <v>5.2403500000000003</v>
      </c>
      <c r="ED41">
        <v>12.039899999999999</v>
      </c>
      <c r="EE41">
        <v>5.0166500000000003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1.86897</v>
      </c>
      <c r="EL41">
        <v>1.86467</v>
      </c>
      <c r="EM41">
        <v>1.8692</v>
      </c>
      <c r="EN41">
        <v>1.8673</v>
      </c>
      <c r="EO41">
        <v>1.8634200000000001</v>
      </c>
      <c r="EP41">
        <v>1.8645799999999999</v>
      </c>
      <c r="EQ41">
        <v>1.87018</v>
      </c>
      <c r="ER41">
        <v>1.8694500000000001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-0.26600000000000001</v>
      </c>
      <c r="FG41">
        <v>-4.48E-2</v>
      </c>
      <c r="FH41">
        <v>0.27827353915413472</v>
      </c>
      <c r="FI41">
        <v>-6.1462078757559423E-4</v>
      </c>
      <c r="FJ41">
        <v>-1.8861989874597051E-7</v>
      </c>
      <c r="FK41">
        <v>1.1980462299894961E-10</v>
      </c>
      <c r="FL41">
        <v>-3.2538871274648329E-2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13.8</v>
      </c>
      <c r="FU41">
        <v>13.7</v>
      </c>
      <c r="FV41">
        <v>1.77979</v>
      </c>
      <c r="FW41">
        <v>2.5866699999999998</v>
      </c>
      <c r="FX41">
        <v>1.5490699999999999</v>
      </c>
      <c r="FY41">
        <v>2.3290999999999999</v>
      </c>
      <c r="FZ41">
        <v>1.50146</v>
      </c>
      <c r="GA41">
        <v>2.32422</v>
      </c>
      <c r="GB41">
        <v>33.850900000000003</v>
      </c>
      <c r="GC41">
        <v>23.973700000000001</v>
      </c>
      <c r="GD41">
        <v>19</v>
      </c>
      <c r="GE41">
        <v>282.27699999999999</v>
      </c>
      <c r="GF41">
        <v>578.77</v>
      </c>
      <c r="GG41">
        <v>21.3765</v>
      </c>
      <c r="GH41">
        <v>26.533000000000001</v>
      </c>
      <c r="GI41">
        <v>29.9986</v>
      </c>
      <c r="GJ41">
        <v>26.502600000000001</v>
      </c>
      <c r="GK41">
        <v>26.436599999999999</v>
      </c>
      <c r="GL41">
        <v>35.576900000000002</v>
      </c>
      <c r="GM41">
        <v>-30</v>
      </c>
      <c r="GN41">
        <v>-30</v>
      </c>
      <c r="GO41">
        <v>21.2775</v>
      </c>
      <c r="GP41">
        <v>800</v>
      </c>
      <c r="GQ41">
        <v>12.5298</v>
      </c>
      <c r="GR41">
        <v>99.700800000000001</v>
      </c>
      <c r="GS41">
        <v>99.514499999999998</v>
      </c>
    </row>
    <row r="42" spans="1:201" x14ac:dyDescent="0.25">
      <c r="A42">
        <v>26</v>
      </c>
      <c r="B42">
        <v>1690218425</v>
      </c>
      <c r="C42">
        <v>404.5</v>
      </c>
      <c r="D42" t="s">
        <v>381</v>
      </c>
      <c r="E42" t="s">
        <v>382</v>
      </c>
      <c r="F42" t="s">
        <v>330</v>
      </c>
      <c r="H42">
        <v>1690218425</v>
      </c>
      <c r="I42">
        <f t="shared" si="0"/>
        <v>2.9718406212399663E-4</v>
      </c>
      <c r="J42">
        <f t="shared" si="1"/>
        <v>0.29718406212399662</v>
      </c>
      <c r="K42">
        <f t="shared" si="2"/>
        <v>0.85232003571090997</v>
      </c>
      <c r="L42">
        <f t="shared" si="3"/>
        <v>788.26199999999994</v>
      </c>
      <c r="M42">
        <f t="shared" si="4"/>
        <v>620.0141430858074</v>
      </c>
      <c r="N42">
        <f t="shared" si="5"/>
        <v>61.495612350778622</v>
      </c>
      <c r="O42">
        <f t="shared" si="6"/>
        <v>78.183142954757983</v>
      </c>
      <c r="P42">
        <f t="shared" si="7"/>
        <v>1.0118138779278099E-2</v>
      </c>
      <c r="Q42">
        <f t="shared" si="8"/>
        <v>2.1345189944175353</v>
      </c>
      <c r="R42">
        <f t="shared" si="9"/>
        <v>1.0091568540099651E-2</v>
      </c>
      <c r="S42">
        <f t="shared" si="10"/>
        <v>6.309611709643342E-3</v>
      </c>
      <c r="T42">
        <f t="shared" si="11"/>
        <v>276.11418303179448</v>
      </c>
      <c r="U42">
        <f t="shared" si="12"/>
        <v>27.741294667287306</v>
      </c>
      <c r="V42">
        <f t="shared" si="13"/>
        <v>27.741294667287306</v>
      </c>
      <c r="W42">
        <f t="shared" si="14"/>
        <v>3.7379824436322848</v>
      </c>
      <c r="X42">
        <f t="shared" si="15"/>
        <v>26.762976525009375</v>
      </c>
      <c r="Y42">
        <f t="shared" si="16"/>
        <v>0.88520517953574007</v>
      </c>
      <c r="Z42">
        <f t="shared" si="17"/>
        <v>3.3075737248752457</v>
      </c>
      <c r="AA42">
        <f t="shared" si="18"/>
        <v>2.8527772640965448</v>
      </c>
      <c r="AB42">
        <f t="shared" si="19"/>
        <v>-13.105817139668252</v>
      </c>
      <c r="AC42">
        <f t="shared" si="20"/>
        <v>-239.15072028954211</v>
      </c>
      <c r="AD42">
        <f t="shared" si="21"/>
        <v>-24.107816606143942</v>
      </c>
      <c r="AE42">
        <f t="shared" si="22"/>
        <v>-0.25017100355984212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52781.836614181797</v>
      </c>
      <c r="AK42">
        <f t="shared" si="26"/>
        <v>1799.99</v>
      </c>
      <c r="AL42">
        <f t="shared" si="27"/>
        <v>1499.1032774021903</v>
      </c>
      <c r="AM42">
        <f t="shared" si="28"/>
        <v>0.83283978100000011</v>
      </c>
      <c r="AN42">
        <f t="shared" si="29"/>
        <v>0.15339762056000003</v>
      </c>
      <c r="AO42">
        <v>32.4</v>
      </c>
      <c r="AP42">
        <v>0.5</v>
      </c>
      <c r="AQ42" t="s">
        <v>331</v>
      </c>
      <c r="AR42">
        <v>2</v>
      </c>
      <c r="AS42">
        <v>1690218425</v>
      </c>
      <c r="AT42">
        <v>788.26199999999994</v>
      </c>
      <c r="AU42">
        <v>799.98900000000003</v>
      </c>
      <c r="AV42">
        <v>8.9248600000000007</v>
      </c>
      <c r="AW42">
        <v>5.7461000000000002</v>
      </c>
      <c r="AX42">
        <v>788.52700000000004</v>
      </c>
      <c r="AY42">
        <v>8.9688999999999997</v>
      </c>
      <c r="AZ42">
        <v>300.20600000000002</v>
      </c>
      <c r="BA42">
        <v>99.084199999999996</v>
      </c>
      <c r="BB42">
        <v>0.100009</v>
      </c>
      <c r="BC42">
        <v>25.6631</v>
      </c>
      <c r="BD42">
        <v>26.984300000000001</v>
      </c>
      <c r="BE42">
        <v>27.2119</v>
      </c>
      <c r="BF42">
        <v>0</v>
      </c>
      <c r="BG42">
        <v>0</v>
      </c>
      <c r="BH42">
        <v>10030.6</v>
      </c>
      <c r="BI42">
        <v>1064.92</v>
      </c>
      <c r="BJ42">
        <v>1.4577199999999999</v>
      </c>
      <c r="BK42">
        <v>-11.726900000000001</v>
      </c>
      <c r="BL42">
        <v>795.36099999999999</v>
      </c>
      <c r="BM42">
        <v>804.61300000000006</v>
      </c>
      <c r="BN42">
        <v>3.17876</v>
      </c>
      <c r="BO42">
        <v>799.98900000000003</v>
      </c>
      <c r="BP42">
        <v>5.7461000000000002</v>
      </c>
      <c r="BQ42">
        <v>0.88431300000000002</v>
      </c>
      <c r="BR42">
        <v>0.56934799999999997</v>
      </c>
      <c r="BS42">
        <v>5.13795</v>
      </c>
      <c r="BT42">
        <v>-1.0273000000000001</v>
      </c>
      <c r="BU42">
        <v>1799.99</v>
      </c>
      <c r="BV42">
        <v>0.90999300000000005</v>
      </c>
      <c r="BW42">
        <v>3.4002400000000002E-2</v>
      </c>
      <c r="BX42">
        <v>2.2001300000000001E-2</v>
      </c>
      <c r="BY42">
        <v>3.4003800000000001E-2</v>
      </c>
      <c r="BZ42">
        <v>25</v>
      </c>
      <c r="CA42">
        <v>33528.199999999997</v>
      </c>
      <c r="CB42">
        <v>1690217592</v>
      </c>
      <c r="CC42" t="s">
        <v>332</v>
      </c>
      <c r="CD42">
        <v>1690217586.5</v>
      </c>
      <c r="CE42">
        <v>1690217592</v>
      </c>
      <c r="CF42">
        <v>9</v>
      </c>
      <c r="CG42">
        <v>0.11600000000000001</v>
      </c>
      <c r="CH42">
        <v>-3.0000000000000001E-3</v>
      </c>
      <c r="CI42">
        <v>-0.27300000000000002</v>
      </c>
      <c r="CJ42">
        <v>-6.9000000000000006E-2</v>
      </c>
      <c r="CK42">
        <v>800</v>
      </c>
      <c r="CL42">
        <v>6</v>
      </c>
      <c r="CM42">
        <v>0.01</v>
      </c>
      <c r="CN42">
        <v>0.01</v>
      </c>
      <c r="CO42">
        <v>-10.56727195121951</v>
      </c>
      <c r="CP42">
        <v>-6.8041524041811927</v>
      </c>
      <c r="CQ42">
        <v>0.67126042708245848</v>
      </c>
      <c r="CR42">
        <v>-1</v>
      </c>
      <c r="CS42">
        <v>3.1085880487804878</v>
      </c>
      <c r="CT42">
        <v>0.41649386759581669</v>
      </c>
      <c r="CU42">
        <v>4.1097555100238457E-2</v>
      </c>
      <c r="CV42">
        <v>-1</v>
      </c>
      <c r="CW42">
        <v>0</v>
      </c>
      <c r="CX42">
        <v>0</v>
      </c>
      <c r="CY42" t="s">
        <v>333</v>
      </c>
      <c r="CZ42">
        <v>2.3643100000000001</v>
      </c>
      <c r="DA42">
        <v>2.7138300000000002</v>
      </c>
      <c r="DB42">
        <v>0.145009</v>
      </c>
      <c r="DC42">
        <v>0.14605599999999999</v>
      </c>
      <c r="DD42">
        <v>5.5179199999999998E-2</v>
      </c>
      <c r="DE42">
        <v>3.8071099999999997E-2</v>
      </c>
      <c r="DF42">
        <v>31206.2</v>
      </c>
      <c r="DG42">
        <v>27504.1</v>
      </c>
      <c r="DH42">
        <v>31160.7</v>
      </c>
      <c r="DI42">
        <v>28066.3</v>
      </c>
      <c r="DJ42">
        <v>39988.9</v>
      </c>
      <c r="DK42">
        <v>38391.599999999999</v>
      </c>
      <c r="DL42">
        <v>44342.6</v>
      </c>
      <c r="DM42">
        <v>42537</v>
      </c>
      <c r="DN42">
        <v>1.4732499999999999</v>
      </c>
      <c r="DO42">
        <v>2.03003</v>
      </c>
      <c r="DP42">
        <v>0.10968</v>
      </c>
      <c r="DQ42">
        <v>0.142485</v>
      </c>
      <c r="DR42">
        <v>25.187899999999999</v>
      </c>
      <c r="DS42">
        <v>24.878</v>
      </c>
      <c r="DT42">
        <v>16.899999999999999</v>
      </c>
      <c r="DU42">
        <v>29.8</v>
      </c>
      <c r="DV42">
        <v>7.1843300000000001</v>
      </c>
      <c r="DW42">
        <v>61.318600000000004</v>
      </c>
      <c r="DX42">
        <v>35.945500000000003</v>
      </c>
      <c r="DY42">
        <v>1</v>
      </c>
      <c r="DZ42">
        <v>-6.9062499999999999E-2</v>
      </c>
      <c r="EA42">
        <v>2.2044800000000002</v>
      </c>
      <c r="EB42">
        <v>20.173500000000001</v>
      </c>
      <c r="EC42">
        <v>5.2408000000000001</v>
      </c>
      <c r="ED42">
        <v>12.039899999999999</v>
      </c>
      <c r="EE42">
        <v>5.0166500000000003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1.8689899999999999</v>
      </c>
      <c r="EL42">
        <v>1.8646400000000001</v>
      </c>
      <c r="EM42">
        <v>1.8691899999999999</v>
      </c>
      <c r="EN42">
        <v>1.86724</v>
      </c>
      <c r="EO42">
        <v>1.8633999999999999</v>
      </c>
      <c r="EP42">
        <v>1.8645499999999999</v>
      </c>
      <c r="EQ42">
        <v>1.87018</v>
      </c>
      <c r="ER42">
        <v>1.8694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-0.26500000000000001</v>
      </c>
      <c r="FG42">
        <v>-4.3999999999999997E-2</v>
      </c>
      <c r="FH42">
        <v>0.27827353915413472</v>
      </c>
      <c r="FI42">
        <v>-6.1462078757559423E-4</v>
      </c>
      <c r="FJ42">
        <v>-1.8861989874597051E-7</v>
      </c>
      <c r="FK42">
        <v>1.1980462299894961E-10</v>
      </c>
      <c r="FL42">
        <v>-3.2538871274648329E-2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14</v>
      </c>
      <c r="FU42">
        <v>13.9</v>
      </c>
      <c r="FV42">
        <v>1.77979</v>
      </c>
      <c r="FW42">
        <v>2.5891099999999998</v>
      </c>
      <c r="FX42">
        <v>1.5490699999999999</v>
      </c>
      <c r="FY42">
        <v>2.3290999999999999</v>
      </c>
      <c r="FZ42">
        <v>1.50146</v>
      </c>
      <c r="GA42">
        <v>2.3339799999999999</v>
      </c>
      <c r="GB42">
        <v>33.850900000000003</v>
      </c>
      <c r="GC42">
        <v>23.982399999999998</v>
      </c>
      <c r="GD42">
        <v>19</v>
      </c>
      <c r="GE42">
        <v>282.32499999999999</v>
      </c>
      <c r="GF42">
        <v>579.12400000000002</v>
      </c>
      <c r="GG42">
        <v>21.4068</v>
      </c>
      <c r="GH42">
        <v>26.5413</v>
      </c>
      <c r="GI42">
        <v>30.001300000000001</v>
      </c>
      <c r="GJ42">
        <v>26.510899999999999</v>
      </c>
      <c r="GK42">
        <v>26.444400000000002</v>
      </c>
      <c r="GL42">
        <v>35.578400000000002</v>
      </c>
      <c r="GM42">
        <v>-30</v>
      </c>
      <c r="GN42">
        <v>-30</v>
      </c>
      <c r="GO42">
        <v>21.3322</v>
      </c>
      <c r="GP42">
        <v>800</v>
      </c>
      <c r="GQ42">
        <v>12.5298</v>
      </c>
      <c r="GR42">
        <v>99.698400000000007</v>
      </c>
      <c r="GS42">
        <v>99.510599999999997</v>
      </c>
    </row>
    <row r="43" spans="1:201" x14ac:dyDescent="0.25">
      <c r="A43">
        <v>27</v>
      </c>
      <c r="B43">
        <v>1690218435</v>
      </c>
      <c r="C43">
        <v>414.5</v>
      </c>
      <c r="D43" t="s">
        <v>383</v>
      </c>
      <c r="E43" t="s">
        <v>384</v>
      </c>
      <c r="F43" t="s">
        <v>330</v>
      </c>
      <c r="H43">
        <v>1690218435</v>
      </c>
      <c r="I43">
        <f t="shared" si="0"/>
        <v>3.032106374389451E-4</v>
      </c>
      <c r="J43">
        <f t="shared" si="1"/>
        <v>0.30321063743894511</v>
      </c>
      <c r="K43">
        <f t="shared" si="2"/>
        <v>0.96834566751405582</v>
      </c>
      <c r="L43">
        <f t="shared" si="3"/>
        <v>787.02499999999998</v>
      </c>
      <c r="M43">
        <f t="shared" si="4"/>
        <v>604.27476703081004</v>
      </c>
      <c r="N43">
        <f t="shared" si="5"/>
        <v>59.934368189551691</v>
      </c>
      <c r="O43">
        <f t="shared" si="6"/>
        <v>78.060261155960006</v>
      </c>
      <c r="P43">
        <f t="shared" si="7"/>
        <v>1.034850482786241E-2</v>
      </c>
      <c r="Q43">
        <f t="shared" si="8"/>
        <v>2.1333537694005278</v>
      </c>
      <c r="R43">
        <f t="shared" si="9"/>
        <v>1.0320697591019582E-2</v>
      </c>
      <c r="S43">
        <f t="shared" si="10"/>
        <v>6.4529280919051173E-3</v>
      </c>
      <c r="T43">
        <f t="shared" si="11"/>
        <v>276.11373017231028</v>
      </c>
      <c r="U43">
        <f t="shared" si="12"/>
        <v>27.73892455514757</v>
      </c>
      <c r="V43">
        <f t="shared" si="13"/>
        <v>27.73892455514757</v>
      </c>
      <c r="W43">
        <f t="shared" si="14"/>
        <v>3.7374650051359284</v>
      </c>
      <c r="X43">
        <f t="shared" si="15"/>
        <v>26.956816259720494</v>
      </c>
      <c r="Y43">
        <f t="shared" si="16"/>
        <v>0.89154781269531203</v>
      </c>
      <c r="Z43">
        <f t="shared" si="17"/>
        <v>3.3073186540484887</v>
      </c>
      <c r="AA43">
        <f t="shared" si="18"/>
        <v>2.8459171924406164</v>
      </c>
      <c r="AB43">
        <f t="shared" si="19"/>
        <v>-13.371589111057478</v>
      </c>
      <c r="AC43">
        <f t="shared" si="20"/>
        <v>-238.89709170694405</v>
      </c>
      <c r="AD43">
        <f t="shared" si="21"/>
        <v>-24.094960019303834</v>
      </c>
      <c r="AE43">
        <f t="shared" si="22"/>
        <v>-0.24991066499509884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52731.520981263035</v>
      </c>
      <c r="AK43">
        <f t="shared" si="26"/>
        <v>1799.99</v>
      </c>
      <c r="AL43">
        <f t="shared" si="27"/>
        <v>1499.10430519648</v>
      </c>
      <c r="AM43">
        <f t="shared" si="28"/>
        <v>0.83284035199999995</v>
      </c>
      <c r="AN43">
        <f t="shared" si="29"/>
        <v>0.15339736897</v>
      </c>
      <c r="AO43">
        <v>32.4</v>
      </c>
      <c r="AP43">
        <v>0.5</v>
      </c>
      <c r="AQ43" t="s">
        <v>331</v>
      </c>
      <c r="AR43">
        <v>2</v>
      </c>
      <c r="AS43">
        <v>1690218435</v>
      </c>
      <c r="AT43">
        <v>787.02499999999998</v>
      </c>
      <c r="AU43">
        <v>800.05399999999997</v>
      </c>
      <c r="AV43">
        <v>8.9888300000000001</v>
      </c>
      <c r="AW43">
        <v>5.7451800000000004</v>
      </c>
      <c r="AX43">
        <v>787.28899999999999</v>
      </c>
      <c r="AY43">
        <v>9.0320999999999998</v>
      </c>
      <c r="AZ43">
        <v>300.14699999999999</v>
      </c>
      <c r="BA43">
        <v>99.084000000000003</v>
      </c>
      <c r="BB43">
        <v>9.9966399999999997E-2</v>
      </c>
      <c r="BC43">
        <v>25.661799999999999</v>
      </c>
      <c r="BD43">
        <v>27.059799999999999</v>
      </c>
      <c r="BE43">
        <v>27.220199999999998</v>
      </c>
      <c r="BF43">
        <v>0</v>
      </c>
      <c r="BG43">
        <v>0</v>
      </c>
      <c r="BH43">
        <v>10020.6</v>
      </c>
      <c r="BI43">
        <v>1064.57</v>
      </c>
      <c r="BJ43">
        <v>1.41567</v>
      </c>
      <c r="BK43">
        <v>-13.029</v>
      </c>
      <c r="BL43">
        <v>794.16300000000001</v>
      </c>
      <c r="BM43">
        <v>804.67700000000002</v>
      </c>
      <c r="BN43">
        <v>3.2436500000000001</v>
      </c>
      <c r="BO43">
        <v>800.05399999999997</v>
      </c>
      <c r="BP43">
        <v>5.7451800000000004</v>
      </c>
      <c r="BQ43">
        <v>0.89064900000000002</v>
      </c>
      <c r="BR43">
        <v>0.56925499999999996</v>
      </c>
      <c r="BS43">
        <v>5.2405299999999997</v>
      </c>
      <c r="BT43">
        <v>-1.0295099999999999</v>
      </c>
      <c r="BU43">
        <v>1799.99</v>
      </c>
      <c r="BV43">
        <v>0.91000199999999998</v>
      </c>
      <c r="BW43">
        <v>3.3998899999999999E-2</v>
      </c>
      <c r="BX43">
        <v>2.1999100000000001E-2</v>
      </c>
      <c r="BY43">
        <v>3.4000299999999997E-2</v>
      </c>
      <c r="BZ43">
        <v>25</v>
      </c>
      <c r="CA43">
        <v>33528.199999999997</v>
      </c>
      <c r="CB43">
        <v>1690217592</v>
      </c>
      <c r="CC43" t="s">
        <v>332</v>
      </c>
      <c r="CD43">
        <v>1690217586.5</v>
      </c>
      <c r="CE43">
        <v>1690217592</v>
      </c>
      <c r="CF43">
        <v>9</v>
      </c>
      <c r="CG43">
        <v>0.11600000000000001</v>
      </c>
      <c r="CH43">
        <v>-3.0000000000000001E-3</v>
      </c>
      <c r="CI43">
        <v>-0.27300000000000002</v>
      </c>
      <c r="CJ43">
        <v>-6.9000000000000006E-2</v>
      </c>
      <c r="CK43">
        <v>800</v>
      </c>
      <c r="CL43">
        <v>6</v>
      </c>
      <c r="CM43">
        <v>0.01</v>
      </c>
      <c r="CN43">
        <v>0.01</v>
      </c>
      <c r="CO43">
        <v>-11.597253658536591</v>
      </c>
      <c r="CP43">
        <v>-6.8700271777003286</v>
      </c>
      <c r="CQ43">
        <v>0.67798622192546176</v>
      </c>
      <c r="CR43">
        <v>-1</v>
      </c>
      <c r="CS43">
        <v>3.1686375609756099</v>
      </c>
      <c r="CT43">
        <v>0.38437986062717422</v>
      </c>
      <c r="CU43">
        <v>3.7904892327295207E-2</v>
      </c>
      <c r="CV43">
        <v>-1</v>
      </c>
      <c r="CW43">
        <v>0</v>
      </c>
      <c r="CX43">
        <v>0</v>
      </c>
      <c r="CY43" t="s">
        <v>333</v>
      </c>
      <c r="CZ43">
        <v>2.3641100000000002</v>
      </c>
      <c r="DA43">
        <v>2.7137799999999999</v>
      </c>
      <c r="DB43">
        <v>0.14485500000000001</v>
      </c>
      <c r="DC43">
        <v>0.146061</v>
      </c>
      <c r="DD43">
        <v>5.54831E-2</v>
      </c>
      <c r="DE43">
        <v>3.80652E-2</v>
      </c>
      <c r="DF43">
        <v>31210.2</v>
      </c>
      <c r="DG43">
        <v>27502.6</v>
      </c>
      <c r="DH43">
        <v>31159.1</v>
      </c>
      <c r="DI43">
        <v>28065</v>
      </c>
      <c r="DJ43">
        <v>39973.9</v>
      </c>
      <c r="DK43">
        <v>38390.1</v>
      </c>
      <c r="DL43">
        <v>44340.4</v>
      </c>
      <c r="DM43">
        <v>42535.1</v>
      </c>
      <c r="DN43">
        <v>1.4719</v>
      </c>
      <c r="DO43">
        <v>2.0292699999999999</v>
      </c>
      <c r="DP43">
        <v>0.11633300000000001</v>
      </c>
      <c r="DQ43">
        <v>0.14474999999999999</v>
      </c>
      <c r="DR43">
        <v>25.154499999999999</v>
      </c>
      <c r="DS43">
        <v>24.8492</v>
      </c>
      <c r="DT43">
        <v>16.899999999999999</v>
      </c>
      <c r="DU43">
        <v>29.8</v>
      </c>
      <c r="DV43">
        <v>7.1826499999999998</v>
      </c>
      <c r="DW43">
        <v>61.068600000000004</v>
      </c>
      <c r="DX43">
        <v>36.045699999999997</v>
      </c>
      <c r="DY43">
        <v>1</v>
      </c>
      <c r="DZ43">
        <v>-6.6656499999999994E-2</v>
      </c>
      <c r="EA43">
        <v>2.8014399999999999</v>
      </c>
      <c r="EB43">
        <v>20.161899999999999</v>
      </c>
      <c r="EC43">
        <v>5.2398999999999996</v>
      </c>
      <c r="ED43">
        <v>12.039899999999999</v>
      </c>
      <c r="EE43">
        <v>5.0164999999999997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1.86897</v>
      </c>
      <c r="EL43">
        <v>1.86466</v>
      </c>
      <c r="EM43">
        <v>1.8692</v>
      </c>
      <c r="EN43">
        <v>1.8672299999999999</v>
      </c>
      <c r="EO43">
        <v>1.8633999999999999</v>
      </c>
      <c r="EP43">
        <v>1.8645400000000001</v>
      </c>
      <c r="EQ43">
        <v>1.87015</v>
      </c>
      <c r="ER43">
        <v>1.8694500000000001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-0.26400000000000001</v>
      </c>
      <c r="FG43">
        <v>-4.3299999999999998E-2</v>
      </c>
      <c r="FH43">
        <v>0.27827353915413472</v>
      </c>
      <c r="FI43">
        <v>-6.1462078757559423E-4</v>
      </c>
      <c r="FJ43">
        <v>-1.8861989874597051E-7</v>
      </c>
      <c r="FK43">
        <v>1.1980462299894961E-10</v>
      </c>
      <c r="FL43">
        <v>-3.2538871274648329E-2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14.1</v>
      </c>
      <c r="FU43">
        <v>14.1</v>
      </c>
      <c r="FV43">
        <v>1.77979</v>
      </c>
      <c r="FW43">
        <v>2.5854499999999998</v>
      </c>
      <c r="FX43">
        <v>1.5490699999999999</v>
      </c>
      <c r="FY43">
        <v>2.3290999999999999</v>
      </c>
      <c r="FZ43">
        <v>1.50146</v>
      </c>
      <c r="GA43">
        <v>2.3535200000000001</v>
      </c>
      <c r="GB43">
        <v>33.850900000000003</v>
      </c>
      <c r="GC43">
        <v>23.973700000000001</v>
      </c>
      <c r="GD43">
        <v>19</v>
      </c>
      <c r="GE43">
        <v>281.78399999999999</v>
      </c>
      <c r="GF43">
        <v>578.59400000000005</v>
      </c>
      <c r="GG43">
        <v>21.279599999999999</v>
      </c>
      <c r="GH43">
        <v>26.5473</v>
      </c>
      <c r="GI43">
        <v>30.001300000000001</v>
      </c>
      <c r="GJ43">
        <v>26.518799999999999</v>
      </c>
      <c r="GK43">
        <v>26.452100000000002</v>
      </c>
      <c r="GL43">
        <v>35.571899999999999</v>
      </c>
      <c r="GM43">
        <v>-30</v>
      </c>
      <c r="GN43">
        <v>-30</v>
      </c>
      <c r="GO43">
        <v>21.148800000000001</v>
      </c>
      <c r="GP43">
        <v>800</v>
      </c>
      <c r="GQ43">
        <v>12.5298</v>
      </c>
      <c r="GR43">
        <v>99.693299999999994</v>
      </c>
      <c r="GS43">
        <v>99.505899999999997</v>
      </c>
    </row>
    <row r="44" spans="1:201" x14ac:dyDescent="0.25">
      <c r="A44">
        <v>28</v>
      </c>
      <c r="B44">
        <v>1690218445</v>
      </c>
      <c r="C44">
        <v>424.5</v>
      </c>
      <c r="D44" t="s">
        <v>385</v>
      </c>
      <c r="E44" t="s">
        <v>386</v>
      </c>
      <c r="F44" t="s">
        <v>330</v>
      </c>
      <c r="H44">
        <v>1690218445</v>
      </c>
      <c r="I44">
        <f t="shared" si="0"/>
        <v>3.0972463486595103E-4</v>
      </c>
      <c r="J44">
        <f t="shared" si="1"/>
        <v>0.30972463486595103</v>
      </c>
      <c r="K44">
        <f t="shared" si="2"/>
        <v>1.0878217323083512</v>
      </c>
      <c r="L44">
        <f t="shared" si="3"/>
        <v>785.64</v>
      </c>
      <c r="M44">
        <f t="shared" si="4"/>
        <v>589.25025415710945</v>
      </c>
      <c r="N44">
        <f t="shared" si="5"/>
        <v>58.44744869122119</v>
      </c>
      <c r="O44">
        <f t="shared" si="6"/>
        <v>77.927252921520008</v>
      </c>
      <c r="P44">
        <f t="shared" si="7"/>
        <v>1.0622365419838877E-2</v>
      </c>
      <c r="Q44">
        <f t="shared" si="8"/>
        <v>2.1288321630490348</v>
      </c>
      <c r="R44">
        <f t="shared" si="9"/>
        <v>1.0593007149520235E-2</v>
      </c>
      <c r="S44">
        <f t="shared" si="10"/>
        <v>6.6232603830737183E-3</v>
      </c>
      <c r="T44">
        <f t="shared" si="11"/>
        <v>276.11329716671588</v>
      </c>
      <c r="U44">
        <f t="shared" si="12"/>
        <v>27.708717104564716</v>
      </c>
      <c r="V44">
        <f t="shared" si="13"/>
        <v>27.708717104564716</v>
      </c>
      <c r="W44">
        <f t="shared" si="14"/>
        <v>3.7308756428689289</v>
      </c>
      <c r="X44">
        <f t="shared" si="15"/>
        <v>27.215324351783782</v>
      </c>
      <c r="Y44">
        <f t="shared" si="16"/>
        <v>0.89839021327657997</v>
      </c>
      <c r="Z44">
        <f t="shared" si="17"/>
        <v>3.3010454024506108</v>
      </c>
      <c r="AA44">
        <f t="shared" si="18"/>
        <v>2.8324854295923489</v>
      </c>
      <c r="AB44">
        <f t="shared" si="19"/>
        <v>-13.658856397588441</v>
      </c>
      <c r="AC44">
        <f t="shared" si="20"/>
        <v>-238.59648363905481</v>
      </c>
      <c r="AD44">
        <f t="shared" si="21"/>
        <v>-24.108246806688641</v>
      </c>
      <c r="AE44">
        <f t="shared" si="22"/>
        <v>-0.25028967661600632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52541.446701061344</v>
      </c>
      <c r="AK44">
        <f t="shared" si="26"/>
        <v>1799.99</v>
      </c>
      <c r="AL44">
        <f t="shared" si="27"/>
        <v>1499.1047623939401</v>
      </c>
      <c r="AM44">
        <f t="shared" si="28"/>
        <v>0.83284060599999998</v>
      </c>
      <c r="AN44">
        <f t="shared" si="29"/>
        <v>0.15339712841</v>
      </c>
      <c r="AO44">
        <v>32.4</v>
      </c>
      <c r="AP44">
        <v>0.5</v>
      </c>
      <c r="AQ44" t="s">
        <v>331</v>
      </c>
      <c r="AR44">
        <v>2</v>
      </c>
      <c r="AS44">
        <v>1690218445</v>
      </c>
      <c r="AT44">
        <v>785.64</v>
      </c>
      <c r="AU44">
        <v>800.01099999999997</v>
      </c>
      <c r="AV44">
        <v>9.0573099999999993</v>
      </c>
      <c r="AW44">
        <v>5.7438399999999996</v>
      </c>
      <c r="AX44">
        <v>785.90300000000002</v>
      </c>
      <c r="AY44">
        <v>9.0997500000000002</v>
      </c>
      <c r="AZ44">
        <v>300.11399999999998</v>
      </c>
      <c r="BA44">
        <v>99.089500000000001</v>
      </c>
      <c r="BB44">
        <v>0.100018</v>
      </c>
      <c r="BC44">
        <v>25.629799999999999</v>
      </c>
      <c r="BD44">
        <v>27.036899999999999</v>
      </c>
      <c r="BE44">
        <v>27.191600000000001</v>
      </c>
      <c r="BF44">
        <v>0</v>
      </c>
      <c r="BG44">
        <v>0</v>
      </c>
      <c r="BH44">
        <v>9981.25</v>
      </c>
      <c r="BI44">
        <v>1064.08</v>
      </c>
      <c r="BJ44">
        <v>1.2334499999999999</v>
      </c>
      <c r="BK44">
        <v>-14.3714</v>
      </c>
      <c r="BL44">
        <v>792.82100000000003</v>
      </c>
      <c r="BM44">
        <v>804.63300000000004</v>
      </c>
      <c r="BN44">
        <v>3.3134700000000001</v>
      </c>
      <c r="BO44">
        <v>800.01099999999997</v>
      </c>
      <c r="BP44">
        <v>5.7438399999999996</v>
      </c>
      <c r="BQ44">
        <v>0.89748399999999995</v>
      </c>
      <c r="BR44">
        <v>0.56915400000000005</v>
      </c>
      <c r="BS44">
        <v>5.3504699999999996</v>
      </c>
      <c r="BT44">
        <v>-1.0319400000000001</v>
      </c>
      <c r="BU44">
        <v>1799.99</v>
      </c>
      <c r="BV44">
        <v>0.91000899999999996</v>
      </c>
      <c r="BW44">
        <v>3.3996100000000001E-2</v>
      </c>
      <c r="BX44">
        <v>2.1997300000000001E-2</v>
      </c>
      <c r="BY44">
        <v>3.39975E-2</v>
      </c>
      <c r="BZ44">
        <v>25</v>
      </c>
      <c r="CA44">
        <v>33528.300000000003</v>
      </c>
      <c r="CB44">
        <v>1690217592</v>
      </c>
      <c r="CC44" t="s">
        <v>332</v>
      </c>
      <c r="CD44">
        <v>1690217586.5</v>
      </c>
      <c r="CE44">
        <v>1690217592</v>
      </c>
      <c r="CF44">
        <v>9</v>
      </c>
      <c r="CG44">
        <v>0.11600000000000001</v>
      </c>
      <c r="CH44">
        <v>-3.0000000000000001E-3</v>
      </c>
      <c r="CI44">
        <v>-0.27300000000000002</v>
      </c>
      <c r="CJ44">
        <v>-6.9000000000000006E-2</v>
      </c>
      <c r="CK44">
        <v>800</v>
      </c>
      <c r="CL44">
        <v>6</v>
      </c>
      <c r="CM44">
        <v>0.01</v>
      </c>
      <c r="CN44">
        <v>0.01</v>
      </c>
      <c r="CO44">
        <v>-12.82076829268293</v>
      </c>
      <c r="CP44">
        <v>-7.8057825783972454</v>
      </c>
      <c r="CQ44">
        <v>0.77026847313255853</v>
      </c>
      <c r="CR44">
        <v>-1</v>
      </c>
      <c r="CS44">
        <v>3.2346112195121961</v>
      </c>
      <c r="CT44">
        <v>0.4073546341463411</v>
      </c>
      <c r="CU44">
        <v>4.0182903851357289E-2</v>
      </c>
      <c r="CV44">
        <v>-1</v>
      </c>
      <c r="CW44">
        <v>0</v>
      </c>
      <c r="CX44">
        <v>0</v>
      </c>
      <c r="CY44" t="s">
        <v>333</v>
      </c>
      <c r="CZ44">
        <v>2.3639899999999998</v>
      </c>
      <c r="DA44">
        <v>2.7137899999999999</v>
      </c>
      <c r="DB44">
        <v>0.14469099999999999</v>
      </c>
      <c r="DC44">
        <v>0.146061</v>
      </c>
      <c r="DD44">
        <v>5.5810800000000001E-2</v>
      </c>
      <c r="DE44">
        <v>3.8059299999999997E-2</v>
      </c>
      <c r="DF44">
        <v>31215.7</v>
      </c>
      <c r="DG44">
        <v>27502</v>
      </c>
      <c r="DH44">
        <v>31158.6</v>
      </c>
      <c r="DI44">
        <v>28064.5</v>
      </c>
      <c r="DJ44">
        <v>39959.199999999997</v>
      </c>
      <c r="DK44">
        <v>38389.699999999997</v>
      </c>
      <c r="DL44">
        <v>44339.5</v>
      </c>
      <c r="DM44">
        <v>42534.400000000001</v>
      </c>
      <c r="DN44">
        <v>1.4722</v>
      </c>
      <c r="DO44">
        <v>2.0296500000000002</v>
      </c>
      <c r="DP44">
        <v>0.116773</v>
      </c>
      <c r="DQ44">
        <v>0.144593</v>
      </c>
      <c r="DR44">
        <v>25.124400000000001</v>
      </c>
      <c r="DS44">
        <v>24.8231</v>
      </c>
      <c r="DT44">
        <v>16.899999999999999</v>
      </c>
      <c r="DU44">
        <v>29.8</v>
      </c>
      <c r="DV44">
        <v>7.1825900000000003</v>
      </c>
      <c r="DW44">
        <v>61.0886</v>
      </c>
      <c r="DX44">
        <v>36.201900000000002</v>
      </c>
      <c r="DY44">
        <v>1</v>
      </c>
      <c r="DZ44">
        <v>-6.6033999999999995E-2</v>
      </c>
      <c r="EA44">
        <v>2.53355</v>
      </c>
      <c r="EB44">
        <v>20.167400000000001</v>
      </c>
      <c r="EC44">
        <v>5.2403500000000003</v>
      </c>
      <c r="ED44">
        <v>12.039899999999999</v>
      </c>
      <c r="EE44">
        <v>5.0167000000000002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1.86897</v>
      </c>
      <c r="EL44">
        <v>1.8646799999999999</v>
      </c>
      <c r="EM44">
        <v>1.8692</v>
      </c>
      <c r="EN44">
        <v>1.8672599999999999</v>
      </c>
      <c r="EO44">
        <v>1.8633999999999999</v>
      </c>
      <c r="EP44">
        <v>1.8645499999999999</v>
      </c>
      <c r="EQ44">
        <v>1.8701700000000001</v>
      </c>
      <c r="ER44">
        <v>1.86944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-0.26300000000000001</v>
      </c>
      <c r="FG44">
        <v>-4.24E-2</v>
      </c>
      <c r="FH44">
        <v>0.27827353915413472</v>
      </c>
      <c r="FI44">
        <v>-6.1462078757559423E-4</v>
      </c>
      <c r="FJ44">
        <v>-1.8861989874597051E-7</v>
      </c>
      <c r="FK44">
        <v>1.1980462299894961E-10</v>
      </c>
      <c r="FL44">
        <v>-3.2538871274648329E-2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14.3</v>
      </c>
      <c r="FU44">
        <v>14.2</v>
      </c>
      <c r="FV44">
        <v>1.77979</v>
      </c>
      <c r="FW44">
        <v>2.5817899999999998</v>
      </c>
      <c r="FX44">
        <v>1.5490699999999999</v>
      </c>
      <c r="FY44">
        <v>2.3290999999999999</v>
      </c>
      <c r="FZ44">
        <v>1.50146</v>
      </c>
      <c r="GA44">
        <v>2.36084</v>
      </c>
      <c r="GB44">
        <v>33.850900000000003</v>
      </c>
      <c r="GC44">
        <v>23.973700000000001</v>
      </c>
      <c r="GD44">
        <v>19</v>
      </c>
      <c r="GE44">
        <v>281.94600000000003</v>
      </c>
      <c r="GF44">
        <v>578.97699999999998</v>
      </c>
      <c r="GG44">
        <v>21.114000000000001</v>
      </c>
      <c r="GH44">
        <v>26.551300000000001</v>
      </c>
      <c r="GI44">
        <v>30.000299999999999</v>
      </c>
      <c r="GJ44">
        <v>26.526499999999999</v>
      </c>
      <c r="GK44">
        <v>26.4587</v>
      </c>
      <c r="GL44">
        <v>35.575299999999999</v>
      </c>
      <c r="GM44">
        <v>-30</v>
      </c>
      <c r="GN44">
        <v>-30</v>
      </c>
      <c r="GO44">
        <v>21.1142</v>
      </c>
      <c r="GP44">
        <v>800</v>
      </c>
      <c r="GQ44">
        <v>12.5298</v>
      </c>
      <c r="GR44">
        <v>99.691500000000005</v>
      </c>
      <c r="GS44">
        <v>99.504199999999997</v>
      </c>
    </row>
    <row r="45" spans="1:201" x14ac:dyDescent="0.25">
      <c r="A45">
        <v>29</v>
      </c>
      <c r="B45">
        <v>1690218455</v>
      </c>
      <c r="C45">
        <v>434.5</v>
      </c>
      <c r="D45" t="s">
        <v>387</v>
      </c>
      <c r="E45" t="s">
        <v>388</v>
      </c>
      <c r="F45" t="s">
        <v>330</v>
      </c>
      <c r="H45">
        <v>1690218455</v>
      </c>
      <c r="I45">
        <f t="shared" si="0"/>
        <v>3.1702628017504385E-4</v>
      </c>
      <c r="J45">
        <f t="shared" si="1"/>
        <v>0.31702628017504386</v>
      </c>
      <c r="K45">
        <f t="shared" si="2"/>
        <v>1.2093146174228917</v>
      </c>
      <c r="L45">
        <f t="shared" si="3"/>
        <v>784.30700000000002</v>
      </c>
      <c r="M45">
        <f t="shared" si="4"/>
        <v>575.35289233852541</v>
      </c>
      <c r="N45">
        <f t="shared" si="5"/>
        <v>57.064670705270856</v>
      </c>
      <c r="O45">
        <f t="shared" si="6"/>
        <v>77.789164324745002</v>
      </c>
      <c r="P45">
        <f t="shared" si="7"/>
        <v>1.0936877169000228E-2</v>
      </c>
      <c r="Q45">
        <f t="shared" si="8"/>
        <v>2.1313742059489993</v>
      </c>
      <c r="R45">
        <f t="shared" si="9"/>
        <v>1.090579440731709E-2</v>
      </c>
      <c r="S45">
        <f t="shared" si="10"/>
        <v>6.8189067559126723E-3</v>
      </c>
      <c r="T45">
        <f t="shared" si="11"/>
        <v>276.11288289901739</v>
      </c>
      <c r="U45">
        <f t="shared" si="12"/>
        <v>27.667480713978122</v>
      </c>
      <c r="V45">
        <f t="shared" si="13"/>
        <v>27.667480713978122</v>
      </c>
      <c r="W45">
        <f t="shared" si="14"/>
        <v>3.7218968265634316</v>
      </c>
      <c r="X45">
        <f t="shared" si="15"/>
        <v>27.504978642725053</v>
      </c>
      <c r="Y45">
        <f t="shared" si="16"/>
        <v>0.90598722509064988</v>
      </c>
      <c r="Z45">
        <f t="shared" si="17"/>
        <v>3.2939026670732559</v>
      </c>
      <c r="AA45">
        <f t="shared" si="18"/>
        <v>2.8159096014727818</v>
      </c>
      <c r="AB45">
        <f t="shared" si="19"/>
        <v>-13.980858955719434</v>
      </c>
      <c r="AC45">
        <f t="shared" si="20"/>
        <v>-238.33714943753395</v>
      </c>
      <c r="AD45">
        <f t="shared" si="21"/>
        <v>-24.043961622157852</v>
      </c>
      <c r="AE45">
        <f t="shared" si="22"/>
        <v>-0.24908711639383796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52657.765314470147</v>
      </c>
      <c r="AK45">
        <f t="shared" si="26"/>
        <v>1799.99</v>
      </c>
      <c r="AL45">
        <f t="shared" si="27"/>
        <v>1499.1056353890897</v>
      </c>
      <c r="AM45">
        <f t="shared" si="28"/>
        <v>0.83284109099999981</v>
      </c>
      <c r="AN45">
        <f t="shared" si="29"/>
        <v>0.15339689826</v>
      </c>
      <c r="AO45">
        <v>32.4</v>
      </c>
      <c r="AP45">
        <v>0.5</v>
      </c>
      <c r="AQ45" t="s">
        <v>331</v>
      </c>
      <c r="AR45">
        <v>2</v>
      </c>
      <c r="AS45">
        <v>1690218455</v>
      </c>
      <c r="AT45">
        <v>784.30700000000002</v>
      </c>
      <c r="AU45">
        <v>800.04499999999996</v>
      </c>
      <c r="AV45">
        <v>9.1345899999999993</v>
      </c>
      <c r="AW45">
        <v>5.7436999999999996</v>
      </c>
      <c r="AX45">
        <v>784.56899999999996</v>
      </c>
      <c r="AY45">
        <v>9.1760699999999993</v>
      </c>
      <c r="AZ45">
        <v>300.15199999999999</v>
      </c>
      <c r="BA45">
        <v>99.081999999999994</v>
      </c>
      <c r="BB45">
        <v>0.100035</v>
      </c>
      <c r="BC45">
        <v>25.593299999999999</v>
      </c>
      <c r="BD45">
        <v>26.972899999999999</v>
      </c>
      <c r="BE45">
        <v>27.171299999999999</v>
      </c>
      <c r="BF45">
        <v>0</v>
      </c>
      <c r="BG45">
        <v>0</v>
      </c>
      <c r="BH45">
        <v>10003.799999999999</v>
      </c>
      <c r="BI45">
        <v>1063.5</v>
      </c>
      <c r="BJ45">
        <v>1.28952</v>
      </c>
      <c r="BK45">
        <v>-15.738200000000001</v>
      </c>
      <c r="BL45">
        <v>791.53700000000003</v>
      </c>
      <c r="BM45">
        <v>804.66700000000003</v>
      </c>
      <c r="BN45">
        <v>3.3908900000000002</v>
      </c>
      <c r="BO45">
        <v>800.04499999999996</v>
      </c>
      <c r="BP45">
        <v>5.7436999999999996</v>
      </c>
      <c r="BQ45">
        <v>0.90507300000000002</v>
      </c>
      <c r="BR45">
        <v>0.56909699999999996</v>
      </c>
      <c r="BS45">
        <v>5.47166</v>
      </c>
      <c r="BT45">
        <v>-1.03331</v>
      </c>
      <c r="BU45">
        <v>1799.99</v>
      </c>
      <c r="BV45">
        <v>0.91001699999999996</v>
      </c>
      <c r="BW45">
        <v>3.3993000000000002E-2</v>
      </c>
      <c r="BX45">
        <v>2.1995299999999999E-2</v>
      </c>
      <c r="BY45">
        <v>3.3994400000000001E-2</v>
      </c>
      <c r="BZ45">
        <v>25</v>
      </c>
      <c r="CA45">
        <v>33528.400000000001</v>
      </c>
      <c r="CB45">
        <v>1690217592</v>
      </c>
      <c r="CC45" t="s">
        <v>332</v>
      </c>
      <c r="CD45">
        <v>1690217586.5</v>
      </c>
      <c r="CE45">
        <v>1690217592</v>
      </c>
      <c r="CF45">
        <v>9</v>
      </c>
      <c r="CG45">
        <v>0.11600000000000001</v>
      </c>
      <c r="CH45">
        <v>-3.0000000000000001E-3</v>
      </c>
      <c r="CI45">
        <v>-0.27300000000000002</v>
      </c>
      <c r="CJ45">
        <v>-6.9000000000000006E-2</v>
      </c>
      <c r="CK45">
        <v>800</v>
      </c>
      <c r="CL45">
        <v>6</v>
      </c>
      <c r="CM45">
        <v>0.01</v>
      </c>
      <c r="CN45">
        <v>0.01</v>
      </c>
      <c r="CO45">
        <v>-14.300709756097559</v>
      </c>
      <c r="CP45">
        <v>-8.2596878048780606</v>
      </c>
      <c r="CQ45">
        <v>0.81486803773936844</v>
      </c>
      <c r="CR45">
        <v>-1</v>
      </c>
      <c r="CS45">
        <v>3.3120346341463409</v>
      </c>
      <c r="CT45">
        <v>0.43925351916375682</v>
      </c>
      <c r="CU45">
        <v>4.3326627485374337E-2</v>
      </c>
      <c r="CV45">
        <v>-1</v>
      </c>
      <c r="CW45">
        <v>0</v>
      </c>
      <c r="CX45">
        <v>0</v>
      </c>
      <c r="CY45" t="s">
        <v>333</v>
      </c>
      <c r="CZ45">
        <v>2.3641200000000002</v>
      </c>
      <c r="DA45">
        <v>2.7138300000000002</v>
      </c>
      <c r="DB45">
        <v>0.144515</v>
      </c>
      <c r="DC45">
        <v>0.14605199999999999</v>
      </c>
      <c r="DD45">
        <v>5.6172300000000001E-2</v>
      </c>
      <c r="DE45">
        <v>3.8054999999999999E-2</v>
      </c>
      <c r="DF45">
        <v>31221.4</v>
      </c>
      <c r="DG45">
        <v>27501.599999999999</v>
      </c>
      <c r="DH45">
        <v>31157.9</v>
      </c>
      <c r="DI45">
        <v>28063.7</v>
      </c>
      <c r="DJ45">
        <v>39943</v>
      </c>
      <c r="DK45">
        <v>38388.800000000003</v>
      </c>
      <c r="DL45">
        <v>44338.7</v>
      </c>
      <c r="DM45">
        <v>42533.2</v>
      </c>
      <c r="DN45">
        <v>1.47248</v>
      </c>
      <c r="DO45">
        <v>2.0294500000000002</v>
      </c>
      <c r="DP45">
        <v>0.114568</v>
      </c>
      <c r="DQ45">
        <v>0.144623</v>
      </c>
      <c r="DR45">
        <v>25.096299999999999</v>
      </c>
      <c r="DS45">
        <v>24.802199999999999</v>
      </c>
      <c r="DT45">
        <v>16.899999999999999</v>
      </c>
      <c r="DU45">
        <v>29.8</v>
      </c>
      <c r="DV45">
        <v>7.1831399999999999</v>
      </c>
      <c r="DW45">
        <v>61.558599999999998</v>
      </c>
      <c r="DX45">
        <v>36.318100000000001</v>
      </c>
      <c r="DY45">
        <v>1</v>
      </c>
      <c r="DZ45">
        <v>-6.56529E-2</v>
      </c>
      <c r="EA45">
        <v>2.3604500000000002</v>
      </c>
      <c r="EB45">
        <v>20.170300000000001</v>
      </c>
      <c r="EC45">
        <v>5.2406499999999996</v>
      </c>
      <c r="ED45">
        <v>12.039899999999999</v>
      </c>
      <c r="EE45">
        <v>5.01675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1.86894</v>
      </c>
      <c r="EL45">
        <v>1.8646400000000001</v>
      </c>
      <c r="EM45">
        <v>1.8691899999999999</v>
      </c>
      <c r="EN45">
        <v>1.8672299999999999</v>
      </c>
      <c r="EO45">
        <v>1.8633999999999999</v>
      </c>
      <c r="EP45">
        <v>1.86453</v>
      </c>
      <c r="EQ45">
        <v>1.87016</v>
      </c>
      <c r="ER45">
        <v>1.8694200000000001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-0.26200000000000001</v>
      </c>
      <c r="FG45">
        <v>-4.1500000000000002E-2</v>
      </c>
      <c r="FH45">
        <v>0.27827353915413472</v>
      </c>
      <c r="FI45">
        <v>-6.1462078757559423E-4</v>
      </c>
      <c r="FJ45">
        <v>-1.8861989874597051E-7</v>
      </c>
      <c r="FK45">
        <v>1.1980462299894961E-10</v>
      </c>
      <c r="FL45">
        <v>-3.2538871274648329E-2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14.5</v>
      </c>
      <c r="FU45">
        <v>14.4</v>
      </c>
      <c r="FV45">
        <v>1.7785599999999999</v>
      </c>
      <c r="FW45">
        <v>2.5866699999999998</v>
      </c>
      <c r="FX45">
        <v>1.5490699999999999</v>
      </c>
      <c r="FY45">
        <v>2.3290999999999999</v>
      </c>
      <c r="FZ45">
        <v>1.50146</v>
      </c>
      <c r="GA45">
        <v>2.36816</v>
      </c>
      <c r="GB45">
        <v>33.8735</v>
      </c>
      <c r="GC45">
        <v>23.982399999999998</v>
      </c>
      <c r="GD45">
        <v>19</v>
      </c>
      <c r="GE45">
        <v>282.09300000000002</v>
      </c>
      <c r="GF45">
        <v>578.88699999999994</v>
      </c>
      <c r="GG45">
        <v>21.082999999999998</v>
      </c>
      <c r="GH45">
        <v>26.553999999999998</v>
      </c>
      <c r="GI45">
        <v>30.0002</v>
      </c>
      <c r="GJ45">
        <v>26.533200000000001</v>
      </c>
      <c r="GK45">
        <v>26.465399999999999</v>
      </c>
      <c r="GL45">
        <v>35.569800000000001</v>
      </c>
      <c r="GM45">
        <v>-30</v>
      </c>
      <c r="GN45">
        <v>-30</v>
      </c>
      <c r="GO45">
        <v>21.1478</v>
      </c>
      <c r="GP45">
        <v>800</v>
      </c>
      <c r="GQ45">
        <v>12.5298</v>
      </c>
      <c r="GR45">
        <v>99.689400000000006</v>
      </c>
      <c r="GS45">
        <v>99.501499999999993</v>
      </c>
    </row>
    <row r="46" spans="1:201" x14ac:dyDescent="0.25">
      <c r="A46">
        <v>30</v>
      </c>
      <c r="B46">
        <v>1690218465</v>
      </c>
      <c r="C46">
        <v>444.5</v>
      </c>
      <c r="D46" t="s">
        <v>389</v>
      </c>
      <c r="E46" t="s">
        <v>390</v>
      </c>
      <c r="F46" t="s">
        <v>330</v>
      </c>
      <c r="H46">
        <v>1690218465</v>
      </c>
      <c r="I46">
        <f t="shared" si="0"/>
        <v>3.2450990566338327E-4</v>
      </c>
      <c r="J46">
        <f t="shared" si="1"/>
        <v>0.32450990566338328</v>
      </c>
      <c r="K46">
        <f t="shared" si="2"/>
        <v>1.3363206352478181</v>
      </c>
      <c r="L46">
        <f t="shared" si="3"/>
        <v>782.76199999999994</v>
      </c>
      <c r="M46">
        <f t="shared" si="4"/>
        <v>561.20912900219116</v>
      </c>
      <c r="N46">
        <f t="shared" si="5"/>
        <v>55.661144004911456</v>
      </c>
      <c r="O46">
        <f t="shared" si="6"/>
        <v>77.634924579785988</v>
      </c>
      <c r="P46">
        <f t="shared" si="7"/>
        <v>1.125360359782214E-2</v>
      </c>
      <c r="Q46">
        <f t="shared" si="8"/>
        <v>2.129895739627643</v>
      </c>
      <c r="R46">
        <f t="shared" si="9"/>
        <v>1.1220674640803511E-2</v>
      </c>
      <c r="S46">
        <f t="shared" si="10"/>
        <v>7.0158721048873092E-3</v>
      </c>
      <c r="T46">
        <f t="shared" si="11"/>
        <v>276.11449581600004</v>
      </c>
      <c r="U46">
        <f t="shared" si="12"/>
        <v>27.636645417670643</v>
      </c>
      <c r="V46">
        <f t="shared" si="13"/>
        <v>27.636645417670643</v>
      </c>
      <c r="W46">
        <f t="shared" si="14"/>
        <v>3.715195072921412</v>
      </c>
      <c r="X46">
        <f t="shared" si="15"/>
        <v>27.789534316843227</v>
      </c>
      <c r="Y46">
        <f t="shared" si="16"/>
        <v>0.91375326919652999</v>
      </c>
      <c r="Z46">
        <f t="shared" si="17"/>
        <v>3.2881201202522652</v>
      </c>
      <c r="AA46">
        <f t="shared" si="18"/>
        <v>2.8014418037248818</v>
      </c>
      <c r="AB46">
        <f t="shared" si="19"/>
        <v>-14.310886839755202</v>
      </c>
      <c r="AC46">
        <f t="shared" si="20"/>
        <v>-238.02997726318185</v>
      </c>
      <c r="AD46">
        <f t="shared" si="21"/>
        <v>-24.022372331078817</v>
      </c>
      <c r="AE46">
        <f t="shared" si="22"/>
        <v>-0.24874061801583025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52598.923574174783</v>
      </c>
      <c r="AK46">
        <f t="shared" si="26"/>
        <v>1800</v>
      </c>
      <c r="AL46">
        <f t="shared" si="27"/>
        <v>1499.1127056</v>
      </c>
      <c r="AM46">
        <f t="shared" si="28"/>
        <v>0.83284039200000004</v>
      </c>
      <c r="AN46">
        <f t="shared" si="29"/>
        <v>0.15339694212000002</v>
      </c>
      <c r="AO46">
        <v>32.4</v>
      </c>
      <c r="AP46">
        <v>0.5</v>
      </c>
      <c r="AQ46" t="s">
        <v>331</v>
      </c>
      <c r="AR46">
        <v>2</v>
      </c>
      <c r="AS46">
        <v>1690218465</v>
      </c>
      <c r="AT46">
        <v>782.76199999999994</v>
      </c>
      <c r="AU46">
        <v>799.92600000000004</v>
      </c>
      <c r="AV46">
        <v>9.2130100000000006</v>
      </c>
      <c r="AW46">
        <v>5.7429399999999999</v>
      </c>
      <c r="AX46">
        <v>783.024</v>
      </c>
      <c r="AY46">
        <v>9.2535100000000003</v>
      </c>
      <c r="AZ46">
        <v>300.20299999999997</v>
      </c>
      <c r="BA46">
        <v>99.080699999999993</v>
      </c>
      <c r="BB46">
        <v>0.100053</v>
      </c>
      <c r="BC46">
        <v>25.563700000000001</v>
      </c>
      <c r="BD46">
        <v>26.9467</v>
      </c>
      <c r="BE46">
        <v>27.140899999999998</v>
      </c>
      <c r="BF46">
        <v>0</v>
      </c>
      <c r="BG46">
        <v>0</v>
      </c>
      <c r="BH46">
        <v>9991.25</v>
      </c>
      <c r="BI46">
        <v>1063.05</v>
      </c>
      <c r="BJ46">
        <v>1.47174</v>
      </c>
      <c r="BK46">
        <v>-17.163699999999999</v>
      </c>
      <c r="BL46">
        <v>790.04100000000005</v>
      </c>
      <c r="BM46">
        <v>804.54700000000003</v>
      </c>
      <c r="BN46">
        <v>3.4700799999999998</v>
      </c>
      <c r="BO46">
        <v>799.92600000000004</v>
      </c>
      <c r="BP46">
        <v>5.7429399999999999</v>
      </c>
      <c r="BQ46">
        <v>0.91283199999999998</v>
      </c>
      <c r="BR46">
        <v>0.56901400000000002</v>
      </c>
      <c r="BS46">
        <v>5.5946400000000001</v>
      </c>
      <c r="BT46">
        <v>-1.0353000000000001</v>
      </c>
      <c r="BU46">
        <v>1800</v>
      </c>
      <c r="BV46">
        <v>0.91001200000000004</v>
      </c>
      <c r="BW46">
        <v>3.4002900000000003E-2</v>
      </c>
      <c r="BX46">
        <v>2.1993599999999999E-2</v>
      </c>
      <c r="BY46">
        <v>3.3991800000000003E-2</v>
      </c>
      <c r="BZ46">
        <v>25</v>
      </c>
      <c r="CA46">
        <v>33528.400000000001</v>
      </c>
      <c r="CB46">
        <v>1690217592</v>
      </c>
      <c r="CC46" t="s">
        <v>332</v>
      </c>
      <c r="CD46">
        <v>1690217586.5</v>
      </c>
      <c r="CE46">
        <v>1690217592</v>
      </c>
      <c r="CF46">
        <v>9</v>
      </c>
      <c r="CG46">
        <v>0.11600000000000001</v>
      </c>
      <c r="CH46">
        <v>-3.0000000000000001E-3</v>
      </c>
      <c r="CI46">
        <v>-0.27300000000000002</v>
      </c>
      <c r="CJ46">
        <v>-6.9000000000000006E-2</v>
      </c>
      <c r="CK46">
        <v>800</v>
      </c>
      <c r="CL46">
        <v>6</v>
      </c>
      <c r="CM46">
        <v>0.01</v>
      </c>
      <c r="CN46">
        <v>0.01</v>
      </c>
      <c r="CO46">
        <v>-15.70560975609756</v>
      </c>
      <c r="CP46">
        <v>-8.5105567944250886</v>
      </c>
      <c r="CQ46">
        <v>0.83966338923516937</v>
      </c>
      <c r="CR46">
        <v>-1</v>
      </c>
      <c r="CS46">
        <v>3.3873617073170732</v>
      </c>
      <c r="CT46">
        <v>0.46837400696864701</v>
      </c>
      <c r="CU46">
        <v>4.6183629287424331E-2</v>
      </c>
      <c r="CV46">
        <v>-1</v>
      </c>
      <c r="CW46">
        <v>0</v>
      </c>
      <c r="CX46">
        <v>0</v>
      </c>
      <c r="CY46" t="s">
        <v>333</v>
      </c>
      <c r="CZ46">
        <v>2.3642699999999999</v>
      </c>
      <c r="DA46">
        <v>2.7138399999999998</v>
      </c>
      <c r="DB46">
        <v>0.14432300000000001</v>
      </c>
      <c r="DC46">
        <v>0.146034</v>
      </c>
      <c r="DD46">
        <v>5.65417E-2</v>
      </c>
      <c r="DE46">
        <v>3.8049699999999999E-2</v>
      </c>
      <c r="DF46">
        <v>31228.1</v>
      </c>
      <c r="DG46">
        <v>27501.9</v>
      </c>
      <c r="DH46">
        <v>31157.599999999999</v>
      </c>
      <c r="DI46">
        <v>28063.4</v>
      </c>
      <c r="DJ46">
        <v>39926.699999999997</v>
      </c>
      <c r="DK46">
        <v>38388.9</v>
      </c>
      <c r="DL46">
        <v>44338</v>
      </c>
      <c r="DM46">
        <v>42533.1</v>
      </c>
      <c r="DN46">
        <v>1.4725299999999999</v>
      </c>
      <c r="DO46">
        <v>2.0293000000000001</v>
      </c>
      <c r="DP46">
        <v>0.11454499999999999</v>
      </c>
      <c r="DQ46">
        <v>0.14416100000000001</v>
      </c>
      <c r="DR46">
        <v>25.070399999999999</v>
      </c>
      <c r="DS46">
        <v>24.779299999999999</v>
      </c>
      <c r="DT46">
        <v>16.899999999999999</v>
      </c>
      <c r="DU46">
        <v>29.8</v>
      </c>
      <c r="DV46">
        <v>7.1838800000000003</v>
      </c>
      <c r="DW46">
        <v>61.878599999999999</v>
      </c>
      <c r="DX46">
        <v>36.626600000000003</v>
      </c>
      <c r="DY46">
        <v>1</v>
      </c>
      <c r="DZ46">
        <v>-6.6316100000000003E-2</v>
      </c>
      <c r="EA46">
        <v>2.0356900000000002</v>
      </c>
      <c r="EB46">
        <v>20.1754</v>
      </c>
      <c r="EC46">
        <v>5.2404999999999999</v>
      </c>
      <c r="ED46">
        <v>12.039899999999999</v>
      </c>
      <c r="EE46">
        <v>5.0166500000000003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1.8689499999999999</v>
      </c>
      <c r="EL46">
        <v>1.8646499999999999</v>
      </c>
      <c r="EM46">
        <v>1.8692</v>
      </c>
      <c r="EN46">
        <v>1.8672599999999999</v>
      </c>
      <c r="EO46">
        <v>1.8633999999999999</v>
      </c>
      <c r="EP46">
        <v>1.8645499999999999</v>
      </c>
      <c r="EQ46">
        <v>1.87018</v>
      </c>
      <c r="ER46">
        <v>1.8694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-0.26200000000000001</v>
      </c>
      <c r="FG46">
        <v>-4.0500000000000001E-2</v>
      </c>
      <c r="FH46">
        <v>0.27827353915413472</v>
      </c>
      <c r="FI46">
        <v>-6.1462078757559423E-4</v>
      </c>
      <c r="FJ46">
        <v>-1.8861989874597051E-7</v>
      </c>
      <c r="FK46">
        <v>1.1980462299894961E-10</v>
      </c>
      <c r="FL46">
        <v>-3.2538871274648329E-2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14.6</v>
      </c>
      <c r="FU46">
        <v>14.6</v>
      </c>
      <c r="FV46">
        <v>1.7785599999999999</v>
      </c>
      <c r="FW46">
        <v>2.5817899999999998</v>
      </c>
      <c r="FX46">
        <v>1.5490699999999999</v>
      </c>
      <c r="FY46">
        <v>2.3290999999999999</v>
      </c>
      <c r="FZ46">
        <v>1.50146</v>
      </c>
      <c r="GA46">
        <v>2.3779300000000001</v>
      </c>
      <c r="GB46">
        <v>33.850900000000003</v>
      </c>
      <c r="GC46">
        <v>23.982399999999998</v>
      </c>
      <c r="GD46">
        <v>19</v>
      </c>
      <c r="GE46">
        <v>282.13900000000001</v>
      </c>
      <c r="GF46">
        <v>578.83199999999999</v>
      </c>
      <c r="GG46">
        <v>21.1554</v>
      </c>
      <c r="GH46">
        <v>26.5563</v>
      </c>
      <c r="GI46">
        <v>30</v>
      </c>
      <c r="GJ46">
        <v>26.538799999999998</v>
      </c>
      <c r="GK46">
        <v>26.471499999999999</v>
      </c>
      <c r="GL46">
        <v>35.571399999999997</v>
      </c>
      <c r="GM46">
        <v>-30</v>
      </c>
      <c r="GN46">
        <v>-30</v>
      </c>
      <c r="GO46">
        <v>21.2179</v>
      </c>
      <c r="GP46">
        <v>800</v>
      </c>
      <c r="GQ46">
        <v>12.5298</v>
      </c>
      <c r="GR46">
        <v>99.688100000000006</v>
      </c>
      <c r="GS46">
        <v>99.501000000000005</v>
      </c>
    </row>
    <row r="47" spans="1:201" x14ac:dyDescent="0.25">
      <c r="A47">
        <v>31</v>
      </c>
      <c r="B47">
        <v>1690218475</v>
      </c>
      <c r="C47">
        <v>454.5</v>
      </c>
      <c r="D47" t="s">
        <v>391</v>
      </c>
      <c r="E47" t="s">
        <v>392</v>
      </c>
      <c r="F47" t="s">
        <v>330</v>
      </c>
      <c r="H47">
        <v>1690218475</v>
      </c>
      <c r="I47">
        <f t="shared" si="0"/>
        <v>3.3254811672940408E-4</v>
      </c>
      <c r="J47">
        <f t="shared" si="1"/>
        <v>0.3325481167294041</v>
      </c>
      <c r="K47">
        <f t="shared" si="2"/>
        <v>1.4909686028914426</v>
      </c>
      <c r="L47">
        <f t="shared" si="3"/>
        <v>781.16700000000003</v>
      </c>
      <c r="M47">
        <f t="shared" si="4"/>
        <v>544.11415750813876</v>
      </c>
      <c r="N47">
        <f t="shared" si="5"/>
        <v>53.965450755025188</v>
      </c>
      <c r="O47">
        <f t="shared" si="6"/>
        <v>77.476442559427795</v>
      </c>
      <c r="P47">
        <f t="shared" si="7"/>
        <v>1.1580604949855572E-2</v>
      </c>
      <c r="Q47">
        <f t="shared" si="8"/>
        <v>2.1271186445053853</v>
      </c>
      <c r="R47">
        <f t="shared" si="9"/>
        <v>1.1545692352136152E-2</v>
      </c>
      <c r="S47">
        <f t="shared" si="10"/>
        <v>7.2191856525970419E-3</v>
      </c>
      <c r="T47">
        <f t="shared" si="11"/>
        <v>276.11439875999997</v>
      </c>
      <c r="U47">
        <f t="shared" si="12"/>
        <v>27.622720592994405</v>
      </c>
      <c r="V47">
        <f t="shared" si="13"/>
        <v>27.622720592994405</v>
      </c>
      <c r="W47">
        <f t="shared" si="14"/>
        <v>3.7121720998683623</v>
      </c>
      <c r="X47">
        <f t="shared" si="15"/>
        <v>28.070374502693568</v>
      </c>
      <c r="Y47">
        <f t="shared" si="16"/>
        <v>0.92224268029857603</v>
      </c>
      <c r="Z47">
        <f t="shared" si="17"/>
        <v>3.2854662491591613</v>
      </c>
      <c r="AA47">
        <f t="shared" si="18"/>
        <v>2.7899294195697864</v>
      </c>
      <c r="AB47">
        <f t="shared" si="19"/>
        <v>-14.665371947766721</v>
      </c>
      <c r="AC47">
        <f t="shared" si="20"/>
        <v>-237.68236847082883</v>
      </c>
      <c r="AD47">
        <f t="shared" si="21"/>
        <v>-24.015298230495535</v>
      </c>
      <c r="AE47">
        <f t="shared" si="22"/>
        <v>-0.24863988909112322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52481.165858221415</v>
      </c>
      <c r="AK47">
        <f t="shared" si="26"/>
        <v>1800</v>
      </c>
      <c r="AL47">
        <f t="shared" si="27"/>
        <v>1499.1120000000001</v>
      </c>
      <c r="AM47">
        <f t="shared" si="28"/>
        <v>0.83284000000000002</v>
      </c>
      <c r="AN47">
        <f t="shared" si="29"/>
        <v>0.1533968882</v>
      </c>
      <c r="AO47">
        <v>32.4</v>
      </c>
      <c r="AP47">
        <v>0.5</v>
      </c>
      <c r="AQ47" t="s">
        <v>331</v>
      </c>
      <c r="AR47">
        <v>2</v>
      </c>
      <c r="AS47">
        <v>1690218475</v>
      </c>
      <c r="AT47">
        <v>781.16700000000003</v>
      </c>
      <c r="AU47">
        <v>800.06200000000001</v>
      </c>
      <c r="AV47">
        <v>9.2986400000000007</v>
      </c>
      <c r="AW47">
        <v>5.7429699999999997</v>
      </c>
      <c r="AX47">
        <v>781.42700000000002</v>
      </c>
      <c r="AY47">
        <v>9.3380500000000008</v>
      </c>
      <c r="AZ47">
        <v>300.20699999999999</v>
      </c>
      <c r="BA47">
        <v>99.080399999999997</v>
      </c>
      <c r="BB47">
        <v>9.99834E-2</v>
      </c>
      <c r="BC47">
        <v>25.5501</v>
      </c>
      <c r="BD47">
        <v>26.8979</v>
      </c>
      <c r="BE47">
        <v>27.091100000000001</v>
      </c>
      <c r="BF47">
        <v>0</v>
      </c>
      <c r="BG47">
        <v>0</v>
      </c>
      <c r="BH47">
        <v>9967.5</v>
      </c>
      <c r="BI47">
        <v>1062.6400000000001</v>
      </c>
      <c r="BJ47">
        <v>1.56985</v>
      </c>
      <c r="BK47">
        <v>-18.8948</v>
      </c>
      <c r="BL47">
        <v>788.49900000000002</v>
      </c>
      <c r="BM47">
        <v>804.68299999999999</v>
      </c>
      <c r="BN47">
        <v>3.55566</v>
      </c>
      <c r="BO47">
        <v>800.06200000000001</v>
      </c>
      <c r="BP47">
        <v>5.7429699999999997</v>
      </c>
      <c r="BQ47">
        <v>0.92131300000000005</v>
      </c>
      <c r="BR47">
        <v>0.56901599999999997</v>
      </c>
      <c r="BS47">
        <v>5.7280199999999999</v>
      </c>
      <c r="BT47">
        <v>-1.0352399999999999</v>
      </c>
      <c r="BU47">
        <v>1800</v>
      </c>
      <c r="BV47">
        <v>0.91001100000000001</v>
      </c>
      <c r="BW47">
        <v>3.4008099999999999E-2</v>
      </c>
      <c r="BX47">
        <v>2.1992000000000001E-2</v>
      </c>
      <c r="BY47">
        <v>3.3989400000000003E-2</v>
      </c>
      <c r="BZ47">
        <v>25</v>
      </c>
      <c r="CA47">
        <v>33528.400000000001</v>
      </c>
      <c r="CB47">
        <v>1690217592</v>
      </c>
      <c r="CC47" t="s">
        <v>332</v>
      </c>
      <c r="CD47">
        <v>1690217586.5</v>
      </c>
      <c r="CE47">
        <v>1690217592</v>
      </c>
      <c r="CF47">
        <v>9</v>
      </c>
      <c r="CG47">
        <v>0.11600000000000001</v>
      </c>
      <c r="CH47">
        <v>-3.0000000000000001E-3</v>
      </c>
      <c r="CI47">
        <v>-0.27300000000000002</v>
      </c>
      <c r="CJ47">
        <v>-6.9000000000000006E-2</v>
      </c>
      <c r="CK47">
        <v>800</v>
      </c>
      <c r="CL47">
        <v>6</v>
      </c>
      <c r="CM47">
        <v>0.01</v>
      </c>
      <c r="CN47">
        <v>0.01</v>
      </c>
      <c r="CO47">
        <v>-17.028048780487811</v>
      </c>
      <c r="CP47">
        <v>-9.1823372822299927</v>
      </c>
      <c r="CQ47">
        <v>0.90620830080601922</v>
      </c>
      <c r="CR47">
        <v>-1</v>
      </c>
      <c r="CS47">
        <v>3.45926487804878</v>
      </c>
      <c r="CT47">
        <v>0.49001477351916489</v>
      </c>
      <c r="CU47">
        <v>4.8327290130179973E-2</v>
      </c>
      <c r="CV47">
        <v>-1</v>
      </c>
      <c r="CW47">
        <v>0</v>
      </c>
      <c r="CX47">
        <v>0</v>
      </c>
      <c r="CY47" t="s">
        <v>333</v>
      </c>
      <c r="CZ47">
        <v>2.3643000000000001</v>
      </c>
      <c r="DA47">
        <v>2.7137500000000001</v>
      </c>
      <c r="DB47">
        <v>0.144125</v>
      </c>
      <c r="DC47">
        <v>0.14604800000000001</v>
      </c>
      <c r="DD47">
        <v>5.6944599999999998E-2</v>
      </c>
      <c r="DE47">
        <v>3.8049300000000001E-2</v>
      </c>
      <c r="DF47">
        <v>31235</v>
      </c>
      <c r="DG47">
        <v>27501.4</v>
      </c>
      <c r="DH47">
        <v>31157.3</v>
      </c>
      <c r="DI47">
        <v>28063.4</v>
      </c>
      <c r="DJ47">
        <v>39909.1</v>
      </c>
      <c r="DK47">
        <v>38388.9</v>
      </c>
      <c r="DL47">
        <v>44337.5</v>
      </c>
      <c r="DM47">
        <v>42533.1</v>
      </c>
      <c r="DN47">
        <v>1.4725999999999999</v>
      </c>
      <c r="DO47">
        <v>2.0289999999999999</v>
      </c>
      <c r="DP47">
        <v>0.113167</v>
      </c>
      <c r="DQ47">
        <v>0.142515</v>
      </c>
      <c r="DR47">
        <v>25.0441</v>
      </c>
      <c r="DS47">
        <v>24.7563</v>
      </c>
      <c r="DT47">
        <v>16.899999999999999</v>
      </c>
      <c r="DU47">
        <v>29.8</v>
      </c>
      <c r="DV47">
        <v>7.1839899999999997</v>
      </c>
      <c r="DW47">
        <v>61.718600000000002</v>
      </c>
      <c r="DX47">
        <v>36.782899999999998</v>
      </c>
      <c r="DY47">
        <v>1</v>
      </c>
      <c r="DZ47">
        <v>-6.64101E-2</v>
      </c>
      <c r="EA47">
        <v>1.7888299999999999</v>
      </c>
      <c r="EB47">
        <v>20.1784</v>
      </c>
      <c r="EC47">
        <v>5.2408000000000001</v>
      </c>
      <c r="ED47">
        <v>12.039899999999999</v>
      </c>
      <c r="EE47">
        <v>5.0166500000000003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1.86894</v>
      </c>
      <c r="EL47">
        <v>1.86467</v>
      </c>
      <c r="EM47">
        <v>1.8692</v>
      </c>
      <c r="EN47">
        <v>1.86727</v>
      </c>
      <c r="EO47">
        <v>1.86341</v>
      </c>
      <c r="EP47">
        <v>1.8645499999999999</v>
      </c>
      <c r="EQ47">
        <v>1.87018</v>
      </c>
      <c r="ER47">
        <v>1.8694500000000001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-0.26</v>
      </c>
      <c r="FG47">
        <v>-3.9399999999999998E-2</v>
      </c>
      <c r="FH47">
        <v>0.27827353915413472</v>
      </c>
      <c r="FI47">
        <v>-6.1462078757559423E-4</v>
      </c>
      <c r="FJ47">
        <v>-1.8861989874597051E-7</v>
      </c>
      <c r="FK47">
        <v>1.1980462299894961E-10</v>
      </c>
      <c r="FL47">
        <v>-3.2538871274648329E-2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14.8</v>
      </c>
      <c r="FU47">
        <v>14.7</v>
      </c>
      <c r="FV47">
        <v>1.7785599999999999</v>
      </c>
      <c r="FW47">
        <v>2.5854499999999998</v>
      </c>
      <c r="FX47">
        <v>1.5490699999999999</v>
      </c>
      <c r="FY47">
        <v>2.3290999999999999</v>
      </c>
      <c r="FZ47">
        <v>1.50146</v>
      </c>
      <c r="GA47">
        <v>2.3706100000000001</v>
      </c>
      <c r="GB47">
        <v>33.850900000000003</v>
      </c>
      <c r="GC47">
        <v>23.982399999999998</v>
      </c>
      <c r="GD47">
        <v>19</v>
      </c>
      <c r="GE47">
        <v>282.19299999999998</v>
      </c>
      <c r="GF47">
        <v>578.64700000000005</v>
      </c>
      <c r="GG47">
        <v>21.263000000000002</v>
      </c>
      <c r="GH47">
        <v>26.5563</v>
      </c>
      <c r="GI47">
        <v>30</v>
      </c>
      <c r="GJ47">
        <v>26.543800000000001</v>
      </c>
      <c r="GK47">
        <v>26.477</v>
      </c>
      <c r="GL47">
        <v>35.568600000000004</v>
      </c>
      <c r="GM47">
        <v>-30</v>
      </c>
      <c r="GN47">
        <v>-30</v>
      </c>
      <c r="GO47">
        <v>21.353899999999999</v>
      </c>
      <c r="GP47">
        <v>800</v>
      </c>
      <c r="GQ47">
        <v>12.5298</v>
      </c>
      <c r="GR47">
        <v>99.687100000000001</v>
      </c>
      <c r="GS47">
        <v>99.501000000000005</v>
      </c>
    </row>
    <row r="48" spans="1:201" x14ac:dyDescent="0.25">
      <c r="A48">
        <v>32</v>
      </c>
      <c r="B48">
        <v>1690218485</v>
      </c>
      <c r="C48">
        <v>464.5</v>
      </c>
      <c r="D48" t="s">
        <v>393</v>
      </c>
      <c r="E48" t="s">
        <v>394</v>
      </c>
      <c r="F48" t="s">
        <v>330</v>
      </c>
      <c r="H48">
        <v>1690218485</v>
      </c>
      <c r="I48">
        <f t="shared" si="0"/>
        <v>3.40991119260253E-4</v>
      </c>
      <c r="J48">
        <f t="shared" si="1"/>
        <v>0.340991119260253</v>
      </c>
      <c r="K48">
        <f t="shared" si="2"/>
        <v>1.6237414084067336</v>
      </c>
      <c r="L48">
        <f t="shared" si="3"/>
        <v>779.62300000000005</v>
      </c>
      <c r="M48">
        <f t="shared" si="4"/>
        <v>531.28968997817333</v>
      </c>
      <c r="N48">
        <f t="shared" si="5"/>
        <v>52.693503832031972</v>
      </c>
      <c r="O48">
        <f t="shared" si="6"/>
        <v>77.323291441488294</v>
      </c>
      <c r="P48">
        <f t="shared" si="7"/>
        <v>1.1933390189005631E-2</v>
      </c>
      <c r="Q48">
        <f t="shared" si="8"/>
        <v>2.1329507051721035</v>
      </c>
      <c r="R48">
        <f t="shared" si="9"/>
        <v>1.1896422766507245E-2</v>
      </c>
      <c r="S48">
        <f t="shared" si="10"/>
        <v>7.4385760047592396E-3</v>
      </c>
      <c r="T48">
        <f t="shared" si="11"/>
        <v>276.11235571794623</v>
      </c>
      <c r="U48">
        <f t="shared" si="12"/>
        <v>27.601331898211221</v>
      </c>
      <c r="V48">
        <f t="shared" si="13"/>
        <v>27.601331898211221</v>
      </c>
      <c r="W48">
        <f t="shared" si="14"/>
        <v>3.7075329581599719</v>
      </c>
      <c r="X48">
        <f t="shared" si="15"/>
        <v>28.364598649522655</v>
      </c>
      <c r="Y48">
        <f t="shared" si="16"/>
        <v>0.931173673844649</v>
      </c>
      <c r="Z48">
        <f t="shared" si="17"/>
        <v>3.282872729314362</v>
      </c>
      <c r="AA48">
        <f t="shared" si="18"/>
        <v>2.7763592843153226</v>
      </c>
      <c r="AB48">
        <f t="shared" si="19"/>
        <v>-15.037708359377158</v>
      </c>
      <c r="AC48">
        <f t="shared" si="20"/>
        <v>-237.40390553995971</v>
      </c>
      <c r="AD48">
        <f t="shared" si="21"/>
        <v>-23.917418410158842</v>
      </c>
      <c r="AE48">
        <f t="shared" si="22"/>
        <v>-0.24667659154945909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52736.038440489101</v>
      </c>
      <c r="AK48">
        <f t="shared" si="26"/>
        <v>1799.99</v>
      </c>
      <c r="AL48">
        <f t="shared" si="27"/>
        <v>1499.1034520012197</v>
      </c>
      <c r="AM48">
        <f t="shared" si="28"/>
        <v>0.83283987799999981</v>
      </c>
      <c r="AN48">
        <f t="shared" si="29"/>
        <v>0.15339660538000002</v>
      </c>
      <c r="AO48">
        <v>32.4</v>
      </c>
      <c r="AP48">
        <v>0.5</v>
      </c>
      <c r="AQ48" t="s">
        <v>331</v>
      </c>
      <c r="AR48">
        <v>2</v>
      </c>
      <c r="AS48">
        <v>1690218485</v>
      </c>
      <c r="AT48">
        <v>779.62300000000005</v>
      </c>
      <c r="AU48">
        <v>800.01700000000005</v>
      </c>
      <c r="AV48">
        <v>9.3886900000000004</v>
      </c>
      <c r="AW48">
        <v>5.7429800000000002</v>
      </c>
      <c r="AX48">
        <v>779.88199999999995</v>
      </c>
      <c r="AY48">
        <v>9.4269300000000005</v>
      </c>
      <c r="AZ48">
        <v>300.19900000000001</v>
      </c>
      <c r="BA48">
        <v>99.080399999999997</v>
      </c>
      <c r="BB48">
        <v>9.9962099999999998E-2</v>
      </c>
      <c r="BC48">
        <v>25.536799999999999</v>
      </c>
      <c r="BD48">
        <v>26.907499999999999</v>
      </c>
      <c r="BE48">
        <v>27.090699999999998</v>
      </c>
      <c r="BF48">
        <v>0</v>
      </c>
      <c r="BG48">
        <v>0</v>
      </c>
      <c r="BH48">
        <v>10017.5</v>
      </c>
      <c r="BI48">
        <v>1062.25</v>
      </c>
      <c r="BJ48">
        <v>1.56985</v>
      </c>
      <c r="BK48">
        <v>-20.3934</v>
      </c>
      <c r="BL48">
        <v>787.01300000000003</v>
      </c>
      <c r="BM48">
        <v>804.63800000000003</v>
      </c>
      <c r="BN48">
        <v>3.6457099999999998</v>
      </c>
      <c r="BO48">
        <v>800.01700000000005</v>
      </c>
      <c r="BP48">
        <v>5.7429800000000002</v>
      </c>
      <c r="BQ48">
        <v>0.93023599999999995</v>
      </c>
      <c r="BR48">
        <v>0.569017</v>
      </c>
      <c r="BS48">
        <v>5.8671899999999999</v>
      </c>
      <c r="BT48">
        <v>-1.03522</v>
      </c>
      <c r="BU48">
        <v>1799.99</v>
      </c>
      <c r="BV48">
        <v>0.91001699999999996</v>
      </c>
      <c r="BW48">
        <v>3.4005500000000001E-2</v>
      </c>
      <c r="BX48">
        <v>2.19904E-2</v>
      </c>
      <c r="BY48">
        <v>3.3986799999999998E-2</v>
      </c>
      <c r="BZ48">
        <v>25</v>
      </c>
      <c r="CA48">
        <v>33528.400000000001</v>
      </c>
      <c r="CB48">
        <v>1690217592</v>
      </c>
      <c r="CC48" t="s">
        <v>332</v>
      </c>
      <c r="CD48">
        <v>1690217586.5</v>
      </c>
      <c r="CE48">
        <v>1690217592</v>
      </c>
      <c r="CF48">
        <v>9</v>
      </c>
      <c r="CG48">
        <v>0.11600000000000001</v>
      </c>
      <c r="CH48">
        <v>-3.0000000000000001E-3</v>
      </c>
      <c r="CI48">
        <v>-0.27300000000000002</v>
      </c>
      <c r="CJ48">
        <v>-6.9000000000000006E-2</v>
      </c>
      <c r="CK48">
        <v>800</v>
      </c>
      <c r="CL48">
        <v>6</v>
      </c>
      <c r="CM48">
        <v>0.01</v>
      </c>
      <c r="CN48">
        <v>0.01</v>
      </c>
      <c r="CO48">
        <v>-18.73179268292683</v>
      </c>
      <c r="CP48">
        <v>-9.4103644599302836</v>
      </c>
      <c r="CQ48">
        <v>0.92898043125448959</v>
      </c>
      <c r="CR48">
        <v>-1</v>
      </c>
      <c r="CS48">
        <v>3.5518339024390242</v>
      </c>
      <c r="CT48">
        <v>0.52083679442508901</v>
      </c>
      <c r="CU48">
        <v>5.1359128425001982E-2</v>
      </c>
      <c r="CV48">
        <v>-1</v>
      </c>
      <c r="CW48">
        <v>0</v>
      </c>
      <c r="CX48">
        <v>0</v>
      </c>
      <c r="CY48" t="s">
        <v>333</v>
      </c>
      <c r="CZ48">
        <v>2.3642599999999998</v>
      </c>
      <c r="DA48">
        <v>2.7137699999999998</v>
      </c>
      <c r="DB48">
        <v>0.14393400000000001</v>
      </c>
      <c r="DC48">
        <v>0.146041</v>
      </c>
      <c r="DD48">
        <v>5.7367099999999997E-2</v>
      </c>
      <c r="DE48">
        <v>3.8048800000000001E-2</v>
      </c>
      <c r="DF48">
        <v>31242.2</v>
      </c>
      <c r="DG48">
        <v>27501.599999999999</v>
      </c>
      <c r="DH48">
        <v>31157.599999999999</v>
      </c>
      <c r="DI48">
        <v>28063.4</v>
      </c>
      <c r="DJ48">
        <v>39891.5</v>
      </c>
      <c r="DK48">
        <v>38389</v>
      </c>
      <c r="DL48">
        <v>44338</v>
      </c>
      <c r="DM48">
        <v>42533.2</v>
      </c>
      <c r="DN48">
        <v>1.47265</v>
      </c>
      <c r="DO48">
        <v>2.0293800000000002</v>
      </c>
      <c r="DP48">
        <v>0.115328</v>
      </c>
      <c r="DQ48">
        <v>0.14391499999999999</v>
      </c>
      <c r="DR48">
        <v>25.0182</v>
      </c>
      <c r="DS48">
        <v>24.732900000000001</v>
      </c>
      <c r="DT48">
        <v>16.899999999999999</v>
      </c>
      <c r="DU48">
        <v>29.8</v>
      </c>
      <c r="DV48">
        <v>7.1832500000000001</v>
      </c>
      <c r="DW48">
        <v>61.468600000000002</v>
      </c>
      <c r="DX48">
        <v>37.247599999999998</v>
      </c>
      <c r="DY48">
        <v>1</v>
      </c>
      <c r="DZ48">
        <v>-6.6961400000000004E-2</v>
      </c>
      <c r="EA48">
        <v>1.5009999999999999</v>
      </c>
      <c r="EB48">
        <v>20.181699999999999</v>
      </c>
      <c r="EC48">
        <v>5.2404999999999999</v>
      </c>
      <c r="ED48">
        <v>12.039899999999999</v>
      </c>
      <c r="EE48">
        <v>5.0164999999999997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1.86896</v>
      </c>
      <c r="EL48">
        <v>1.86469</v>
      </c>
      <c r="EM48">
        <v>1.8692</v>
      </c>
      <c r="EN48">
        <v>1.8672500000000001</v>
      </c>
      <c r="EO48">
        <v>1.8634200000000001</v>
      </c>
      <c r="EP48">
        <v>1.8645700000000001</v>
      </c>
      <c r="EQ48">
        <v>1.8702099999999999</v>
      </c>
      <c r="ER48">
        <v>1.8694500000000001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-0.25900000000000001</v>
      </c>
      <c r="FG48">
        <v>-3.8199999999999998E-2</v>
      </c>
      <c r="FH48">
        <v>0.27827353915413472</v>
      </c>
      <c r="FI48">
        <v>-6.1462078757559423E-4</v>
      </c>
      <c r="FJ48">
        <v>-1.8861989874597051E-7</v>
      </c>
      <c r="FK48">
        <v>1.1980462299894961E-10</v>
      </c>
      <c r="FL48">
        <v>-3.2538871274648329E-2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15</v>
      </c>
      <c r="FU48">
        <v>14.9</v>
      </c>
      <c r="FV48">
        <v>1.7785599999999999</v>
      </c>
      <c r="FW48">
        <v>2.5793499999999998</v>
      </c>
      <c r="FX48">
        <v>1.5490699999999999</v>
      </c>
      <c r="FY48">
        <v>2.3290999999999999</v>
      </c>
      <c r="FZ48">
        <v>1.50146</v>
      </c>
      <c r="GA48">
        <v>2.3767100000000001</v>
      </c>
      <c r="GB48">
        <v>33.850900000000003</v>
      </c>
      <c r="GC48">
        <v>23.991199999999999</v>
      </c>
      <c r="GD48">
        <v>19</v>
      </c>
      <c r="GE48">
        <v>282.233</v>
      </c>
      <c r="GF48">
        <v>579.01700000000005</v>
      </c>
      <c r="GG48">
        <v>21.426100000000002</v>
      </c>
      <c r="GH48">
        <v>26.5562</v>
      </c>
      <c r="GI48">
        <v>30</v>
      </c>
      <c r="GJ48">
        <v>26.548200000000001</v>
      </c>
      <c r="GK48">
        <v>26.482500000000002</v>
      </c>
      <c r="GL48">
        <v>35.569099999999999</v>
      </c>
      <c r="GM48">
        <v>-30</v>
      </c>
      <c r="GN48">
        <v>-30</v>
      </c>
      <c r="GO48">
        <v>21.5261</v>
      </c>
      <c r="GP48">
        <v>800</v>
      </c>
      <c r="GQ48">
        <v>12.5298</v>
      </c>
      <c r="GR48">
        <v>99.688100000000006</v>
      </c>
      <c r="GS48">
        <v>99.501000000000005</v>
      </c>
    </row>
    <row r="49" spans="1:201" x14ac:dyDescent="0.25">
      <c r="A49">
        <v>33</v>
      </c>
      <c r="B49">
        <v>1690218495</v>
      </c>
      <c r="C49">
        <v>474.5</v>
      </c>
      <c r="D49" t="s">
        <v>395</v>
      </c>
      <c r="E49" t="s">
        <v>396</v>
      </c>
      <c r="F49" t="s">
        <v>330</v>
      </c>
      <c r="H49">
        <v>1690218495</v>
      </c>
      <c r="I49">
        <f t="shared" si="0"/>
        <v>3.5009142586582494E-4</v>
      </c>
      <c r="J49">
        <f t="shared" si="1"/>
        <v>0.35009142586582492</v>
      </c>
      <c r="K49">
        <f t="shared" si="2"/>
        <v>1.7764336885180059</v>
      </c>
      <c r="L49">
        <f t="shared" si="3"/>
        <v>777.89599999999996</v>
      </c>
      <c r="M49">
        <f t="shared" si="4"/>
        <v>516.43563236665705</v>
      </c>
      <c r="N49">
        <f t="shared" si="5"/>
        <v>51.220407757524008</v>
      </c>
      <c r="O49">
        <f t="shared" si="6"/>
        <v>77.152209909207983</v>
      </c>
      <c r="P49">
        <f t="shared" si="7"/>
        <v>1.2290945524761579E-2</v>
      </c>
      <c r="Q49">
        <f t="shared" si="8"/>
        <v>2.1303319428181693</v>
      </c>
      <c r="R49">
        <f t="shared" si="9"/>
        <v>1.2251685528109315E-2</v>
      </c>
      <c r="S49">
        <f t="shared" si="10"/>
        <v>7.6608202994885334E-3</v>
      </c>
      <c r="T49">
        <f t="shared" si="11"/>
        <v>276.11617617000002</v>
      </c>
      <c r="U49">
        <f t="shared" si="12"/>
        <v>27.604984048945951</v>
      </c>
      <c r="V49">
        <f t="shared" si="13"/>
        <v>27.604984048945951</v>
      </c>
      <c r="W49">
        <f t="shared" si="14"/>
        <v>3.7083247399872148</v>
      </c>
      <c r="X49">
        <f t="shared" si="15"/>
        <v>28.646051718722465</v>
      </c>
      <c r="Y49">
        <f t="shared" si="16"/>
        <v>0.94066473355628</v>
      </c>
      <c r="Z49">
        <f t="shared" si="17"/>
        <v>3.2837500357561704</v>
      </c>
      <c r="AA49">
        <f t="shared" si="18"/>
        <v>2.7676600064309347</v>
      </c>
      <c r="AB49">
        <f t="shared" si="19"/>
        <v>-15.439031880682879</v>
      </c>
      <c r="AC49">
        <f t="shared" si="20"/>
        <v>-237.0150534447672</v>
      </c>
      <c r="AD49">
        <f t="shared" si="21"/>
        <v>-23.908571817730905</v>
      </c>
      <c r="AE49">
        <f t="shared" si="22"/>
        <v>-0.24648097318097939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52621.756552281062</v>
      </c>
      <c r="AK49">
        <f t="shared" si="26"/>
        <v>1800</v>
      </c>
      <c r="AL49">
        <f t="shared" si="27"/>
        <v>1499.1120270000001</v>
      </c>
      <c r="AM49">
        <f t="shared" si="28"/>
        <v>0.83284001500000004</v>
      </c>
      <c r="AN49">
        <f t="shared" si="29"/>
        <v>0.15339787565000002</v>
      </c>
      <c r="AO49">
        <v>32.4</v>
      </c>
      <c r="AP49">
        <v>0.5</v>
      </c>
      <c r="AQ49" t="s">
        <v>331</v>
      </c>
      <c r="AR49">
        <v>2</v>
      </c>
      <c r="AS49">
        <v>1690218495</v>
      </c>
      <c r="AT49">
        <v>777.89599999999996</v>
      </c>
      <c r="AU49">
        <v>800.00699999999995</v>
      </c>
      <c r="AV49">
        <v>9.4843600000000006</v>
      </c>
      <c r="AW49">
        <v>5.7418899999999997</v>
      </c>
      <c r="AX49">
        <v>778.15300000000002</v>
      </c>
      <c r="AY49">
        <v>9.52135</v>
      </c>
      <c r="AZ49">
        <v>300.21300000000002</v>
      </c>
      <c r="BA49">
        <v>99.080600000000004</v>
      </c>
      <c r="BB49">
        <v>0.100023</v>
      </c>
      <c r="BC49">
        <v>25.5413</v>
      </c>
      <c r="BD49">
        <v>26.8933</v>
      </c>
      <c r="BE49">
        <v>27.0947</v>
      </c>
      <c r="BF49">
        <v>0</v>
      </c>
      <c r="BG49">
        <v>0</v>
      </c>
      <c r="BH49">
        <v>9995</v>
      </c>
      <c r="BI49">
        <v>1062.05</v>
      </c>
      <c r="BJ49">
        <v>1.5137799999999999</v>
      </c>
      <c r="BK49">
        <v>-22.111799999999999</v>
      </c>
      <c r="BL49">
        <v>785.34400000000005</v>
      </c>
      <c r="BM49">
        <v>804.62800000000004</v>
      </c>
      <c r="BN49">
        <v>3.74247</v>
      </c>
      <c r="BO49">
        <v>800.00699999999995</v>
      </c>
      <c r="BP49">
        <v>5.7418899999999997</v>
      </c>
      <c r="BQ49">
        <v>0.939716</v>
      </c>
      <c r="BR49">
        <v>0.568909</v>
      </c>
      <c r="BS49">
        <v>6.0137600000000004</v>
      </c>
      <c r="BT49">
        <v>-1.0378099999999999</v>
      </c>
      <c r="BU49">
        <v>1800</v>
      </c>
      <c r="BV49">
        <v>0.909995</v>
      </c>
      <c r="BW49">
        <v>3.4002999999999999E-2</v>
      </c>
      <c r="BX49">
        <v>2.2006999999999999E-2</v>
      </c>
      <c r="BY49">
        <v>3.3994700000000003E-2</v>
      </c>
      <c r="BZ49">
        <v>25</v>
      </c>
      <c r="CA49">
        <v>33528.199999999997</v>
      </c>
      <c r="CB49">
        <v>1690217592</v>
      </c>
      <c r="CC49" t="s">
        <v>332</v>
      </c>
      <c r="CD49">
        <v>1690217586.5</v>
      </c>
      <c r="CE49">
        <v>1690217592</v>
      </c>
      <c r="CF49">
        <v>9</v>
      </c>
      <c r="CG49">
        <v>0.11600000000000001</v>
      </c>
      <c r="CH49">
        <v>-3.0000000000000001E-3</v>
      </c>
      <c r="CI49">
        <v>-0.27300000000000002</v>
      </c>
      <c r="CJ49">
        <v>-6.9000000000000006E-2</v>
      </c>
      <c r="CK49">
        <v>800</v>
      </c>
      <c r="CL49">
        <v>6</v>
      </c>
      <c r="CM49">
        <v>0.01</v>
      </c>
      <c r="CN49">
        <v>0.01</v>
      </c>
      <c r="CO49">
        <v>-20.34319268292683</v>
      </c>
      <c r="CP49">
        <v>-9.8204613240418226</v>
      </c>
      <c r="CQ49">
        <v>0.97003568035715659</v>
      </c>
      <c r="CR49">
        <v>-1</v>
      </c>
      <c r="CS49">
        <v>3.641936829268293</v>
      </c>
      <c r="CT49">
        <v>0.55987693379791237</v>
      </c>
      <c r="CU49">
        <v>5.52220324286984E-2</v>
      </c>
      <c r="CV49">
        <v>-1</v>
      </c>
      <c r="CW49">
        <v>0</v>
      </c>
      <c r="CX49">
        <v>0</v>
      </c>
      <c r="CY49" t="s">
        <v>333</v>
      </c>
      <c r="CZ49">
        <v>2.3643100000000001</v>
      </c>
      <c r="DA49">
        <v>2.7138100000000001</v>
      </c>
      <c r="DB49">
        <v>0.14372099999999999</v>
      </c>
      <c r="DC49">
        <v>0.146039</v>
      </c>
      <c r="DD49">
        <v>5.7814600000000001E-2</v>
      </c>
      <c r="DE49">
        <v>3.8042399999999997E-2</v>
      </c>
      <c r="DF49">
        <v>31249.8</v>
      </c>
      <c r="DG49">
        <v>27501.7</v>
      </c>
      <c r="DH49">
        <v>31157.4</v>
      </c>
      <c r="DI49">
        <v>28063.4</v>
      </c>
      <c r="DJ49">
        <v>39872.1</v>
      </c>
      <c r="DK49">
        <v>38389.199999999997</v>
      </c>
      <c r="DL49">
        <v>44337.5</v>
      </c>
      <c r="DM49">
        <v>42533.1</v>
      </c>
      <c r="DN49">
        <v>1.47238</v>
      </c>
      <c r="DO49">
        <v>2.02922</v>
      </c>
      <c r="DP49">
        <v>0.115998</v>
      </c>
      <c r="DQ49">
        <v>0.14552499999999999</v>
      </c>
      <c r="DR49">
        <v>24.992999999999999</v>
      </c>
      <c r="DS49">
        <v>24.7105</v>
      </c>
      <c r="DT49">
        <v>16.899999999999999</v>
      </c>
      <c r="DU49">
        <v>29.8</v>
      </c>
      <c r="DV49">
        <v>7.1839000000000004</v>
      </c>
      <c r="DW49">
        <v>61.128599999999999</v>
      </c>
      <c r="DX49">
        <v>37.223599999999998</v>
      </c>
      <c r="DY49">
        <v>1</v>
      </c>
      <c r="DZ49">
        <v>-6.6806400000000002E-2</v>
      </c>
      <c r="EA49">
        <v>1.4534100000000001</v>
      </c>
      <c r="EB49">
        <v>20.182200000000002</v>
      </c>
      <c r="EC49">
        <v>5.2408000000000001</v>
      </c>
      <c r="ED49">
        <v>12.039899999999999</v>
      </c>
      <c r="EE49">
        <v>5.0167999999999999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1.86897</v>
      </c>
      <c r="EL49">
        <v>1.8646799999999999</v>
      </c>
      <c r="EM49">
        <v>1.8692</v>
      </c>
      <c r="EN49">
        <v>1.8672500000000001</v>
      </c>
      <c r="EO49">
        <v>1.8634299999999999</v>
      </c>
      <c r="EP49">
        <v>1.86459</v>
      </c>
      <c r="EQ49">
        <v>1.87018</v>
      </c>
      <c r="ER49">
        <v>1.8694599999999999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-0.25700000000000001</v>
      </c>
      <c r="FG49">
        <v>-3.6999999999999998E-2</v>
      </c>
      <c r="FH49">
        <v>0.27827353915413472</v>
      </c>
      <c r="FI49">
        <v>-6.1462078757559423E-4</v>
      </c>
      <c r="FJ49">
        <v>-1.8861989874597051E-7</v>
      </c>
      <c r="FK49">
        <v>1.1980462299894961E-10</v>
      </c>
      <c r="FL49">
        <v>-3.2538871274648329E-2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15.1</v>
      </c>
      <c r="FU49">
        <v>15.1</v>
      </c>
      <c r="FV49">
        <v>1.7785599999999999</v>
      </c>
      <c r="FW49">
        <v>2.5805699999999998</v>
      </c>
      <c r="FX49">
        <v>1.5490699999999999</v>
      </c>
      <c r="FY49">
        <v>2.3290999999999999</v>
      </c>
      <c r="FZ49">
        <v>1.50146</v>
      </c>
      <c r="GA49">
        <v>2.4157700000000002</v>
      </c>
      <c r="GB49">
        <v>33.850900000000003</v>
      </c>
      <c r="GC49">
        <v>23.991199999999999</v>
      </c>
      <c r="GD49">
        <v>19</v>
      </c>
      <c r="GE49">
        <v>282.13299999999998</v>
      </c>
      <c r="GF49">
        <v>578.94399999999996</v>
      </c>
      <c r="GG49">
        <v>21.587700000000002</v>
      </c>
      <c r="GH49">
        <v>26.553999999999998</v>
      </c>
      <c r="GI49">
        <v>30.0001</v>
      </c>
      <c r="GJ49">
        <v>26.552199999999999</v>
      </c>
      <c r="GK49">
        <v>26.486999999999998</v>
      </c>
      <c r="GL49">
        <v>35.568300000000001</v>
      </c>
      <c r="GM49">
        <v>-30</v>
      </c>
      <c r="GN49">
        <v>-30</v>
      </c>
      <c r="GO49">
        <v>21.663699999999999</v>
      </c>
      <c r="GP49">
        <v>800</v>
      </c>
      <c r="GQ49">
        <v>12.5298</v>
      </c>
      <c r="GR49">
        <v>99.687200000000004</v>
      </c>
      <c r="GS49">
        <v>99.501000000000005</v>
      </c>
    </row>
    <row r="50" spans="1:201" x14ac:dyDescent="0.25">
      <c r="A50">
        <v>34</v>
      </c>
      <c r="B50">
        <v>1690218505</v>
      </c>
      <c r="C50">
        <v>484.5</v>
      </c>
      <c r="D50" t="s">
        <v>397</v>
      </c>
      <c r="E50" t="s">
        <v>398</v>
      </c>
      <c r="F50" t="s">
        <v>330</v>
      </c>
      <c r="H50">
        <v>1690218505</v>
      </c>
      <c r="I50">
        <f t="shared" si="0"/>
        <v>3.5950428878208708E-4</v>
      </c>
      <c r="J50">
        <f t="shared" si="1"/>
        <v>0.35950428878208707</v>
      </c>
      <c r="K50">
        <f t="shared" si="2"/>
        <v>1.9281614507288252</v>
      </c>
      <c r="L50">
        <f t="shared" si="3"/>
        <v>776.16200000000003</v>
      </c>
      <c r="M50">
        <f t="shared" si="4"/>
        <v>502.9651420791451</v>
      </c>
      <c r="N50">
        <f t="shared" si="5"/>
        <v>49.88574006155276</v>
      </c>
      <c r="O50">
        <f t="shared" si="6"/>
        <v>76.982304613790006</v>
      </c>
      <c r="P50">
        <f t="shared" si="7"/>
        <v>1.267472934773671E-2</v>
      </c>
      <c r="Q50">
        <f t="shared" si="8"/>
        <v>2.1333455333058571</v>
      </c>
      <c r="R50">
        <f t="shared" si="9"/>
        <v>1.2633042548153553E-2</v>
      </c>
      <c r="S50">
        <f t="shared" si="10"/>
        <v>7.8993854976602117E-3</v>
      </c>
      <c r="T50">
        <f t="shared" si="11"/>
        <v>276.11492414167714</v>
      </c>
      <c r="U50">
        <f t="shared" si="12"/>
        <v>27.597843461299959</v>
      </c>
      <c r="V50">
        <f t="shared" si="13"/>
        <v>27.597843461299959</v>
      </c>
      <c r="W50">
        <f t="shared" si="14"/>
        <v>3.7067768070484015</v>
      </c>
      <c r="X50">
        <f t="shared" si="15"/>
        <v>28.948844753501103</v>
      </c>
      <c r="Y50">
        <f t="shared" si="16"/>
        <v>0.95053996879265001</v>
      </c>
      <c r="Z50">
        <f t="shared" si="17"/>
        <v>3.2835160673473531</v>
      </c>
      <c r="AA50">
        <f t="shared" si="18"/>
        <v>2.7562368382557514</v>
      </c>
      <c r="AB50">
        <f t="shared" si="19"/>
        <v>-15.85413913529004</v>
      </c>
      <c r="AC50">
        <f t="shared" si="20"/>
        <v>-236.66709313177151</v>
      </c>
      <c r="AD50">
        <f t="shared" si="21"/>
        <v>-23.838750621324092</v>
      </c>
      <c r="AE50">
        <f t="shared" si="22"/>
        <v>-0.24505874670850858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52752.64432352849</v>
      </c>
      <c r="AK50">
        <f t="shared" si="26"/>
        <v>1799.99</v>
      </c>
      <c r="AL50">
        <f t="shared" si="27"/>
        <v>1499.1009698150101</v>
      </c>
      <c r="AM50">
        <f t="shared" si="28"/>
        <v>0.83283849900000007</v>
      </c>
      <c r="AN50">
        <f t="shared" si="29"/>
        <v>0.15339803229000001</v>
      </c>
      <c r="AO50">
        <v>32.4</v>
      </c>
      <c r="AP50">
        <v>0.5</v>
      </c>
      <c r="AQ50" t="s">
        <v>331</v>
      </c>
      <c r="AR50">
        <v>2</v>
      </c>
      <c r="AS50">
        <v>1690218505</v>
      </c>
      <c r="AT50">
        <v>776.16200000000003</v>
      </c>
      <c r="AU50">
        <v>799.98199999999997</v>
      </c>
      <c r="AV50">
        <v>9.5836699999999997</v>
      </c>
      <c r="AW50">
        <v>5.7410899999999998</v>
      </c>
      <c r="AX50">
        <v>776.41800000000001</v>
      </c>
      <c r="AY50">
        <v>9.6193200000000001</v>
      </c>
      <c r="AZ50">
        <v>300.22300000000001</v>
      </c>
      <c r="BA50">
        <v>99.083299999999994</v>
      </c>
      <c r="BB50">
        <v>9.9995000000000001E-2</v>
      </c>
      <c r="BC50">
        <v>25.540099999999999</v>
      </c>
      <c r="BD50">
        <v>26.895199999999999</v>
      </c>
      <c r="BE50">
        <v>27.111499999999999</v>
      </c>
      <c r="BF50">
        <v>0</v>
      </c>
      <c r="BG50">
        <v>0</v>
      </c>
      <c r="BH50">
        <v>10020.6</v>
      </c>
      <c r="BI50">
        <v>1061.8599999999999</v>
      </c>
      <c r="BJ50">
        <v>1.5137799999999999</v>
      </c>
      <c r="BK50">
        <v>-23.820399999999999</v>
      </c>
      <c r="BL50">
        <v>783.67200000000003</v>
      </c>
      <c r="BM50">
        <v>804.60199999999998</v>
      </c>
      <c r="BN50">
        <v>3.8425799999999999</v>
      </c>
      <c r="BO50">
        <v>799.98199999999997</v>
      </c>
      <c r="BP50">
        <v>5.7410899999999998</v>
      </c>
      <c r="BQ50">
        <v>0.94958100000000001</v>
      </c>
      <c r="BR50">
        <v>0.56884599999999996</v>
      </c>
      <c r="BS50">
        <v>6.1649099999999999</v>
      </c>
      <c r="BT50">
        <v>-1.0393399999999999</v>
      </c>
      <c r="BU50">
        <v>1799.99</v>
      </c>
      <c r="BV50">
        <v>0.90997700000000004</v>
      </c>
      <c r="BW50">
        <v>3.4000799999999998E-2</v>
      </c>
      <c r="BX50">
        <v>2.2008199999999999E-2</v>
      </c>
      <c r="BY50">
        <v>3.4013500000000002E-2</v>
      </c>
      <c r="BZ50">
        <v>25</v>
      </c>
      <c r="CA50">
        <v>33528.1</v>
      </c>
      <c r="CB50">
        <v>1690217592</v>
      </c>
      <c r="CC50" t="s">
        <v>332</v>
      </c>
      <c r="CD50">
        <v>1690217586.5</v>
      </c>
      <c r="CE50">
        <v>1690217592</v>
      </c>
      <c r="CF50">
        <v>9</v>
      </c>
      <c r="CG50">
        <v>0.11600000000000001</v>
      </c>
      <c r="CH50">
        <v>-3.0000000000000001E-3</v>
      </c>
      <c r="CI50">
        <v>-0.27300000000000002</v>
      </c>
      <c r="CJ50">
        <v>-6.9000000000000006E-2</v>
      </c>
      <c r="CK50">
        <v>800</v>
      </c>
      <c r="CL50">
        <v>6</v>
      </c>
      <c r="CM50">
        <v>0.01</v>
      </c>
      <c r="CN50">
        <v>0.01</v>
      </c>
      <c r="CO50">
        <v>-22.030204878048782</v>
      </c>
      <c r="CP50">
        <v>-10.38889756097562</v>
      </c>
      <c r="CQ50">
        <v>1.0245531232763041</v>
      </c>
      <c r="CR50">
        <v>-1</v>
      </c>
      <c r="CS50">
        <v>3.7378556097560969</v>
      </c>
      <c r="CT50">
        <v>0.59063602787456404</v>
      </c>
      <c r="CU50">
        <v>5.8242725665278432E-2</v>
      </c>
      <c r="CV50">
        <v>-1</v>
      </c>
      <c r="CW50">
        <v>0</v>
      </c>
      <c r="CX50">
        <v>0</v>
      </c>
      <c r="CY50" t="s">
        <v>333</v>
      </c>
      <c r="CZ50">
        <v>2.36435</v>
      </c>
      <c r="DA50">
        <v>2.7138100000000001</v>
      </c>
      <c r="DB50">
        <v>0.143511</v>
      </c>
      <c r="DC50">
        <v>0.146038</v>
      </c>
      <c r="DD50">
        <v>5.82791E-2</v>
      </c>
      <c r="DE50">
        <v>3.8038599999999999E-2</v>
      </c>
      <c r="DF50">
        <v>31257.200000000001</v>
      </c>
      <c r="DG50">
        <v>27501.7</v>
      </c>
      <c r="DH50">
        <v>31157.1</v>
      </c>
      <c r="DI50">
        <v>28063.4</v>
      </c>
      <c r="DJ50">
        <v>39852.1</v>
      </c>
      <c r="DK50">
        <v>38389.4</v>
      </c>
      <c r="DL50">
        <v>44337.3</v>
      </c>
      <c r="DM50">
        <v>42533.1</v>
      </c>
      <c r="DN50">
        <v>1.47295</v>
      </c>
      <c r="DO50">
        <v>2.0292500000000002</v>
      </c>
      <c r="DP50">
        <v>0.117399</v>
      </c>
      <c r="DQ50">
        <v>0.14775199999999999</v>
      </c>
      <c r="DR50">
        <v>24.971900000000002</v>
      </c>
      <c r="DS50">
        <v>24.690799999999999</v>
      </c>
      <c r="DT50">
        <v>16.899999999999999</v>
      </c>
      <c r="DU50">
        <v>29.8</v>
      </c>
      <c r="DV50">
        <v>7.1837299999999997</v>
      </c>
      <c r="DW50">
        <v>61.6586</v>
      </c>
      <c r="DX50">
        <v>37.067300000000003</v>
      </c>
      <c r="DY50">
        <v>1</v>
      </c>
      <c r="DZ50">
        <v>-6.6910600000000001E-2</v>
      </c>
      <c r="EA50">
        <v>1.33386</v>
      </c>
      <c r="EB50">
        <v>20.1831</v>
      </c>
      <c r="EC50">
        <v>5.2406499999999996</v>
      </c>
      <c r="ED50">
        <v>12.039899999999999</v>
      </c>
      <c r="EE50">
        <v>5.0163500000000001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1.8689899999999999</v>
      </c>
      <c r="EL50">
        <v>1.8646799999999999</v>
      </c>
      <c r="EM50">
        <v>1.8691899999999999</v>
      </c>
      <c r="EN50">
        <v>1.8672599999999999</v>
      </c>
      <c r="EO50">
        <v>1.86341</v>
      </c>
      <c r="EP50">
        <v>1.86459</v>
      </c>
      <c r="EQ50">
        <v>1.8701700000000001</v>
      </c>
      <c r="ER50">
        <v>1.86948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-0.25600000000000001</v>
      </c>
      <c r="FG50">
        <v>-3.5700000000000003E-2</v>
      </c>
      <c r="FH50">
        <v>0.27827353915413472</v>
      </c>
      <c r="FI50">
        <v>-6.1462078757559423E-4</v>
      </c>
      <c r="FJ50">
        <v>-1.8861989874597051E-7</v>
      </c>
      <c r="FK50">
        <v>1.1980462299894961E-10</v>
      </c>
      <c r="FL50">
        <v>-3.2538871274648329E-2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15.3</v>
      </c>
      <c r="FU50">
        <v>15.2</v>
      </c>
      <c r="FV50">
        <v>1.7785599999999999</v>
      </c>
      <c r="FW50">
        <v>2.5817899999999998</v>
      </c>
      <c r="FX50">
        <v>1.5490699999999999</v>
      </c>
      <c r="FY50">
        <v>2.3290999999999999</v>
      </c>
      <c r="FZ50">
        <v>1.50146</v>
      </c>
      <c r="GA50">
        <v>2.3535200000000001</v>
      </c>
      <c r="GB50">
        <v>33.850900000000003</v>
      </c>
      <c r="GC50">
        <v>23.982399999999998</v>
      </c>
      <c r="GD50">
        <v>19</v>
      </c>
      <c r="GE50">
        <v>282.39</v>
      </c>
      <c r="GF50">
        <v>579.01400000000001</v>
      </c>
      <c r="GG50">
        <v>21.727699999999999</v>
      </c>
      <c r="GH50">
        <v>26.550599999999999</v>
      </c>
      <c r="GI50">
        <v>30</v>
      </c>
      <c r="GJ50">
        <v>26.5549</v>
      </c>
      <c r="GK50">
        <v>26.491399999999999</v>
      </c>
      <c r="GL50">
        <v>35.567999999999998</v>
      </c>
      <c r="GM50">
        <v>-30</v>
      </c>
      <c r="GN50">
        <v>-30</v>
      </c>
      <c r="GO50">
        <v>21.810199999999998</v>
      </c>
      <c r="GP50">
        <v>800</v>
      </c>
      <c r="GQ50">
        <v>12.5298</v>
      </c>
      <c r="GR50">
        <v>99.686499999999995</v>
      </c>
      <c r="GS50">
        <v>99.501000000000005</v>
      </c>
    </row>
    <row r="51" spans="1:201" x14ac:dyDescent="0.25">
      <c r="A51">
        <v>35</v>
      </c>
      <c r="B51">
        <v>1690218515</v>
      </c>
      <c r="C51">
        <v>494.5</v>
      </c>
      <c r="D51" t="s">
        <v>399</v>
      </c>
      <c r="E51" t="s">
        <v>400</v>
      </c>
      <c r="F51" t="s">
        <v>330</v>
      </c>
      <c r="H51">
        <v>1690218515</v>
      </c>
      <c r="I51">
        <f t="shared" si="0"/>
        <v>3.6915171644222241E-4</v>
      </c>
      <c r="J51">
        <f t="shared" si="1"/>
        <v>0.36915171644222239</v>
      </c>
      <c r="K51">
        <f t="shared" si="2"/>
        <v>2.0917384346861709</v>
      </c>
      <c r="L51">
        <f t="shared" si="3"/>
        <v>774.41099999999994</v>
      </c>
      <c r="M51">
        <f t="shared" si="4"/>
        <v>488.66579691761649</v>
      </c>
      <c r="N51">
        <f t="shared" si="5"/>
        <v>48.465494582497378</v>
      </c>
      <c r="O51">
        <f t="shared" si="6"/>
        <v>76.805482114505097</v>
      </c>
      <c r="P51">
        <f t="shared" si="7"/>
        <v>1.3055734929979306E-2</v>
      </c>
      <c r="Q51">
        <f t="shared" si="8"/>
        <v>2.1349029452265351</v>
      </c>
      <c r="R51">
        <f t="shared" si="9"/>
        <v>1.3011541095430916E-2</v>
      </c>
      <c r="S51">
        <f t="shared" si="10"/>
        <v>8.1361712931577249E-3</v>
      </c>
      <c r="T51">
        <f t="shared" si="11"/>
        <v>276.11487158196906</v>
      </c>
      <c r="U51">
        <f t="shared" si="12"/>
        <v>27.604694646212472</v>
      </c>
      <c r="V51">
        <f t="shared" si="13"/>
        <v>27.604694646212472</v>
      </c>
      <c r="W51">
        <f t="shared" si="14"/>
        <v>3.7082619924447782</v>
      </c>
      <c r="X51">
        <f t="shared" si="15"/>
        <v>29.237206277360627</v>
      </c>
      <c r="Y51">
        <f t="shared" si="16"/>
        <v>0.9606698004774199</v>
      </c>
      <c r="Z51">
        <f t="shared" si="17"/>
        <v>3.2857783721329743</v>
      </c>
      <c r="AA51">
        <f t="shared" si="18"/>
        <v>2.7475921919673585</v>
      </c>
      <c r="AB51">
        <f t="shared" si="19"/>
        <v>-16.279590695102009</v>
      </c>
      <c r="AC51">
        <f t="shared" si="20"/>
        <v>-236.29329400372649</v>
      </c>
      <c r="AD51">
        <f t="shared" si="21"/>
        <v>-23.785932181712248</v>
      </c>
      <c r="AE51">
        <f t="shared" si="22"/>
        <v>-0.24394529857167413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52818.089218689929</v>
      </c>
      <c r="AK51">
        <f t="shared" si="26"/>
        <v>1799.99</v>
      </c>
      <c r="AL51">
        <f t="shared" si="27"/>
        <v>1499.1030668033598</v>
      </c>
      <c r="AM51">
        <f t="shared" si="28"/>
        <v>0.83283966399999987</v>
      </c>
      <c r="AN51">
        <f t="shared" si="29"/>
        <v>0.15339800308999998</v>
      </c>
      <c r="AO51">
        <v>32.4</v>
      </c>
      <c r="AP51">
        <v>0.5</v>
      </c>
      <c r="AQ51" t="s">
        <v>331</v>
      </c>
      <c r="AR51">
        <v>2</v>
      </c>
      <c r="AS51">
        <v>1690218515</v>
      </c>
      <c r="AT51">
        <v>774.41099999999994</v>
      </c>
      <c r="AU51">
        <v>800.07399999999996</v>
      </c>
      <c r="AV51">
        <v>9.6861999999999995</v>
      </c>
      <c r="AW51">
        <v>5.7403199999999996</v>
      </c>
      <c r="AX51">
        <v>774.66600000000005</v>
      </c>
      <c r="AY51">
        <v>9.7204499999999996</v>
      </c>
      <c r="AZ51">
        <v>300.178</v>
      </c>
      <c r="BA51">
        <v>99.079300000000003</v>
      </c>
      <c r="BB51">
        <v>9.9924100000000002E-2</v>
      </c>
      <c r="BC51">
        <v>25.5517</v>
      </c>
      <c r="BD51">
        <v>26.822900000000001</v>
      </c>
      <c r="BE51">
        <v>27.113600000000002</v>
      </c>
      <c r="BF51">
        <v>0</v>
      </c>
      <c r="BG51">
        <v>0</v>
      </c>
      <c r="BH51">
        <v>10034.4</v>
      </c>
      <c r="BI51">
        <v>1061.6500000000001</v>
      </c>
      <c r="BJ51">
        <v>1.5137799999999999</v>
      </c>
      <c r="BK51">
        <v>-25.6633</v>
      </c>
      <c r="BL51">
        <v>781.98500000000001</v>
      </c>
      <c r="BM51">
        <v>804.69299999999998</v>
      </c>
      <c r="BN51">
        <v>3.9458799999999998</v>
      </c>
      <c r="BO51">
        <v>800.07399999999996</v>
      </c>
      <c r="BP51">
        <v>5.7403199999999996</v>
      </c>
      <c r="BQ51">
        <v>0.95970200000000006</v>
      </c>
      <c r="BR51">
        <v>0.568747</v>
      </c>
      <c r="BS51">
        <v>6.31853</v>
      </c>
      <c r="BT51">
        <v>-1.0417099999999999</v>
      </c>
      <c r="BU51">
        <v>1799.99</v>
      </c>
      <c r="BV51">
        <v>0.90998400000000002</v>
      </c>
      <c r="BW51">
        <v>3.3998500000000001E-2</v>
      </c>
      <c r="BX51">
        <v>2.2006700000000001E-2</v>
      </c>
      <c r="BY51">
        <v>3.4011100000000002E-2</v>
      </c>
      <c r="BZ51">
        <v>25</v>
      </c>
      <c r="CA51">
        <v>33528.199999999997</v>
      </c>
      <c r="CB51">
        <v>1690217592</v>
      </c>
      <c r="CC51" t="s">
        <v>332</v>
      </c>
      <c r="CD51">
        <v>1690217586.5</v>
      </c>
      <c r="CE51">
        <v>1690217592</v>
      </c>
      <c r="CF51">
        <v>9</v>
      </c>
      <c r="CG51">
        <v>0.11600000000000001</v>
      </c>
      <c r="CH51">
        <v>-3.0000000000000001E-3</v>
      </c>
      <c r="CI51">
        <v>-0.27300000000000002</v>
      </c>
      <c r="CJ51">
        <v>-6.9000000000000006E-2</v>
      </c>
      <c r="CK51">
        <v>800</v>
      </c>
      <c r="CL51">
        <v>6</v>
      </c>
      <c r="CM51">
        <v>0.01</v>
      </c>
      <c r="CN51">
        <v>0.01</v>
      </c>
      <c r="CO51">
        <v>-23.77147317073171</v>
      </c>
      <c r="CP51">
        <v>-10.58976167247385</v>
      </c>
      <c r="CQ51">
        <v>1.044632670186824</v>
      </c>
      <c r="CR51">
        <v>-1</v>
      </c>
      <c r="CS51">
        <v>3.83799243902439</v>
      </c>
      <c r="CT51">
        <v>0.61078766550522523</v>
      </c>
      <c r="CU51">
        <v>6.022692594417639E-2</v>
      </c>
      <c r="CV51">
        <v>-1</v>
      </c>
      <c r="CW51">
        <v>0</v>
      </c>
      <c r="CX51">
        <v>0</v>
      </c>
      <c r="CY51" t="s">
        <v>333</v>
      </c>
      <c r="CZ51">
        <v>2.3641899999999998</v>
      </c>
      <c r="DA51">
        <v>2.7137500000000001</v>
      </c>
      <c r="DB51">
        <v>0.14329</v>
      </c>
      <c r="DC51">
        <v>0.14604200000000001</v>
      </c>
      <c r="DD51">
        <v>5.8753100000000003E-2</v>
      </c>
      <c r="DE51">
        <v>3.8032499999999997E-2</v>
      </c>
      <c r="DF51">
        <v>31265.599999999999</v>
      </c>
      <c r="DG51">
        <v>27501.8</v>
      </c>
      <c r="DH51">
        <v>31157.3</v>
      </c>
      <c r="DI51">
        <v>28063.599999999999</v>
      </c>
      <c r="DJ51">
        <v>39832.199999999997</v>
      </c>
      <c r="DK51">
        <v>38389.800000000003</v>
      </c>
      <c r="DL51">
        <v>44337.599999999999</v>
      </c>
      <c r="DM51">
        <v>42533.4</v>
      </c>
      <c r="DN51">
        <v>1.4725999999999999</v>
      </c>
      <c r="DO51">
        <v>2.0293800000000002</v>
      </c>
      <c r="DP51">
        <v>0.11412799999999999</v>
      </c>
      <c r="DQ51">
        <v>0.14895900000000001</v>
      </c>
      <c r="DR51">
        <v>24.952999999999999</v>
      </c>
      <c r="DS51">
        <v>24.673100000000002</v>
      </c>
      <c r="DT51">
        <v>16.899999999999999</v>
      </c>
      <c r="DU51">
        <v>29.8</v>
      </c>
      <c r="DV51">
        <v>7.1833499999999999</v>
      </c>
      <c r="DW51">
        <v>61.348599999999998</v>
      </c>
      <c r="DX51">
        <v>36.8429</v>
      </c>
      <c r="DY51">
        <v>1</v>
      </c>
      <c r="DZ51">
        <v>-6.7464399999999994E-2</v>
      </c>
      <c r="EA51">
        <v>1.2642899999999999</v>
      </c>
      <c r="EB51">
        <v>20.183900000000001</v>
      </c>
      <c r="EC51">
        <v>5.2408000000000001</v>
      </c>
      <c r="ED51">
        <v>12.039899999999999</v>
      </c>
      <c r="EE51">
        <v>5.0163000000000002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1.8689800000000001</v>
      </c>
      <c r="EL51">
        <v>1.86473</v>
      </c>
      <c r="EM51">
        <v>1.8692</v>
      </c>
      <c r="EN51">
        <v>1.8672800000000001</v>
      </c>
      <c r="EO51">
        <v>1.8634200000000001</v>
      </c>
      <c r="EP51">
        <v>1.8646100000000001</v>
      </c>
      <c r="EQ51">
        <v>1.87019</v>
      </c>
      <c r="ER51">
        <v>1.86951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-0.255</v>
      </c>
      <c r="FG51">
        <v>-3.4299999999999997E-2</v>
      </c>
      <c r="FH51">
        <v>0.27827353915413472</v>
      </c>
      <c r="FI51">
        <v>-6.1462078757559423E-4</v>
      </c>
      <c r="FJ51">
        <v>-1.8861989874597051E-7</v>
      </c>
      <c r="FK51">
        <v>1.1980462299894961E-10</v>
      </c>
      <c r="FL51">
        <v>-3.2538871274648329E-2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15.5</v>
      </c>
      <c r="FU51">
        <v>15.4</v>
      </c>
      <c r="FV51">
        <v>1.7785599999999999</v>
      </c>
      <c r="FW51">
        <v>2.5817899999999998</v>
      </c>
      <c r="FX51">
        <v>1.5490699999999999</v>
      </c>
      <c r="FY51">
        <v>2.3290999999999999</v>
      </c>
      <c r="FZ51">
        <v>1.50146</v>
      </c>
      <c r="GA51">
        <v>2.32544</v>
      </c>
      <c r="GB51">
        <v>33.850900000000003</v>
      </c>
      <c r="GC51">
        <v>23.982399999999998</v>
      </c>
      <c r="GD51">
        <v>19</v>
      </c>
      <c r="GE51">
        <v>282.25099999999998</v>
      </c>
      <c r="GF51">
        <v>579.16</v>
      </c>
      <c r="GG51">
        <v>21.866299999999999</v>
      </c>
      <c r="GH51">
        <v>26.546700000000001</v>
      </c>
      <c r="GI51">
        <v>30.0001</v>
      </c>
      <c r="GJ51">
        <v>26.557099999999998</v>
      </c>
      <c r="GK51">
        <v>26.4953</v>
      </c>
      <c r="GL51">
        <v>35.567599999999999</v>
      </c>
      <c r="GM51">
        <v>-30</v>
      </c>
      <c r="GN51">
        <v>-30</v>
      </c>
      <c r="GO51">
        <v>21.949200000000001</v>
      </c>
      <c r="GP51">
        <v>800</v>
      </c>
      <c r="GQ51">
        <v>12.5298</v>
      </c>
      <c r="GR51">
        <v>99.687299999999993</v>
      </c>
      <c r="GS51">
        <v>99.501599999999996</v>
      </c>
    </row>
    <row r="52" spans="1:201" x14ac:dyDescent="0.25">
      <c r="A52">
        <v>36</v>
      </c>
      <c r="B52">
        <v>1690218525</v>
      </c>
      <c r="C52">
        <v>504.5</v>
      </c>
      <c r="D52" t="s">
        <v>401</v>
      </c>
      <c r="E52" t="s">
        <v>402</v>
      </c>
      <c r="F52" t="s">
        <v>330</v>
      </c>
      <c r="H52">
        <v>1690218525</v>
      </c>
      <c r="I52">
        <f t="shared" si="0"/>
        <v>3.7891316235214544E-4</v>
      </c>
      <c r="J52">
        <f t="shared" si="1"/>
        <v>0.37891316235214545</v>
      </c>
      <c r="K52">
        <f t="shared" si="2"/>
        <v>2.2469414814970152</v>
      </c>
      <c r="L52">
        <f t="shared" si="3"/>
        <v>772.57500000000005</v>
      </c>
      <c r="M52">
        <f t="shared" si="4"/>
        <v>476.1716455940666</v>
      </c>
      <c r="N52">
        <f t="shared" si="5"/>
        <v>47.226563339384079</v>
      </c>
      <c r="O52">
        <f t="shared" si="6"/>
        <v>76.623760590375014</v>
      </c>
      <c r="P52">
        <f t="shared" si="7"/>
        <v>1.3446448018676522E-2</v>
      </c>
      <c r="Q52">
        <f t="shared" si="8"/>
        <v>2.1295187950636891</v>
      </c>
      <c r="R52">
        <f t="shared" si="9"/>
        <v>1.3399456527777237E-2</v>
      </c>
      <c r="S52">
        <f t="shared" si="10"/>
        <v>8.3788685748984199E-3</v>
      </c>
      <c r="T52">
        <f t="shared" si="11"/>
        <v>276.11598216599998</v>
      </c>
      <c r="U52">
        <f t="shared" si="12"/>
        <v>27.609906328092471</v>
      </c>
      <c r="V52">
        <f t="shared" si="13"/>
        <v>27.609906328092471</v>
      </c>
      <c r="W52">
        <f t="shared" si="14"/>
        <v>3.7093921175589166</v>
      </c>
      <c r="X52">
        <f t="shared" si="15"/>
        <v>29.542916581775781</v>
      </c>
      <c r="Y52">
        <f t="shared" si="16"/>
        <v>0.97093955803849996</v>
      </c>
      <c r="Z52">
        <f t="shared" si="17"/>
        <v>3.2865392804089155</v>
      </c>
      <c r="AA52">
        <f t="shared" si="18"/>
        <v>2.7384525595204168</v>
      </c>
      <c r="AB52">
        <f t="shared" si="19"/>
        <v>-16.710070459729614</v>
      </c>
      <c r="AC52">
        <f t="shared" si="20"/>
        <v>-235.84796038411326</v>
      </c>
      <c r="AD52">
        <f t="shared" si="21"/>
        <v>-23.802215520757883</v>
      </c>
      <c r="AE52">
        <f t="shared" si="22"/>
        <v>-0.24426419860080273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52584.010881426831</v>
      </c>
      <c r="AK52">
        <f t="shared" si="26"/>
        <v>1800</v>
      </c>
      <c r="AL52">
        <f t="shared" si="27"/>
        <v>1499.1115715999997</v>
      </c>
      <c r="AM52">
        <f t="shared" si="28"/>
        <v>0.83283976199999987</v>
      </c>
      <c r="AN52">
        <f t="shared" si="29"/>
        <v>0.15339776786999998</v>
      </c>
      <c r="AO52">
        <v>32.4</v>
      </c>
      <c r="AP52">
        <v>0.5</v>
      </c>
      <c r="AQ52" t="s">
        <v>331</v>
      </c>
      <c r="AR52">
        <v>2</v>
      </c>
      <c r="AS52">
        <v>1690218525</v>
      </c>
      <c r="AT52">
        <v>772.57500000000005</v>
      </c>
      <c r="AU52">
        <v>799.98500000000001</v>
      </c>
      <c r="AV52">
        <v>9.7896999999999998</v>
      </c>
      <c r="AW52">
        <v>5.74024</v>
      </c>
      <c r="AX52">
        <v>772.83</v>
      </c>
      <c r="AY52">
        <v>9.8225200000000008</v>
      </c>
      <c r="AZ52">
        <v>300.20299999999997</v>
      </c>
      <c r="BA52">
        <v>99.079700000000003</v>
      </c>
      <c r="BB52">
        <v>0.100005</v>
      </c>
      <c r="BC52">
        <v>25.555599999999998</v>
      </c>
      <c r="BD52">
        <v>26.886099999999999</v>
      </c>
      <c r="BE52">
        <v>27.133600000000001</v>
      </c>
      <c r="BF52">
        <v>0</v>
      </c>
      <c r="BG52">
        <v>0</v>
      </c>
      <c r="BH52">
        <v>9988.1200000000008</v>
      </c>
      <c r="BI52">
        <v>1061.3699999999999</v>
      </c>
      <c r="BJ52">
        <v>1.5137799999999999</v>
      </c>
      <c r="BK52">
        <v>-27.409800000000001</v>
      </c>
      <c r="BL52">
        <v>780.21400000000006</v>
      </c>
      <c r="BM52">
        <v>804.60400000000004</v>
      </c>
      <c r="BN52">
        <v>4.0494599999999998</v>
      </c>
      <c r="BO52">
        <v>799.98500000000001</v>
      </c>
      <c r="BP52">
        <v>5.74024</v>
      </c>
      <c r="BQ52">
        <v>0.96996099999999996</v>
      </c>
      <c r="BR52">
        <v>0.56874100000000005</v>
      </c>
      <c r="BS52">
        <v>6.4728000000000003</v>
      </c>
      <c r="BT52">
        <v>-1.0418499999999999</v>
      </c>
      <c r="BU52">
        <v>1800</v>
      </c>
      <c r="BV52">
        <v>0.90998999999999997</v>
      </c>
      <c r="BW52">
        <v>3.3995999999999998E-2</v>
      </c>
      <c r="BX52">
        <v>2.20051E-2</v>
      </c>
      <c r="BY52">
        <v>3.4008700000000003E-2</v>
      </c>
      <c r="BZ52">
        <v>25</v>
      </c>
      <c r="CA52">
        <v>33528.199999999997</v>
      </c>
      <c r="CB52">
        <v>1690217592</v>
      </c>
      <c r="CC52" t="s">
        <v>332</v>
      </c>
      <c r="CD52">
        <v>1690217586.5</v>
      </c>
      <c r="CE52">
        <v>1690217592</v>
      </c>
      <c r="CF52">
        <v>9</v>
      </c>
      <c r="CG52">
        <v>0.11600000000000001</v>
      </c>
      <c r="CH52">
        <v>-3.0000000000000001E-3</v>
      </c>
      <c r="CI52">
        <v>-0.27300000000000002</v>
      </c>
      <c r="CJ52">
        <v>-6.9000000000000006E-2</v>
      </c>
      <c r="CK52">
        <v>800</v>
      </c>
      <c r="CL52">
        <v>6</v>
      </c>
      <c r="CM52">
        <v>0.01</v>
      </c>
      <c r="CN52">
        <v>0.01</v>
      </c>
      <c r="CO52">
        <v>-25.36483658536585</v>
      </c>
      <c r="CP52">
        <v>-10.823466898954729</v>
      </c>
      <c r="CQ52">
        <v>1.0680621612850201</v>
      </c>
      <c r="CR52">
        <v>-1</v>
      </c>
      <c r="CS52">
        <v>3.9300875609756099</v>
      </c>
      <c r="CT52">
        <v>0.61831149825783727</v>
      </c>
      <c r="CU52">
        <v>6.0968503815214237E-2</v>
      </c>
      <c r="CV52">
        <v>-1</v>
      </c>
      <c r="CW52">
        <v>0</v>
      </c>
      <c r="CX52">
        <v>0</v>
      </c>
      <c r="CY52" t="s">
        <v>333</v>
      </c>
      <c r="CZ52">
        <v>2.36429</v>
      </c>
      <c r="DA52">
        <v>2.7137899999999999</v>
      </c>
      <c r="DB52">
        <v>0.143063</v>
      </c>
      <c r="DC52">
        <v>0.14603099999999999</v>
      </c>
      <c r="DD52">
        <v>5.9232300000000002E-2</v>
      </c>
      <c r="DE52">
        <v>3.80319E-2</v>
      </c>
      <c r="DF52">
        <v>31273.8</v>
      </c>
      <c r="DG52">
        <v>27502.1</v>
      </c>
      <c r="DH52">
        <v>31157.3</v>
      </c>
      <c r="DI52">
        <v>28063.5</v>
      </c>
      <c r="DJ52">
        <v>39811.800000000003</v>
      </c>
      <c r="DK52">
        <v>38389.800000000003</v>
      </c>
      <c r="DL52">
        <v>44337.599999999999</v>
      </c>
      <c r="DM52">
        <v>42533.3</v>
      </c>
      <c r="DN52">
        <v>1.47255</v>
      </c>
      <c r="DO52">
        <v>2.0294300000000001</v>
      </c>
      <c r="DP52">
        <v>0.119239</v>
      </c>
      <c r="DQ52">
        <v>0.15112800000000001</v>
      </c>
      <c r="DR52">
        <v>24.932500000000001</v>
      </c>
      <c r="DS52">
        <v>24.657599999999999</v>
      </c>
      <c r="DT52">
        <v>16.899999999999999</v>
      </c>
      <c r="DU52">
        <v>29.8</v>
      </c>
      <c r="DV52">
        <v>7.1845100000000004</v>
      </c>
      <c r="DW52">
        <v>61.968600000000002</v>
      </c>
      <c r="DX52">
        <v>36.7027</v>
      </c>
      <c r="DY52">
        <v>1</v>
      </c>
      <c r="DZ52">
        <v>-6.7500000000000004E-2</v>
      </c>
      <c r="EA52">
        <v>0.98353500000000005</v>
      </c>
      <c r="EB52">
        <v>20.186299999999999</v>
      </c>
      <c r="EC52">
        <v>5.2406499999999996</v>
      </c>
      <c r="ED52">
        <v>12.039899999999999</v>
      </c>
      <c r="EE52">
        <v>5.0163500000000001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1.8689499999999999</v>
      </c>
      <c r="EL52">
        <v>1.8647</v>
      </c>
      <c r="EM52">
        <v>1.8692</v>
      </c>
      <c r="EN52">
        <v>1.8672800000000001</v>
      </c>
      <c r="EO52">
        <v>1.8634200000000001</v>
      </c>
      <c r="EP52">
        <v>1.8646</v>
      </c>
      <c r="EQ52">
        <v>1.8702099999999999</v>
      </c>
      <c r="ER52">
        <v>1.8694900000000001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-0.255</v>
      </c>
      <c r="FG52">
        <v>-3.2800000000000003E-2</v>
      </c>
      <c r="FH52">
        <v>0.27827353915413472</v>
      </c>
      <c r="FI52">
        <v>-6.1462078757559423E-4</v>
      </c>
      <c r="FJ52">
        <v>-1.8861989874597051E-7</v>
      </c>
      <c r="FK52">
        <v>1.1980462299894961E-10</v>
      </c>
      <c r="FL52">
        <v>-3.2538871274648329E-2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15.6</v>
      </c>
      <c r="FU52">
        <v>15.6</v>
      </c>
      <c r="FV52">
        <v>1.7785599999999999</v>
      </c>
      <c r="FW52">
        <v>2.5805699999999998</v>
      </c>
      <c r="FX52">
        <v>1.5490699999999999</v>
      </c>
      <c r="FY52">
        <v>2.3290999999999999</v>
      </c>
      <c r="FZ52">
        <v>1.50146</v>
      </c>
      <c r="GA52">
        <v>2.3547400000000001</v>
      </c>
      <c r="GB52">
        <v>33.850900000000003</v>
      </c>
      <c r="GC52">
        <v>23.982399999999998</v>
      </c>
      <c r="GD52">
        <v>19</v>
      </c>
      <c r="GE52">
        <v>282.24</v>
      </c>
      <c r="GF52">
        <v>579.23199999999997</v>
      </c>
      <c r="GG52">
        <v>22.03</v>
      </c>
      <c r="GH52">
        <v>26.541599999999999</v>
      </c>
      <c r="GI52">
        <v>30</v>
      </c>
      <c r="GJ52">
        <v>26.5593</v>
      </c>
      <c r="GK52">
        <v>26.498000000000001</v>
      </c>
      <c r="GL52">
        <v>35.567100000000003</v>
      </c>
      <c r="GM52">
        <v>-30</v>
      </c>
      <c r="GN52">
        <v>-30</v>
      </c>
      <c r="GO52">
        <v>22.124199999999998</v>
      </c>
      <c r="GP52">
        <v>800</v>
      </c>
      <c r="GQ52">
        <v>12.5298</v>
      </c>
      <c r="GR52">
        <v>99.687299999999993</v>
      </c>
      <c r="GS52">
        <v>99.501400000000004</v>
      </c>
    </row>
    <row r="53" spans="1:201" x14ac:dyDescent="0.25">
      <c r="A53">
        <v>37</v>
      </c>
      <c r="B53">
        <v>1690218535</v>
      </c>
      <c r="C53">
        <v>514.5</v>
      </c>
      <c r="D53" t="s">
        <v>403</v>
      </c>
      <c r="E53" t="s">
        <v>404</v>
      </c>
      <c r="F53" t="s">
        <v>330</v>
      </c>
      <c r="H53">
        <v>1690218535</v>
      </c>
      <c r="I53">
        <f t="shared" si="0"/>
        <v>3.8923439462829632E-4</v>
      </c>
      <c r="J53">
        <f t="shared" si="1"/>
        <v>0.38923439462829634</v>
      </c>
      <c r="K53">
        <f t="shared" si="2"/>
        <v>2.4199958541192732</v>
      </c>
      <c r="L53">
        <f t="shared" si="3"/>
        <v>770.68600000000004</v>
      </c>
      <c r="M53">
        <f t="shared" si="4"/>
        <v>462.74336529356515</v>
      </c>
      <c r="N53">
        <f t="shared" si="5"/>
        <v>45.893772082225787</v>
      </c>
      <c r="O53">
        <f t="shared" si="6"/>
        <v>76.434780666220206</v>
      </c>
      <c r="P53">
        <f t="shared" si="7"/>
        <v>1.3863641322758804E-2</v>
      </c>
      <c r="Q53">
        <f t="shared" si="8"/>
        <v>2.1358249241456222</v>
      </c>
      <c r="R53">
        <f t="shared" si="9"/>
        <v>1.3813841399071207E-2</v>
      </c>
      <c r="S53">
        <f t="shared" si="10"/>
        <v>8.6381102207998047E-3</v>
      </c>
      <c r="T53">
        <f t="shared" si="11"/>
        <v>276.11588888999995</v>
      </c>
      <c r="U53">
        <f t="shared" si="12"/>
        <v>27.614069839856985</v>
      </c>
      <c r="V53">
        <f t="shared" si="13"/>
        <v>27.614069839856985</v>
      </c>
      <c r="W53">
        <f t="shared" si="14"/>
        <v>3.7102951685815584</v>
      </c>
      <c r="X53">
        <f t="shared" si="15"/>
        <v>29.851648673760504</v>
      </c>
      <c r="Y53">
        <f t="shared" si="16"/>
        <v>0.9818611232577209</v>
      </c>
      <c r="Z53">
        <f t="shared" si="17"/>
        <v>3.2891353304743043</v>
      </c>
      <c r="AA53">
        <f t="shared" si="18"/>
        <v>2.7284340453238376</v>
      </c>
      <c r="AB53">
        <f t="shared" si="19"/>
        <v>-17.165236803107867</v>
      </c>
      <c r="AC53">
        <f t="shared" si="20"/>
        <v>-235.49433980099204</v>
      </c>
      <c r="AD53">
        <f t="shared" si="21"/>
        <v>-23.698425182480616</v>
      </c>
      <c r="AE53">
        <f t="shared" si="22"/>
        <v>-0.2421128965805508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52855.04382776581</v>
      </c>
      <c r="AK53">
        <f t="shared" si="26"/>
        <v>1800</v>
      </c>
      <c r="AL53">
        <f t="shared" si="27"/>
        <v>1499.1135119999999</v>
      </c>
      <c r="AM53">
        <f t="shared" si="28"/>
        <v>0.83284083999999992</v>
      </c>
      <c r="AN53">
        <f t="shared" si="29"/>
        <v>0.15339771604999997</v>
      </c>
      <c r="AO53">
        <v>32.4</v>
      </c>
      <c r="AP53">
        <v>0.5</v>
      </c>
      <c r="AQ53" t="s">
        <v>331</v>
      </c>
      <c r="AR53">
        <v>2</v>
      </c>
      <c r="AS53">
        <v>1690218535</v>
      </c>
      <c r="AT53">
        <v>770.68600000000004</v>
      </c>
      <c r="AU53">
        <v>800.053</v>
      </c>
      <c r="AV53">
        <v>9.9000299999999992</v>
      </c>
      <c r="AW53">
        <v>5.7391500000000004</v>
      </c>
      <c r="AX53">
        <v>770.93899999999996</v>
      </c>
      <c r="AY53">
        <v>9.9313000000000002</v>
      </c>
      <c r="AZ53">
        <v>300.089</v>
      </c>
      <c r="BA53">
        <v>99.077699999999993</v>
      </c>
      <c r="BB53">
        <v>9.9890699999999999E-2</v>
      </c>
      <c r="BC53">
        <v>25.568899999999999</v>
      </c>
      <c r="BD53">
        <v>26.9041</v>
      </c>
      <c r="BE53">
        <v>27.1629</v>
      </c>
      <c r="BF53">
        <v>0</v>
      </c>
      <c r="BG53">
        <v>0</v>
      </c>
      <c r="BH53">
        <v>10042.5</v>
      </c>
      <c r="BI53">
        <v>1061.2</v>
      </c>
      <c r="BJ53">
        <v>1.5137799999999999</v>
      </c>
      <c r="BK53">
        <v>-29.367000000000001</v>
      </c>
      <c r="BL53">
        <v>778.39200000000005</v>
      </c>
      <c r="BM53">
        <v>804.67100000000005</v>
      </c>
      <c r="BN53">
        <v>4.1608799999999997</v>
      </c>
      <c r="BO53">
        <v>800.053</v>
      </c>
      <c r="BP53">
        <v>5.7391500000000004</v>
      </c>
      <c r="BQ53">
        <v>0.98087199999999997</v>
      </c>
      <c r="BR53">
        <v>0.56862100000000004</v>
      </c>
      <c r="BS53">
        <v>6.6353</v>
      </c>
      <c r="BT53">
        <v>-1.0447200000000001</v>
      </c>
      <c r="BU53">
        <v>1800</v>
      </c>
      <c r="BV53">
        <v>0.90999699999999994</v>
      </c>
      <c r="BW53">
        <v>3.3993700000000002E-2</v>
      </c>
      <c r="BX53">
        <v>2.2003499999999999E-2</v>
      </c>
      <c r="BY53">
        <v>3.4006300000000003E-2</v>
      </c>
      <c r="BZ53">
        <v>25</v>
      </c>
      <c r="CA53">
        <v>33528.300000000003</v>
      </c>
      <c r="CB53">
        <v>1690217592</v>
      </c>
      <c r="CC53" t="s">
        <v>332</v>
      </c>
      <c r="CD53">
        <v>1690217586.5</v>
      </c>
      <c r="CE53">
        <v>1690217592</v>
      </c>
      <c r="CF53">
        <v>9</v>
      </c>
      <c r="CG53">
        <v>0.11600000000000001</v>
      </c>
      <c r="CH53">
        <v>-3.0000000000000001E-3</v>
      </c>
      <c r="CI53">
        <v>-0.27300000000000002</v>
      </c>
      <c r="CJ53">
        <v>-6.9000000000000006E-2</v>
      </c>
      <c r="CK53">
        <v>800</v>
      </c>
      <c r="CL53">
        <v>6</v>
      </c>
      <c r="CM53">
        <v>0.01</v>
      </c>
      <c r="CN53">
        <v>0.01</v>
      </c>
      <c r="CO53">
        <v>-27.18675609756097</v>
      </c>
      <c r="CP53">
        <v>-11.091579094076611</v>
      </c>
      <c r="CQ53">
        <v>1.094881187907415</v>
      </c>
      <c r="CR53">
        <v>-1</v>
      </c>
      <c r="CS53">
        <v>4.0349370731707319</v>
      </c>
      <c r="CT53">
        <v>0.63993595818815818</v>
      </c>
      <c r="CU53">
        <v>6.3106227911274862E-2</v>
      </c>
      <c r="CV53">
        <v>-1</v>
      </c>
      <c r="CW53">
        <v>0</v>
      </c>
      <c r="CX53">
        <v>0</v>
      </c>
      <c r="CY53" t="s">
        <v>333</v>
      </c>
      <c r="CZ53">
        <v>2.3639100000000002</v>
      </c>
      <c r="DA53">
        <v>2.7137199999999999</v>
      </c>
      <c r="DB53">
        <v>0.14282700000000001</v>
      </c>
      <c r="DC53">
        <v>0.146035</v>
      </c>
      <c r="DD53">
        <v>5.9739899999999999E-2</v>
      </c>
      <c r="DE53">
        <v>3.80249E-2</v>
      </c>
      <c r="DF53">
        <v>31282.5</v>
      </c>
      <c r="DG53">
        <v>27502.2</v>
      </c>
      <c r="DH53">
        <v>31157.3</v>
      </c>
      <c r="DI53">
        <v>28063.7</v>
      </c>
      <c r="DJ53">
        <v>39790.1</v>
      </c>
      <c r="DK53">
        <v>38390.400000000001</v>
      </c>
      <c r="DL53">
        <v>44337.599999999999</v>
      </c>
      <c r="DM53">
        <v>42533.599999999999</v>
      </c>
      <c r="DN53">
        <v>1.47275</v>
      </c>
      <c r="DO53">
        <v>2.0296799999999999</v>
      </c>
      <c r="DP53">
        <v>0.12139999999999999</v>
      </c>
      <c r="DQ53">
        <v>0.15368299999999999</v>
      </c>
      <c r="DR53">
        <v>24.915199999999999</v>
      </c>
      <c r="DS53">
        <v>24.645099999999999</v>
      </c>
      <c r="DT53">
        <v>16.899999999999999</v>
      </c>
      <c r="DU53">
        <v>29.8</v>
      </c>
      <c r="DV53">
        <v>7.1849999999999996</v>
      </c>
      <c r="DW53">
        <v>61.328600000000002</v>
      </c>
      <c r="DX53">
        <v>36.502400000000002</v>
      </c>
      <c r="DY53">
        <v>1</v>
      </c>
      <c r="DZ53">
        <v>-6.8226599999999998E-2</v>
      </c>
      <c r="EA53">
        <v>0.83638100000000004</v>
      </c>
      <c r="EB53">
        <v>20.187200000000001</v>
      </c>
      <c r="EC53">
        <v>5.2406499999999996</v>
      </c>
      <c r="ED53">
        <v>12.039899999999999</v>
      </c>
      <c r="EE53">
        <v>5.0163000000000002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1.86896</v>
      </c>
      <c r="EL53">
        <v>1.8647199999999999</v>
      </c>
      <c r="EM53">
        <v>1.8692</v>
      </c>
      <c r="EN53">
        <v>1.86727</v>
      </c>
      <c r="EO53">
        <v>1.86341</v>
      </c>
      <c r="EP53">
        <v>1.8646199999999999</v>
      </c>
      <c r="EQ53">
        <v>1.8702000000000001</v>
      </c>
      <c r="ER53">
        <v>1.8694900000000001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-0.253</v>
      </c>
      <c r="FG53">
        <v>-3.1300000000000001E-2</v>
      </c>
      <c r="FH53">
        <v>0.27827353915413472</v>
      </c>
      <c r="FI53">
        <v>-6.1462078757559423E-4</v>
      </c>
      <c r="FJ53">
        <v>-1.8861989874597051E-7</v>
      </c>
      <c r="FK53">
        <v>1.1980462299894961E-10</v>
      </c>
      <c r="FL53">
        <v>-3.2538871274648329E-2</v>
      </c>
      <c r="FM53">
        <v>-1.6848085045870601E-2</v>
      </c>
      <c r="FN53">
        <v>1.9789084769509481E-3</v>
      </c>
      <c r="FO53">
        <v>-2.7142391389806329E-5</v>
      </c>
      <c r="FP53">
        <v>3</v>
      </c>
      <c r="FQ53">
        <v>2158</v>
      </c>
      <c r="FR53">
        <v>1</v>
      </c>
      <c r="FS53">
        <v>19</v>
      </c>
      <c r="FT53">
        <v>15.8</v>
      </c>
      <c r="FU53">
        <v>15.7</v>
      </c>
      <c r="FV53">
        <v>1.7785599999999999</v>
      </c>
      <c r="FW53">
        <v>2.5830099999999998</v>
      </c>
      <c r="FX53">
        <v>1.5490699999999999</v>
      </c>
      <c r="FY53">
        <v>2.3290999999999999</v>
      </c>
      <c r="FZ53">
        <v>1.50146</v>
      </c>
      <c r="GA53">
        <v>2.3071299999999999</v>
      </c>
      <c r="GB53">
        <v>33.8735</v>
      </c>
      <c r="GC53">
        <v>23.973700000000001</v>
      </c>
      <c r="GD53">
        <v>19</v>
      </c>
      <c r="GE53">
        <v>282.32499999999999</v>
      </c>
      <c r="GF53">
        <v>579.48099999999999</v>
      </c>
      <c r="GG53">
        <v>22.2133</v>
      </c>
      <c r="GH53">
        <v>26.536000000000001</v>
      </c>
      <c r="GI53">
        <v>29.9998</v>
      </c>
      <c r="GJ53">
        <v>26.5593</v>
      </c>
      <c r="GK53">
        <v>26.501899999999999</v>
      </c>
      <c r="GL53">
        <v>35.564599999999999</v>
      </c>
      <c r="GM53">
        <v>-30</v>
      </c>
      <c r="GN53">
        <v>-30</v>
      </c>
      <c r="GO53">
        <v>22.301500000000001</v>
      </c>
      <c r="GP53">
        <v>800</v>
      </c>
      <c r="GQ53">
        <v>12.5298</v>
      </c>
      <c r="GR53">
        <v>99.687200000000004</v>
      </c>
      <c r="GS53">
        <v>99.502200000000002</v>
      </c>
    </row>
    <row r="54" spans="1:201" x14ac:dyDescent="0.25">
      <c r="A54">
        <v>38</v>
      </c>
      <c r="B54">
        <v>1690218545</v>
      </c>
      <c r="C54">
        <v>524.5</v>
      </c>
      <c r="D54" t="s">
        <v>405</v>
      </c>
      <c r="E54" t="s">
        <v>406</v>
      </c>
      <c r="F54" t="s">
        <v>330</v>
      </c>
      <c r="H54">
        <v>1690218545</v>
      </c>
      <c r="I54">
        <f t="shared" si="0"/>
        <v>4.0008082461178638E-4</v>
      </c>
      <c r="J54">
        <f t="shared" si="1"/>
        <v>0.4000808246117864</v>
      </c>
      <c r="K54">
        <f t="shared" si="2"/>
        <v>2.5956821952386</v>
      </c>
      <c r="L54">
        <f t="shared" si="3"/>
        <v>768.71</v>
      </c>
      <c r="M54">
        <f t="shared" si="4"/>
        <v>449.82206755019087</v>
      </c>
      <c r="N54">
        <f t="shared" si="5"/>
        <v>44.612930591581943</v>
      </c>
      <c r="O54">
        <f t="shared" si="6"/>
        <v>76.239936519406996</v>
      </c>
      <c r="P54">
        <f t="shared" si="7"/>
        <v>1.4292089769045111E-2</v>
      </c>
      <c r="Q54">
        <f t="shared" si="8"/>
        <v>2.1333659178363487</v>
      </c>
      <c r="R54">
        <f t="shared" si="9"/>
        <v>1.4239109791361124E-2</v>
      </c>
      <c r="S54">
        <f t="shared" si="10"/>
        <v>8.9041872190826835E-3</v>
      </c>
      <c r="T54">
        <f t="shared" si="11"/>
        <v>276.1137761440549</v>
      </c>
      <c r="U54">
        <f t="shared" si="12"/>
        <v>27.629982206615381</v>
      </c>
      <c r="V54">
        <f t="shared" si="13"/>
        <v>27.629982206615381</v>
      </c>
      <c r="W54">
        <f t="shared" si="14"/>
        <v>3.7137482727904914</v>
      </c>
      <c r="X54">
        <f t="shared" si="15"/>
        <v>30.165124332979033</v>
      </c>
      <c r="Y54">
        <f t="shared" si="16"/>
        <v>0.99320887758230991</v>
      </c>
      <c r="Z54">
        <f t="shared" si="17"/>
        <v>3.2925734587357596</v>
      </c>
      <c r="AA54">
        <f t="shared" si="18"/>
        <v>2.7205393952081813</v>
      </c>
      <c r="AB54">
        <f t="shared" si="19"/>
        <v>-17.643564365379781</v>
      </c>
      <c r="AC54">
        <f t="shared" si="20"/>
        <v>-235.02911025229619</v>
      </c>
      <c r="AD54">
        <f t="shared" si="21"/>
        <v>-23.682842537361996</v>
      </c>
      <c r="AE54">
        <f t="shared" si="22"/>
        <v>-0.24174101098307688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52745.238220075575</v>
      </c>
      <c r="AK54">
        <f t="shared" si="26"/>
        <v>1799.99</v>
      </c>
      <c r="AL54">
        <f t="shared" si="27"/>
        <v>1499.1046813943899</v>
      </c>
      <c r="AM54">
        <f t="shared" si="28"/>
        <v>0.83284056099999992</v>
      </c>
      <c r="AN54">
        <f t="shared" si="29"/>
        <v>0.15339739451000001</v>
      </c>
      <c r="AO54">
        <v>32.4</v>
      </c>
      <c r="AP54">
        <v>0.5</v>
      </c>
      <c r="AQ54" t="s">
        <v>331</v>
      </c>
      <c r="AR54">
        <v>2</v>
      </c>
      <c r="AS54">
        <v>1690218545</v>
      </c>
      <c r="AT54">
        <v>768.71</v>
      </c>
      <c r="AU54">
        <v>800.05399999999997</v>
      </c>
      <c r="AV54">
        <v>10.0143</v>
      </c>
      <c r="AW54">
        <v>5.7381799999999998</v>
      </c>
      <c r="AX54">
        <v>768.96100000000001</v>
      </c>
      <c r="AY54">
        <v>10.044</v>
      </c>
      <c r="AZ54">
        <v>300.10399999999998</v>
      </c>
      <c r="BA54">
        <v>99.079099999999997</v>
      </c>
      <c r="BB54">
        <v>9.9961700000000001E-2</v>
      </c>
      <c r="BC54">
        <v>25.586500000000001</v>
      </c>
      <c r="BD54">
        <v>26.897200000000002</v>
      </c>
      <c r="BE54">
        <v>27.194500000000001</v>
      </c>
      <c r="BF54">
        <v>0</v>
      </c>
      <c r="BG54">
        <v>0</v>
      </c>
      <c r="BH54">
        <v>10021.200000000001</v>
      </c>
      <c r="BI54">
        <v>1061.2</v>
      </c>
      <c r="BJ54">
        <v>1.5137799999999999</v>
      </c>
      <c r="BK54">
        <v>-31.343900000000001</v>
      </c>
      <c r="BL54">
        <v>776.48599999999999</v>
      </c>
      <c r="BM54">
        <v>804.67100000000005</v>
      </c>
      <c r="BN54">
        <v>4.27616</v>
      </c>
      <c r="BO54">
        <v>800.05399999999997</v>
      </c>
      <c r="BP54">
        <v>5.7381799999999998</v>
      </c>
      <c r="BQ54">
        <v>0.99221199999999998</v>
      </c>
      <c r="BR54">
        <v>0.56853299999999996</v>
      </c>
      <c r="BS54">
        <v>6.8025099999999998</v>
      </c>
      <c r="BT54">
        <v>-1.04684</v>
      </c>
      <c r="BU54">
        <v>1799.99</v>
      </c>
      <c r="BV54">
        <v>0.91000300000000001</v>
      </c>
      <c r="BW54">
        <v>3.3991E-2</v>
      </c>
      <c r="BX54">
        <v>2.2001799999999998E-2</v>
      </c>
      <c r="BY54">
        <v>3.4003699999999998E-2</v>
      </c>
      <c r="BZ54">
        <v>25</v>
      </c>
      <c r="CA54">
        <v>33528.300000000003</v>
      </c>
      <c r="CB54">
        <v>1690217592</v>
      </c>
      <c r="CC54" t="s">
        <v>332</v>
      </c>
      <c r="CD54">
        <v>1690217586.5</v>
      </c>
      <c r="CE54">
        <v>1690217592</v>
      </c>
      <c r="CF54">
        <v>9</v>
      </c>
      <c r="CG54">
        <v>0.11600000000000001</v>
      </c>
      <c r="CH54">
        <v>-3.0000000000000001E-3</v>
      </c>
      <c r="CI54">
        <v>-0.27300000000000002</v>
      </c>
      <c r="CJ54">
        <v>-6.9000000000000006E-2</v>
      </c>
      <c r="CK54">
        <v>800</v>
      </c>
      <c r="CL54">
        <v>6</v>
      </c>
      <c r="CM54">
        <v>0.01</v>
      </c>
      <c r="CN54">
        <v>0.01</v>
      </c>
      <c r="CO54">
        <v>-29.213100000000001</v>
      </c>
      <c r="CP54">
        <v>-11.656617636022411</v>
      </c>
      <c r="CQ54">
        <v>1.12150794112213</v>
      </c>
      <c r="CR54">
        <v>-1</v>
      </c>
      <c r="CS54">
        <v>4.1529947500000004</v>
      </c>
      <c r="CT54">
        <v>0.67707973733584159</v>
      </c>
      <c r="CU54">
        <v>6.5136704667472234E-2</v>
      </c>
      <c r="CV54">
        <v>-1</v>
      </c>
      <c r="CW54">
        <v>0</v>
      </c>
      <c r="CX54">
        <v>0</v>
      </c>
      <c r="CY54" t="s">
        <v>333</v>
      </c>
      <c r="CZ54">
        <v>2.3639899999999998</v>
      </c>
      <c r="DA54">
        <v>2.7137699999999998</v>
      </c>
      <c r="DB54">
        <v>0.14258499999999999</v>
      </c>
      <c r="DC54">
        <v>0.146036</v>
      </c>
      <c r="DD54">
        <v>6.0265600000000003E-2</v>
      </c>
      <c r="DE54">
        <v>3.8019799999999999E-2</v>
      </c>
      <c r="DF54">
        <v>31291.4</v>
      </c>
      <c r="DG54">
        <v>27502</v>
      </c>
      <c r="DH54">
        <v>31157.4</v>
      </c>
      <c r="DI54">
        <v>28063.5</v>
      </c>
      <c r="DJ54">
        <v>39767.800000000003</v>
      </c>
      <c r="DK54">
        <v>38390.5</v>
      </c>
      <c r="DL54">
        <v>44337.7</v>
      </c>
      <c r="DM54">
        <v>42533.5</v>
      </c>
      <c r="DN54">
        <v>1.47265</v>
      </c>
      <c r="DO54">
        <v>2.0296500000000002</v>
      </c>
      <c r="DP54">
        <v>0.121936</v>
      </c>
      <c r="DQ54">
        <v>0.156246</v>
      </c>
      <c r="DR54">
        <v>24.8995</v>
      </c>
      <c r="DS54">
        <v>24.634699999999999</v>
      </c>
      <c r="DT54">
        <v>16.899999999999999</v>
      </c>
      <c r="DU54">
        <v>29.8</v>
      </c>
      <c r="DV54">
        <v>7.1833200000000001</v>
      </c>
      <c r="DW54">
        <v>61.498600000000003</v>
      </c>
      <c r="DX54">
        <v>36.374200000000002</v>
      </c>
      <c r="DY54">
        <v>1</v>
      </c>
      <c r="DZ54">
        <v>-6.8348599999999995E-2</v>
      </c>
      <c r="EA54">
        <v>0.82155199999999995</v>
      </c>
      <c r="EB54">
        <v>20.1874</v>
      </c>
      <c r="EC54">
        <v>5.2408000000000001</v>
      </c>
      <c r="ED54">
        <v>12.039899999999999</v>
      </c>
      <c r="EE54">
        <v>5.01675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1.8689499999999999</v>
      </c>
      <c r="EL54">
        <v>1.86469</v>
      </c>
      <c r="EM54">
        <v>1.8691899999999999</v>
      </c>
      <c r="EN54">
        <v>1.8672299999999999</v>
      </c>
      <c r="EO54">
        <v>1.86341</v>
      </c>
      <c r="EP54">
        <v>1.8646100000000001</v>
      </c>
      <c r="EQ54">
        <v>1.8702099999999999</v>
      </c>
      <c r="ER54">
        <v>1.86947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-0.251</v>
      </c>
      <c r="FG54">
        <v>-2.9700000000000001E-2</v>
      </c>
      <c r="FH54">
        <v>0.27827353915413472</v>
      </c>
      <c r="FI54">
        <v>-6.1462078757559423E-4</v>
      </c>
      <c r="FJ54">
        <v>-1.8861989874597051E-7</v>
      </c>
      <c r="FK54">
        <v>1.1980462299894961E-10</v>
      </c>
      <c r="FL54">
        <v>-3.2538871274648329E-2</v>
      </c>
      <c r="FM54">
        <v>-1.6848085045870601E-2</v>
      </c>
      <c r="FN54">
        <v>1.9789084769509481E-3</v>
      </c>
      <c r="FO54">
        <v>-2.7142391389806329E-5</v>
      </c>
      <c r="FP54">
        <v>3</v>
      </c>
      <c r="FQ54">
        <v>2158</v>
      </c>
      <c r="FR54">
        <v>1</v>
      </c>
      <c r="FS54">
        <v>19</v>
      </c>
      <c r="FT54">
        <v>16</v>
      </c>
      <c r="FU54">
        <v>15.9</v>
      </c>
      <c r="FV54">
        <v>1.7785599999999999</v>
      </c>
      <c r="FW54">
        <v>2.5866699999999998</v>
      </c>
      <c r="FX54">
        <v>1.5490699999999999</v>
      </c>
      <c r="FY54">
        <v>2.3290999999999999</v>
      </c>
      <c r="FZ54">
        <v>1.50146</v>
      </c>
      <c r="GA54">
        <v>2.2534200000000002</v>
      </c>
      <c r="GB54">
        <v>33.850900000000003</v>
      </c>
      <c r="GC54">
        <v>23.982399999999998</v>
      </c>
      <c r="GD54">
        <v>19</v>
      </c>
      <c r="GE54">
        <v>282.28899999999999</v>
      </c>
      <c r="GF54">
        <v>579.49099999999999</v>
      </c>
      <c r="GG54">
        <v>22.372599999999998</v>
      </c>
      <c r="GH54">
        <v>26.529900000000001</v>
      </c>
      <c r="GI54">
        <v>29.9999</v>
      </c>
      <c r="GJ54">
        <v>26.5611</v>
      </c>
      <c r="GK54">
        <v>26.5047</v>
      </c>
      <c r="GL54">
        <v>35.562899999999999</v>
      </c>
      <c r="GM54">
        <v>-30</v>
      </c>
      <c r="GN54">
        <v>-30</v>
      </c>
      <c r="GO54">
        <v>22.441800000000001</v>
      </c>
      <c r="GP54">
        <v>800</v>
      </c>
      <c r="GQ54">
        <v>12.5298</v>
      </c>
      <c r="GR54">
        <v>99.687399999999997</v>
      </c>
      <c r="GS54">
        <v>99.5017</v>
      </c>
    </row>
    <row r="55" spans="1:201" x14ac:dyDescent="0.25">
      <c r="A55">
        <v>39</v>
      </c>
      <c r="B55">
        <v>1690218555</v>
      </c>
      <c r="C55">
        <v>534.5</v>
      </c>
      <c r="D55" t="s">
        <v>407</v>
      </c>
      <c r="E55" t="s">
        <v>408</v>
      </c>
      <c r="F55" t="s">
        <v>330</v>
      </c>
      <c r="H55">
        <v>1690218555</v>
      </c>
      <c r="I55">
        <f t="shared" si="0"/>
        <v>4.1149203242169988E-4</v>
      </c>
      <c r="J55">
        <f t="shared" si="1"/>
        <v>0.4114920324216999</v>
      </c>
      <c r="K55">
        <f t="shared" si="2"/>
        <v>2.7761732442323552</v>
      </c>
      <c r="L55">
        <f t="shared" si="3"/>
        <v>766.63599999999997</v>
      </c>
      <c r="M55">
        <f t="shared" si="4"/>
        <v>437.42418798446829</v>
      </c>
      <c r="N55">
        <f t="shared" si="5"/>
        <v>43.383284791627823</v>
      </c>
      <c r="O55">
        <f t="shared" si="6"/>
        <v>76.034176511280009</v>
      </c>
      <c r="P55">
        <f t="shared" si="7"/>
        <v>1.4744922154285531E-2</v>
      </c>
      <c r="Q55">
        <f t="shared" si="8"/>
        <v>2.1262238863862559</v>
      </c>
      <c r="R55">
        <f t="shared" si="9"/>
        <v>1.4688350283254376E-2</v>
      </c>
      <c r="S55">
        <f t="shared" si="10"/>
        <v>9.185283519066393E-3</v>
      </c>
      <c r="T55">
        <f t="shared" si="11"/>
        <v>276.11565596999998</v>
      </c>
      <c r="U55">
        <f t="shared" si="12"/>
        <v>27.646020241495464</v>
      </c>
      <c r="V55">
        <f t="shared" si="13"/>
        <v>27.646020241495464</v>
      </c>
      <c r="W55">
        <f t="shared" si="14"/>
        <v>3.7172314853021611</v>
      </c>
      <c r="X55">
        <f t="shared" si="15"/>
        <v>30.494948766382667</v>
      </c>
      <c r="Y55">
        <f t="shared" si="16"/>
        <v>1.004891343258</v>
      </c>
      <c r="Z55">
        <f t="shared" si="17"/>
        <v>3.2952714594024251</v>
      </c>
      <c r="AA55">
        <f t="shared" si="18"/>
        <v>2.7123401420441611</v>
      </c>
      <c r="AB55">
        <f t="shared" si="19"/>
        <v>-18.146798629796965</v>
      </c>
      <c r="AC55">
        <f t="shared" si="20"/>
        <v>-234.49882907257654</v>
      </c>
      <c r="AD55">
        <f t="shared" si="21"/>
        <v>-23.712322634402998</v>
      </c>
      <c r="AE55">
        <f t="shared" si="22"/>
        <v>-0.24229436677651961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52433.645103885246</v>
      </c>
      <c r="AK55">
        <f t="shared" si="26"/>
        <v>1800</v>
      </c>
      <c r="AL55">
        <f t="shared" si="27"/>
        <v>1499.111883</v>
      </c>
      <c r="AM55">
        <f t="shared" si="28"/>
        <v>0.83283993499999998</v>
      </c>
      <c r="AN55">
        <f t="shared" si="29"/>
        <v>0.15339758665</v>
      </c>
      <c r="AO55">
        <v>32.4</v>
      </c>
      <c r="AP55">
        <v>0.5</v>
      </c>
      <c r="AQ55" t="s">
        <v>331</v>
      </c>
      <c r="AR55">
        <v>2</v>
      </c>
      <c r="AS55">
        <v>1690218555</v>
      </c>
      <c r="AT55">
        <v>766.63599999999997</v>
      </c>
      <c r="AU55">
        <v>800.005</v>
      </c>
      <c r="AV55">
        <v>10.132099999999999</v>
      </c>
      <c r="AW55">
        <v>5.7357399999999998</v>
      </c>
      <c r="AX55">
        <v>766.88599999999997</v>
      </c>
      <c r="AY55">
        <v>10.16</v>
      </c>
      <c r="AZ55">
        <v>300.18599999999998</v>
      </c>
      <c r="BA55">
        <v>99.078900000000004</v>
      </c>
      <c r="BB55">
        <v>0.10008</v>
      </c>
      <c r="BC55">
        <v>25.600300000000001</v>
      </c>
      <c r="BD55">
        <v>26.938300000000002</v>
      </c>
      <c r="BE55">
        <v>27.202300000000001</v>
      </c>
      <c r="BF55">
        <v>0</v>
      </c>
      <c r="BG55">
        <v>0</v>
      </c>
      <c r="BH55">
        <v>9960</v>
      </c>
      <c r="BI55">
        <v>1061.1300000000001</v>
      </c>
      <c r="BJ55">
        <v>1.5137799999999999</v>
      </c>
      <c r="BK55">
        <v>-33.368400000000001</v>
      </c>
      <c r="BL55">
        <v>774.48299999999995</v>
      </c>
      <c r="BM55">
        <v>804.62</v>
      </c>
      <c r="BN55">
        <v>4.3963299999999998</v>
      </c>
      <c r="BO55">
        <v>800.005</v>
      </c>
      <c r="BP55">
        <v>5.7357399999999998</v>
      </c>
      <c r="BQ55">
        <v>1.00387</v>
      </c>
      <c r="BR55">
        <v>0.56829099999999999</v>
      </c>
      <c r="BS55">
        <v>6.9727399999999999</v>
      </c>
      <c r="BT55">
        <v>-1.0526599999999999</v>
      </c>
      <c r="BU55">
        <v>1800</v>
      </c>
      <c r="BV55">
        <v>0.909995</v>
      </c>
      <c r="BW55">
        <v>3.4002200000000003E-2</v>
      </c>
      <c r="BX55">
        <v>2.2001E-2</v>
      </c>
      <c r="BY55">
        <v>3.4002299999999999E-2</v>
      </c>
      <c r="BZ55">
        <v>25</v>
      </c>
      <c r="CA55">
        <v>33528.300000000003</v>
      </c>
      <c r="CB55">
        <v>1690217592</v>
      </c>
      <c r="CC55" t="s">
        <v>332</v>
      </c>
      <c r="CD55">
        <v>1690217586.5</v>
      </c>
      <c r="CE55">
        <v>1690217592</v>
      </c>
      <c r="CF55">
        <v>9</v>
      </c>
      <c r="CG55">
        <v>0.11600000000000001</v>
      </c>
      <c r="CH55">
        <v>-3.0000000000000001E-3</v>
      </c>
      <c r="CI55">
        <v>-0.27300000000000002</v>
      </c>
      <c r="CJ55">
        <v>-6.9000000000000006E-2</v>
      </c>
      <c r="CK55">
        <v>800</v>
      </c>
      <c r="CL55">
        <v>6</v>
      </c>
      <c r="CM55">
        <v>0.01</v>
      </c>
      <c r="CN55">
        <v>0.01</v>
      </c>
      <c r="CO55">
        <v>-31.029275609756102</v>
      </c>
      <c r="CP55">
        <v>-11.90110243902442</v>
      </c>
      <c r="CQ55">
        <v>1.1736468885134539</v>
      </c>
      <c r="CR55">
        <v>-1</v>
      </c>
      <c r="CS55">
        <v>4.2594292682926831</v>
      </c>
      <c r="CT55">
        <v>0.70269637630662285</v>
      </c>
      <c r="CU55">
        <v>6.9290639546282867E-2</v>
      </c>
      <c r="CV55">
        <v>-1</v>
      </c>
      <c r="CW55">
        <v>0</v>
      </c>
      <c r="CX55">
        <v>0</v>
      </c>
      <c r="CY55" t="s">
        <v>333</v>
      </c>
      <c r="CZ55">
        <v>2.3642599999999998</v>
      </c>
      <c r="DA55">
        <v>2.7138399999999998</v>
      </c>
      <c r="DB55">
        <v>0.14232800000000001</v>
      </c>
      <c r="DC55">
        <v>0.14602899999999999</v>
      </c>
      <c r="DD55">
        <v>6.0803999999999997E-2</v>
      </c>
      <c r="DE55">
        <v>3.80063E-2</v>
      </c>
      <c r="DF55">
        <v>31301.200000000001</v>
      </c>
      <c r="DG55">
        <v>27502.1</v>
      </c>
      <c r="DH55">
        <v>31157.7</v>
      </c>
      <c r="DI55">
        <v>28063.4</v>
      </c>
      <c r="DJ55">
        <v>39745.599999999999</v>
      </c>
      <c r="DK55">
        <v>38390.9</v>
      </c>
      <c r="DL55">
        <v>44338.5</v>
      </c>
      <c r="DM55">
        <v>42533.4</v>
      </c>
      <c r="DN55">
        <v>1.4732499999999999</v>
      </c>
      <c r="DO55">
        <v>2.0295999999999998</v>
      </c>
      <c r="DP55">
        <v>0.12537100000000001</v>
      </c>
      <c r="DQ55">
        <v>0.15725900000000001</v>
      </c>
      <c r="DR55">
        <v>24.8843</v>
      </c>
      <c r="DS55">
        <v>24.625900000000001</v>
      </c>
      <c r="DT55">
        <v>16.899999999999999</v>
      </c>
      <c r="DU55">
        <v>29.8</v>
      </c>
      <c r="DV55">
        <v>7.1840999999999999</v>
      </c>
      <c r="DW55">
        <v>61.9086</v>
      </c>
      <c r="DX55">
        <v>36.149799999999999</v>
      </c>
      <c r="DY55">
        <v>1</v>
      </c>
      <c r="DZ55">
        <v>-6.8945599999999996E-2</v>
      </c>
      <c r="EA55">
        <v>0.70816999999999997</v>
      </c>
      <c r="EB55">
        <v>20.188099999999999</v>
      </c>
      <c r="EC55">
        <v>5.2406499999999996</v>
      </c>
      <c r="ED55">
        <v>12.039899999999999</v>
      </c>
      <c r="EE55">
        <v>5.0166000000000004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1.86896</v>
      </c>
      <c r="EL55">
        <v>1.86469</v>
      </c>
      <c r="EM55">
        <v>1.8692</v>
      </c>
      <c r="EN55">
        <v>1.8672599999999999</v>
      </c>
      <c r="EO55">
        <v>1.86341</v>
      </c>
      <c r="EP55">
        <v>1.8646100000000001</v>
      </c>
      <c r="EQ55">
        <v>1.8702000000000001</v>
      </c>
      <c r="ER55">
        <v>1.8694900000000001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-0.25</v>
      </c>
      <c r="FG55">
        <v>-2.7900000000000001E-2</v>
      </c>
      <c r="FH55">
        <v>0.27827353915413472</v>
      </c>
      <c r="FI55">
        <v>-6.1462078757559423E-4</v>
      </c>
      <c r="FJ55">
        <v>-1.8861989874597051E-7</v>
      </c>
      <c r="FK55">
        <v>1.1980462299894961E-10</v>
      </c>
      <c r="FL55">
        <v>-3.2538871274648329E-2</v>
      </c>
      <c r="FM55">
        <v>-1.6848085045870601E-2</v>
      </c>
      <c r="FN55">
        <v>1.9789084769509481E-3</v>
      </c>
      <c r="FO55">
        <v>-2.7142391389806329E-5</v>
      </c>
      <c r="FP55">
        <v>3</v>
      </c>
      <c r="FQ55">
        <v>2158</v>
      </c>
      <c r="FR55">
        <v>1</v>
      </c>
      <c r="FS55">
        <v>19</v>
      </c>
      <c r="FT55">
        <v>16.100000000000001</v>
      </c>
      <c r="FU55">
        <v>16.100000000000001</v>
      </c>
      <c r="FV55">
        <v>1.7785599999999999</v>
      </c>
      <c r="FW55">
        <v>2.5891099999999998</v>
      </c>
      <c r="FX55">
        <v>1.5490699999999999</v>
      </c>
      <c r="FY55">
        <v>2.3290999999999999</v>
      </c>
      <c r="FZ55">
        <v>1.50146</v>
      </c>
      <c r="GA55">
        <v>2.2827099999999998</v>
      </c>
      <c r="GB55">
        <v>33.850900000000003</v>
      </c>
      <c r="GC55">
        <v>23.982399999999998</v>
      </c>
      <c r="GD55">
        <v>19</v>
      </c>
      <c r="GE55">
        <v>282.54700000000003</v>
      </c>
      <c r="GF55">
        <v>579.47500000000002</v>
      </c>
      <c r="GG55">
        <v>22.516300000000001</v>
      </c>
      <c r="GH55">
        <v>26.523099999999999</v>
      </c>
      <c r="GI55">
        <v>29.9998</v>
      </c>
      <c r="GJ55">
        <v>26.561599999999999</v>
      </c>
      <c r="GK55">
        <v>26.506900000000002</v>
      </c>
      <c r="GL55">
        <v>35.562100000000001</v>
      </c>
      <c r="GM55">
        <v>-30</v>
      </c>
      <c r="GN55">
        <v>-30</v>
      </c>
      <c r="GO55">
        <v>22.572600000000001</v>
      </c>
      <c r="GP55">
        <v>800</v>
      </c>
      <c r="GQ55">
        <v>12.5298</v>
      </c>
      <c r="GR55">
        <v>99.688900000000004</v>
      </c>
      <c r="GS55">
        <v>99.501300000000001</v>
      </c>
    </row>
    <row r="56" spans="1:201" x14ac:dyDescent="0.25">
      <c r="A56">
        <v>40</v>
      </c>
      <c r="B56">
        <v>1690218565</v>
      </c>
      <c r="C56">
        <v>544.5</v>
      </c>
      <c r="D56" t="s">
        <v>409</v>
      </c>
      <c r="E56" t="s">
        <v>410</v>
      </c>
      <c r="F56" t="s">
        <v>330</v>
      </c>
      <c r="H56">
        <v>1690218565</v>
      </c>
      <c r="I56">
        <f t="shared" si="0"/>
        <v>4.2296644986193762E-4</v>
      </c>
      <c r="J56">
        <f t="shared" si="1"/>
        <v>0.4229664498619376</v>
      </c>
      <c r="K56">
        <f t="shared" si="2"/>
        <v>2.9619250295562876</v>
      </c>
      <c r="L56">
        <f t="shared" si="3"/>
        <v>764.57600000000002</v>
      </c>
      <c r="M56">
        <f t="shared" si="4"/>
        <v>425.66451173358928</v>
      </c>
      <c r="N56">
        <f t="shared" si="5"/>
        <v>42.215316644082833</v>
      </c>
      <c r="O56">
        <f t="shared" si="6"/>
        <v>75.826894299958397</v>
      </c>
      <c r="P56">
        <f t="shared" si="7"/>
        <v>1.5223061550021122E-2</v>
      </c>
      <c r="Q56">
        <f t="shared" si="8"/>
        <v>2.1338306149720507</v>
      </c>
      <c r="R56">
        <f t="shared" si="9"/>
        <v>1.5162983348291812E-2</v>
      </c>
      <c r="S56">
        <f t="shared" si="10"/>
        <v>9.4822425402558835E-3</v>
      </c>
      <c r="T56">
        <f t="shared" si="11"/>
        <v>276.11397722093784</v>
      </c>
      <c r="U56">
        <f t="shared" si="12"/>
        <v>27.646155850640412</v>
      </c>
      <c r="V56">
        <f t="shared" si="13"/>
        <v>27.646155850640412</v>
      </c>
      <c r="W56">
        <f t="shared" si="14"/>
        <v>3.717260949656108</v>
      </c>
      <c r="X56">
        <f t="shared" si="15"/>
        <v>30.837542777860037</v>
      </c>
      <c r="Y56">
        <f t="shared" si="16"/>
        <v>1.0168322894886102</v>
      </c>
      <c r="Z56">
        <f t="shared" si="17"/>
        <v>3.2973842851663582</v>
      </c>
      <c r="AA56">
        <f t="shared" si="18"/>
        <v>2.7004286601674981</v>
      </c>
      <c r="AB56">
        <f t="shared" si="19"/>
        <v>-18.652820438911448</v>
      </c>
      <c r="AC56">
        <f t="shared" si="20"/>
        <v>-234.11094489882279</v>
      </c>
      <c r="AD56">
        <f t="shared" si="21"/>
        <v>-23.58999826413854</v>
      </c>
      <c r="AE56">
        <f t="shared" si="22"/>
        <v>-0.23978638093493032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52760.960038019373</v>
      </c>
      <c r="AK56">
        <f t="shared" si="26"/>
        <v>1799.99</v>
      </c>
      <c r="AL56">
        <f t="shared" si="27"/>
        <v>1499.1023072075802</v>
      </c>
      <c r="AM56">
        <f t="shared" si="28"/>
        <v>0.83283924200000015</v>
      </c>
      <c r="AN56">
        <f t="shared" si="29"/>
        <v>0.15339750622000001</v>
      </c>
      <c r="AO56">
        <v>32.4</v>
      </c>
      <c r="AP56">
        <v>0.5</v>
      </c>
      <c r="AQ56" t="s">
        <v>331</v>
      </c>
      <c r="AR56">
        <v>2</v>
      </c>
      <c r="AS56">
        <v>1690218565</v>
      </c>
      <c r="AT56">
        <v>764.57600000000002</v>
      </c>
      <c r="AU56">
        <v>800.03399999999999</v>
      </c>
      <c r="AV56">
        <v>10.2529</v>
      </c>
      <c r="AW56">
        <v>5.73468</v>
      </c>
      <c r="AX56">
        <v>764.82500000000005</v>
      </c>
      <c r="AY56">
        <v>10.279</v>
      </c>
      <c r="AZ56">
        <v>300.19799999999998</v>
      </c>
      <c r="BA56">
        <v>99.075100000000006</v>
      </c>
      <c r="BB56">
        <v>9.9990899999999994E-2</v>
      </c>
      <c r="BC56">
        <v>25.6111</v>
      </c>
      <c r="BD56">
        <v>26.918199999999999</v>
      </c>
      <c r="BE56">
        <v>27.186299999999999</v>
      </c>
      <c r="BF56">
        <v>0</v>
      </c>
      <c r="BG56">
        <v>0</v>
      </c>
      <c r="BH56">
        <v>10025.6</v>
      </c>
      <c r="BI56">
        <v>1061.06</v>
      </c>
      <c r="BJ56">
        <v>1.5137799999999999</v>
      </c>
      <c r="BK56">
        <v>-35.458100000000002</v>
      </c>
      <c r="BL56">
        <v>772.49699999999996</v>
      </c>
      <c r="BM56">
        <v>804.649</v>
      </c>
      <c r="BN56">
        <v>4.5181699999999996</v>
      </c>
      <c r="BO56">
        <v>800.03399999999999</v>
      </c>
      <c r="BP56">
        <v>5.73468</v>
      </c>
      <c r="BQ56">
        <v>1.0158</v>
      </c>
      <c r="BR56">
        <v>0.568164</v>
      </c>
      <c r="BS56">
        <v>7.1450199999999997</v>
      </c>
      <c r="BT56">
        <v>-1.0557000000000001</v>
      </c>
      <c r="BU56">
        <v>1799.99</v>
      </c>
      <c r="BV56">
        <v>0.90999300000000005</v>
      </c>
      <c r="BW56">
        <v>3.4007599999999999E-2</v>
      </c>
      <c r="BX56">
        <v>2.1999600000000001E-2</v>
      </c>
      <c r="BY56">
        <v>3.4000200000000001E-2</v>
      </c>
      <c r="BZ56">
        <v>25</v>
      </c>
      <c r="CA56">
        <v>33528.199999999997</v>
      </c>
      <c r="CB56">
        <v>1690217592</v>
      </c>
      <c r="CC56" t="s">
        <v>332</v>
      </c>
      <c r="CD56">
        <v>1690217586.5</v>
      </c>
      <c r="CE56">
        <v>1690217592</v>
      </c>
      <c r="CF56">
        <v>9</v>
      </c>
      <c r="CG56">
        <v>0.11600000000000001</v>
      </c>
      <c r="CH56">
        <v>-3.0000000000000001E-3</v>
      </c>
      <c r="CI56">
        <v>-0.27300000000000002</v>
      </c>
      <c r="CJ56">
        <v>-6.9000000000000006E-2</v>
      </c>
      <c r="CK56">
        <v>800</v>
      </c>
      <c r="CL56">
        <v>6</v>
      </c>
      <c r="CM56">
        <v>0.01</v>
      </c>
      <c r="CN56">
        <v>0.01</v>
      </c>
      <c r="CO56">
        <v>-33.271580487804883</v>
      </c>
      <c r="CP56">
        <v>-12.48708710801394</v>
      </c>
      <c r="CQ56">
        <v>1.2315272709653931</v>
      </c>
      <c r="CR56">
        <v>-1</v>
      </c>
      <c r="CS56">
        <v>4.3903487804878054</v>
      </c>
      <c r="CT56">
        <v>0.72495783972125583</v>
      </c>
      <c r="CU56">
        <v>7.1483540325988179E-2</v>
      </c>
      <c r="CV56">
        <v>-1</v>
      </c>
      <c r="CW56">
        <v>0</v>
      </c>
      <c r="CX56">
        <v>0</v>
      </c>
      <c r="CY56" t="s">
        <v>333</v>
      </c>
      <c r="CZ56">
        <v>2.3643100000000001</v>
      </c>
      <c r="DA56">
        <v>2.7138100000000001</v>
      </c>
      <c r="DB56">
        <v>0.142068</v>
      </c>
      <c r="DC56">
        <v>0.14602699999999999</v>
      </c>
      <c r="DD56">
        <v>6.13521E-2</v>
      </c>
      <c r="DE56">
        <v>3.7998900000000002E-2</v>
      </c>
      <c r="DF56">
        <v>31311.3</v>
      </c>
      <c r="DG56">
        <v>27502.5</v>
      </c>
      <c r="DH56">
        <v>31158.400000000001</v>
      </c>
      <c r="DI56">
        <v>28063.7</v>
      </c>
      <c r="DJ56">
        <v>39722.9</v>
      </c>
      <c r="DK56">
        <v>38391.599999999999</v>
      </c>
      <c r="DL56">
        <v>44339.199999999997</v>
      </c>
      <c r="DM56">
        <v>42533.8</v>
      </c>
      <c r="DN56">
        <v>1.47295</v>
      </c>
      <c r="DO56">
        <v>2.0296500000000002</v>
      </c>
      <c r="DP56">
        <v>0.12510299999999999</v>
      </c>
      <c r="DQ56">
        <v>0.15681999999999999</v>
      </c>
      <c r="DR56">
        <v>24.868600000000001</v>
      </c>
      <c r="DS56">
        <v>24.617100000000001</v>
      </c>
      <c r="DT56">
        <v>16.899999999999999</v>
      </c>
      <c r="DU56">
        <v>29.8</v>
      </c>
      <c r="DV56">
        <v>7.1833200000000001</v>
      </c>
      <c r="DW56">
        <v>61.358600000000003</v>
      </c>
      <c r="DX56">
        <v>35.857399999999998</v>
      </c>
      <c r="DY56">
        <v>1</v>
      </c>
      <c r="DZ56">
        <v>-6.9334400000000004E-2</v>
      </c>
      <c r="EA56">
        <v>0.77243499999999998</v>
      </c>
      <c r="EB56">
        <v>20.187799999999999</v>
      </c>
      <c r="EC56">
        <v>5.2409499999999998</v>
      </c>
      <c r="ED56">
        <v>12.039899999999999</v>
      </c>
      <c r="EE56">
        <v>5.01675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1.86894</v>
      </c>
      <c r="EL56">
        <v>1.8647100000000001</v>
      </c>
      <c r="EM56">
        <v>1.8692</v>
      </c>
      <c r="EN56">
        <v>1.8672800000000001</v>
      </c>
      <c r="EO56">
        <v>1.8634200000000001</v>
      </c>
      <c r="EP56">
        <v>1.86459</v>
      </c>
      <c r="EQ56">
        <v>1.87022</v>
      </c>
      <c r="ER56">
        <v>1.86947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-0.249</v>
      </c>
      <c r="FG56">
        <v>-2.6100000000000002E-2</v>
      </c>
      <c r="FH56">
        <v>0.27827353915413472</v>
      </c>
      <c r="FI56">
        <v>-6.1462078757559423E-4</v>
      </c>
      <c r="FJ56">
        <v>-1.8861989874597051E-7</v>
      </c>
      <c r="FK56">
        <v>1.1980462299894961E-10</v>
      </c>
      <c r="FL56">
        <v>-3.2538871274648329E-2</v>
      </c>
      <c r="FM56">
        <v>-1.6848085045870601E-2</v>
      </c>
      <c r="FN56">
        <v>1.9789084769509481E-3</v>
      </c>
      <c r="FO56">
        <v>-2.7142391389806329E-5</v>
      </c>
      <c r="FP56">
        <v>3</v>
      </c>
      <c r="FQ56">
        <v>2158</v>
      </c>
      <c r="FR56">
        <v>1</v>
      </c>
      <c r="FS56">
        <v>19</v>
      </c>
      <c r="FT56">
        <v>16.3</v>
      </c>
      <c r="FU56">
        <v>16.2</v>
      </c>
      <c r="FV56">
        <v>1.7785599999999999</v>
      </c>
      <c r="FW56">
        <v>2.5878899999999998</v>
      </c>
      <c r="FX56">
        <v>1.5490699999999999</v>
      </c>
      <c r="FY56">
        <v>2.3290999999999999</v>
      </c>
      <c r="FZ56">
        <v>1.50146</v>
      </c>
      <c r="GA56">
        <v>2.3022499999999999</v>
      </c>
      <c r="GB56">
        <v>33.850900000000003</v>
      </c>
      <c r="GC56">
        <v>23.982399999999998</v>
      </c>
      <c r="GD56">
        <v>19</v>
      </c>
      <c r="GE56">
        <v>282.41199999999998</v>
      </c>
      <c r="GF56">
        <v>579.53499999999997</v>
      </c>
      <c r="GG56">
        <v>22.620799999999999</v>
      </c>
      <c r="GH56">
        <v>26.516300000000001</v>
      </c>
      <c r="GI56">
        <v>29.9999</v>
      </c>
      <c r="GJ56">
        <v>26.559799999999999</v>
      </c>
      <c r="GK56">
        <v>26.508600000000001</v>
      </c>
      <c r="GL56">
        <v>35.560699999999997</v>
      </c>
      <c r="GM56">
        <v>-30</v>
      </c>
      <c r="GN56">
        <v>-30</v>
      </c>
      <c r="GO56">
        <v>22.668199999999999</v>
      </c>
      <c r="GP56">
        <v>800</v>
      </c>
      <c r="GQ56">
        <v>12.5298</v>
      </c>
      <c r="GR56">
        <v>99.690799999999996</v>
      </c>
      <c r="GS56">
        <v>99.502300000000005</v>
      </c>
    </row>
    <row r="57" spans="1:201" x14ac:dyDescent="0.25">
      <c r="A57">
        <v>41</v>
      </c>
      <c r="B57">
        <v>1690218575</v>
      </c>
      <c r="C57">
        <v>554.5</v>
      </c>
      <c r="D57" t="s">
        <v>411</v>
      </c>
      <c r="E57" t="s">
        <v>412</v>
      </c>
      <c r="F57" t="s">
        <v>330</v>
      </c>
      <c r="H57">
        <v>1690218575</v>
      </c>
      <c r="I57">
        <f t="shared" si="0"/>
        <v>4.348859294917482E-4</v>
      </c>
      <c r="J57">
        <f t="shared" si="1"/>
        <v>0.4348859294917482</v>
      </c>
      <c r="K57">
        <f t="shared" si="2"/>
        <v>3.1639768205484771</v>
      </c>
      <c r="L57">
        <f t="shared" si="3"/>
        <v>762.29</v>
      </c>
      <c r="M57">
        <f t="shared" si="4"/>
        <v>412.56915013042749</v>
      </c>
      <c r="N57">
        <f t="shared" si="5"/>
        <v>40.920101397690125</v>
      </c>
      <c r="O57">
        <f t="shared" si="6"/>
        <v>75.606680927509998</v>
      </c>
      <c r="P57">
        <f t="shared" si="7"/>
        <v>1.5699047074853426E-2</v>
      </c>
      <c r="Q57">
        <f t="shared" si="8"/>
        <v>2.1299298530186825</v>
      </c>
      <c r="R57">
        <f t="shared" si="9"/>
        <v>1.5635045184832459E-2</v>
      </c>
      <c r="S57">
        <f t="shared" si="10"/>
        <v>9.7776317270958455E-3</v>
      </c>
      <c r="T57">
        <f t="shared" si="11"/>
        <v>276.11369109452744</v>
      </c>
      <c r="U57">
        <f t="shared" si="12"/>
        <v>27.668237677194696</v>
      </c>
      <c r="V57">
        <f t="shared" si="13"/>
        <v>27.668237677194696</v>
      </c>
      <c r="W57">
        <f t="shared" si="14"/>
        <v>3.7220614777761161</v>
      </c>
      <c r="X57">
        <f t="shared" si="15"/>
        <v>31.175298870003481</v>
      </c>
      <c r="Y57">
        <f t="shared" si="16"/>
        <v>1.0293672714295998</v>
      </c>
      <c r="Z57">
        <f t="shared" si="17"/>
        <v>3.3018681736522031</v>
      </c>
      <c r="AA57">
        <f t="shared" si="18"/>
        <v>2.6926942063465162</v>
      </c>
      <c r="AB57">
        <f t="shared" si="19"/>
        <v>-19.178469490586096</v>
      </c>
      <c r="AC57">
        <f t="shared" si="20"/>
        <v>-233.58902711379</v>
      </c>
      <c r="AD57">
        <f t="shared" si="21"/>
        <v>-23.585824331433766</v>
      </c>
      <c r="AE57">
        <f t="shared" si="22"/>
        <v>-0.23962984128240805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52588.080672628355</v>
      </c>
      <c r="AK57">
        <f t="shared" si="26"/>
        <v>1799.99</v>
      </c>
      <c r="AL57">
        <f t="shared" si="27"/>
        <v>1499.1027374051898</v>
      </c>
      <c r="AM57">
        <f t="shared" si="28"/>
        <v>0.83283948099999994</v>
      </c>
      <c r="AN57">
        <f t="shared" si="29"/>
        <v>0.15339734726000001</v>
      </c>
      <c r="AO57">
        <v>32.4</v>
      </c>
      <c r="AP57">
        <v>0.5</v>
      </c>
      <c r="AQ57" t="s">
        <v>331</v>
      </c>
      <c r="AR57">
        <v>2</v>
      </c>
      <c r="AS57">
        <v>1690218575</v>
      </c>
      <c r="AT57">
        <v>762.29</v>
      </c>
      <c r="AU57">
        <v>800.02099999999996</v>
      </c>
      <c r="AV57">
        <v>10.378399999999999</v>
      </c>
      <c r="AW57">
        <v>5.7328700000000001</v>
      </c>
      <c r="AX57">
        <v>762.53700000000003</v>
      </c>
      <c r="AY57">
        <v>10.4026</v>
      </c>
      <c r="AZ57">
        <v>300.161</v>
      </c>
      <c r="BA57">
        <v>99.083600000000004</v>
      </c>
      <c r="BB57">
        <v>0.100019</v>
      </c>
      <c r="BC57">
        <v>25.634</v>
      </c>
      <c r="BD57">
        <v>26.962399999999999</v>
      </c>
      <c r="BE57">
        <v>27.234400000000001</v>
      </c>
      <c r="BF57">
        <v>0</v>
      </c>
      <c r="BG57">
        <v>0</v>
      </c>
      <c r="BH57">
        <v>9991.25</v>
      </c>
      <c r="BI57">
        <v>1061.1300000000001</v>
      </c>
      <c r="BJ57">
        <v>1.5137799999999999</v>
      </c>
      <c r="BK57">
        <v>-37.731499999999997</v>
      </c>
      <c r="BL57">
        <v>770.28399999999999</v>
      </c>
      <c r="BM57">
        <v>804.63400000000001</v>
      </c>
      <c r="BN57">
        <v>4.6454899999999997</v>
      </c>
      <c r="BO57">
        <v>800.02099999999996</v>
      </c>
      <c r="BP57">
        <v>5.7328700000000001</v>
      </c>
      <c r="BQ57">
        <v>1.02833</v>
      </c>
      <c r="BR57">
        <v>0.56803300000000001</v>
      </c>
      <c r="BS57">
        <v>7.3239999999999998</v>
      </c>
      <c r="BT57">
        <v>-1.0588500000000001</v>
      </c>
      <c r="BU57">
        <v>1799.99</v>
      </c>
      <c r="BV57">
        <v>0.90999799999999997</v>
      </c>
      <c r="BW57">
        <v>3.40057E-2</v>
      </c>
      <c r="BX57">
        <v>2.1998299999999998E-2</v>
      </c>
      <c r="BY57">
        <v>3.3998199999999999E-2</v>
      </c>
      <c r="BZ57">
        <v>25</v>
      </c>
      <c r="CA57">
        <v>33528.199999999997</v>
      </c>
      <c r="CB57">
        <v>1690217592</v>
      </c>
      <c r="CC57" t="s">
        <v>332</v>
      </c>
      <c r="CD57">
        <v>1690217586.5</v>
      </c>
      <c r="CE57">
        <v>1690217592</v>
      </c>
      <c r="CF57">
        <v>9</v>
      </c>
      <c r="CG57">
        <v>0.11600000000000001</v>
      </c>
      <c r="CH57">
        <v>-3.0000000000000001E-3</v>
      </c>
      <c r="CI57">
        <v>-0.27300000000000002</v>
      </c>
      <c r="CJ57">
        <v>-6.9000000000000006E-2</v>
      </c>
      <c r="CK57">
        <v>800</v>
      </c>
      <c r="CL57">
        <v>6</v>
      </c>
      <c r="CM57">
        <v>0.01</v>
      </c>
      <c r="CN57">
        <v>0.01</v>
      </c>
      <c r="CO57">
        <v>-35.37507317073171</v>
      </c>
      <c r="CP57">
        <v>-12.88445853658534</v>
      </c>
      <c r="CQ57">
        <v>1.2718495589100549</v>
      </c>
      <c r="CR57">
        <v>-1</v>
      </c>
      <c r="CS57">
        <v>4.5129356097560986</v>
      </c>
      <c r="CT57">
        <v>0.74723038327526503</v>
      </c>
      <c r="CU57">
        <v>7.3686167979190448E-2</v>
      </c>
      <c r="CV57">
        <v>-1</v>
      </c>
      <c r="CW57">
        <v>0</v>
      </c>
      <c r="CX57">
        <v>0</v>
      </c>
      <c r="CY57" t="s">
        <v>333</v>
      </c>
      <c r="CZ57">
        <v>2.3641800000000002</v>
      </c>
      <c r="DA57">
        <v>2.7138</v>
      </c>
      <c r="DB57">
        <v>0.14179600000000001</v>
      </c>
      <c r="DC57">
        <v>0.146037</v>
      </c>
      <c r="DD57">
        <v>6.1926599999999998E-2</v>
      </c>
      <c r="DE57">
        <v>3.7992100000000001E-2</v>
      </c>
      <c r="DF57">
        <v>31321.8</v>
      </c>
      <c r="DG57">
        <v>27502.6</v>
      </c>
      <c r="DH57">
        <v>31158.9</v>
      </c>
      <c r="DI57">
        <v>28064.1</v>
      </c>
      <c r="DJ57">
        <v>39699.199999999997</v>
      </c>
      <c r="DK57">
        <v>38392.400000000001</v>
      </c>
      <c r="DL57">
        <v>44340</v>
      </c>
      <c r="DM57">
        <v>42534.400000000001</v>
      </c>
      <c r="DN57">
        <v>1.47292</v>
      </c>
      <c r="DO57">
        <v>2.02982</v>
      </c>
      <c r="DP57">
        <v>0.128694</v>
      </c>
      <c r="DQ57">
        <v>0.16026199999999999</v>
      </c>
      <c r="DR57">
        <v>24.853899999999999</v>
      </c>
      <c r="DS57">
        <v>24.608799999999999</v>
      </c>
      <c r="DT57">
        <v>16.899999999999999</v>
      </c>
      <c r="DU57">
        <v>29.8</v>
      </c>
      <c r="DV57">
        <v>7.1838100000000003</v>
      </c>
      <c r="DW57">
        <v>61.438600000000001</v>
      </c>
      <c r="DX57">
        <v>35.877400000000002</v>
      </c>
      <c r="DY57">
        <v>1</v>
      </c>
      <c r="DZ57">
        <v>-6.9550299999999995E-2</v>
      </c>
      <c r="EA57">
        <v>0.65133700000000005</v>
      </c>
      <c r="EB57">
        <v>20.188600000000001</v>
      </c>
      <c r="EC57">
        <v>5.2409499999999998</v>
      </c>
      <c r="ED57">
        <v>12.039899999999999</v>
      </c>
      <c r="EE57">
        <v>5.0165499999999996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1.8690100000000001</v>
      </c>
      <c r="EL57">
        <v>1.8646799999999999</v>
      </c>
      <c r="EM57">
        <v>1.8692</v>
      </c>
      <c r="EN57">
        <v>1.8672500000000001</v>
      </c>
      <c r="EO57">
        <v>1.8634200000000001</v>
      </c>
      <c r="EP57">
        <v>1.86459</v>
      </c>
      <c r="EQ57">
        <v>1.8702300000000001</v>
      </c>
      <c r="ER57">
        <v>1.8694900000000001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-0.247</v>
      </c>
      <c r="FG57">
        <v>-2.4199999999999999E-2</v>
      </c>
      <c r="FH57">
        <v>0.27827353915413472</v>
      </c>
      <c r="FI57">
        <v>-6.1462078757559423E-4</v>
      </c>
      <c r="FJ57">
        <v>-1.8861989874597051E-7</v>
      </c>
      <c r="FK57">
        <v>1.1980462299894961E-10</v>
      </c>
      <c r="FL57">
        <v>-3.2538871274648329E-2</v>
      </c>
      <c r="FM57">
        <v>-1.6848085045870601E-2</v>
      </c>
      <c r="FN57">
        <v>1.9789084769509481E-3</v>
      </c>
      <c r="FO57">
        <v>-2.7142391389806329E-5</v>
      </c>
      <c r="FP57">
        <v>3</v>
      </c>
      <c r="FQ57">
        <v>2158</v>
      </c>
      <c r="FR57">
        <v>1</v>
      </c>
      <c r="FS57">
        <v>19</v>
      </c>
      <c r="FT57">
        <v>16.5</v>
      </c>
      <c r="FU57">
        <v>16.399999999999999</v>
      </c>
      <c r="FV57">
        <v>1.7785599999999999</v>
      </c>
      <c r="FW57">
        <v>2.5866699999999998</v>
      </c>
      <c r="FX57">
        <v>1.5490699999999999</v>
      </c>
      <c r="FY57">
        <v>2.3290999999999999</v>
      </c>
      <c r="FZ57">
        <v>1.50146</v>
      </c>
      <c r="GA57">
        <v>2.34009</v>
      </c>
      <c r="GB57">
        <v>33.8735</v>
      </c>
      <c r="GC57">
        <v>23.982399999999998</v>
      </c>
      <c r="GD57">
        <v>19</v>
      </c>
      <c r="GE57">
        <v>282.399</v>
      </c>
      <c r="GF57">
        <v>579.68600000000004</v>
      </c>
      <c r="GG57">
        <v>22.720700000000001</v>
      </c>
      <c r="GH57">
        <v>26.508500000000002</v>
      </c>
      <c r="GI57">
        <v>29.9999</v>
      </c>
      <c r="GJ57">
        <v>26.5593</v>
      </c>
      <c r="GK57">
        <v>26.5092</v>
      </c>
      <c r="GL57">
        <v>35.560600000000001</v>
      </c>
      <c r="GM57">
        <v>-30</v>
      </c>
      <c r="GN57">
        <v>-30</v>
      </c>
      <c r="GO57">
        <v>22.752500000000001</v>
      </c>
      <c r="GP57">
        <v>800</v>
      </c>
      <c r="GQ57">
        <v>12.5298</v>
      </c>
      <c r="GR57">
        <v>99.692499999999995</v>
      </c>
      <c r="GS57">
        <v>99.503699999999995</v>
      </c>
    </row>
    <row r="58" spans="1:201" x14ac:dyDescent="0.25">
      <c r="A58">
        <v>42</v>
      </c>
      <c r="B58">
        <v>1690218585</v>
      </c>
      <c r="C58">
        <v>564.5</v>
      </c>
      <c r="D58" t="s">
        <v>413</v>
      </c>
      <c r="E58" t="s">
        <v>414</v>
      </c>
      <c r="F58" t="s">
        <v>330</v>
      </c>
      <c r="H58">
        <v>1690218585</v>
      </c>
      <c r="I58">
        <f t="shared" si="0"/>
        <v>4.4758147774717392E-4</v>
      </c>
      <c r="J58">
        <f t="shared" si="1"/>
        <v>0.44758147774717394</v>
      </c>
      <c r="K58">
        <f t="shared" si="2"/>
        <v>3.3663573039912502</v>
      </c>
      <c r="L58">
        <f t="shared" si="3"/>
        <v>760.02599999999995</v>
      </c>
      <c r="M58">
        <f t="shared" si="4"/>
        <v>401.1986896026329</v>
      </c>
      <c r="N58">
        <f t="shared" si="5"/>
        <v>39.790219643765695</v>
      </c>
      <c r="O58">
        <f t="shared" si="6"/>
        <v>75.378116276813998</v>
      </c>
      <c r="P58">
        <f t="shared" si="7"/>
        <v>1.6227815322700134E-2</v>
      </c>
      <c r="Q58">
        <f t="shared" si="8"/>
        <v>2.1303771846280144</v>
      </c>
      <c r="R58">
        <f t="shared" si="9"/>
        <v>1.6159453887731972E-2</v>
      </c>
      <c r="S58">
        <f t="shared" si="10"/>
        <v>1.0105776595599627E-2</v>
      </c>
      <c r="T58">
        <f t="shared" si="11"/>
        <v>276.11490995999998</v>
      </c>
      <c r="U58">
        <f t="shared" si="12"/>
        <v>27.674107316370851</v>
      </c>
      <c r="V58">
        <f t="shared" si="13"/>
        <v>27.674107316370851</v>
      </c>
      <c r="W58">
        <f t="shared" si="14"/>
        <v>3.7233384308651436</v>
      </c>
      <c r="X58">
        <f t="shared" si="15"/>
        <v>31.547390031725222</v>
      </c>
      <c r="Y58">
        <f t="shared" si="16"/>
        <v>1.0423147537204998</v>
      </c>
      <c r="Z58">
        <f t="shared" si="17"/>
        <v>3.3039650908436786</v>
      </c>
      <c r="AA58">
        <f t="shared" si="18"/>
        <v>2.6810236771446441</v>
      </c>
      <c r="AB58">
        <f t="shared" si="19"/>
        <v>-19.738343168650371</v>
      </c>
      <c r="AC58">
        <f t="shared" si="20"/>
        <v>-233.08330496816586</v>
      </c>
      <c r="AD58">
        <f t="shared" si="21"/>
        <v>-23.531769481519188</v>
      </c>
      <c r="AE58">
        <f t="shared" si="22"/>
        <v>-0.23850765833543619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52605.446143071291</v>
      </c>
      <c r="AK58">
        <f t="shared" si="26"/>
        <v>1800</v>
      </c>
      <c r="AL58">
        <f t="shared" si="27"/>
        <v>1499.1113699999999</v>
      </c>
      <c r="AM58">
        <f t="shared" si="28"/>
        <v>0.83283964999999993</v>
      </c>
      <c r="AN58">
        <f t="shared" si="29"/>
        <v>0.15339717219999999</v>
      </c>
      <c r="AO58">
        <v>32.4</v>
      </c>
      <c r="AP58">
        <v>0.5</v>
      </c>
      <c r="AQ58" t="s">
        <v>331</v>
      </c>
      <c r="AR58">
        <v>2</v>
      </c>
      <c r="AS58">
        <v>1690218585</v>
      </c>
      <c r="AT58">
        <v>760.02599999999995</v>
      </c>
      <c r="AU58">
        <v>800.02599999999995</v>
      </c>
      <c r="AV58">
        <v>10.509499999999999</v>
      </c>
      <c r="AW58">
        <v>5.7300700000000004</v>
      </c>
      <c r="AX58">
        <v>760.27099999999996</v>
      </c>
      <c r="AY58">
        <v>10.531700000000001</v>
      </c>
      <c r="AZ58">
        <v>300.22899999999998</v>
      </c>
      <c r="BA58">
        <v>99.078299999999999</v>
      </c>
      <c r="BB58">
        <v>0.100039</v>
      </c>
      <c r="BC58">
        <v>25.6447</v>
      </c>
      <c r="BD58">
        <v>26.981200000000001</v>
      </c>
      <c r="BE58">
        <v>27.2439</v>
      </c>
      <c r="BF58">
        <v>0</v>
      </c>
      <c r="BG58">
        <v>0</v>
      </c>
      <c r="BH58">
        <v>9995.6200000000008</v>
      </c>
      <c r="BI58">
        <v>1061.19</v>
      </c>
      <c r="BJ58">
        <v>1.5137799999999999</v>
      </c>
      <c r="BK58">
        <v>-40</v>
      </c>
      <c r="BL58">
        <v>768.09799999999996</v>
      </c>
      <c r="BM58">
        <v>804.63599999999997</v>
      </c>
      <c r="BN58">
        <v>4.7794400000000001</v>
      </c>
      <c r="BO58">
        <v>800.02599999999995</v>
      </c>
      <c r="BP58">
        <v>5.7300700000000004</v>
      </c>
      <c r="BQ58">
        <v>1.0412600000000001</v>
      </c>
      <c r="BR58">
        <v>0.56772500000000004</v>
      </c>
      <c r="BS58">
        <v>7.50692</v>
      </c>
      <c r="BT58">
        <v>-1.0662400000000001</v>
      </c>
      <c r="BU58">
        <v>1800</v>
      </c>
      <c r="BV58">
        <v>0.91000300000000001</v>
      </c>
      <c r="BW58">
        <v>3.4003699999999998E-2</v>
      </c>
      <c r="BX58">
        <v>2.1996999999999999E-2</v>
      </c>
      <c r="BY58">
        <v>3.3996199999999997E-2</v>
      </c>
      <c r="BZ58">
        <v>25</v>
      </c>
      <c r="CA58">
        <v>33528.300000000003</v>
      </c>
      <c r="CB58">
        <v>1690217592</v>
      </c>
      <c r="CC58" t="s">
        <v>332</v>
      </c>
      <c r="CD58">
        <v>1690217586.5</v>
      </c>
      <c r="CE58">
        <v>1690217592</v>
      </c>
      <c r="CF58">
        <v>9</v>
      </c>
      <c r="CG58">
        <v>0.11600000000000001</v>
      </c>
      <c r="CH58">
        <v>-3.0000000000000001E-3</v>
      </c>
      <c r="CI58">
        <v>-0.27300000000000002</v>
      </c>
      <c r="CJ58">
        <v>-6.9000000000000006E-2</v>
      </c>
      <c r="CK58">
        <v>800</v>
      </c>
      <c r="CL58">
        <v>6</v>
      </c>
      <c r="CM58">
        <v>0.01</v>
      </c>
      <c r="CN58">
        <v>0.01</v>
      </c>
      <c r="CO58">
        <v>-37.366534146341458</v>
      </c>
      <c r="CP58">
        <v>-13.858873170731741</v>
      </c>
      <c r="CQ58">
        <v>1.367541705006319</v>
      </c>
      <c r="CR58">
        <v>-1</v>
      </c>
      <c r="CS58">
        <v>4.6274024390243902</v>
      </c>
      <c r="CT58">
        <v>0.78032341463414223</v>
      </c>
      <c r="CU58">
        <v>7.6947598697234679E-2</v>
      </c>
      <c r="CV58">
        <v>-1</v>
      </c>
      <c r="CW58">
        <v>0</v>
      </c>
      <c r="CX58">
        <v>0</v>
      </c>
      <c r="CY58" t="s">
        <v>333</v>
      </c>
      <c r="CZ58">
        <v>2.36442</v>
      </c>
      <c r="DA58">
        <v>2.7138300000000002</v>
      </c>
      <c r="DB58">
        <v>0.14150799999999999</v>
      </c>
      <c r="DC58">
        <v>0.14602899999999999</v>
      </c>
      <c r="DD58">
        <v>6.2515500000000002E-2</v>
      </c>
      <c r="DE58">
        <v>3.79747E-2</v>
      </c>
      <c r="DF58">
        <v>31332.6</v>
      </c>
      <c r="DG58">
        <v>27502.9</v>
      </c>
      <c r="DH58">
        <v>31159.1</v>
      </c>
      <c r="DI58">
        <v>28064.1</v>
      </c>
      <c r="DJ58">
        <v>39674.400000000001</v>
      </c>
      <c r="DK58">
        <v>38393</v>
      </c>
      <c r="DL58">
        <v>44340.4</v>
      </c>
      <c r="DM58">
        <v>42534.3</v>
      </c>
      <c r="DN58">
        <v>1.4737</v>
      </c>
      <c r="DO58">
        <v>2.0301999999999998</v>
      </c>
      <c r="DP58">
        <v>0.130549</v>
      </c>
      <c r="DQ58">
        <v>0.16122300000000001</v>
      </c>
      <c r="DR58">
        <v>24.842400000000001</v>
      </c>
      <c r="DS58">
        <v>24.602599999999999</v>
      </c>
      <c r="DT58">
        <v>16.899999999999999</v>
      </c>
      <c r="DU58">
        <v>29.8</v>
      </c>
      <c r="DV58">
        <v>7.1852600000000004</v>
      </c>
      <c r="DW58">
        <v>61.368600000000001</v>
      </c>
      <c r="DX58">
        <v>35.861400000000003</v>
      </c>
      <c r="DY58">
        <v>1</v>
      </c>
      <c r="DZ58">
        <v>-7.0030499999999996E-2</v>
      </c>
      <c r="EA58">
        <v>0.80216799999999999</v>
      </c>
      <c r="EB58">
        <v>20.1877</v>
      </c>
      <c r="EC58">
        <v>5.2401999999999997</v>
      </c>
      <c r="ED58">
        <v>12.039899999999999</v>
      </c>
      <c r="EE58">
        <v>5.0167000000000002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1.86896</v>
      </c>
      <c r="EL58">
        <v>1.86466</v>
      </c>
      <c r="EM58">
        <v>1.8692</v>
      </c>
      <c r="EN58">
        <v>1.8672500000000001</v>
      </c>
      <c r="EO58">
        <v>1.86341</v>
      </c>
      <c r="EP58">
        <v>1.8646</v>
      </c>
      <c r="EQ58">
        <v>1.87019</v>
      </c>
      <c r="ER58">
        <v>1.8694999999999999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-0.245</v>
      </c>
      <c r="FG58">
        <v>-2.2200000000000001E-2</v>
      </c>
      <c r="FH58">
        <v>0.27827353915413472</v>
      </c>
      <c r="FI58">
        <v>-6.1462078757559423E-4</v>
      </c>
      <c r="FJ58">
        <v>-1.8861989874597051E-7</v>
      </c>
      <c r="FK58">
        <v>1.1980462299894961E-10</v>
      </c>
      <c r="FL58">
        <v>-3.2538871274648329E-2</v>
      </c>
      <c r="FM58">
        <v>-1.6848085045870601E-2</v>
      </c>
      <c r="FN58">
        <v>1.9789084769509481E-3</v>
      </c>
      <c r="FO58">
        <v>-2.7142391389806329E-5</v>
      </c>
      <c r="FP58">
        <v>3</v>
      </c>
      <c r="FQ58">
        <v>2158</v>
      </c>
      <c r="FR58">
        <v>1</v>
      </c>
      <c r="FS58">
        <v>19</v>
      </c>
      <c r="FT58">
        <v>16.600000000000001</v>
      </c>
      <c r="FU58">
        <v>16.600000000000001</v>
      </c>
      <c r="FV58">
        <v>1.7785599999999999</v>
      </c>
      <c r="FW58">
        <v>2.5830099999999998</v>
      </c>
      <c r="FX58">
        <v>1.5490699999999999</v>
      </c>
      <c r="FY58">
        <v>2.3290999999999999</v>
      </c>
      <c r="FZ58">
        <v>1.50146</v>
      </c>
      <c r="GA58">
        <v>2.36084</v>
      </c>
      <c r="GB58">
        <v>33.850900000000003</v>
      </c>
      <c r="GC58">
        <v>23.982399999999998</v>
      </c>
      <c r="GD58">
        <v>19</v>
      </c>
      <c r="GE58">
        <v>282.73</v>
      </c>
      <c r="GF58">
        <v>580.01800000000003</v>
      </c>
      <c r="GG58">
        <v>22.773199999999999</v>
      </c>
      <c r="GH58">
        <v>26.500599999999999</v>
      </c>
      <c r="GI58">
        <v>30</v>
      </c>
      <c r="GJ58">
        <v>26.559200000000001</v>
      </c>
      <c r="GK58">
        <v>26.511399999999998</v>
      </c>
      <c r="GL58">
        <v>35.560099999999998</v>
      </c>
      <c r="GM58">
        <v>-30</v>
      </c>
      <c r="GN58">
        <v>-30</v>
      </c>
      <c r="GO58">
        <v>22.781199999999998</v>
      </c>
      <c r="GP58">
        <v>800</v>
      </c>
      <c r="GQ58">
        <v>12.5298</v>
      </c>
      <c r="GR58">
        <v>99.693200000000004</v>
      </c>
      <c r="GS58">
        <v>99.503699999999995</v>
      </c>
    </row>
    <row r="59" spans="1:201" x14ac:dyDescent="0.25">
      <c r="A59">
        <v>43</v>
      </c>
      <c r="B59">
        <v>1690218595</v>
      </c>
      <c r="C59">
        <v>574.5</v>
      </c>
      <c r="D59" t="s">
        <v>415</v>
      </c>
      <c r="E59" t="s">
        <v>416</v>
      </c>
      <c r="F59" t="s">
        <v>330</v>
      </c>
      <c r="H59">
        <v>1690218595</v>
      </c>
      <c r="I59">
        <f t="shared" si="0"/>
        <v>4.5999088807706508E-4</v>
      </c>
      <c r="J59">
        <f t="shared" si="1"/>
        <v>0.45999088807706506</v>
      </c>
      <c r="K59">
        <f t="shared" si="2"/>
        <v>3.573119966978525</v>
      </c>
      <c r="L59">
        <f t="shared" si="3"/>
        <v>757.60900000000004</v>
      </c>
      <c r="M59">
        <f t="shared" si="4"/>
        <v>390.16093740168395</v>
      </c>
      <c r="N59">
        <f t="shared" si="5"/>
        <v>38.694541433125991</v>
      </c>
      <c r="O59">
        <f t="shared" si="6"/>
        <v>75.13651426982301</v>
      </c>
      <c r="P59">
        <f t="shared" si="7"/>
        <v>1.6770576893703884E-2</v>
      </c>
      <c r="Q59">
        <f t="shared" si="8"/>
        <v>2.1331874801689152</v>
      </c>
      <c r="R59">
        <f t="shared" si="9"/>
        <v>1.6697672924196518E-2</v>
      </c>
      <c r="S59">
        <f t="shared" si="10"/>
        <v>1.0442569206249743E-2</v>
      </c>
      <c r="T59">
        <f t="shared" si="11"/>
        <v>276.11304214413269</v>
      </c>
      <c r="U59">
        <f t="shared" si="12"/>
        <v>27.666336704270986</v>
      </c>
      <c r="V59">
        <f t="shared" si="13"/>
        <v>27.666336704270986</v>
      </c>
      <c r="W59">
        <f t="shared" si="14"/>
        <v>3.7216479988111919</v>
      </c>
      <c r="X59">
        <f t="shared" si="15"/>
        <v>31.943218978189169</v>
      </c>
      <c r="Y59">
        <f t="shared" si="16"/>
        <v>1.0553301879270001</v>
      </c>
      <c r="Z59">
        <f t="shared" si="17"/>
        <v>3.3037690680065133</v>
      </c>
      <c r="AA59">
        <f t="shared" si="18"/>
        <v>2.6663178108841921</v>
      </c>
      <c r="AB59">
        <f t="shared" si="19"/>
        <v>-20.285598164198571</v>
      </c>
      <c r="AC59">
        <f t="shared" si="20"/>
        <v>-232.61212753205893</v>
      </c>
      <c r="AD59">
        <f t="shared" si="21"/>
        <v>-23.45223015838036</v>
      </c>
      <c r="AE59">
        <f t="shared" si="22"/>
        <v>-0.23691371050517773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52727.325943999233</v>
      </c>
      <c r="AK59">
        <f t="shared" si="26"/>
        <v>1799.99</v>
      </c>
      <c r="AL59">
        <f t="shared" si="27"/>
        <v>1499.1029300041198</v>
      </c>
      <c r="AM59">
        <f t="shared" si="28"/>
        <v>0.83283958799999991</v>
      </c>
      <c r="AN59">
        <f t="shared" si="29"/>
        <v>0.15339698672999999</v>
      </c>
      <c r="AO59">
        <v>32.4</v>
      </c>
      <c r="AP59">
        <v>0.5</v>
      </c>
      <c r="AQ59" t="s">
        <v>331</v>
      </c>
      <c r="AR59">
        <v>2</v>
      </c>
      <c r="AS59">
        <v>1690218595</v>
      </c>
      <c r="AT59">
        <v>757.60900000000004</v>
      </c>
      <c r="AU59">
        <v>799.93899999999996</v>
      </c>
      <c r="AV59">
        <v>10.641</v>
      </c>
      <c r="AW59">
        <v>5.7286799999999998</v>
      </c>
      <c r="AX59">
        <v>757.85299999999995</v>
      </c>
      <c r="AY59">
        <v>10.661099999999999</v>
      </c>
      <c r="AZ59">
        <v>300.166</v>
      </c>
      <c r="BA59">
        <v>99.075800000000001</v>
      </c>
      <c r="BB59">
        <v>0.100047</v>
      </c>
      <c r="BC59">
        <v>25.643699999999999</v>
      </c>
      <c r="BD59">
        <v>26.987100000000002</v>
      </c>
      <c r="BE59">
        <v>27.2273</v>
      </c>
      <c r="BF59">
        <v>0</v>
      </c>
      <c r="BG59">
        <v>0</v>
      </c>
      <c r="BH59">
        <v>10020</v>
      </c>
      <c r="BI59">
        <v>1061.26</v>
      </c>
      <c r="BJ59">
        <v>1.5137799999999999</v>
      </c>
      <c r="BK59">
        <v>-42.329700000000003</v>
      </c>
      <c r="BL59">
        <v>765.75800000000004</v>
      </c>
      <c r="BM59">
        <v>804.548</v>
      </c>
      <c r="BN59">
        <v>4.9123200000000002</v>
      </c>
      <c r="BO59">
        <v>799.93899999999996</v>
      </c>
      <c r="BP59">
        <v>5.7286799999999998</v>
      </c>
      <c r="BQ59">
        <v>1.05427</v>
      </c>
      <c r="BR59">
        <v>0.56757400000000002</v>
      </c>
      <c r="BS59">
        <v>7.68872</v>
      </c>
      <c r="BT59">
        <v>-1.06989</v>
      </c>
      <c r="BU59">
        <v>1799.99</v>
      </c>
      <c r="BV59">
        <v>0.91000700000000001</v>
      </c>
      <c r="BW59">
        <v>3.4001999999999998E-2</v>
      </c>
      <c r="BX59">
        <v>2.1995899999999999E-2</v>
      </c>
      <c r="BY59">
        <v>3.3994499999999997E-2</v>
      </c>
      <c r="BZ59">
        <v>25</v>
      </c>
      <c r="CA59">
        <v>33528.300000000003</v>
      </c>
      <c r="CB59">
        <v>1690217592</v>
      </c>
      <c r="CC59" t="s">
        <v>332</v>
      </c>
      <c r="CD59">
        <v>1690217586.5</v>
      </c>
      <c r="CE59">
        <v>1690217592</v>
      </c>
      <c r="CF59">
        <v>9</v>
      </c>
      <c r="CG59">
        <v>0.11600000000000001</v>
      </c>
      <c r="CH59">
        <v>-3.0000000000000001E-3</v>
      </c>
      <c r="CI59">
        <v>-0.27300000000000002</v>
      </c>
      <c r="CJ59">
        <v>-6.9000000000000006E-2</v>
      </c>
      <c r="CK59">
        <v>800</v>
      </c>
      <c r="CL59">
        <v>6</v>
      </c>
      <c r="CM59">
        <v>0.01</v>
      </c>
      <c r="CN59">
        <v>0.01</v>
      </c>
      <c r="CO59">
        <v>-39.666519512195123</v>
      </c>
      <c r="CP59">
        <v>-13.79708571428576</v>
      </c>
      <c r="CQ59">
        <v>1.3609565906267891</v>
      </c>
      <c r="CR59">
        <v>-1</v>
      </c>
      <c r="CS59">
        <v>4.7589456097560969</v>
      </c>
      <c r="CT59">
        <v>0.79791554006969101</v>
      </c>
      <c r="CU59">
        <v>7.867669478744628E-2</v>
      </c>
      <c r="CV59">
        <v>-1</v>
      </c>
      <c r="CW59">
        <v>0</v>
      </c>
      <c r="CX59">
        <v>0</v>
      </c>
      <c r="CY59" t="s">
        <v>333</v>
      </c>
      <c r="CZ59">
        <v>2.3642300000000001</v>
      </c>
      <c r="DA59">
        <v>2.7138599999999999</v>
      </c>
      <c r="DB59">
        <v>0.141204</v>
      </c>
      <c r="DC59">
        <v>0.14601500000000001</v>
      </c>
      <c r="DD59">
        <v>6.3105300000000003E-2</v>
      </c>
      <c r="DE59">
        <v>3.7966199999999999E-2</v>
      </c>
      <c r="DF59">
        <v>31343.5</v>
      </c>
      <c r="DG59">
        <v>27503.9</v>
      </c>
      <c r="DH59">
        <v>31159</v>
      </c>
      <c r="DI59">
        <v>28064.7</v>
      </c>
      <c r="DJ59">
        <v>39649.1</v>
      </c>
      <c r="DK59">
        <v>38394.300000000003</v>
      </c>
      <c r="DL59">
        <v>44340.1</v>
      </c>
      <c r="DM59">
        <v>42535.4</v>
      </c>
      <c r="DN59">
        <v>1.4733000000000001</v>
      </c>
      <c r="DO59">
        <v>2.0303</v>
      </c>
      <c r="DP59">
        <v>0.131607</v>
      </c>
      <c r="DQ59">
        <v>0.160553</v>
      </c>
      <c r="DR59">
        <v>24.8309</v>
      </c>
      <c r="DS59">
        <v>24.596900000000002</v>
      </c>
      <c r="DT59">
        <v>16.899999999999999</v>
      </c>
      <c r="DU59">
        <v>29.8</v>
      </c>
      <c r="DV59">
        <v>7.1842600000000001</v>
      </c>
      <c r="DW59">
        <v>61.898600000000002</v>
      </c>
      <c r="DX59">
        <v>36.246000000000002</v>
      </c>
      <c r="DY59">
        <v>1</v>
      </c>
      <c r="DZ59">
        <v>-7.0060999999999998E-2</v>
      </c>
      <c r="EA59">
        <v>0.82205099999999998</v>
      </c>
      <c r="EB59">
        <v>20.1875</v>
      </c>
      <c r="EC59">
        <v>5.2398999999999996</v>
      </c>
      <c r="ED59">
        <v>12.039899999999999</v>
      </c>
      <c r="EE59">
        <v>5.0168499999999998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1.8689800000000001</v>
      </c>
      <c r="EL59">
        <v>1.8646400000000001</v>
      </c>
      <c r="EM59">
        <v>1.8692</v>
      </c>
      <c r="EN59">
        <v>1.86724</v>
      </c>
      <c r="EO59">
        <v>1.8633999999999999</v>
      </c>
      <c r="EP59">
        <v>1.8645799999999999</v>
      </c>
      <c r="EQ59">
        <v>1.8702000000000001</v>
      </c>
      <c r="ER59">
        <v>1.86947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-0.24399999999999999</v>
      </c>
      <c r="FG59">
        <v>-2.01E-2</v>
      </c>
      <c r="FH59">
        <v>0.27827353915413472</v>
      </c>
      <c r="FI59">
        <v>-6.1462078757559423E-4</v>
      </c>
      <c r="FJ59">
        <v>-1.8861989874597051E-7</v>
      </c>
      <c r="FK59">
        <v>1.1980462299894961E-10</v>
      </c>
      <c r="FL59">
        <v>-3.2538871274648329E-2</v>
      </c>
      <c r="FM59">
        <v>-1.6848085045870601E-2</v>
      </c>
      <c r="FN59">
        <v>1.9789084769509481E-3</v>
      </c>
      <c r="FO59">
        <v>-2.7142391389806329E-5</v>
      </c>
      <c r="FP59">
        <v>3</v>
      </c>
      <c r="FQ59">
        <v>2158</v>
      </c>
      <c r="FR59">
        <v>1</v>
      </c>
      <c r="FS59">
        <v>19</v>
      </c>
      <c r="FT59">
        <v>16.8</v>
      </c>
      <c r="FU59">
        <v>16.7</v>
      </c>
      <c r="FV59">
        <v>1.7785599999999999</v>
      </c>
      <c r="FW59">
        <v>2.5842299999999998</v>
      </c>
      <c r="FX59">
        <v>1.5490699999999999</v>
      </c>
      <c r="FY59">
        <v>2.3290999999999999</v>
      </c>
      <c r="FZ59">
        <v>1.50146</v>
      </c>
      <c r="GA59">
        <v>2.36816</v>
      </c>
      <c r="GB59">
        <v>33.850900000000003</v>
      </c>
      <c r="GC59">
        <v>23.991199999999999</v>
      </c>
      <c r="GD59">
        <v>19</v>
      </c>
      <c r="GE59">
        <v>282.54899999999998</v>
      </c>
      <c r="GF59">
        <v>580.101</v>
      </c>
      <c r="GG59">
        <v>22.790400000000002</v>
      </c>
      <c r="GH59">
        <v>26.4923</v>
      </c>
      <c r="GI59">
        <v>30</v>
      </c>
      <c r="GJ59">
        <v>26.557099999999998</v>
      </c>
      <c r="GK59">
        <v>26.511399999999998</v>
      </c>
      <c r="GL59">
        <v>35.5627</v>
      </c>
      <c r="GM59">
        <v>-30</v>
      </c>
      <c r="GN59">
        <v>-30</v>
      </c>
      <c r="GO59">
        <v>22.786100000000001</v>
      </c>
      <c r="GP59">
        <v>800</v>
      </c>
      <c r="GQ59">
        <v>12.5298</v>
      </c>
      <c r="GR59">
        <v>99.692700000000002</v>
      </c>
      <c r="GS59">
        <v>99.506</v>
      </c>
    </row>
    <row r="60" spans="1:201" x14ac:dyDescent="0.25">
      <c r="A60">
        <v>44</v>
      </c>
      <c r="B60">
        <v>1690218605</v>
      </c>
      <c r="C60">
        <v>584.5</v>
      </c>
      <c r="D60" t="s">
        <v>417</v>
      </c>
      <c r="E60" t="s">
        <v>418</v>
      </c>
      <c r="F60" t="s">
        <v>330</v>
      </c>
      <c r="H60">
        <v>1690218605</v>
      </c>
      <c r="I60">
        <f t="shared" si="0"/>
        <v>4.7271363498608345E-4</v>
      </c>
      <c r="J60">
        <f t="shared" si="1"/>
        <v>0.47271363498608343</v>
      </c>
      <c r="K60">
        <f t="shared" si="2"/>
        <v>3.8036751571994611</v>
      </c>
      <c r="L60">
        <f t="shared" si="3"/>
        <v>755.10599999999999</v>
      </c>
      <c r="M60">
        <f t="shared" si="4"/>
        <v>377.53972502640949</v>
      </c>
      <c r="N60">
        <f t="shared" si="5"/>
        <v>37.443278451168815</v>
      </c>
      <c r="O60">
        <f t="shared" si="6"/>
        <v>74.889190047935983</v>
      </c>
      <c r="P60">
        <f t="shared" si="7"/>
        <v>1.7319800267510354E-2</v>
      </c>
      <c r="Q60">
        <f t="shared" si="8"/>
        <v>2.1326197338331943</v>
      </c>
      <c r="R60">
        <f t="shared" si="9"/>
        <v>1.7242034361849245E-2</v>
      </c>
      <c r="S60">
        <f t="shared" si="10"/>
        <v>1.0783229239419179E-2</v>
      </c>
      <c r="T60">
        <f t="shared" si="11"/>
        <v>276.11452292399997</v>
      </c>
      <c r="U60">
        <f t="shared" si="12"/>
        <v>27.667890821505942</v>
      </c>
      <c r="V60">
        <f t="shared" si="13"/>
        <v>27.667890821505942</v>
      </c>
      <c r="W60">
        <f t="shared" si="14"/>
        <v>3.721986030507709</v>
      </c>
      <c r="X60">
        <f t="shared" si="15"/>
        <v>32.333814140702785</v>
      </c>
      <c r="Y60">
        <f t="shared" si="16"/>
        <v>1.0685831898719997</v>
      </c>
      <c r="Z60">
        <f t="shared" si="17"/>
        <v>3.3048473193480596</v>
      </c>
      <c r="AA60">
        <f t="shared" si="18"/>
        <v>2.6534028406357093</v>
      </c>
      <c r="AB60">
        <f t="shared" si="19"/>
        <v>-20.846671302886278</v>
      </c>
      <c r="AC60">
        <f t="shared" si="20"/>
        <v>-232.09654486272603</v>
      </c>
      <c r="AD60">
        <f t="shared" si="21"/>
        <v>-23.407303595549681</v>
      </c>
      <c r="AE60">
        <f t="shared" si="22"/>
        <v>-0.2359968371620198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52701.768858939482</v>
      </c>
      <c r="AK60">
        <f t="shared" si="26"/>
        <v>1800</v>
      </c>
      <c r="AL60">
        <f t="shared" si="27"/>
        <v>1499.1133644000001</v>
      </c>
      <c r="AM60">
        <f t="shared" si="28"/>
        <v>0.83284075800000001</v>
      </c>
      <c r="AN60">
        <f t="shared" si="29"/>
        <v>0.15339695717999999</v>
      </c>
      <c r="AO60">
        <v>32.4</v>
      </c>
      <c r="AP60">
        <v>0.5</v>
      </c>
      <c r="AQ60" t="s">
        <v>331</v>
      </c>
      <c r="AR60">
        <v>2</v>
      </c>
      <c r="AS60">
        <v>1690218605</v>
      </c>
      <c r="AT60">
        <v>755.10599999999999</v>
      </c>
      <c r="AU60">
        <v>800.01199999999994</v>
      </c>
      <c r="AV60">
        <v>10.7745</v>
      </c>
      <c r="AW60">
        <v>5.72743</v>
      </c>
      <c r="AX60">
        <v>755.34799999999996</v>
      </c>
      <c r="AY60">
        <v>10.7925</v>
      </c>
      <c r="AZ60">
        <v>300.19200000000001</v>
      </c>
      <c r="BA60">
        <v>99.076999999999998</v>
      </c>
      <c r="BB60">
        <v>0.10005600000000001</v>
      </c>
      <c r="BC60">
        <v>25.6492</v>
      </c>
      <c r="BD60">
        <v>26.944199999999999</v>
      </c>
      <c r="BE60">
        <v>27.242899999999999</v>
      </c>
      <c r="BF60">
        <v>0</v>
      </c>
      <c r="BG60">
        <v>0</v>
      </c>
      <c r="BH60">
        <v>10015</v>
      </c>
      <c r="BI60">
        <v>1061.26</v>
      </c>
      <c r="BJ60">
        <v>1.5137799999999999</v>
      </c>
      <c r="BK60">
        <v>-44.906599999999997</v>
      </c>
      <c r="BL60">
        <v>763.33</v>
      </c>
      <c r="BM60">
        <v>804.62</v>
      </c>
      <c r="BN60">
        <v>5.0470899999999999</v>
      </c>
      <c r="BO60">
        <v>800.01199999999994</v>
      </c>
      <c r="BP60">
        <v>5.72743</v>
      </c>
      <c r="BQ60">
        <v>1.06751</v>
      </c>
      <c r="BR60">
        <v>0.56745599999999996</v>
      </c>
      <c r="BS60">
        <v>7.8718300000000001</v>
      </c>
      <c r="BT60">
        <v>-1.0727199999999999</v>
      </c>
      <c r="BU60">
        <v>1800</v>
      </c>
      <c r="BV60">
        <v>0.91001399999999999</v>
      </c>
      <c r="BW60">
        <v>3.3999599999999998E-2</v>
      </c>
      <c r="BX60">
        <v>2.1994400000000001E-2</v>
      </c>
      <c r="BY60">
        <v>3.39922E-2</v>
      </c>
      <c r="BZ60">
        <v>25</v>
      </c>
      <c r="CA60">
        <v>33528.400000000001</v>
      </c>
      <c r="CB60">
        <v>1690217592</v>
      </c>
      <c r="CC60" t="s">
        <v>332</v>
      </c>
      <c r="CD60">
        <v>1690217586.5</v>
      </c>
      <c r="CE60">
        <v>1690217592</v>
      </c>
      <c r="CF60">
        <v>9</v>
      </c>
      <c r="CG60">
        <v>0.11600000000000001</v>
      </c>
      <c r="CH60">
        <v>-3.0000000000000001E-3</v>
      </c>
      <c r="CI60">
        <v>-0.27300000000000002</v>
      </c>
      <c r="CJ60">
        <v>-6.9000000000000006E-2</v>
      </c>
      <c r="CK60">
        <v>800</v>
      </c>
      <c r="CL60">
        <v>6</v>
      </c>
      <c r="CM60">
        <v>0.01</v>
      </c>
      <c r="CN60">
        <v>0.01</v>
      </c>
      <c r="CO60">
        <v>-42.218769999999999</v>
      </c>
      <c r="CP60">
        <v>-14.87914221388367</v>
      </c>
      <c r="CQ60">
        <v>1.4320961265222389</v>
      </c>
      <c r="CR60">
        <v>-1</v>
      </c>
      <c r="CS60">
        <v>4.9023545000000004</v>
      </c>
      <c r="CT60">
        <v>0.80169906191368856</v>
      </c>
      <c r="CU60">
        <v>7.7121476708826117E-2</v>
      </c>
      <c r="CV60">
        <v>-1</v>
      </c>
      <c r="CW60">
        <v>0</v>
      </c>
      <c r="CX60">
        <v>0</v>
      </c>
      <c r="CY60" t="s">
        <v>333</v>
      </c>
      <c r="CZ60">
        <v>2.3643200000000002</v>
      </c>
      <c r="DA60">
        <v>2.7138599999999999</v>
      </c>
      <c r="DB60">
        <v>0.14089399999999999</v>
      </c>
      <c r="DC60">
        <v>0.14602599999999999</v>
      </c>
      <c r="DD60">
        <v>6.3703599999999999E-2</v>
      </c>
      <c r="DE60">
        <v>3.7959800000000002E-2</v>
      </c>
      <c r="DF60">
        <v>31355</v>
      </c>
      <c r="DG60">
        <v>27503.8</v>
      </c>
      <c r="DH60">
        <v>31159</v>
      </c>
      <c r="DI60">
        <v>28064.9</v>
      </c>
      <c r="DJ60">
        <v>39623.9</v>
      </c>
      <c r="DK60">
        <v>38394.800000000003</v>
      </c>
      <c r="DL60">
        <v>44340.4</v>
      </c>
      <c r="DM60">
        <v>42535.5</v>
      </c>
      <c r="DN60">
        <v>1.4734499999999999</v>
      </c>
      <c r="DO60">
        <v>2.0300799999999999</v>
      </c>
      <c r="DP60">
        <v>0.12962499999999999</v>
      </c>
      <c r="DQ60">
        <v>0.16173000000000001</v>
      </c>
      <c r="DR60">
        <v>24.820499999999999</v>
      </c>
      <c r="DS60">
        <v>24.593299999999999</v>
      </c>
      <c r="DT60">
        <v>16.899999999999999</v>
      </c>
      <c r="DU60">
        <v>29.8</v>
      </c>
      <c r="DV60">
        <v>7.1841900000000001</v>
      </c>
      <c r="DW60">
        <v>61.708599999999997</v>
      </c>
      <c r="DX60">
        <v>36.462299999999999</v>
      </c>
      <c r="DY60">
        <v>1</v>
      </c>
      <c r="DZ60">
        <v>-7.0713899999999996E-2</v>
      </c>
      <c r="EA60">
        <v>0.82028900000000005</v>
      </c>
      <c r="EB60">
        <v>20.1876</v>
      </c>
      <c r="EC60">
        <v>5.2401999999999997</v>
      </c>
      <c r="ED60">
        <v>12.039899999999999</v>
      </c>
      <c r="EE60">
        <v>5.01675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1.8689499999999999</v>
      </c>
      <c r="EL60">
        <v>1.86466</v>
      </c>
      <c r="EM60">
        <v>1.8692</v>
      </c>
      <c r="EN60">
        <v>1.8672599999999999</v>
      </c>
      <c r="EO60">
        <v>1.86341</v>
      </c>
      <c r="EP60">
        <v>1.86459</v>
      </c>
      <c r="EQ60">
        <v>1.87019</v>
      </c>
      <c r="ER60">
        <v>1.8694900000000001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-0.24199999999999999</v>
      </c>
      <c r="FG60">
        <v>-1.7999999999999999E-2</v>
      </c>
      <c r="FH60">
        <v>0.27827353915413472</v>
      </c>
      <c r="FI60">
        <v>-6.1462078757559423E-4</v>
      </c>
      <c r="FJ60">
        <v>-1.8861989874597051E-7</v>
      </c>
      <c r="FK60">
        <v>1.1980462299894961E-10</v>
      </c>
      <c r="FL60">
        <v>-3.2538871274648329E-2</v>
      </c>
      <c r="FM60">
        <v>-1.6848085045870601E-2</v>
      </c>
      <c r="FN60">
        <v>1.9789084769509481E-3</v>
      </c>
      <c r="FO60">
        <v>-2.7142391389806329E-5</v>
      </c>
      <c r="FP60">
        <v>3</v>
      </c>
      <c r="FQ60">
        <v>2158</v>
      </c>
      <c r="FR60">
        <v>1</v>
      </c>
      <c r="FS60">
        <v>19</v>
      </c>
      <c r="FT60">
        <v>17</v>
      </c>
      <c r="FU60">
        <v>16.899999999999999</v>
      </c>
      <c r="FV60">
        <v>1.7785599999999999</v>
      </c>
      <c r="FW60">
        <v>2.5842299999999998</v>
      </c>
      <c r="FX60">
        <v>1.5490699999999999</v>
      </c>
      <c r="FY60">
        <v>2.3290999999999999</v>
      </c>
      <c r="FZ60">
        <v>1.50146</v>
      </c>
      <c r="GA60">
        <v>2.4047900000000002</v>
      </c>
      <c r="GB60">
        <v>33.850900000000003</v>
      </c>
      <c r="GC60">
        <v>23.991199999999999</v>
      </c>
      <c r="GD60">
        <v>19</v>
      </c>
      <c r="GE60">
        <v>282.60300000000001</v>
      </c>
      <c r="GF60">
        <v>579.91499999999996</v>
      </c>
      <c r="GG60">
        <v>22.793099999999999</v>
      </c>
      <c r="GH60">
        <v>26.484000000000002</v>
      </c>
      <c r="GI60">
        <v>29.9999</v>
      </c>
      <c r="GJ60">
        <v>26.5549</v>
      </c>
      <c r="GK60">
        <v>26.511399999999998</v>
      </c>
      <c r="GL60">
        <v>35.5595</v>
      </c>
      <c r="GM60">
        <v>-30</v>
      </c>
      <c r="GN60">
        <v>-30</v>
      </c>
      <c r="GO60">
        <v>22.809799999999999</v>
      </c>
      <c r="GP60">
        <v>800</v>
      </c>
      <c r="GQ60">
        <v>12.5298</v>
      </c>
      <c r="GR60">
        <v>99.693200000000004</v>
      </c>
      <c r="GS60">
        <v>99.506500000000003</v>
      </c>
    </row>
    <row r="61" spans="1:201" x14ac:dyDescent="0.25">
      <c r="A61">
        <v>45</v>
      </c>
      <c r="B61">
        <v>1690218615</v>
      </c>
      <c r="C61">
        <v>594.5</v>
      </c>
      <c r="D61" t="s">
        <v>419</v>
      </c>
      <c r="E61" t="s">
        <v>420</v>
      </c>
      <c r="F61" t="s">
        <v>330</v>
      </c>
      <c r="H61">
        <v>1690218615</v>
      </c>
      <c r="I61">
        <f t="shared" si="0"/>
        <v>4.8549358547411942E-4</v>
      </c>
      <c r="J61">
        <f t="shared" si="1"/>
        <v>0.48549358547411942</v>
      </c>
      <c r="K61">
        <f t="shared" si="2"/>
        <v>4.03108835473751</v>
      </c>
      <c r="L61">
        <f t="shared" si="3"/>
        <v>752.62</v>
      </c>
      <c r="M61">
        <f t="shared" si="4"/>
        <v>365.86284704142776</v>
      </c>
      <c r="N61">
        <f t="shared" si="5"/>
        <v>36.284240045236473</v>
      </c>
      <c r="O61">
        <f t="shared" si="6"/>
        <v>74.640661011839995</v>
      </c>
      <c r="P61">
        <f t="shared" si="7"/>
        <v>1.7870783574983E-2</v>
      </c>
      <c r="Q61">
        <f t="shared" si="8"/>
        <v>2.1274864069398944</v>
      </c>
      <c r="R61">
        <f t="shared" si="9"/>
        <v>1.7787805167143608E-2</v>
      </c>
      <c r="S61">
        <f t="shared" si="10"/>
        <v>1.112480130147485E-2</v>
      </c>
      <c r="T61">
        <f t="shared" si="11"/>
        <v>276.11418907799998</v>
      </c>
      <c r="U61">
        <f t="shared" si="12"/>
        <v>27.674037686846745</v>
      </c>
      <c r="V61">
        <f t="shared" si="13"/>
        <v>27.674037686846745</v>
      </c>
      <c r="W61">
        <f t="shared" si="14"/>
        <v>3.7233232805666852</v>
      </c>
      <c r="X61">
        <f t="shared" si="15"/>
        <v>32.729936985842087</v>
      </c>
      <c r="Y61">
        <f t="shared" si="16"/>
        <v>1.0820723926656</v>
      </c>
      <c r="Z61">
        <f t="shared" si="17"/>
        <v>3.3060631712602122</v>
      </c>
      <c r="AA61">
        <f t="shared" si="18"/>
        <v>2.6412508879010854</v>
      </c>
      <c r="AB61">
        <f t="shared" si="19"/>
        <v>-21.410267119408665</v>
      </c>
      <c r="AC61">
        <f t="shared" si="20"/>
        <v>-231.53178198930559</v>
      </c>
      <c r="AD61">
        <f t="shared" si="21"/>
        <v>-23.408134131333927</v>
      </c>
      <c r="AE61">
        <f t="shared" si="22"/>
        <v>-0.23599416204820045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52478.429265317936</v>
      </c>
      <c r="AK61">
        <f t="shared" si="26"/>
        <v>1800</v>
      </c>
      <c r="AL61">
        <f t="shared" si="27"/>
        <v>1499.1132528000001</v>
      </c>
      <c r="AM61">
        <f t="shared" si="28"/>
        <v>0.83284069599999999</v>
      </c>
      <c r="AN61">
        <f t="shared" si="29"/>
        <v>0.15339677170999999</v>
      </c>
      <c r="AO61">
        <v>32.4</v>
      </c>
      <c r="AP61">
        <v>0.5</v>
      </c>
      <c r="AQ61" t="s">
        <v>331</v>
      </c>
      <c r="AR61">
        <v>2</v>
      </c>
      <c r="AS61">
        <v>1690218615</v>
      </c>
      <c r="AT61">
        <v>752.62</v>
      </c>
      <c r="AU61">
        <v>800.08</v>
      </c>
      <c r="AV61">
        <v>10.9108</v>
      </c>
      <c r="AW61">
        <v>5.7270799999999999</v>
      </c>
      <c r="AX61">
        <v>752.86</v>
      </c>
      <c r="AY61">
        <v>10.926500000000001</v>
      </c>
      <c r="AZ61">
        <v>300.13900000000001</v>
      </c>
      <c r="BA61">
        <v>99.074399999999997</v>
      </c>
      <c r="BB61">
        <v>0.100032</v>
      </c>
      <c r="BC61">
        <v>25.6554</v>
      </c>
      <c r="BD61">
        <v>26.995100000000001</v>
      </c>
      <c r="BE61">
        <v>27.2241</v>
      </c>
      <c r="BF61">
        <v>0</v>
      </c>
      <c r="BG61">
        <v>0</v>
      </c>
      <c r="BH61">
        <v>9971.25</v>
      </c>
      <c r="BI61">
        <v>1061.31</v>
      </c>
      <c r="BJ61">
        <v>1.5137799999999999</v>
      </c>
      <c r="BK61">
        <v>-47.46</v>
      </c>
      <c r="BL61">
        <v>760.92200000000003</v>
      </c>
      <c r="BM61">
        <v>804.68799999999999</v>
      </c>
      <c r="BN61">
        <v>5.1836700000000002</v>
      </c>
      <c r="BO61">
        <v>800.08</v>
      </c>
      <c r="BP61">
        <v>5.7270799999999999</v>
      </c>
      <c r="BQ61">
        <v>1.0809800000000001</v>
      </c>
      <c r="BR61">
        <v>0.56740699999999999</v>
      </c>
      <c r="BS61">
        <v>8.0560700000000001</v>
      </c>
      <c r="BT61">
        <v>-1.0739099999999999</v>
      </c>
      <c r="BU61">
        <v>1800</v>
      </c>
      <c r="BV61">
        <v>0.91001799999999999</v>
      </c>
      <c r="BW61">
        <v>3.3997899999999998E-2</v>
      </c>
      <c r="BX61">
        <v>2.19933E-2</v>
      </c>
      <c r="BY61">
        <v>3.39905E-2</v>
      </c>
      <c r="BZ61">
        <v>25</v>
      </c>
      <c r="CA61">
        <v>33528.5</v>
      </c>
      <c r="CB61">
        <v>1690217592</v>
      </c>
      <c r="CC61" t="s">
        <v>332</v>
      </c>
      <c r="CD61">
        <v>1690217586.5</v>
      </c>
      <c r="CE61">
        <v>1690217592</v>
      </c>
      <c r="CF61">
        <v>9</v>
      </c>
      <c r="CG61">
        <v>0.11600000000000001</v>
      </c>
      <c r="CH61">
        <v>-3.0000000000000001E-3</v>
      </c>
      <c r="CI61">
        <v>-0.27300000000000002</v>
      </c>
      <c r="CJ61">
        <v>-6.9000000000000006E-2</v>
      </c>
      <c r="CK61">
        <v>800</v>
      </c>
      <c r="CL61">
        <v>6</v>
      </c>
      <c r="CM61">
        <v>0.01</v>
      </c>
      <c r="CN61">
        <v>0.01</v>
      </c>
      <c r="CO61">
        <v>-44.521617073170731</v>
      </c>
      <c r="CP61">
        <v>-15.223291986062719</v>
      </c>
      <c r="CQ61">
        <v>1.5013260748016191</v>
      </c>
      <c r="CR61">
        <v>-1</v>
      </c>
      <c r="CS61">
        <v>5.0269102439024387</v>
      </c>
      <c r="CT61">
        <v>0.81328034843207841</v>
      </c>
      <c r="CU61">
        <v>8.0191794923865106E-2</v>
      </c>
      <c r="CV61">
        <v>-1</v>
      </c>
      <c r="CW61">
        <v>0</v>
      </c>
      <c r="CX61">
        <v>0</v>
      </c>
      <c r="CY61" t="s">
        <v>333</v>
      </c>
      <c r="CZ61">
        <v>2.36415</v>
      </c>
      <c r="DA61">
        <v>2.7138</v>
      </c>
      <c r="DB61">
        <v>0.14058200000000001</v>
      </c>
      <c r="DC61">
        <v>0.14603099999999999</v>
      </c>
      <c r="DD61">
        <v>6.43093E-2</v>
      </c>
      <c r="DE61">
        <v>3.7957100000000001E-2</v>
      </c>
      <c r="DF61">
        <v>31366.7</v>
      </c>
      <c r="DG61">
        <v>27504.3</v>
      </c>
      <c r="DH61">
        <v>31159.3</v>
      </c>
      <c r="DI61">
        <v>28065.5</v>
      </c>
      <c r="DJ61">
        <v>39598.300000000003</v>
      </c>
      <c r="DK61">
        <v>38395.800000000003</v>
      </c>
      <c r="DL61">
        <v>44340.800000000003</v>
      </c>
      <c r="DM61">
        <v>42536.5</v>
      </c>
      <c r="DN61">
        <v>1.47315</v>
      </c>
      <c r="DO61">
        <v>2.0305200000000001</v>
      </c>
      <c r="DP61">
        <v>0.13320899999999999</v>
      </c>
      <c r="DQ61">
        <v>0.160769</v>
      </c>
      <c r="DR61">
        <v>24.8127</v>
      </c>
      <c r="DS61">
        <v>24.590199999999999</v>
      </c>
      <c r="DT61">
        <v>16.899999999999999</v>
      </c>
      <c r="DU61">
        <v>29.8</v>
      </c>
      <c r="DV61">
        <v>7.1836399999999996</v>
      </c>
      <c r="DW61">
        <v>62.0886</v>
      </c>
      <c r="DX61">
        <v>36.806899999999999</v>
      </c>
      <c r="DY61">
        <v>1</v>
      </c>
      <c r="DZ61">
        <v>-7.1712399999999996E-2</v>
      </c>
      <c r="EA61">
        <v>0.672454</v>
      </c>
      <c r="EB61">
        <v>20.187899999999999</v>
      </c>
      <c r="EC61">
        <v>5.2408000000000001</v>
      </c>
      <c r="ED61">
        <v>12.039899999999999</v>
      </c>
      <c r="EE61">
        <v>5.01675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1.86894</v>
      </c>
      <c r="EL61">
        <v>1.8646400000000001</v>
      </c>
      <c r="EM61">
        <v>1.8692</v>
      </c>
      <c r="EN61">
        <v>1.86724</v>
      </c>
      <c r="EO61">
        <v>1.8633999999999999</v>
      </c>
      <c r="EP61">
        <v>1.8645799999999999</v>
      </c>
      <c r="EQ61">
        <v>1.87018</v>
      </c>
      <c r="ER61">
        <v>1.86944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-0.24</v>
      </c>
      <c r="FG61">
        <v>-1.5699999999999999E-2</v>
      </c>
      <c r="FH61">
        <v>0.27827353915413472</v>
      </c>
      <c r="FI61">
        <v>-6.1462078757559423E-4</v>
      </c>
      <c r="FJ61">
        <v>-1.8861989874597051E-7</v>
      </c>
      <c r="FK61">
        <v>1.1980462299894961E-10</v>
      </c>
      <c r="FL61">
        <v>-3.2538871274648329E-2</v>
      </c>
      <c r="FM61">
        <v>-1.6848085045870601E-2</v>
      </c>
      <c r="FN61">
        <v>1.9789084769509481E-3</v>
      </c>
      <c r="FO61">
        <v>-2.7142391389806329E-5</v>
      </c>
      <c r="FP61">
        <v>3</v>
      </c>
      <c r="FQ61">
        <v>2158</v>
      </c>
      <c r="FR61">
        <v>1</v>
      </c>
      <c r="FS61">
        <v>19</v>
      </c>
      <c r="FT61">
        <v>17.100000000000001</v>
      </c>
      <c r="FU61">
        <v>17.100000000000001</v>
      </c>
      <c r="FV61">
        <v>1.7785599999999999</v>
      </c>
      <c r="FW61">
        <v>2.5830099999999998</v>
      </c>
      <c r="FX61">
        <v>1.5490699999999999</v>
      </c>
      <c r="FY61">
        <v>2.3290999999999999</v>
      </c>
      <c r="FZ61">
        <v>1.50146</v>
      </c>
      <c r="GA61">
        <v>2.4011200000000001</v>
      </c>
      <c r="GB61">
        <v>33.850900000000003</v>
      </c>
      <c r="GC61">
        <v>23.991199999999999</v>
      </c>
      <c r="GD61">
        <v>19</v>
      </c>
      <c r="GE61">
        <v>282.46600000000001</v>
      </c>
      <c r="GF61">
        <v>580.28599999999994</v>
      </c>
      <c r="GG61">
        <v>22.833100000000002</v>
      </c>
      <c r="GH61">
        <v>26.4755</v>
      </c>
      <c r="GI61">
        <v>29.999400000000001</v>
      </c>
      <c r="GJ61">
        <v>26.552600000000002</v>
      </c>
      <c r="GK61">
        <v>26.511399999999998</v>
      </c>
      <c r="GL61">
        <v>35.555700000000002</v>
      </c>
      <c r="GM61">
        <v>-30</v>
      </c>
      <c r="GN61">
        <v>-30</v>
      </c>
      <c r="GO61">
        <v>22.851299999999998</v>
      </c>
      <c r="GP61">
        <v>800</v>
      </c>
      <c r="GQ61">
        <v>12.5298</v>
      </c>
      <c r="GR61">
        <v>99.694000000000003</v>
      </c>
      <c r="GS61">
        <v>99.508700000000005</v>
      </c>
    </row>
    <row r="62" spans="1:201" x14ac:dyDescent="0.25">
      <c r="A62">
        <v>46</v>
      </c>
      <c r="B62">
        <v>1690218625</v>
      </c>
      <c r="C62">
        <v>604.5</v>
      </c>
      <c r="D62" t="s">
        <v>421</v>
      </c>
      <c r="E62" t="s">
        <v>422</v>
      </c>
      <c r="F62" t="s">
        <v>330</v>
      </c>
      <c r="H62">
        <v>1690218625</v>
      </c>
      <c r="I62">
        <f t="shared" si="0"/>
        <v>4.9895687412339546E-4</v>
      </c>
      <c r="J62">
        <f t="shared" si="1"/>
        <v>0.49895687412339551</v>
      </c>
      <c r="K62">
        <f t="shared" si="2"/>
        <v>4.2600825316630289</v>
      </c>
      <c r="L62">
        <f t="shared" si="3"/>
        <v>750.04399999999998</v>
      </c>
      <c r="M62">
        <f t="shared" si="4"/>
        <v>355.75516866046252</v>
      </c>
      <c r="N62">
        <f t="shared" si="5"/>
        <v>35.281579921174277</v>
      </c>
      <c r="O62">
        <f t="shared" si="6"/>
        <v>74.384688295712792</v>
      </c>
      <c r="P62">
        <f t="shared" si="7"/>
        <v>1.8482550950625971E-2</v>
      </c>
      <c r="Q62">
        <f t="shared" si="8"/>
        <v>2.1309048161231328</v>
      </c>
      <c r="R62">
        <f t="shared" si="9"/>
        <v>1.8393950980668001E-2</v>
      </c>
      <c r="S62">
        <f t="shared" si="10"/>
        <v>1.1504144219744532E-2</v>
      </c>
      <c r="T62">
        <f t="shared" si="11"/>
        <v>276.11244829143197</v>
      </c>
      <c r="U62">
        <f t="shared" si="12"/>
        <v>27.662887495060584</v>
      </c>
      <c r="V62">
        <f t="shared" si="13"/>
        <v>27.662887495060584</v>
      </c>
      <c r="W62">
        <f t="shared" si="14"/>
        <v>3.7208978666599277</v>
      </c>
      <c r="X62">
        <f t="shared" si="15"/>
        <v>33.15896721316026</v>
      </c>
      <c r="Y62">
        <f t="shared" si="16"/>
        <v>1.0960287945359199</v>
      </c>
      <c r="Z62">
        <f t="shared" si="17"/>
        <v>3.3053767552233162</v>
      </c>
      <c r="AA62">
        <f t="shared" si="18"/>
        <v>2.6248690721240076</v>
      </c>
      <c r="AB62">
        <f t="shared" si="19"/>
        <v>-22.003998148841738</v>
      </c>
      <c r="AC62">
        <f t="shared" si="20"/>
        <v>-231.02493905437336</v>
      </c>
      <c r="AD62">
        <f t="shared" si="21"/>
        <v>-23.317710435946388</v>
      </c>
      <c r="AE62">
        <f t="shared" si="22"/>
        <v>-0.23419934772951478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52626.925652614082</v>
      </c>
      <c r="AK62">
        <f t="shared" si="26"/>
        <v>1799.99</v>
      </c>
      <c r="AL62">
        <f t="shared" si="27"/>
        <v>1499.1053563906401</v>
      </c>
      <c r="AM62">
        <f t="shared" si="28"/>
        <v>0.83284093600000009</v>
      </c>
      <c r="AN62">
        <f t="shared" si="29"/>
        <v>0.15339665681000003</v>
      </c>
      <c r="AO62">
        <v>32.4</v>
      </c>
      <c r="AP62">
        <v>0.5</v>
      </c>
      <c r="AQ62" t="s">
        <v>331</v>
      </c>
      <c r="AR62">
        <v>2</v>
      </c>
      <c r="AS62">
        <v>1690218625</v>
      </c>
      <c r="AT62">
        <v>750.04399999999998</v>
      </c>
      <c r="AU62">
        <v>800.06500000000005</v>
      </c>
      <c r="AV62">
        <v>11.051600000000001</v>
      </c>
      <c r="AW62">
        <v>5.7255799999999999</v>
      </c>
      <c r="AX62">
        <v>750.28300000000002</v>
      </c>
      <c r="AY62">
        <v>11.065</v>
      </c>
      <c r="AZ62">
        <v>300.178</v>
      </c>
      <c r="BA62">
        <v>99.073800000000006</v>
      </c>
      <c r="BB62">
        <v>9.9966200000000005E-2</v>
      </c>
      <c r="BC62">
        <v>25.651900000000001</v>
      </c>
      <c r="BD62">
        <v>26.9772</v>
      </c>
      <c r="BE62">
        <v>27.2332</v>
      </c>
      <c r="BF62">
        <v>0</v>
      </c>
      <c r="BG62">
        <v>0</v>
      </c>
      <c r="BH62">
        <v>10000.6</v>
      </c>
      <c r="BI62">
        <v>1061.3699999999999</v>
      </c>
      <c r="BJ62">
        <v>1.6399300000000001</v>
      </c>
      <c r="BK62">
        <v>-50.020499999999998</v>
      </c>
      <c r="BL62">
        <v>758.42600000000004</v>
      </c>
      <c r="BM62">
        <v>804.67200000000003</v>
      </c>
      <c r="BN62">
        <v>5.3259800000000004</v>
      </c>
      <c r="BO62">
        <v>800.06500000000005</v>
      </c>
      <c r="BP62">
        <v>5.7255799999999999</v>
      </c>
      <c r="BQ62">
        <v>1.0949199999999999</v>
      </c>
      <c r="BR62">
        <v>0.56725499999999995</v>
      </c>
      <c r="BS62">
        <v>8.2446800000000007</v>
      </c>
      <c r="BT62">
        <v>-1.07755</v>
      </c>
      <c r="BU62">
        <v>1799.99</v>
      </c>
      <c r="BV62">
        <v>0.910022</v>
      </c>
      <c r="BW62">
        <v>3.3996400000000003E-2</v>
      </c>
      <c r="BX62">
        <v>2.1992299999999999E-2</v>
      </c>
      <c r="BY62">
        <v>3.3988900000000002E-2</v>
      </c>
      <c r="BZ62">
        <v>25</v>
      </c>
      <c r="CA62">
        <v>33528.5</v>
      </c>
      <c r="CB62">
        <v>1690217592</v>
      </c>
      <c r="CC62" t="s">
        <v>332</v>
      </c>
      <c r="CD62">
        <v>1690217586.5</v>
      </c>
      <c r="CE62">
        <v>1690217592</v>
      </c>
      <c r="CF62">
        <v>9</v>
      </c>
      <c r="CG62">
        <v>0.11600000000000001</v>
      </c>
      <c r="CH62">
        <v>-3.0000000000000001E-3</v>
      </c>
      <c r="CI62">
        <v>-0.27300000000000002</v>
      </c>
      <c r="CJ62">
        <v>-6.9000000000000006E-2</v>
      </c>
      <c r="CK62">
        <v>800</v>
      </c>
      <c r="CL62">
        <v>6</v>
      </c>
      <c r="CM62">
        <v>0.01</v>
      </c>
      <c r="CN62">
        <v>0.01</v>
      </c>
      <c r="CO62">
        <v>-47.230274999999992</v>
      </c>
      <c r="CP62">
        <v>-15.180828517823491</v>
      </c>
      <c r="CQ62">
        <v>1.4605126253733649</v>
      </c>
      <c r="CR62">
        <v>-1</v>
      </c>
      <c r="CS62">
        <v>5.1742284999999999</v>
      </c>
      <c r="CT62">
        <v>0.83091872420261959</v>
      </c>
      <c r="CU62">
        <v>7.9933286982020291E-2</v>
      </c>
      <c r="CV62">
        <v>-1</v>
      </c>
      <c r="CW62">
        <v>0</v>
      </c>
      <c r="CX62">
        <v>0</v>
      </c>
      <c r="CY62" t="s">
        <v>333</v>
      </c>
      <c r="CZ62">
        <v>2.3643100000000001</v>
      </c>
      <c r="DA62">
        <v>2.7137600000000002</v>
      </c>
      <c r="DB62">
        <v>0.14025899999999999</v>
      </c>
      <c r="DC62">
        <v>0.14602799999999999</v>
      </c>
      <c r="DD62">
        <v>6.4933199999999996E-2</v>
      </c>
      <c r="DE62">
        <v>3.7948599999999999E-2</v>
      </c>
      <c r="DF62">
        <v>31379.200000000001</v>
      </c>
      <c r="DG62">
        <v>27505.1</v>
      </c>
      <c r="DH62">
        <v>31160</v>
      </c>
      <c r="DI62">
        <v>28066.2</v>
      </c>
      <c r="DJ62">
        <v>39572.800000000003</v>
      </c>
      <c r="DK62">
        <v>38396.9</v>
      </c>
      <c r="DL62">
        <v>44341.9</v>
      </c>
      <c r="DM62">
        <v>42537.4</v>
      </c>
      <c r="DN62">
        <v>1.4733000000000001</v>
      </c>
      <c r="DO62">
        <v>2.0305800000000001</v>
      </c>
      <c r="DP62">
        <v>0.13250100000000001</v>
      </c>
      <c r="DQ62">
        <v>0.16148399999999999</v>
      </c>
      <c r="DR62">
        <v>24.8064</v>
      </c>
      <c r="DS62">
        <v>24.587599999999998</v>
      </c>
      <c r="DT62">
        <v>16.899999999999999</v>
      </c>
      <c r="DU62">
        <v>29.8</v>
      </c>
      <c r="DV62">
        <v>7.1840400000000004</v>
      </c>
      <c r="DW62">
        <v>61.808599999999998</v>
      </c>
      <c r="DX62">
        <v>36.963099999999997</v>
      </c>
      <c r="DY62">
        <v>1</v>
      </c>
      <c r="DZ62">
        <v>-7.2578799999999999E-2</v>
      </c>
      <c r="EA62">
        <v>0.69836299999999996</v>
      </c>
      <c r="EB62">
        <v>20.187799999999999</v>
      </c>
      <c r="EC62">
        <v>5.2408000000000001</v>
      </c>
      <c r="ED62">
        <v>12.039899999999999</v>
      </c>
      <c r="EE62">
        <v>5.0167999999999999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1.86896</v>
      </c>
      <c r="EL62">
        <v>1.86467</v>
      </c>
      <c r="EM62">
        <v>1.8692</v>
      </c>
      <c r="EN62">
        <v>1.8672599999999999</v>
      </c>
      <c r="EO62">
        <v>1.8633999999999999</v>
      </c>
      <c r="EP62">
        <v>1.8646</v>
      </c>
      <c r="EQ62">
        <v>1.87018</v>
      </c>
      <c r="ER62">
        <v>1.8694900000000001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-0.23899999999999999</v>
      </c>
      <c r="FG62">
        <v>-1.34E-2</v>
      </c>
      <c r="FH62">
        <v>0.27827353915413472</v>
      </c>
      <c r="FI62">
        <v>-6.1462078757559423E-4</v>
      </c>
      <c r="FJ62">
        <v>-1.8861989874597051E-7</v>
      </c>
      <c r="FK62">
        <v>1.1980462299894961E-10</v>
      </c>
      <c r="FL62">
        <v>-3.2538871274648329E-2</v>
      </c>
      <c r="FM62">
        <v>-1.6848085045870601E-2</v>
      </c>
      <c r="FN62">
        <v>1.9789084769509481E-3</v>
      </c>
      <c r="FO62">
        <v>-2.7142391389806329E-5</v>
      </c>
      <c r="FP62">
        <v>3</v>
      </c>
      <c r="FQ62">
        <v>2158</v>
      </c>
      <c r="FR62">
        <v>1</v>
      </c>
      <c r="FS62">
        <v>19</v>
      </c>
      <c r="FT62">
        <v>17.3</v>
      </c>
      <c r="FU62">
        <v>17.2</v>
      </c>
      <c r="FV62">
        <v>1.7785599999999999</v>
      </c>
      <c r="FW62">
        <v>2.5793499999999998</v>
      </c>
      <c r="FX62">
        <v>1.5490699999999999</v>
      </c>
      <c r="FY62">
        <v>2.3290999999999999</v>
      </c>
      <c r="FZ62">
        <v>1.50146</v>
      </c>
      <c r="GA62">
        <v>2.4072300000000002</v>
      </c>
      <c r="GB62">
        <v>33.850900000000003</v>
      </c>
      <c r="GC62">
        <v>23.991199999999999</v>
      </c>
      <c r="GD62">
        <v>19</v>
      </c>
      <c r="GE62">
        <v>282.52</v>
      </c>
      <c r="GF62">
        <v>580.327</v>
      </c>
      <c r="GG62">
        <v>22.871500000000001</v>
      </c>
      <c r="GH62">
        <v>26.467099999999999</v>
      </c>
      <c r="GI62">
        <v>29.999700000000001</v>
      </c>
      <c r="GJ62">
        <v>26.5504</v>
      </c>
      <c r="GK62">
        <v>26.511399999999998</v>
      </c>
      <c r="GL62">
        <v>35.5548</v>
      </c>
      <c r="GM62">
        <v>-30</v>
      </c>
      <c r="GN62">
        <v>-30</v>
      </c>
      <c r="GO62">
        <v>22.8855</v>
      </c>
      <c r="GP62">
        <v>800</v>
      </c>
      <c r="GQ62">
        <v>12.5298</v>
      </c>
      <c r="GR62">
        <v>99.6965</v>
      </c>
      <c r="GS62">
        <v>99.510900000000007</v>
      </c>
    </row>
    <row r="63" spans="1:201" x14ac:dyDescent="0.25">
      <c r="A63">
        <v>47</v>
      </c>
      <c r="B63">
        <v>1690218635</v>
      </c>
      <c r="C63">
        <v>614.5</v>
      </c>
      <c r="D63" t="s">
        <v>423</v>
      </c>
      <c r="E63" t="s">
        <v>424</v>
      </c>
      <c r="F63" t="s">
        <v>330</v>
      </c>
      <c r="H63">
        <v>1690218635</v>
      </c>
      <c r="I63">
        <f t="shared" si="0"/>
        <v>5.1229487972969691E-4</v>
      </c>
      <c r="J63">
        <f t="shared" si="1"/>
        <v>0.51229487972969689</v>
      </c>
      <c r="K63">
        <f t="shared" si="2"/>
        <v>4.5011399917580812</v>
      </c>
      <c r="L63">
        <f t="shared" si="3"/>
        <v>747.33299999999997</v>
      </c>
      <c r="M63">
        <f t="shared" si="4"/>
        <v>344.71288555129229</v>
      </c>
      <c r="N63">
        <f t="shared" si="5"/>
        <v>34.18749570923147</v>
      </c>
      <c r="O63">
        <f t="shared" si="6"/>
        <v>74.118040844357708</v>
      </c>
      <c r="P63">
        <f t="shared" si="7"/>
        <v>1.907994845489808E-2</v>
      </c>
      <c r="Q63">
        <f t="shared" si="8"/>
        <v>2.1297763672566941</v>
      </c>
      <c r="R63">
        <f t="shared" si="9"/>
        <v>1.8985494459670696E-2</v>
      </c>
      <c r="S63">
        <f t="shared" si="10"/>
        <v>1.1874381278996059E-2</v>
      </c>
      <c r="T63">
        <f t="shared" si="11"/>
        <v>276.1125391909269</v>
      </c>
      <c r="U63">
        <f t="shared" si="12"/>
        <v>27.663491762289226</v>
      </c>
      <c r="V63">
        <f t="shared" si="13"/>
        <v>27.663491762289226</v>
      </c>
      <c r="W63">
        <f t="shared" si="14"/>
        <v>3.7210292728365864</v>
      </c>
      <c r="X63">
        <f t="shared" si="15"/>
        <v>33.575356702529916</v>
      </c>
      <c r="Y63">
        <f t="shared" si="16"/>
        <v>1.1100751865190099</v>
      </c>
      <c r="Z63">
        <f t="shared" si="17"/>
        <v>3.30622008383716</v>
      </c>
      <c r="AA63">
        <f t="shared" si="18"/>
        <v>2.6109540863175766</v>
      </c>
      <c r="AB63">
        <f t="shared" si="19"/>
        <v>-22.592204196079635</v>
      </c>
      <c r="AC63">
        <f t="shared" si="20"/>
        <v>-230.4782508406214</v>
      </c>
      <c r="AD63">
        <f t="shared" si="21"/>
        <v>-23.275428265180139</v>
      </c>
      <c r="AE63">
        <f t="shared" si="22"/>
        <v>-0.23334411095430596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52577.382158057713</v>
      </c>
      <c r="AK63">
        <f t="shared" si="26"/>
        <v>1799.99</v>
      </c>
      <c r="AL63">
        <f t="shared" si="27"/>
        <v>1499.1065803838401</v>
      </c>
      <c r="AM63">
        <f t="shared" si="28"/>
        <v>0.83284161600000006</v>
      </c>
      <c r="AN63">
        <f t="shared" si="29"/>
        <v>0.15339670730999999</v>
      </c>
      <c r="AO63">
        <v>32.4</v>
      </c>
      <c r="AP63">
        <v>0.5</v>
      </c>
      <c r="AQ63" t="s">
        <v>331</v>
      </c>
      <c r="AR63">
        <v>2</v>
      </c>
      <c r="AS63">
        <v>1690218635</v>
      </c>
      <c r="AT63">
        <v>747.33299999999997</v>
      </c>
      <c r="AU63">
        <v>800.05799999999999</v>
      </c>
      <c r="AV63">
        <v>11.1929</v>
      </c>
      <c r="AW63">
        <v>5.7243399999999998</v>
      </c>
      <c r="AX63">
        <v>747.57</v>
      </c>
      <c r="AY63">
        <v>11.204000000000001</v>
      </c>
      <c r="AZ63">
        <v>300.12599999999998</v>
      </c>
      <c r="BA63">
        <v>99.076800000000006</v>
      </c>
      <c r="BB63">
        <v>9.9926899999999999E-2</v>
      </c>
      <c r="BC63">
        <v>25.656199999999998</v>
      </c>
      <c r="BD63">
        <v>26.9467</v>
      </c>
      <c r="BE63">
        <v>27.242599999999999</v>
      </c>
      <c r="BF63">
        <v>0</v>
      </c>
      <c r="BG63">
        <v>0</v>
      </c>
      <c r="BH63">
        <v>9990.6200000000008</v>
      </c>
      <c r="BI63">
        <v>1061.44</v>
      </c>
      <c r="BJ63">
        <v>1.5137799999999999</v>
      </c>
      <c r="BK63">
        <v>-52.724400000000003</v>
      </c>
      <c r="BL63">
        <v>755.79300000000001</v>
      </c>
      <c r="BM63">
        <v>804.66399999999999</v>
      </c>
      <c r="BN63">
        <v>5.4685699999999997</v>
      </c>
      <c r="BO63">
        <v>800.05799999999999</v>
      </c>
      <c r="BP63">
        <v>5.7243399999999998</v>
      </c>
      <c r="BQ63">
        <v>1.1089599999999999</v>
      </c>
      <c r="BR63">
        <v>0.56715000000000004</v>
      </c>
      <c r="BS63">
        <v>8.4324200000000005</v>
      </c>
      <c r="BT63">
        <v>-1.08009</v>
      </c>
      <c r="BU63">
        <v>1799.99</v>
      </c>
      <c r="BV63">
        <v>0.910026</v>
      </c>
      <c r="BW63">
        <v>3.3993900000000001E-2</v>
      </c>
      <c r="BX63">
        <v>2.19933E-2</v>
      </c>
      <c r="BY63">
        <v>3.3986500000000003E-2</v>
      </c>
      <c r="BZ63">
        <v>25</v>
      </c>
      <c r="CA63">
        <v>33528.5</v>
      </c>
      <c r="CB63">
        <v>1690217592</v>
      </c>
      <c r="CC63" t="s">
        <v>332</v>
      </c>
      <c r="CD63">
        <v>1690217586.5</v>
      </c>
      <c r="CE63">
        <v>1690217592</v>
      </c>
      <c r="CF63">
        <v>9</v>
      </c>
      <c r="CG63">
        <v>0.11600000000000001</v>
      </c>
      <c r="CH63">
        <v>-3.0000000000000001E-3</v>
      </c>
      <c r="CI63">
        <v>-0.27300000000000002</v>
      </c>
      <c r="CJ63">
        <v>-6.9000000000000006E-2</v>
      </c>
      <c r="CK63">
        <v>800</v>
      </c>
      <c r="CL63">
        <v>6</v>
      </c>
      <c r="CM63">
        <v>0.01</v>
      </c>
      <c r="CN63">
        <v>0.01</v>
      </c>
      <c r="CO63">
        <v>-49.858351219512201</v>
      </c>
      <c r="CP63">
        <v>-15.637751916376329</v>
      </c>
      <c r="CQ63">
        <v>1.5423972501053871</v>
      </c>
      <c r="CR63">
        <v>-1</v>
      </c>
      <c r="CS63">
        <v>5.3185053658536594</v>
      </c>
      <c r="CT63">
        <v>0.85483317073171361</v>
      </c>
      <c r="CU63">
        <v>8.4291806479042136E-2</v>
      </c>
      <c r="CV63">
        <v>-1</v>
      </c>
      <c r="CW63">
        <v>0</v>
      </c>
      <c r="CX63">
        <v>0</v>
      </c>
      <c r="CY63" t="s">
        <v>333</v>
      </c>
      <c r="CZ63">
        <v>2.3641200000000002</v>
      </c>
      <c r="DA63">
        <v>2.7137099999999998</v>
      </c>
      <c r="DB63">
        <v>0.13992299999999999</v>
      </c>
      <c r="DC63">
        <v>0.14603099999999999</v>
      </c>
      <c r="DD63">
        <v>6.5559099999999995E-2</v>
      </c>
      <c r="DE63">
        <v>3.7942999999999998E-2</v>
      </c>
      <c r="DF63">
        <v>31391.599999999999</v>
      </c>
      <c r="DG63">
        <v>27505</v>
      </c>
      <c r="DH63">
        <v>31160.2</v>
      </c>
      <c r="DI63">
        <v>28066.1</v>
      </c>
      <c r="DJ63">
        <v>39546.5</v>
      </c>
      <c r="DK63">
        <v>38397.1</v>
      </c>
      <c r="DL63">
        <v>44342.3</v>
      </c>
      <c r="DM63">
        <v>42537.3</v>
      </c>
      <c r="DN63">
        <v>1.4729000000000001</v>
      </c>
      <c r="DO63">
        <v>2.0305499999999999</v>
      </c>
      <c r="DP63">
        <v>0.13098099999999999</v>
      </c>
      <c r="DQ63">
        <v>0.16211700000000001</v>
      </c>
      <c r="DR63">
        <v>24.800699999999999</v>
      </c>
      <c r="DS63">
        <v>24.586600000000001</v>
      </c>
      <c r="DT63">
        <v>16.899999999999999</v>
      </c>
      <c r="DU63">
        <v>29.8</v>
      </c>
      <c r="DV63">
        <v>7.1845699999999999</v>
      </c>
      <c r="DW63">
        <v>61.888599999999997</v>
      </c>
      <c r="DX63">
        <v>37.323700000000002</v>
      </c>
      <c r="DY63">
        <v>1</v>
      </c>
      <c r="DZ63">
        <v>-6.6097600000000006E-2</v>
      </c>
      <c r="EA63">
        <v>4.2141299999999999</v>
      </c>
      <c r="EB63">
        <v>20.119700000000002</v>
      </c>
      <c r="EC63">
        <v>5.2403500000000003</v>
      </c>
      <c r="ED63">
        <v>12.039899999999999</v>
      </c>
      <c r="EE63">
        <v>5.0167999999999999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1.86894</v>
      </c>
      <c r="EL63">
        <v>1.8646799999999999</v>
      </c>
      <c r="EM63">
        <v>1.8692</v>
      </c>
      <c r="EN63">
        <v>1.8672500000000001</v>
      </c>
      <c r="EO63">
        <v>1.86341</v>
      </c>
      <c r="EP63">
        <v>1.8645799999999999</v>
      </c>
      <c r="EQ63">
        <v>1.87018</v>
      </c>
      <c r="ER63">
        <v>1.8694599999999999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-0.23699999999999999</v>
      </c>
      <c r="FG63">
        <v>-1.11E-2</v>
      </c>
      <c r="FH63">
        <v>0.27827353915413472</v>
      </c>
      <c r="FI63">
        <v>-6.1462078757559423E-4</v>
      </c>
      <c r="FJ63">
        <v>-1.8861989874597051E-7</v>
      </c>
      <c r="FK63">
        <v>1.1980462299894961E-10</v>
      </c>
      <c r="FL63">
        <v>-3.2538871274648329E-2</v>
      </c>
      <c r="FM63">
        <v>-1.6848085045870601E-2</v>
      </c>
      <c r="FN63">
        <v>1.9789084769509481E-3</v>
      </c>
      <c r="FO63">
        <v>-2.7142391389806329E-5</v>
      </c>
      <c r="FP63">
        <v>3</v>
      </c>
      <c r="FQ63">
        <v>2158</v>
      </c>
      <c r="FR63">
        <v>1</v>
      </c>
      <c r="FS63">
        <v>19</v>
      </c>
      <c r="FT63">
        <v>17.5</v>
      </c>
      <c r="FU63">
        <v>17.399999999999999</v>
      </c>
      <c r="FV63">
        <v>1.7785599999999999</v>
      </c>
      <c r="FW63">
        <v>2.5817899999999998</v>
      </c>
      <c r="FX63">
        <v>1.5490699999999999</v>
      </c>
      <c r="FY63">
        <v>2.3290999999999999</v>
      </c>
      <c r="FZ63">
        <v>1.50146</v>
      </c>
      <c r="GA63">
        <v>2.3852500000000001</v>
      </c>
      <c r="GB63">
        <v>33.850900000000003</v>
      </c>
      <c r="GC63">
        <v>23.973700000000001</v>
      </c>
      <c r="GD63">
        <v>19</v>
      </c>
      <c r="GE63">
        <v>282.339</v>
      </c>
      <c r="GF63">
        <v>580.30600000000004</v>
      </c>
      <c r="GG63">
        <v>22.3887</v>
      </c>
      <c r="GH63">
        <v>26.4588</v>
      </c>
      <c r="GI63">
        <v>30.0046</v>
      </c>
      <c r="GJ63">
        <v>26.548200000000001</v>
      </c>
      <c r="GK63">
        <v>26.511399999999998</v>
      </c>
      <c r="GL63">
        <v>35.552999999999997</v>
      </c>
      <c r="GM63">
        <v>-30</v>
      </c>
      <c r="GN63">
        <v>-30</v>
      </c>
      <c r="GO63">
        <v>22.203099999999999</v>
      </c>
      <c r="GP63">
        <v>800</v>
      </c>
      <c r="GQ63">
        <v>12.5298</v>
      </c>
      <c r="GR63">
        <v>99.697199999999995</v>
      </c>
      <c r="GS63">
        <v>99.5107</v>
      </c>
    </row>
    <row r="64" spans="1:201" x14ac:dyDescent="0.25">
      <c r="A64">
        <v>48</v>
      </c>
      <c r="B64">
        <v>1690218645</v>
      </c>
      <c r="C64">
        <v>624.5</v>
      </c>
      <c r="D64" t="s">
        <v>425</v>
      </c>
      <c r="E64" t="s">
        <v>426</v>
      </c>
      <c r="F64" t="s">
        <v>330</v>
      </c>
      <c r="H64">
        <v>1690218645</v>
      </c>
      <c r="I64">
        <f t="shared" si="0"/>
        <v>5.245773059605577E-4</v>
      </c>
      <c r="J64">
        <f t="shared" si="1"/>
        <v>0.52457730596055774</v>
      </c>
      <c r="K64">
        <f t="shared" si="2"/>
        <v>4.7285702923087349</v>
      </c>
      <c r="L64">
        <f t="shared" si="3"/>
        <v>744.66499999999996</v>
      </c>
      <c r="M64">
        <f t="shared" si="4"/>
        <v>337.16950392198294</v>
      </c>
      <c r="N64">
        <f t="shared" si="5"/>
        <v>33.438854671210962</v>
      </c>
      <c r="O64">
        <f t="shared" si="6"/>
        <v>73.852304031324991</v>
      </c>
      <c r="P64">
        <f t="shared" si="7"/>
        <v>1.9767191478291684E-2</v>
      </c>
      <c r="Q64">
        <f t="shared" si="8"/>
        <v>2.1340527164807082</v>
      </c>
      <c r="R64">
        <f t="shared" si="9"/>
        <v>1.9666032141722377E-2</v>
      </c>
      <c r="S64">
        <f t="shared" si="10"/>
        <v>1.2300315599391033E-2</v>
      </c>
      <c r="T64">
        <f t="shared" si="11"/>
        <v>276.11361380295676</v>
      </c>
      <c r="U64">
        <f t="shared" si="12"/>
        <v>27.583693165290143</v>
      </c>
      <c r="V64">
        <f t="shared" si="13"/>
        <v>27.583693165290143</v>
      </c>
      <c r="W64">
        <f t="shared" si="14"/>
        <v>3.7037109788359026</v>
      </c>
      <c r="X64">
        <f t="shared" si="15"/>
        <v>34.101188473700525</v>
      </c>
      <c r="Y64">
        <f t="shared" si="16"/>
        <v>1.1226534030794999</v>
      </c>
      <c r="Z64">
        <f t="shared" si="17"/>
        <v>3.292123979624086</v>
      </c>
      <c r="AA64">
        <f t="shared" si="18"/>
        <v>2.5810575757564029</v>
      </c>
      <c r="AB64">
        <f t="shared" si="19"/>
        <v>-23.133859192860594</v>
      </c>
      <c r="AC64">
        <f t="shared" si="20"/>
        <v>-230.04378823624467</v>
      </c>
      <c r="AD64">
        <f t="shared" si="21"/>
        <v>-23.16738546232726</v>
      </c>
      <c r="AE64">
        <f t="shared" si="22"/>
        <v>-0.23141908847577497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52775.351381290115</v>
      </c>
      <c r="AK64">
        <f t="shared" si="26"/>
        <v>1799.99</v>
      </c>
      <c r="AL64">
        <f t="shared" si="27"/>
        <v>1499.1052501912302</v>
      </c>
      <c r="AM64">
        <f t="shared" si="28"/>
        <v>0.83284087700000009</v>
      </c>
      <c r="AN64">
        <f t="shared" si="29"/>
        <v>0.15339730431999998</v>
      </c>
      <c r="AO64">
        <v>32.4</v>
      </c>
      <c r="AP64">
        <v>0.5</v>
      </c>
      <c r="AQ64" t="s">
        <v>331</v>
      </c>
      <c r="AR64">
        <v>2</v>
      </c>
      <c r="AS64">
        <v>1690218645</v>
      </c>
      <c r="AT64">
        <v>744.66499999999996</v>
      </c>
      <c r="AU64">
        <v>799.91300000000001</v>
      </c>
      <c r="AV64">
        <v>11.319900000000001</v>
      </c>
      <c r="AW64">
        <v>5.7225900000000003</v>
      </c>
      <c r="AX64">
        <v>744.9</v>
      </c>
      <c r="AY64">
        <v>11.328799999999999</v>
      </c>
      <c r="AZ64">
        <v>300.214</v>
      </c>
      <c r="BA64">
        <v>99.075199999999995</v>
      </c>
      <c r="BB64">
        <v>0.100005</v>
      </c>
      <c r="BC64">
        <v>25.584199999999999</v>
      </c>
      <c r="BD64">
        <v>26.860399999999998</v>
      </c>
      <c r="BE64">
        <v>27.180299999999999</v>
      </c>
      <c r="BF64">
        <v>0</v>
      </c>
      <c r="BG64">
        <v>0</v>
      </c>
      <c r="BH64">
        <v>10027.5</v>
      </c>
      <c r="BI64">
        <v>1061.2</v>
      </c>
      <c r="BJ64">
        <v>1.5137799999999999</v>
      </c>
      <c r="BK64">
        <v>-55.248399999999997</v>
      </c>
      <c r="BL64">
        <v>753.19100000000003</v>
      </c>
      <c r="BM64">
        <v>804.51700000000005</v>
      </c>
      <c r="BN64">
        <v>5.5972900000000001</v>
      </c>
      <c r="BO64">
        <v>799.91300000000001</v>
      </c>
      <c r="BP64">
        <v>5.7225900000000003</v>
      </c>
      <c r="BQ64">
        <v>1.1215200000000001</v>
      </c>
      <c r="BR64">
        <v>0.566967</v>
      </c>
      <c r="BS64">
        <v>8.5986600000000006</v>
      </c>
      <c r="BT64">
        <v>-1.08449</v>
      </c>
      <c r="BU64">
        <v>1799.99</v>
      </c>
      <c r="BV64">
        <v>0.91000700000000001</v>
      </c>
      <c r="BW64">
        <v>3.3992300000000003E-2</v>
      </c>
      <c r="BX64">
        <v>2.2000100000000002E-2</v>
      </c>
      <c r="BY64">
        <v>3.40004E-2</v>
      </c>
      <c r="BZ64">
        <v>25</v>
      </c>
      <c r="CA64">
        <v>33528.300000000003</v>
      </c>
      <c r="CB64">
        <v>1690217592</v>
      </c>
      <c r="CC64" t="s">
        <v>332</v>
      </c>
      <c r="CD64">
        <v>1690217586.5</v>
      </c>
      <c r="CE64">
        <v>1690217592</v>
      </c>
      <c r="CF64">
        <v>9</v>
      </c>
      <c r="CG64">
        <v>0.11600000000000001</v>
      </c>
      <c r="CH64">
        <v>-3.0000000000000001E-3</v>
      </c>
      <c r="CI64">
        <v>-0.27300000000000002</v>
      </c>
      <c r="CJ64">
        <v>-6.9000000000000006E-2</v>
      </c>
      <c r="CK64">
        <v>800</v>
      </c>
      <c r="CL64">
        <v>6</v>
      </c>
      <c r="CM64">
        <v>0.01</v>
      </c>
      <c r="CN64">
        <v>0.01</v>
      </c>
      <c r="CO64">
        <v>-52.525726829268287</v>
      </c>
      <c r="CP64">
        <v>-16.215039721254279</v>
      </c>
      <c r="CQ64">
        <v>1.599656431866511</v>
      </c>
      <c r="CR64">
        <v>-1</v>
      </c>
      <c r="CS64">
        <v>5.4578063414634146</v>
      </c>
      <c r="CT64">
        <v>0.81612146341463099</v>
      </c>
      <c r="CU64">
        <v>8.0501162292960421E-2</v>
      </c>
      <c r="CV64">
        <v>-1</v>
      </c>
      <c r="CW64">
        <v>0</v>
      </c>
      <c r="CX64">
        <v>0</v>
      </c>
      <c r="CY64" t="s">
        <v>333</v>
      </c>
      <c r="CZ64">
        <v>2.36442</v>
      </c>
      <c r="DA64">
        <v>2.7138200000000001</v>
      </c>
      <c r="DB64">
        <v>0.13958699999999999</v>
      </c>
      <c r="DC64">
        <v>0.146012</v>
      </c>
      <c r="DD64">
        <v>6.61162E-2</v>
      </c>
      <c r="DE64">
        <v>3.7933099999999997E-2</v>
      </c>
      <c r="DF64">
        <v>31403.200000000001</v>
      </c>
      <c r="DG64">
        <v>27505.1</v>
      </c>
      <c r="DH64">
        <v>31159.4</v>
      </c>
      <c r="DI64">
        <v>28065.7</v>
      </c>
      <c r="DJ64">
        <v>39521.599999999999</v>
      </c>
      <c r="DK64">
        <v>38396.9</v>
      </c>
      <c r="DL64">
        <v>44341.1</v>
      </c>
      <c r="DM64">
        <v>42536.7</v>
      </c>
      <c r="DN64">
        <v>1.4734</v>
      </c>
      <c r="DO64">
        <v>2.0306000000000002</v>
      </c>
      <c r="DP64">
        <v>0.126027</v>
      </c>
      <c r="DQ64">
        <v>0.15859300000000001</v>
      </c>
      <c r="DR64">
        <v>24.795400000000001</v>
      </c>
      <c r="DS64">
        <v>24.581900000000001</v>
      </c>
      <c r="DT64">
        <v>16.899999999999999</v>
      </c>
      <c r="DU64">
        <v>29.8</v>
      </c>
      <c r="DV64">
        <v>7.1838100000000003</v>
      </c>
      <c r="DW64">
        <v>61.428600000000003</v>
      </c>
      <c r="DX64">
        <v>37.287700000000001</v>
      </c>
      <c r="DY64">
        <v>1</v>
      </c>
      <c r="DZ64">
        <v>-7.1420200000000003E-2</v>
      </c>
      <c r="EA64">
        <v>1.30501</v>
      </c>
      <c r="EB64">
        <v>20.1829</v>
      </c>
      <c r="EC64">
        <v>5.2409499999999998</v>
      </c>
      <c r="ED64">
        <v>12.039899999999999</v>
      </c>
      <c r="EE64">
        <v>5.0168499999999998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1.8689499999999999</v>
      </c>
      <c r="EL64">
        <v>1.8647</v>
      </c>
      <c r="EM64">
        <v>1.8692</v>
      </c>
      <c r="EN64">
        <v>1.8673200000000001</v>
      </c>
      <c r="EO64">
        <v>1.8634200000000001</v>
      </c>
      <c r="EP64">
        <v>1.8646</v>
      </c>
      <c r="EQ64">
        <v>1.87018</v>
      </c>
      <c r="ER64">
        <v>1.8694999999999999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-0.23499999999999999</v>
      </c>
      <c r="FG64">
        <v>-8.8999999999999999E-3</v>
      </c>
      <c r="FH64">
        <v>0.27827353915413472</v>
      </c>
      <c r="FI64">
        <v>-6.1462078757559423E-4</v>
      </c>
      <c r="FJ64">
        <v>-1.8861989874597051E-7</v>
      </c>
      <c r="FK64">
        <v>1.1980462299894961E-10</v>
      </c>
      <c r="FL64">
        <v>-3.2538871274648329E-2</v>
      </c>
      <c r="FM64">
        <v>-1.6848085045870601E-2</v>
      </c>
      <c r="FN64">
        <v>1.9789084769509481E-3</v>
      </c>
      <c r="FO64">
        <v>-2.7142391389806329E-5</v>
      </c>
      <c r="FP64">
        <v>3</v>
      </c>
      <c r="FQ64">
        <v>2158</v>
      </c>
      <c r="FR64">
        <v>1</v>
      </c>
      <c r="FS64">
        <v>19</v>
      </c>
      <c r="FT64">
        <v>17.600000000000001</v>
      </c>
      <c r="FU64">
        <v>17.600000000000001</v>
      </c>
      <c r="FV64">
        <v>1.7785599999999999</v>
      </c>
      <c r="FW64">
        <v>2.5769000000000002</v>
      </c>
      <c r="FX64">
        <v>1.5490699999999999</v>
      </c>
      <c r="FY64">
        <v>2.3290999999999999</v>
      </c>
      <c r="FZ64">
        <v>1.50146</v>
      </c>
      <c r="GA64">
        <v>2.3925800000000002</v>
      </c>
      <c r="GB64">
        <v>33.850900000000003</v>
      </c>
      <c r="GC64">
        <v>23.982399999999998</v>
      </c>
      <c r="GD64">
        <v>19</v>
      </c>
      <c r="GE64">
        <v>282.541</v>
      </c>
      <c r="GF64">
        <v>580.32299999999998</v>
      </c>
      <c r="GG64">
        <v>22.109200000000001</v>
      </c>
      <c r="GH64">
        <v>26.450399999999998</v>
      </c>
      <c r="GI64">
        <v>29.9985</v>
      </c>
      <c r="GJ64">
        <v>26.545300000000001</v>
      </c>
      <c r="GK64">
        <v>26.5092</v>
      </c>
      <c r="GL64">
        <v>35.555500000000002</v>
      </c>
      <c r="GM64">
        <v>-30</v>
      </c>
      <c r="GN64">
        <v>-30</v>
      </c>
      <c r="GO64">
        <v>22.308199999999999</v>
      </c>
      <c r="GP64">
        <v>800</v>
      </c>
      <c r="GQ64">
        <v>12.5298</v>
      </c>
      <c r="GR64">
        <v>99.694500000000005</v>
      </c>
      <c r="GS64">
        <v>99.509200000000007</v>
      </c>
    </row>
    <row r="65" spans="1:201" x14ac:dyDescent="0.25">
      <c r="A65">
        <v>49</v>
      </c>
      <c r="B65">
        <v>1690218655</v>
      </c>
      <c r="C65">
        <v>634.5</v>
      </c>
      <c r="D65" t="s">
        <v>427</v>
      </c>
      <c r="E65" t="s">
        <v>428</v>
      </c>
      <c r="F65" t="s">
        <v>330</v>
      </c>
      <c r="H65">
        <v>1690218655</v>
      </c>
      <c r="I65">
        <f t="shared" si="0"/>
        <v>5.3778882138646263E-4</v>
      </c>
      <c r="J65">
        <f t="shared" si="1"/>
        <v>0.53778882138646267</v>
      </c>
      <c r="K65">
        <f t="shared" si="2"/>
        <v>4.9862289327731855</v>
      </c>
      <c r="L65">
        <f t="shared" si="3"/>
        <v>741.83500000000004</v>
      </c>
      <c r="M65">
        <f t="shared" si="4"/>
        <v>326.39165484813418</v>
      </c>
      <c r="N65">
        <f t="shared" si="5"/>
        <v>32.3696889622844</v>
      </c>
      <c r="O65">
        <f t="shared" si="6"/>
        <v>73.571023813427999</v>
      </c>
      <c r="P65">
        <f t="shared" si="7"/>
        <v>2.0402328465596694E-2</v>
      </c>
      <c r="Q65">
        <f t="shared" si="8"/>
        <v>2.128362616650346</v>
      </c>
      <c r="R65">
        <f t="shared" si="9"/>
        <v>2.0294296735177436E-2</v>
      </c>
      <c r="S65">
        <f t="shared" si="10"/>
        <v>1.2693593894704589E-2</v>
      </c>
      <c r="T65">
        <f t="shared" si="11"/>
        <v>276.11663477399998</v>
      </c>
      <c r="U65">
        <f t="shared" si="12"/>
        <v>27.568688638227993</v>
      </c>
      <c r="V65">
        <f t="shared" si="13"/>
        <v>27.568688638227993</v>
      </c>
      <c r="W65">
        <f t="shared" si="14"/>
        <v>3.7004624888162785</v>
      </c>
      <c r="X65">
        <f t="shared" si="15"/>
        <v>34.5525112017217</v>
      </c>
      <c r="Y65">
        <f t="shared" si="16"/>
        <v>1.1364788535019199</v>
      </c>
      <c r="Z65">
        <f t="shared" si="17"/>
        <v>3.2891353304743043</v>
      </c>
      <c r="AA65">
        <f t="shared" si="18"/>
        <v>2.5639836353143588</v>
      </c>
      <c r="AB65">
        <f t="shared" si="19"/>
        <v>-23.716487023143003</v>
      </c>
      <c r="AC65">
        <f t="shared" si="20"/>
        <v>-229.46431822221956</v>
      </c>
      <c r="AD65">
        <f t="shared" si="21"/>
        <v>-23.167293499933823</v>
      </c>
      <c r="AE65">
        <f t="shared" si="22"/>
        <v>-0.23146397129642082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52531.526236078069</v>
      </c>
      <c r="AK65">
        <f t="shared" si="26"/>
        <v>1800</v>
      </c>
      <c r="AL65">
        <f t="shared" si="27"/>
        <v>1499.1135624000001</v>
      </c>
      <c r="AM65">
        <f t="shared" si="28"/>
        <v>0.83284086800000001</v>
      </c>
      <c r="AN65">
        <f t="shared" si="29"/>
        <v>0.15339813043</v>
      </c>
      <c r="AO65">
        <v>32.4</v>
      </c>
      <c r="AP65">
        <v>0.5</v>
      </c>
      <c r="AQ65" t="s">
        <v>331</v>
      </c>
      <c r="AR65">
        <v>2</v>
      </c>
      <c r="AS65">
        <v>1690218655</v>
      </c>
      <c r="AT65">
        <v>741.83500000000004</v>
      </c>
      <c r="AU65">
        <v>799.96199999999999</v>
      </c>
      <c r="AV65">
        <v>11.4594</v>
      </c>
      <c r="AW65">
        <v>5.7210900000000002</v>
      </c>
      <c r="AX65">
        <v>742.06799999999998</v>
      </c>
      <c r="AY65">
        <v>11.4659</v>
      </c>
      <c r="AZ65">
        <v>300.17</v>
      </c>
      <c r="BA65">
        <v>99.074399999999997</v>
      </c>
      <c r="BB65">
        <v>9.9976800000000005E-2</v>
      </c>
      <c r="BC65">
        <v>25.568899999999999</v>
      </c>
      <c r="BD65">
        <v>26.8444</v>
      </c>
      <c r="BE65">
        <v>27.1327</v>
      </c>
      <c r="BF65">
        <v>0</v>
      </c>
      <c r="BG65">
        <v>0</v>
      </c>
      <c r="BH65">
        <v>9978.75</v>
      </c>
      <c r="BI65">
        <v>1061.03</v>
      </c>
      <c r="BJ65">
        <v>1.5137799999999999</v>
      </c>
      <c r="BK65">
        <v>-58.127699999999997</v>
      </c>
      <c r="BL65">
        <v>750.43399999999997</v>
      </c>
      <c r="BM65">
        <v>804.56500000000005</v>
      </c>
      <c r="BN65">
        <v>5.7382999999999997</v>
      </c>
      <c r="BO65">
        <v>799.96199999999999</v>
      </c>
      <c r="BP65">
        <v>5.7210900000000002</v>
      </c>
      <c r="BQ65">
        <v>1.13533</v>
      </c>
      <c r="BR65">
        <v>0.56681300000000001</v>
      </c>
      <c r="BS65">
        <v>8.7795500000000004</v>
      </c>
      <c r="BT65">
        <v>-1.08819</v>
      </c>
      <c r="BU65">
        <v>1800</v>
      </c>
      <c r="BV65">
        <v>0.90998800000000002</v>
      </c>
      <c r="BW65">
        <v>3.3989900000000003E-2</v>
      </c>
      <c r="BX65">
        <v>2.2008900000000001E-2</v>
      </c>
      <c r="BY65">
        <v>3.4013700000000001E-2</v>
      </c>
      <c r="BZ65">
        <v>25</v>
      </c>
      <c r="CA65">
        <v>33528.199999999997</v>
      </c>
      <c r="CB65">
        <v>1690217592</v>
      </c>
      <c r="CC65" t="s">
        <v>332</v>
      </c>
      <c r="CD65">
        <v>1690217586.5</v>
      </c>
      <c r="CE65">
        <v>1690217592</v>
      </c>
      <c r="CF65">
        <v>9</v>
      </c>
      <c r="CG65">
        <v>0.11600000000000001</v>
      </c>
      <c r="CH65">
        <v>-3.0000000000000001E-3</v>
      </c>
      <c r="CI65">
        <v>-0.27300000000000002</v>
      </c>
      <c r="CJ65">
        <v>-6.9000000000000006E-2</v>
      </c>
      <c r="CK65">
        <v>800</v>
      </c>
      <c r="CL65">
        <v>6</v>
      </c>
      <c r="CM65">
        <v>0.01</v>
      </c>
      <c r="CN65">
        <v>0.01</v>
      </c>
      <c r="CO65">
        <v>-55.177327499999997</v>
      </c>
      <c r="CP65">
        <v>-16.25290469043134</v>
      </c>
      <c r="CQ65">
        <v>1.564843293110767</v>
      </c>
      <c r="CR65">
        <v>-1</v>
      </c>
      <c r="CS65">
        <v>5.5896805000000001</v>
      </c>
      <c r="CT65">
        <v>0.80412833020636532</v>
      </c>
      <c r="CU65">
        <v>7.7372256460245481E-2</v>
      </c>
      <c r="CV65">
        <v>-1</v>
      </c>
      <c r="CW65">
        <v>0</v>
      </c>
      <c r="CX65">
        <v>0</v>
      </c>
      <c r="CY65" t="s">
        <v>333</v>
      </c>
      <c r="CZ65">
        <v>2.3642799999999999</v>
      </c>
      <c r="DA65">
        <v>2.7137500000000001</v>
      </c>
      <c r="DB65">
        <v>0.13922999999999999</v>
      </c>
      <c r="DC65">
        <v>0.14601700000000001</v>
      </c>
      <c r="DD65">
        <v>6.6726300000000002E-2</v>
      </c>
      <c r="DE65">
        <v>3.7924600000000003E-2</v>
      </c>
      <c r="DF65">
        <v>31416.9</v>
      </c>
      <c r="DG65">
        <v>27506.1</v>
      </c>
      <c r="DH65">
        <v>31160.1</v>
      </c>
      <c r="DI65">
        <v>28066.799999999999</v>
      </c>
      <c r="DJ65">
        <v>39496.800000000003</v>
      </c>
      <c r="DK65">
        <v>38398.800000000003</v>
      </c>
      <c r="DL65">
        <v>44342.400000000001</v>
      </c>
      <c r="DM65">
        <v>42538.400000000001</v>
      </c>
      <c r="DN65">
        <v>1.4736499999999999</v>
      </c>
      <c r="DO65">
        <v>2.0310199999999998</v>
      </c>
      <c r="DP65">
        <v>0.12568399999999999</v>
      </c>
      <c r="DQ65">
        <v>0.15634300000000001</v>
      </c>
      <c r="DR65">
        <v>24.785</v>
      </c>
      <c r="DS65">
        <v>24.571000000000002</v>
      </c>
      <c r="DT65">
        <v>16.899999999999999</v>
      </c>
      <c r="DU65">
        <v>29.8</v>
      </c>
      <c r="DV65">
        <v>7.1839700000000004</v>
      </c>
      <c r="DW65">
        <v>61.748600000000003</v>
      </c>
      <c r="DX65">
        <v>36.9191</v>
      </c>
      <c r="DY65">
        <v>1</v>
      </c>
      <c r="DZ65">
        <v>-7.3841500000000004E-2</v>
      </c>
      <c r="EA65">
        <v>0.61766900000000002</v>
      </c>
      <c r="EB65">
        <v>20.188300000000002</v>
      </c>
      <c r="EC65">
        <v>5.2411000000000003</v>
      </c>
      <c r="ED65">
        <v>12.039899999999999</v>
      </c>
      <c r="EE65">
        <v>5.0167000000000002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1.86893</v>
      </c>
      <c r="EL65">
        <v>1.86469</v>
      </c>
      <c r="EM65">
        <v>1.8692</v>
      </c>
      <c r="EN65">
        <v>1.8672800000000001</v>
      </c>
      <c r="EO65">
        <v>1.86341</v>
      </c>
      <c r="EP65">
        <v>1.8646</v>
      </c>
      <c r="EQ65">
        <v>1.8702000000000001</v>
      </c>
      <c r="ER65">
        <v>1.8694900000000001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-0.23300000000000001</v>
      </c>
      <c r="FG65">
        <v>-6.4999999999999997E-3</v>
      </c>
      <c r="FH65">
        <v>0.27827353915413472</v>
      </c>
      <c r="FI65">
        <v>-6.1462078757559423E-4</v>
      </c>
      <c r="FJ65">
        <v>-1.8861989874597051E-7</v>
      </c>
      <c r="FK65">
        <v>1.1980462299894961E-10</v>
      </c>
      <c r="FL65">
        <v>-3.2538871274648329E-2</v>
      </c>
      <c r="FM65">
        <v>-1.6848085045870601E-2</v>
      </c>
      <c r="FN65">
        <v>1.9789084769509481E-3</v>
      </c>
      <c r="FO65">
        <v>-2.7142391389806329E-5</v>
      </c>
      <c r="FP65">
        <v>3</v>
      </c>
      <c r="FQ65">
        <v>2158</v>
      </c>
      <c r="FR65">
        <v>1</v>
      </c>
      <c r="FS65">
        <v>19</v>
      </c>
      <c r="FT65">
        <v>17.8</v>
      </c>
      <c r="FU65">
        <v>17.7</v>
      </c>
      <c r="FV65">
        <v>1.7785599999999999</v>
      </c>
      <c r="FW65">
        <v>2.5805699999999998</v>
      </c>
      <c r="FX65">
        <v>1.5490699999999999</v>
      </c>
      <c r="FY65">
        <v>2.3290999999999999</v>
      </c>
      <c r="FZ65">
        <v>1.50146</v>
      </c>
      <c r="GA65">
        <v>2.34863</v>
      </c>
      <c r="GB65">
        <v>33.850900000000003</v>
      </c>
      <c r="GC65">
        <v>23.982399999999998</v>
      </c>
      <c r="GD65">
        <v>19</v>
      </c>
      <c r="GE65">
        <v>282.63</v>
      </c>
      <c r="GF65">
        <v>580.673</v>
      </c>
      <c r="GG65">
        <v>22.345199999999998</v>
      </c>
      <c r="GH65">
        <v>26.443200000000001</v>
      </c>
      <c r="GI65">
        <v>29.998999999999999</v>
      </c>
      <c r="GJ65">
        <v>26.541499999999999</v>
      </c>
      <c r="GK65">
        <v>26.5092</v>
      </c>
      <c r="GL65">
        <v>35.554299999999998</v>
      </c>
      <c r="GM65">
        <v>-30</v>
      </c>
      <c r="GN65">
        <v>-30</v>
      </c>
      <c r="GO65">
        <v>22.512499999999999</v>
      </c>
      <c r="GP65">
        <v>800</v>
      </c>
      <c r="GQ65">
        <v>12.5298</v>
      </c>
      <c r="GR65">
        <v>99.697299999999998</v>
      </c>
      <c r="GS65">
        <v>99.513199999999998</v>
      </c>
    </row>
    <row r="66" spans="1:201" x14ac:dyDescent="0.25">
      <c r="A66">
        <v>50</v>
      </c>
      <c r="B66">
        <v>1690218665</v>
      </c>
      <c r="C66">
        <v>644.5</v>
      </c>
      <c r="D66" t="s">
        <v>429</v>
      </c>
      <c r="E66" t="s">
        <v>430</v>
      </c>
      <c r="F66" t="s">
        <v>330</v>
      </c>
      <c r="H66">
        <v>1690218665</v>
      </c>
      <c r="I66">
        <f t="shared" si="0"/>
        <v>5.512620156060199E-4</v>
      </c>
      <c r="J66">
        <f t="shared" si="1"/>
        <v>0.55126201560601995</v>
      </c>
      <c r="K66">
        <f t="shared" si="2"/>
        <v>5.2381896433604069</v>
      </c>
      <c r="L66">
        <f t="shared" si="3"/>
        <v>739.08799999999997</v>
      </c>
      <c r="M66">
        <f t="shared" si="4"/>
        <v>316.64639471757118</v>
      </c>
      <c r="N66">
        <f t="shared" si="5"/>
        <v>31.402512619989228</v>
      </c>
      <c r="O66">
        <f t="shared" si="6"/>
        <v>73.296966693664004</v>
      </c>
      <c r="P66">
        <f t="shared" si="7"/>
        <v>2.1040160941299301E-2</v>
      </c>
      <c r="Q66">
        <f t="shared" si="8"/>
        <v>2.1303777055096553</v>
      </c>
      <c r="R66">
        <f t="shared" si="9"/>
        <v>2.0925397432123443E-2</v>
      </c>
      <c r="S66">
        <f t="shared" si="10"/>
        <v>1.3088632155093021E-2</v>
      </c>
      <c r="T66">
        <f t="shared" si="11"/>
        <v>276.11666964</v>
      </c>
      <c r="U66">
        <f t="shared" si="12"/>
        <v>27.563363491784507</v>
      </c>
      <c r="V66">
        <f t="shared" si="13"/>
        <v>27.563363491784507</v>
      </c>
      <c r="W66">
        <f t="shared" si="14"/>
        <v>3.6993101890428863</v>
      </c>
      <c r="X66">
        <f t="shared" si="15"/>
        <v>34.979118957075585</v>
      </c>
      <c r="Y66">
        <f t="shared" si="16"/>
        <v>1.1505856919382003</v>
      </c>
      <c r="Z66">
        <f t="shared" si="17"/>
        <v>3.2893501215686265</v>
      </c>
      <c r="AA66">
        <f t="shared" si="18"/>
        <v>2.5487244971046863</v>
      </c>
      <c r="AB66">
        <f t="shared" si="19"/>
        <v>-24.310654888225478</v>
      </c>
      <c r="AC66">
        <f t="shared" si="20"/>
        <v>-228.94362335274303</v>
      </c>
      <c r="AD66">
        <f t="shared" si="21"/>
        <v>-23.09236880770418</v>
      </c>
      <c r="AE66">
        <f t="shared" si="22"/>
        <v>-0.22997740867270977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52618.495928195342</v>
      </c>
      <c r="AK66">
        <f t="shared" si="26"/>
        <v>1800</v>
      </c>
      <c r="AL66">
        <f t="shared" si="27"/>
        <v>1499.1091200000001</v>
      </c>
      <c r="AM66">
        <f t="shared" si="28"/>
        <v>0.83283839999999998</v>
      </c>
      <c r="AN66">
        <f t="shared" si="29"/>
        <v>0.15339814979999999</v>
      </c>
      <c r="AO66">
        <v>32.4</v>
      </c>
      <c r="AP66">
        <v>0.5</v>
      </c>
      <c r="AQ66" t="s">
        <v>331</v>
      </c>
      <c r="AR66">
        <v>2</v>
      </c>
      <c r="AS66">
        <v>1690218665</v>
      </c>
      <c r="AT66">
        <v>739.08799999999997</v>
      </c>
      <c r="AU66">
        <v>800.02800000000002</v>
      </c>
      <c r="AV66">
        <v>11.601900000000001</v>
      </c>
      <c r="AW66">
        <v>5.7205000000000004</v>
      </c>
      <c r="AX66">
        <v>739.31799999999998</v>
      </c>
      <c r="AY66">
        <v>11.6058</v>
      </c>
      <c r="AZ66">
        <v>300.161</v>
      </c>
      <c r="BA66">
        <v>99.072100000000006</v>
      </c>
      <c r="BB66">
        <v>0.100078</v>
      </c>
      <c r="BC66">
        <v>25.57</v>
      </c>
      <c r="BD66">
        <v>26.831800000000001</v>
      </c>
      <c r="BE66">
        <v>27.117999999999999</v>
      </c>
      <c r="BF66">
        <v>0</v>
      </c>
      <c r="BG66">
        <v>0</v>
      </c>
      <c r="BH66">
        <v>9996.25</v>
      </c>
      <c r="BI66">
        <v>1060.8699999999999</v>
      </c>
      <c r="BJ66">
        <v>1.56985</v>
      </c>
      <c r="BK66">
        <v>-60.940300000000001</v>
      </c>
      <c r="BL66">
        <v>747.76300000000003</v>
      </c>
      <c r="BM66">
        <v>804.63099999999997</v>
      </c>
      <c r="BN66">
        <v>5.8813899999999997</v>
      </c>
      <c r="BO66">
        <v>800.02800000000002</v>
      </c>
      <c r="BP66">
        <v>5.7205000000000004</v>
      </c>
      <c r="BQ66">
        <v>1.1494200000000001</v>
      </c>
      <c r="BR66">
        <v>0.56674199999999997</v>
      </c>
      <c r="BS66">
        <v>8.9621200000000005</v>
      </c>
      <c r="BT66">
        <v>-1.0899000000000001</v>
      </c>
      <c r="BU66">
        <v>1800</v>
      </c>
      <c r="BV66">
        <v>0.90997399999999995</v>
      </c>
      <c r="BW66">
        <v>3.4005899999999999E-2</v>
      </c>
      <c r="BX66">
        <v>2.2008E-2</v>
      </c>
      <c r="BY66">
        <v>3.4012199999999999E-2</v>
      </c>
      <c r="BZ66">
        <v>25</v>
      </c>
      <c r="CA66">
        <v>33528.1</v>
      </c>
      <c r="CB66">
        <v>1690217592</v>
      </c>
      <c r="CC66" t="s">
        <v>332</v>
      </c>
      <c r="CD66">
        <v>1690217586.5</v>
      </c>
      <c r="CE66">
        <v>1690217592</v>
      </c>
      <c r="CF66">
        <v>9</v>
      </c>
      <c r="CG66">
        <v>0.11600000000000001</v>
      </c>
      <c r="CH66">
        <v>-3.0000000000000001E-3</v>
      </c>
      <c r="CI66">
        <v>-0.27300000000000002</v>
      </c>
      <c r="CJ66">
        <v>-6.9000000000000006E-2</v>
      </c>
      <c r="CK66">
        <v>800</v>
      </c>
      <c r="CL66">
        <v>6</v>
      </c>
      <c r="CM66">
        <v>0.01</v>
      </c>
      <c r="CN66">
        <v>0.01</v>
      </c>
      <c r="CO66">
        <v>-57.912757499999998</v>
      </c>
      <c r="CP66">
        <v>-16.848937711069389</v>
      </c>
      <c r="CQ66">
        <v>1.621355949026539</v>
      </c>
      <c r="CR66">
        <v>-1</v>
      </c>
      <c r="CS66">
        <v>5.7277784999999994</v>
      </c>
      <c r="CT66">
        <v>0.85236112570356592</v>
      </c>
      <c r="CU66">
        <v>8.1994613650836823E-2</v>
      </c>
      <c r="CV66">
        <v>-1</v>
      </c>
      <c r="CW66">
        <v>0</v>
      </c>
      <c r="CX66">
        <v>0</v>
      </c>
      <c r="CY66" t="s">
        <v>333</v>
      </c>
      <c r="CZ66">
        <v>2.3642500000000002</v>
      </c>
      <c r="DA66">
        <v>2.71387</v>
      </c>
      <c r="DB66">
        <v>0.138881</v>
      </c>
      <c r="DC66">
        <v>0.14602200000000001</v>
      </c>
      <c r="DD66">
        <v>6.73454E-2</v>
      </c>
      <c r="DE66">
        <v>3.7920799999999998E-2</v>
      </c>
      <c r="DF66">
        <v>31430.400000000001</v>
      </c>
      <c r="DG66">
        <v>27506</v>
      </c>
      <c r="DH66">
        <v>31160.799999999999</v>
      </c>
      <c r="DI66">
        <v>28066.799999999999</v>
      </c>
      <c r="DJ66">
        <v>39471.1</v>
      </c>
      <c r="DK66">
        <v>38398.9</v>
      </c>
      <c r="DL66">
        <v>44343.199999999997</v>
      </c>
      <c r="DM66">
        <v>42538.400000000001</v>
      </c>
      <c r="DN66">
        <v>1.47427</v>
      </c>
      <c r="DO66">
        <v>2.0309699999999999</v>
      </c>
      <c r="DP66">
        <v>0.12570600000000001</v>
      </c>
      <c r="DQ66">
        <v>0.15623100000000001</v>
      </c>
      <c r="DR66">
        <v>24.771899999999999</v>
      </c>
      <c r="DS66">
        <v>24.5581</v>
      </c>
      <c r="DT66">
        <v>16.899999999999999</v>
      </c>
      <c r="DU66">
        <v>29.8</v>
      </c>
      <c r="DV66">
        <v>7.1842800000000002</v>
      </c>
      <c r="DW66">
        <v>61.948599999999999</v>
      </c>
      <c r="DX66">
        <v>36.770800000000001</v>
      </c>
      <c r="DY66">
        <v>1</v>
      </c>
      <c r="DZ66">
        <v>-7.4822200000000005E-2</v>
      </c>
      <c r="EA66">
        <v>0.45576</v>
      </c>
      <c r="EB66">
        <v>20.1892</v>
      </c>
      <c r="EC66">
        <v>5.2409499999999998</v>
      </c>
      <c r="ED66">
        <v>12.039899999999999</v>
      </c>
      <c r="EE66">
        <v>5.0167000000000002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1.86894</v>
      </c>
      <c r="EL66">
        <v>1.8647</v>
      </c>
      <c r="EM66">
        <v>1.8692</v>
      </c>
      <c r="EN66">
        <v>1.8672899999999999</v>
      </c>
      <c r="EO66">
        <v>1.8634200000000001</v>
      </c>
      <c r="EP66">
        <v>1.8645799999999999</v>
      </c>
      <c r="EQ66">
        <v>1.87022</v>
      </c>
      <c r="ER66">
        <v>1.86947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-0.23</v>
      </c>
      <c r="FG66">
        <v>-3.8999999999999998E-3</v>
      </c>
      <c r="FH66">
        <v>0.27827353915413472</v>
      </c>
      <c r="FI66">
        <v>-6.1462078757559423E-4</v>
      </c>
      <c r="FJ66">
        <v>-1.8861989874597051E-7</v>
      </c>
      <c r="FK66">
        <v>1.1980462299894961E-10</v>
      </c>
      <c r="FL66">
        <v>-3.2538871274648329E-2</v>
      </c>
      <c r="FM66">
        <v>-1.6848085045870601E-2</v>
      </c>
      <c r="FN66">
        <v>1.9789084769509481E-3</v>
      </c>
      <c r="FO66">
        <v>-2.7142391389806329E-5</v>
      </c>
      <c r="FP66">
        <v>3</v>
      </c>
      <c r="FQ66">
        <v>2158</v>
      </c>
      <c r="FR66">
        <v>1</v>
      </c>
      <c r="FS66">
        <v>19</v>
      </c>
      <c r="FT66">
        <v>18</v>
      </c>
      <c r="FU66">
        <v>17.899999999999999</v>
      </c>
      <c r="FV66">
        <v>1.7785599999999999</v>
      </c>
      <c r="FW66">
        <v>2.5830099999999998</v>
      </c>
      <c r="FX66">
        <v>1.5490699999999999</v>
      </c>
      <c r="FY66">
        <v>2.3290999999999999</v>
      </c>
      <c r="FZ66">
        <v>1.50146</v>
      </c>
      <c r="GA66">
        <v>2.32056</v>
      </c>
      <c r="GB66">
        <v>33.850900000000003</v>
      </c>
      <c r="GC66">
        <v>23.982399999999998</v>
      </c>
      <c r="GD66">
        <v>19</v>
      </c>
      <c r="GE66">
        <v>282.887</v>
      </c>
      <c r="GF66">
        <v>580.60699999999997</v>
      </c>
      <c r="GG66">
        <v>22.605699999999999</v>
      </c>
      <c r="GH66">
        <v>26.4358</v>
      </c>
      <c r="GI66">
        <v>29.999500000000001</v>
      </c>
      <c r="GJ66">
        <v>26.539200000000001</v>
      </c>
      <c r="GK66">
        <v>26.506900000000002</v>
      </c>
      <c r="GL66">
        <v>35.553899999999999</v>
      </c>
      <c r="GM66">
        <v>-30</v>
      </c>
      <c r="GN66">
        <v>-30</v>
      </c>
      <c r="GO66">
        <v>22.731000000000002</v>
      </c>
      <c r="GP66">
        <v>800</v>
      </c>
      <c r="GQ66">
        <v>12.5298</v>
      </c>
      <c r="GR66">
        <v>99.699200000000005</v>
      </c>
      <c r="GS66">
        <v>99.513199999999998</v>
      </c>
    </row>
    <row r="67" spans="1:201" x14ac:dyDescent="0.25">
      <c r="A67">
        <v>51</v>
      </c>
      <c r="B67">
        <v>1690218675</v>
      </c>
      <c r="C67">
        <v>654.5</v>
      </c>
      <c r="D67" t="s">
        <v>431</v>
      </c>
      <c r="E67" t="s">
        <v>432</v>
      </c>
      <c r="F67" t="s">
        <v>330</v>
      </c>
      <c r="H67">
        <v>1690218675</v>
      </c>
      <c r="I67">
        <f t="shared" si="0"/>
        <v>5.6535326203115978E-4</v>
      </c>
      <c r="J67">
        <f t="shared" si="1"/>
        <v>0.56535326203115976</v>
      </c>
      <c r="K67">
        <f t="shared" si="2"/>
        <v>5.4828654540209349</v>
      </c>
      <c r="L67">
        <f t="shared" si="3"/>
        <v>736.28499999999997</v>
      </c>
      <c r="M67">
        <f t="shared" si="4"/>
        <v>307.38061558846169</v>
      </c>
      <c r="N67">
        <f t="shared" si="5"/>
        <v>30.483471719701335</v>
      </c>
      <c r="O67">
        <f t="shared" si="6"/>
        <v>73.018667531040009</v>
      </c>
      <c r="P67">
        <f t="shared" si="7"/>
        <v>2.1658342332590574E-2</v>
      </c>
      <c r="Q67">
        <f t="shared" si="8"/>
        <v>2.1279652591276506</v>
      </c>
      <c r="R67">
        <f t="shared" si="9"/>
        <v>2.1536620044513646E-2</v>
      </c>
      <c r="S67">
        <f t="shared" si="10"/>
        <v>1.3471266660212873E-2</v>
      </c>
      <c r="T67">
        <f t="shared" si="11"/>
        <v>276.116348862</v>
      </c>
      <c r="U67">
        <f t="shared" si="12"/>
        <v>27.587741352233575</v>
      </c>
      <c r="V67">
        <f t="shared" si="13"/>
        <v>27.587741352233575</v>
      </c>
      <c r="W67">
        <f t="shared" si="14"/>
        <v>3.7045878401418215</v>
      </c>
      <c r="X67">
        <f t="shared" si="15"/>
        <v>35.365107754879318</v>
      </c>
      <c r="Y67">
        <f t="shared" si="16"/>
        <v>1.1651688202560002</v>
      </c>
      <c r="Z67">
        <f t="shared" si="17"/>
        <v>3.2946847732854487</v>
      </c>
      <c r="AA67">
        <f t="shared" si="18"/>
        <v>2.5394190198858215</v>
      </c>
      <c r="AB67">
        <f t="shared" si="19"/>
        <v>-24.932078855574147</v>
      </c>
      <c r="AC67">
        <f t="shared" si="20"/>
        <v>-228.34913066152814</v>
      </c>
      <c r="AD67">
        <f t="shared" si="21"/>
        <v>-23.064483331548381</v>
      </c>
      <c r="AE67">
        <f t="shared" si="22"/>
        <v>-0.22934398665069011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52509.287288257059</v>
      </c>
      <c r="AK67">
        <f t="shared" si="26"/>
        <v>1800</v>
      </c>
      <c r="AL67">
        <f t="shared" si="27"/>
        <v>1499.1084252000001</v>
      </c>
      <c r="AM67">
        <f t="shared" si="28"/>
        <v>0.83283801400000002</v>
      </c>
      <c r="AN67">
        <f t="shared" si="29"/>
        <v>0.15339797158999999</v>
      </c>
      <c r="AO67">
        <v>32.4</v>
      </c>
      <c r="AP67">
        <v>0.5</v>
      </c>
      <c r="AQ67" t="s">
        <v>331</v>
      </c>
      <c r="AR67">
        <v>2</v>
      </c>
      <c r="AS67">
        <v>1690218675</v>
      </c>
      <c r="AT67">
        <v>736.28499999999997</v>
      </c>
      <c r="AU67">
        <v>799.95799999999997</v>
      </c>
      <c r="AV67">
        <v>11.749000000000001</v>
      </c>
      <c r="AW67">
        <v>5.7184799999999996</v>
      </c>
      <c r="AX67">
        <v>736.51400000000001</v>
      </c>
      <c r="AY67">
        <v>11.750400000000001</v>
      </c>
      <c r="AZ67">
        <v>300.17700000000002</v>
      </c>
      <c r="BA67">
        <v>99.071700000000007</v>
      </c>
      <c r="BB67">
        <v>0.10004399999999999</v>
      </c>
      <c r="BC67">
        <v>25.597300000000001</v>
      </c>
      <c r="BD67">
        <v>26.859500000000001</v>
      </c>
      <c r="BE67">
        <v>27.133400000000002</v>
      </c>
      <c r="BF67">
        <v>0</v>
      </c>
      <c r="BG67">
        <v>0</v>
      </c>
      <c r="BH67">
        <v>9975.6200000000008</v>
      </c>
      <c r="BI67">
        <v>1060.8599999999999</v>
      </c>
      <c r="BJ67">
        <v>1.56985</v>
      </c>
      <c r="BK67">
        <v>-63.672899999999998</v>
      </c>
      <c r="BL67">
        <v>745.03800000000001</v>
      </c>
      <c r="BM67">
        <v>804.55899999999997</v>
      </c>
      <c r="BN67">
        <v>6.0305600000000004</v>
      </c>
      <c r="BO67">
        <v>799.95799999999997</v>
      </c>
      <c r="BP67">
        <v>5.7184799999999996</v>
      </c>
      <c r="BQ67">
        <v>1.1639999999999999</v>
      </c>
      <c r="BR67">
        <v>0.56654000000000004</v>
      </c>
      <c r="BS67">
        <v>9.1488800000000001</v>
      </c>
      <c r="BT67">
        <v>-1.09477</v>
      </c>
      <c r="BU67">
        <v>1800</v>
      </c>
      <c r="BV67">
        <v>0.90997600000000001</v>
      </c>
      <c r="BW67">
        <v>3.4006599999999998E-2</v>
      </c>
      <c r="BX67">
        <v>2.2006700000000001E-2</v>
      </c>
      <c r="BY67">
        <v>3.40103E-2</v>
      </c>
      <c r="BZ67">
        <v>25</v>
      </c>
      <c r="CA67">
        <v>33528.1</v>
      </c>
      <c r="CB67">
        <v>1690217592</v>
      </c>
      <c r="CC67" t="s">
        <v>332</v>
      </c>
      <c r="CD67">
        <v>1690217586.5</v>
      </c>
      <c r="CE67">
        <v>1690217592</v>
      </c>
      <c r="CF67">
        <v>9</v>
      </c>
      <c r="CG67">
        <v>0.11600000000000001</v>
      </c>
      <c r="CH67">
        <v>-3.0000000000000001E-3</v>
      </c>
      <c r="CI67">
        <v>-0.27300000000000002</v>
      </c>
      <c r="CJ67">
        <v>-6.9000000000000006E-2</v>
      </c>
      <c r="CK67">
        <v>800</v>
      </c>
      <c r="CL67">
        <v>6</v>
      </c>
      <c r="CM67">
        <v>0.01</v>
      </c>
      <c r="CN67">
        <v>0.01</v>
      </c>
      <c r="CO67">
        <v>-60.780426829268293</v>
      </c>
      <c r="CP67">
        <v>-16.831434146341461</v>
      </c>
      <c r="CQ67">
        <v>1.6597777876577759</v>
      </c>
      <c r="CR67">
        <v>-1</v>
      </c>
      <c r="CS67">
        <v>5.8753880487804881</v>
      </c>
      <c r="CT67">
        <v>0.87468041811847763</v>
      </c>
      <c r="CU67">
        <v>8.624884045086971E-2</v>
      </c>
      <c r="CV67">
        <v>-1</v>
      </c>
      <c r="CW67">
        <v>0</v>
      </c>
      <c r="CX67">
        <v>0</v>
      </c>
      <c r="CY67" t="s">
        <v>333</v>
      </c>
      <c r="CZ67">
        <v>2.3643100000000001</v>
      </c>
      <c r="DA67">
        <v>2.7138100000000001</v>
      </c>
      <c r="DB67">
        <v>0.13852800000000001</v>
      </c>
      <c r="DC67">
        <v>0.146014</v>
      </c>
      <c r="DD67">
        <v>6.7983399999999999E-2</v>
      </c>
      <c r="DE67">
        <v>3.7909900000000003E-2</v>
      </c>
      <c r="DF67">
        <v>31443.7</v>
      </c>
      <c r="DG67">
        <v>27507</v>
      </c>
      <c r="DH67">
        <v>31161.1</v>
      </c>
      <c r="DI67">
        <v>28067.5</v>
      </c>
      <c r="DJ67">
        <v>39444.300000000003</v>
      </c>
      <c r="DK67">
        <v>38400.300000000003</v>
      </c>
      <c r="DL67">
        <v>44343.7</v>
      </c>
      <c r="DM67">
        <v>42539.4</v>
      </c>
      <c r="DN67">
        <v>1.4744299999999999</v>
      </c>
      <c r="DO67">
        <v>2.0310999999999999</v>
      </c>
      <c r="DP67">
        <v>0.128165</v>
      </c>
      <c r="DQ67">
        <v>0.157773</v>
      </c>
      <c r="DR67">
        <v>24.759499999999999</v>
      </c>
      <c r="DS67">
        <v>24.548300000000001</v>
      </c>
      <c r="DT67">
        <v>16.8</v>
      </c>
      <c r="DU67">
        <v>29.8</v>
      </c>
      <c r="DV67">
        <v>7.1410099999999996</v>
      </c>
      <c r="DW67">
        <v>61.878599999999999</v>
      </c>
      <c r="DX67">
        <v>36.6066</v>
      </c>
      <c r="DY67">
        <v>1</v>
      </c>
      <c r="DZ67">
        <v>-7.5830800000000004E-2</v>
      </c>
      <c r="EA67">
        <v>0.32036799999999999</v>
      </c>
      <c r="EB67">
        <v>20.189699999999998</v>
      </c>
      <c r="EC67">
        <v>5.2409499999999998</v>
      </c>
      <c r="ED67">
        <v>12.039899999999999</v>
      </c>
      <c r="EE67">
        <v>5.0164499999999999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1.86894</v>
      </c>
      <c r="EL67">
        <v>1.8646799999999999</v>
      </c>
      <c r="EM67">
        <v>1.8691899999999999</v>
      </c>
      <c r="EN67">
        <v>1.8672599999999999</v>
      </c>
      <c r="EO67">
        <v>1.8633999999999999</v>
      </c>
      <c r="EP67">
        <v>1.8645700000000001</v>
      </c>
      <c r="EQ67">
        <v>1.87019</v>
      </c>
      <c r="ER67">
        <v>1.86948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-0.22900000000000001</v>
      </c>
      <c r="FG67">
        <v>-1.4E-3</v>
      </c>
      <c r="FH67">
        <v>0.27827353915413472</v>
      </c>
      <c r="FI67">
        <v>-6.1462078757559423E-4</v>
      </c>
      <c r="FJ67">
        <v>-1.8861989874597051E-7</v>
      </c>
      <c r="FK67">
        <v>1.1980462299894961E-10</v>
      </c>
      <c r="FL67">
        <v>-3.2538871274648329E-2</v>
      </c>
      <c r="FM67">
        <v>-1.6848085045870601E-2</v>
      </c>
      <c r="FN67">
        <v>1.9789084769509481E-3</v>
      </c>
      <c r="FO67">
        <v>-2.7142391389806329E-5</v>
      </c>
      <c r="FP67">
        <v>3</v>
      </c>
      <c r="FQ67">
        <v>2158</v>
      </c>
      <c r="FR67">
        <v>1</v>
      </c>
      <c r="FS67">
        <v>19</v>
      </c>
      <c r="FT67">
        <v>18.100000000000001</v>
      </c>
      <c r="FU67">
        <v>18.100000000000001</v>
      </c>
      <c r="FV67">
        <v>1.7773399999999999</v>
      </c>
      <c r="FW67">
        <v>2.5817899999999998</v>
      </c>
      <c r="FX67">
        <v>1.5490699999999999</v>
      </c>
      <c r="FY67">
        <v>2.3290999999999999</v>
      </c>
      <c r="FZ67">
        <v>1.50146</v>
      </c>
      <c r="GA67">
        <v>2.36694</v>
      </c>
      <c r="GB67">
        <v>33.850900000000003</v>
      </c>
      <c r="GC67">
        <v>23.982399999999998</v>
      </c>
      <c r="GD67">
        <v>19</v>
      </c>
      <c r="GE67">
        <v>282.93599999999998</v>
      </c>
      <c r="GF67">
        <v>580.69799999999998</v>
      </c>
      <c r="GG67">
        <v>22.837299999999999</v>
      </c>
      <c r="GH67">
        <v>26.428100000000001</v>
      </c>
      <c r="GI67">
        <v>29.999700000000001</v>
      </c>
      <c r="GJ67">
        <v>26.535799999999998</v>
      </c>
      <c r="GK67">
        <v>26.505800000000001</v>
      </c>
      <c r="GL67">
        <v>35.551000000000002</v>
      </c>
      <c r="GM67">
        <v>-30</v>
      </c>
      <c r="GN67">
        <v>-30</v>
      </c>
      <c r="GO67">
        <v>22.928699999999999</v>
      </c>
      <c r="GP67">
        <v>800</v>
      </c>
      <c r="GQ67">
        <v>12.5298</v>
      </c>
      <c r="GR67">
        <v>99.700299999999999</v>
      </c>
      <c r="GS67">
        <v>99.515600000000006</v>
      </c>
    </row>
    <row r="68" spans="1:201" x14ac:dyDescent="0.25">
      <c r="A68">
        <v>52</v>
      </c>
      <c r="B68">
        <v>1690218685</v>
      </c>
      <c r="C68">
        <v>664.5</v>
      </c>
      <c r="D68" t="s">
        <v>433</v>
      </c>
      <c r="E68" t="s">
        <v>434</v>
      </c>
      <c r="F68" t="s">
        <v>330</v>
      </c>
      <c r="H68">
        <v>1690218685</v>
      </c>
      <c r="I68">
        <f t="shared" si="0"/>
        <v>5.8026176438976231E-4</v>
      </c>
      <c r="J68">
        <f t="shared" si="1"/>
        <v>0.58026176438976229</v>
      </c>
      <c r="K68">
        <f t="shared" si="2"/>
        <v>5.7580763130110517</v>
      </c>
      <c r="L68">
        <f t="shared" si="3"/>
        <v>733.34</v>
      </c>
      <c r="M68">
        <f t="shared" si="4"/>
        <v>297.2621874894578</v>
      </c>
      <c r="N68">
        <f t="shared" si="5"/>
        <v>29.480146299190753</v>
      </c>
      <c r="O68">
        <f t="shared" si="6"/>
        <v>72.726944081359989</v>
      </c>
      <c r="P68">
        <f t="shared" si="7"/>
        <v>2.2334687553770372E-2</v>
      </c>
      <c r="Q68">
        <f t="shared" si="8"/>
        <v>2.1298692365931933</v>
      </c>
      <c r="R68">
        <f t="shared" si="9"/>
        <v>2.2205383779179452E-2</v>
      </c>
      <c r="S68">
        <f t="shared" si="10"/>
        <v>1.3889919782866529E-2</v>
      </c>
      <c r="T68">
        <f t="shared" si="11"/>
        <v>276.116337504</v>
      </c>
      <c r="U68">
        <f t="shared" si="12"/>
        <v>27.604974254451694</v>
      </c>
      <c r="V68">
        <f t="shared" si="13"/>
        <v>27.604974254451694</v>
      </c>
      <c r="W68">
        <f t="shared" si="14"/>
        <v>3.7083226163554834</v>
      </c>
      <c r="X68">
        <f t="shared" si="15"/>
        <v>35.784527432171892</v>
      </c>
      <c r="Y68">
        <f t="shared" si="16"/>
        <v>1.1806748402812</v>
      </c>
      <c r="Z68">
        <f t="shared" si="17"/>
        <v>3.2994003973340735</v>
      </c>
      <c r="AA68">
        <f t="shared" si="18"/>
        <v>2.5276477760742835</v>
      </c>
      <c r="AB68">
        <f t="shared" si="19"/>
        <v>-25.589543809588516</v>
      </c>
      <c r="AC68">
        <f t="shared" si="20"/>
        <v>-227.76492595205787</v>
      </c>
      <c r="AD68">
        <f t="shared" si="21"/>
        <v>-22.989665165479938</v>
      </c>
      <c r="AE68">
        <f t="shared" si="22"/>
        <v>-0.22779742312633289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52587.429681983922</v>
      </c>
      <c r="AK68">
        <f t="shared" si="26"/>
        <v>1800</v>
      </c>
      <c r="AL68">
        <f t="shared" si="27"/>
        <v>1499.1097013999999</v>
      </c>
      <c r="AM68">
        <f t="shared" si="28"/>
        <v>0.83283872299999995</v>
      </c>
      <c r="AN68">
        <f t="shared" si="29"/>
        <v>0.15339796527999999</v>
      </c>
      <c r="AO68">
        <v>32.4</v>
      </c>
      <c r="AP68">
        <v>0.5</v>
      </c>
      <c r="AQ68" t="s">
        <v>331</v>
      </c>
      <c r="AR68">
        <v>2</v>
      </c>
      <c r="AS68">
        <v>1690218685</v>
      </c>
      <c r="AT68">
        <v>733.34</v>
      </c>
      <c r="AU68">
        <v>800.07</v>
      </c>
      <c r="AV68">
        <v>11.9053</v>
      </c>
      <c r="AW68">
        <v>5.7179900000000004</v>
      </c>
      <c r="AX68">
        <v>733.56700000000001</v>
      </c>
      <c r="AY68">
        <v>11.9038</v>
      </c>
      <c r="AZ68">
        <v>300.238</v>
      </c>
      <c r="BA68">
        <v>99.072199999999995</v>
      </c>
      <c r="BB68">
        <v>0.100004</v>
      </c>
      <c r="BC68">
        <v>25.621400000000001</v>
      </c>
      <c r="BD68">
        <v>26.8444</v>
      </c>
      <c r="BE68">
        <v>27.180700000000002</v>
      </c>
      <c r="BF68">
        <v>0</v>
      </c>
      <c r="BG68">
        <v>0</v>
      </c>
      <c r="BH68">
        <v>9991.8799999999992</v>
      </c>
      <c r="BI68">
        <v>1060.93</v>
      </c>
      <c r="BJ68">
        <v>1.56985</v>
      </c>
      <c r="BK68">
        <v>-66.73</v>
      </c>
      <c r="BL68">
        <v>742.17600000000004</v>
      </c>
      <c r="BM68">
        <v>804.67200000000003</v>
      </c>
      <c r="BN68">
        <v>6.1873100000000001</v>
      </c>
      <c r="BO68">
        <v>800.07</v>
      </c>
      <c r="BP68">
        <v>5.7179900000000004</v>
      </c>
      <c r="BQ68">
        <v>1.1794800000000001</v>
      </c>
      <c r="BR68">
        <v>0.56649400000000005</v>
      </c>
      <c r="BS68">
        <v>9.3450900000000008</v>
      </c>
      <c r="BT68">
        <v>-1.0958699999999999</v>
      </c>
      <c r="BU68">
        <v>1800</v>
      </c>
      <c r="BV68">
        <v>0.90998000000000001</v>
      </c>
      <c r="BW68">
        <v>3.4005199999999999E-2</v>
      </c>
      <c r="BX68">
        <v>2.2005899999999998E-2</v>
      </c>
      <c r="BY68">
        <v>3.4008999999999998E-2</v>
      </c>
      <c r="BZ68">
        <v>25</v>
      </c>
      <c r="CA68">
        <v>33528.199999999997</v>
      </c>
      <c r="CB68">
        <v>1690217592</v>
      </c>
      <c r="CC68" t="s">
        <v>332</v>
      </c>
      <c r="CD68">
        <v>1690217586.5</v>
      </c>
      <c r="CE68">
        <v>1690217592</v>
      </c>
      <c r="CF68">
        <v>9</v>
      </c>
      <c r="CG68">
        <v>0.11600000000000001</v>
      </c>
      <c r="CH68">
        <v>-3.0000000000000001E-3</v>
      </c>
      <c r="CI68">
        <v>-0.27300000000000002</v>
      </c>
      <c r="CJ68">
        <v>-6.9000000000000006E-2</v>
      </c>
      <c r="CK68">
        <v>800</v>
      </c>
      <c r="CL68">
        <v>6</v>
      </c>
      <c r="CM68">
        <v>0.01</v>
      </c>
      <c r="CN68">
        <v>0.01</v>
      </c>
      <c r="CO68">
        <v>-63.525715000000012</v>
      </c>
      <c r="CP68">
        <v>-16.964676923076759</v>
      </c>
      <c r="CQ68">
        <v>1.6323990796600569</v>
      </c>
      <c r="CR68">
        <v>-1</v>
      </c>
      <c r="CS68">
        <v>6.0206232499999999</v>
      </c>
      <c r="CT68">
        <v>0.91410607879923766</v>
      </c>
      <c r="CU68">
        <v>8.7941098196107972E-2</v>
      </c>
      <c r="CV68">
        <v>-1</v>
      </c>
      <c r="CW68">
        <v>0</v>
      </c>
      <c r="CX68">
        <v>0</v>
      </c>
      <c r="CY68" t="s">
        <v>333</v>
      </c>
      <c r="CZ68">
        <v>2.3645100000000001</v>
      </c>
      <c r="DA68">
        <v>2.7137899999999999</v>
      </c>
      <c r="DB68">
        <v>0.138156</v>
      </c>
      <c r="DC68">
        <v>0.14602799999999999</v>
      </c>
      <c r="DD68">
        <v>6.8657899999999994E-2</v>
      </c>
      <c r="DE68">
        <v>3.7907400000000001E-2</v>
      </c>
      <c r="DF68">
        <v>31457.200000000001</v>
      </c>
      <c r="DG68">
        <v>27506.799999999999</v>
      </c>
      <c r="DH68">
        <v>31161.1</v>
      </c>
      <c r="DI68">
        <v>28067.8</v>
      </c>
      <c r="DJ68">
        <v>39415.5</v>
      </c>
      <c r="DK68">
        <v>38401.1</v>
      </c>
      <c r="DL68">
        <v>44343.6</v>
      </c>
      <c r="DM68">
        <v>42540.2</v>
      </c>
      <c r="DN68">
        <v>1.47458</v>
      </c>
      <c r="DO68">
        <v>2.03085</v>
      </c>
      <c r="DP68">
        <v>0.127777</v>
      </c>
      <c r="DQ68">
        <v>0.16094700000000001</v>
      </c>
      <c r="DR68">
        <v>24.750599999999999</v>
      </c>
      <c r="DS68">
        <v>24.543600000000001</v>
      </c>
      <c r="DT68">
        <v>16.8</v>
      </c>
      <c r="DU68">
        <v>29.8</v>
      </c>
      <c r="DV68">
        <v>7.1410099999999996</v>
      </c>
      <c r="DW68">
        <v>61.748600000000003</v>
      </c>
      <c r="DX68">
        <v>36.322099999999999</v>
      </c>
      <c r="DY68">
        <v>1</v>
      </c>
      <c r="DZ68">
        <v>-7.6153399999999996E-2</v>
      </c>
      <c r="EA68">
        <v>0.270648</v>
      </c>
      <c r="EB68">
        <v>20.189699999999998</v>
      </c>
      <c r="EC68">
        <v>5.2411000000000003</v>
      </c>
      <c r="ED68">
        <v>12.039899999999999</v>
      </c>
      <c r="EE68">
        <v>5.0164999999999997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1.86893</v>
      </c>
      <c r="EL68">
        <v>1.86466</v>
      </c>
      <c r="EM68">
        <v>1.8691899999999999</v>
      </c>
      <c r="EN68">
        <v>1.8672500000000001</v>
      </c>
      <c r="EO68">
        <v>1.8633999999999999</v>
      </c>
      <c r="EP68">
        <v>1.8645799999999999</v>
      </c>
      <c r="EQ68">
        <v>1.8702099999999999</v>
      </c>
      <c r="ER68">
        <v>1.86947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-0.22700000000000001</v>
      </c>
      <c r="FG68">
        <v>1.5E-3</v>
      </c>
      <c r="FH68">
        <v>0.27827353915413472</v>
      </c>
      <c r="FI68">
        <v>-6.1462078757559423E-4</v>
      </c>
      <c r="FJ68">
        <v>-1.8861989874597051E-7</v>
      </c>
      <c r="FK68">
        <v>1.1980462299894961E-10</v>
      </c>
      <c r="FL68">
        <v>-3.2538871274648329E-2</v>
      </c>
      <c r="FM68">
        <v>-1.6848085045870601E-2</v>
      </c>
      <c r="FN68">
        <v>1.9789084769509481E-3</v>
      </c>
      <c r="FO68">
        <v>-2.7142391389806329E-5</v>
      </c>
      <c r="FP68">
        <v>3</v>
      </c>
      <c r="FQ68">
        <v>2158</v>
      </c>
      <c r="FR68">
        <v>1</v>
      </c>
      <c r="FS68">
        <v>19</v>
      </c>
      <c r="FT68">
        <v>18.3</v>
      </c>
      <c r="FU68">
        <v>18.2</v>
      </c>
      <c r="FV68">
        <v>1.7773399999999999</v>
      </c>
      <c r="FW68">
        <v>2.5878899999999998</v>
      </c>
      <c r="FX68">
        <v>1.5490699999999999</v>
      </c>
      <c r="FY68">
        <v>2.3290999999999999</v>
      </c>
      <c r="FZ68">
        <v>1.50146</v>
      </c>
      <c r="GA68">
        <v>2.3132299999999999</v>
      </c>
      <c r="GB68">
        <v>33.850900000000003</v>
      </c>
      <c r="GC68">
        <v>23.982399999999998</v>
      </c>
      <c r="GD68">
        <v>19</v>
      </c>
      <c r="GE68">
        <v>282.98599999999999</v>
      </c>
      <c r="GF68">
        <v>580.47900000000004</v>
      </c>
      <c r="GG68">
        <v>23.026299999999999</v>
      </c>
      <c r="GH68">
        <v>26.4209</v>
      </c>
      <c r="GI68">
        <v>29.9999</v>
      </c>
      <c r="GJ68">
        <v>26.532599999999999</v>
      </c>
      <c r="GK68">
        <v>26.5047</v>
      </c>
      <c r="GL68">
        <v>35.550400000000003</v>
      </c>
      <c r="GM68">
        <v>-30</v>
      </c>
      <c r="GN68">
        <v>-30</v>
      </c>
      <c r="GO68">
        <v>23.138200000000001</v>
      </c>
      <c r="GP68">
        <v>800</v>
      </c>
      <c r="GQ68">
        <v>12.5298</v>
      </c>
      <c r="GR68">
        <v>99.700100000000006</v>
      </c>
      <c r="GS68">
        <v>99.517099999999999</v>
      </c>
    </row>
    <row r="69" spans="1:201" x14ac:dyDescent="0.25">
      <c r="A69">
        <v>53</v>
      </c>
      <c r="B69">
        <v>1690218695</v>
      </c>
      <c r="C69">
        <v>674.5</v>
      </c>
      <c r="D69" t="s">
        <v>435</v>
      </c>
      <c r="E69" t="s">
        <v>436</v>
      </c>
      <c r="F69" t="s">
        <v>330</v>
      </c>
      <c r="H69">
        <v>1690218695</v>
      </c>
      <c r="I69">
        <f t="shared" si="0"/>
        <v>5.9498206361398385E-4</v>
      </c>
      <c r="J69">
        <f t="shared" si="1"/>
        <v>0.59498206361398387</v>
      </c>
      <c r="K69">
        <f t="shared" si="2"/>
        <v>6.0068129275695812</v>
      </c>
      <c r="L69">
        <f t="shared" si="3"/>
        <v>730.48500000000001</v>
      </c>
      <c r="M69">
        <f t="shared" si="4"/>
        <v>289.30550234224467</v>
      </c>
      <c r="N69">
        <f t="shared" si="5"/>
        <v>28.691127943818081</v>
      </c>
      <c r="O69">
        <f t="shared" si="6"/>
        <v>72.44396814564</v>
      </c>
      <c r="P69">
        <f t="shared" si="7"/>
        <v>2.300222422882512E-2</v>
      </c>
      <c r="Q69">
        <f t="shared" si="8"/>
        <v>2.1316923108441364</v>
      </c>
      <c r="R69">
        <f t="shared" si="9"/>
        <v>2.2865217840748915E-2</v>
      </c>
      <c r="S69">
        <f t="shared" si="10"/>
        <v>1.4303002496352336E-2</v>
      </c>
      <c r="T69">
        <f t="shared" si="11"/>
        <v>276.11463418128795</v>
      </c>
      <c r="U69">
        <f t="shared" si="12"/>
        <v>27.626032417619736</v>
      </c>
      <c r="V69">
        <f t="shared" si="13"/>
        <v>27.626032417619736</v>
      </c>
      <c r="W69">
        <f t="shared" si="14"/>
        <v>3.7128908770828208</v>
      </c>
      <c r="X69">
        <f t="shared" si="15"/>
        <v>36.194355638552331</v>
      </c>
      <c r="Y69">
        <f t="shared" si="16"/>
        <v>1.1961681920760001</v>
      </c>
      <c r="Z69">
        <f t="shared" si="17"/>
        <v>3.3048473193480596</v>
      </c>
      <c r="AA69">
        <f t="shared" si="18"/>
        <v>2.5167226850068207</v>
      </c>
      <c r="AB69">
        <f t="shared" si="19"/>
        <v>-26.238709005376688</v>
      </c>
      <c r="AC69">
        <f t="shared" si="20"/>
        <v>-227.18508521636733</v>
      </c>
      <c r="AD69">
        <f t="shared" si="21"/>
        <v>-22.917130156071156</v>
      </c>
      <c r="AE69">
        <f t="shared" si="22"/>
        <v>-0.22629019652720217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52661.479852338874</v>
      </c>
      <c r="AK69">
        <f t="shared" si="26"/>
        <v>1799.99</v>
      </c>
      <c r="AL69">
        <f t="shared" si="27"/>
        <v>1499.1026366057497</v>
      </c>
      <c r="AM69">
        <f t="shared" si="28"/>
        <v>0.83283942499999986</v>
      </c>
      <c r="AN69">
        <f t="shared" si="29"/>
        <v>0.15339787119999998</v>
      </c>
      <c r="AO69">
        <v>32.4</v>
      </c>
      <c r="AP69">
        <v>0.5</v>
      </c>
      <c r="AQ69" t="s">
        <v>331</v>
      </c>
      <c r="AR69">
        <v>2</v>
      </c>
      <c r="AS69">
        <v>1690218695</v>
      </c>
      <c r="AT69">
        <v>730.48500000000001</v>
      </c>
      <c r="AU69">
        <v>800.01800000000003</v>
      </c>
      <c r="AV69">
        <v>12.061500000000001</v>
      </c>
      <c r="AW69">
        <v>5.7163500000000003</v>
      </c>
      <c r="AX69">
        <v>730.71</v>
      </c>
      <c r="AY69">
        <v>12.0571</v>
      </c>
      <c r="AZ69">
        <v>300.149</v>
      </c>
      <c r="BA69">
        <v>99.072400000000002</v>
      </c>
      <c r="BB69">
        <v>0.100024</v>
      </c>
      <c r="BC69">
        <v>25.6492</v>
      </c>
      <c r="BD69">
        <v>26.9025</v>
      </c>
      <c r="BE69">
        <v>27.199200000000001</v>
      </c>
      <c r="BF69">
        <v>0</v>
      </c>
      <c r="BG69">
        <v>0</v>
      </c>
      <c r="BH69">
        <v>10007.5</v>
      </c>
      <c r="BI69">
        <v>1061.04</v>
      </c>
      <c r="BJ69">
        <v>1.62592</v>
      </c>
      <c r="BK69">
        <v>-69.532799999999995</v>
      </c>
      <c r="BL69">
        <v>739.40300000000002</v>
      </c>
      <c r="BM69">
        <v>804.61699999999996</v>
      </c>
      <c r="BN69">
        <v>6.34518</v>
      </c>
      <c r="BO69">
        <v>800.01800000000003</v>
      </c>
      <c r="BP69">
        <v>5.7163500000000003</v>
      </c>
      <c r="BQ69">
        <v>1.19496</v>
      </c>
      <c r="BR69">
        <v>0.56633299999999998</v>
      </c>
      <c r="BS69">
        <v>9.5389700000000008</v>
      </c>
      <c r="BT69">
        <v>-1.0997600000000001</v>
      </c>
      <c r="BU69">
        <v>1799.99</v>
      </c>
      <c r="BV69">
        <v>0.90998599999999996</v>
      </c>
      <c r="BW69">
        <v>3.4003100000000001E-2</v>
      </c>
      <c r="BX69">
        <v>2.20045E-2</v>
      </c>
      <c r="BY69">
        <v>3.4006799999999997E-2</v>
      </c>
      <c r="BZ69">
        <v>25</v>
      </c>
      <c r="CA69">
        <v>33528</v>
      </c>
      <c r="CB69">
        <v>1690217592</v>
      </c>
      <c r="CC69" t="s">
        <v>332</v>
      </c>
      <c r="CD69">
        <v>1690217586.5</v>
      </c>
      <c r="CE69">
        <v>1690217592</v>
      </c>
      <c r="CF69">
        <v>9</v>
      </c>
      <c r="CG69">
        <v>0.11600000000000001</v>
      </c>
      <c r="CH69">
        <v>-3.0000000000000001E-3</v>
      </c>
      <c r="CI69">
        <v>-0.27300000000000002</v>
      </c>
      <c r="CJ69">
        <v>-6.9000000000000006E-2</v>
      </c>
      <c r="CK69">
        <v>800</v>
      </c>
      <c r="CL69">
        <v>6</v>
      </c>
      <c r="CM69">
        <v>0.01</v>
      </c>
      <c r="CN69">
        <v>0.01</v>
      </c>
      <c r="CO69">
        <v>-66.415257499999996</v>
      </c>
      <c r="CP69">
        <v>-17.640962476548001</v>
      </c>
      <c r="CQ69">
        <v>1.697633356600815</v>
      </c>
      <c r="CR69">
        <v>-1</v>
      </c>
      <c r="CS69">
        <v>6.1755599999999999</v>
      </c>
      <c r="CT69">
        <v>0.94527422138836004</v>
      </c>
      <c r="CU69">
        <v>9.0930987924909362E-2</v>
      </c>
      <c r="CV69">
        <v>-1</v>
      </c>
      <c r="CW69">
        <v>0</v>
      </c>
      <c r="CX69">
        <v>0</v>
      </c>
      <c r="CY69" t="s">
        <v>333</v>
      </c>
      <c r="CZ69">
        <v>2.3642699999999999</v>
      </c>
      <c r="DA69">
        <v>2.7138200000000001</v>
      </c>
      <c r="DB69">
        <v>0.137795</v>
      </c>
      <c r="DC69">
        <v>0.14602299999999999</v>
      </c>
      <c r="DD69">
        <v>6.9328799999999996E-2</v>
      </c>
      <c r="DE69">
        <v>3.7898800000000003E-2</v>
      </c>
      <c r="DF69">
        <v>31471</v>
      </c>
      <c r="DG69">
        <v>27507</v>
      </c>
      <c r="DH69">
        <v>31161.599999999999</v>
      </c>
      <c r="DI69">
        <v>28067.8</v>
      </c>
      <c r="DJ69">
        <v>39387.599999999999</v>
      </c>
      <c r="DK69">
        <v>38401.300000000003</v>
      </c>
      <c r="DL69">
        <v>44344.4</v>
      </c>
      <c r="DM69">
        <v>42540</v>
      </c>
      <c r="DN69">
        <v>1.47445</v>
      </c>
      <c r="DO69">
        <v>2.03125</v>
      </c>
      <c r="DP69">
        <v>0.13186800000000001</v>
      </c>
      <c r="DQ69">
        <v>0.162326</v>
      </c>
      <c r="DR69">
        <v>24.741700000000002</v>
      </c>
      <c r="DS69">
        <v>24.5396</v>
      </c>
      <c r="DT69">
        <v>16.8</v>
      </c>
      <c r="DU69">
        <v>29.8</v>
      </c>
      <c r="DV69">
        <v>7.1419100000000002</v>
      </c>
      <c r="DW69">
        <v>61.378599999999999</v>
      </c>
      <c r="DX69">
        <v>36.129800000000003</v>
      </c>
      <c r="DY69">
        <v>1</v>
      </c>
      <c r="DZ69">
        <v>-7.6704800000000004E-2</v>
      </c>
      <c r="EA69">
        <v>0.108796</v>
      </c>
      <c r="EB69">
        <v>20.190100000000001</v>
      </c>
      <c r="EC69">
        <v>5.2409499999999998</v>
      </c>
      <c r="ED69">
        <v>12.039899999999999</v>
      </c>
      <c r="EE69">
        <v>5.0165499999999996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1.8689499999999999</v>
      </c>
      <c r="EL69">
        <v>1.8646400000000001</v>
      </c>
      <c r="EM69">
        <v>1.8692</v>
      </c>
      <c r="EN69">
        <v>1.86724</v>
      </c>
      <c r="EO69">
        <v>1.8633999999999999</v>
      </c>
      <c r="EP69">
        <v>1.8645700000000001</v>
      </c>
      <c r="EQ69">
        <v>1.8701700000000001</v>
      </c>
      <c r="ER69">
        <v>1.86947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-0.22500000000000001</v>
      </c>
      <c r="FG69">
        <v>4.4000000000000003E-3</v>
      </c>
      <c r="FH69">
        <v>0.27827353915413472</v>
      </c>
      <c r="FI69">
        <v>-6.1462078757559423E-4</v>
      </c>
      <c r="FJ69">
        <v>-1.8861989874597051E-7</v>
      </c>
      <c r="FK69">
        <v>1.1980462299894961E-10</v>
      </c>
      <c r="FL69">
        <v>-3.2538871274648329E-2</v>
      </c>
      <c r="FM69">
        <v>-1.6848085045870601E-2</v>
      </c>
      <c r="FN69">
        <v>1.9789084769509481E-3</v>
      </c>
      <c r="FO69">
        <v>-2.7142391389806329E-5</v>
      </c>
      <c r="FP69">
        <v>3</v>
      </c>
      <c r="FQ69">
        <v>2158</v>
      </c>
      <c r="FR69">
        <v>1</v>
      </c>
      <c r="FS69">
        <v>19</v>
      </c>
      <c r="FT69">
        <v>18.5</v>
      </c>
      <c r="FU69">
        <v>18.399999999999999</v>
      </c>
      <c r="FV69">
        <v>1.7785599999999999</v>
      </c>
      <c r="FW69">
        <v>2.5927699999999998</v>
      </c>
      <c r="FX69">
        <v>1.5490699999999999</v>
      </c>
      <c r="FY69">
        <v>2.3290999999999999</v>
      </c>
      <c r="FZ69">
        <v>1.50146</v>
      </c>
      <c r="GA69">
        <v>2.2851599999999999</v>
      </c>
      <c r="GB69">
        <v>33.850900000000003</v>
      </c>
      <c r="GC69">
        <v>23.982399999999998</v>
      </c>
      <c r="GD69">
        <v>19</v>
      </c>
      <c r="GE69">
        <v>282.92</v>
      </c>
      <c r="GF69">
        <v>580.78300000000002</v>
      </c>
      <c r="GG69">
        <v>23.236899999999999</v>
      </c>
      <c r="GH69">
        <v>26.414200000000001</v>
      </c>
      <c r="GI69">
        <v>29.999700000000001</v>
      </c>
      <c r="GJ69">
        <v>26.529699999999998</v>
      </c>
      <c r="GK69">
        <v>26.502500000000001</v>
      </c>
      <c r="GL69">
        <v>35.550699999999999</v>
      </c>
      <c r="GM69">
        <v>-30</v>
      </c>
      <c r="GN69">
        <v>-30</v>
      </c>
      <c r="GO69">
        <v>23.322399999999998</v>
      </c>
      <c r="GP69">
        <v>800</v>
      </c>
      <c r="GQ69">
        <v>12.5298</v>
      </c>
      <c r="GR69">
        <v>99.701899999999995</v>
      </c>
      <c r="GS69">
        <v>99.516900000000007</v>
      </c>
    </row>
    <row r="70" spans="1:201" x14ac:dyDescent="0.25">
      <c r="A70">
        <v>54</v>
      </c>
      <c r="B70">
        <v>1690218705</v>
      </c>
      <c r="C70">
        <v>684.5</v>
      </c>
      <c r="D70" t="s">
        <v>437</v>
      </c>
      <c r="E70" t="s">
        <v>438</v>
      </c>
      <c r="F70" t="s">
        <v>330</v>
      </c>
      <c r="H70">
        <v>1690218705</v>
      </c>
      <c r="I70">
        <f t="shared" si="0"/>
        <v>6.1072467647354807E-4</v>
      </c>
      <c r="J70">
        <f t="shared" si="1"/>
        <v>0.61072467647354811</v>
      </c>
      <c r="K70">
        <f t="shared" si="2"/>
        <v>6.2775073582537235</v>
      </c>
      <c r="L70">
        <f t="shared" si="3"/>
        <v>727.45500000000004</v>
      </c>
      <c r="M70">
        <f t="shared" si="4"/>
        <v>281.23894996811072</v>
      </c>
      <c r="N70">
        <f t="shared" si="5"/>
        <v>27.890557508518377</v>
      </c>
      <c r="O70">
        <f t="shared" si="6"/>
        <v>72.141947317965005</v>
      </c>
      <c r="P70">
        <f t="shared" si="7"/>
        <v>2.3738621078735669E-2</v>
      </c>
      <c r="Q70">
        <f t="shared" si="8"/>
        <v>2.1347273157051263</v>
      </c>
      <c r="R70">
        <f t="shared" si="9"/>
        <v>2.3592938049232709E-2</v>
      </c>
      <c r="S70">
        <f t="shared" si="10"/>
        <v>1.4758600684378412E-2</v>
      </c>
      <c r="T70">
        <f t="shared" si="11"/>
        <v>276.11430994908937</v>
      </c>
      <c r="U70">
        <f t="shared" si="12"/>
        <v>27.64024894175677</v>
      </c>
      <c r="V70">
        <f t="shared" si="13"/>
        <v>27.64024894175677</v>
      </c>
      <c r="W70">
        <f t="shared" si="14"/>
        <v>3.715977720266912</v>
      </c>
      <c r="X70">
        <f t="shared" si="15"/>
        <v>36.644703912072366</v>
      </c>
      <c r="Y70">
        <f t="shared" si="16"/>
        <v>1.2126547096439999</v>
      </c>
      <c r="Z70">
        <f t="shared" si="17"/>
        <v>3.3092222891300218</v>
      </c>
      <c r="AA70">
        <f t="shared" si="18"/>
        <v>2.5033230106229123</v>
      </c>
      <c r="AB70">
        <f t="shared" si="19"/>
        <v>-26.932958232483468</v>
      </c>
      <c r="AC70">
        <f t="shared" si="20"/>
        <v>-226.57823445297308</v>
      </c>
      <c r="AD70">
        <f t="shared" si="21"/>
        <v>-22.827589994803532</v>
      </c>
      <c r="AE70">
        <f t="shared" si="22"/>
        <v>-0.22447273117069244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52789.082436888348</v>
      </c>
      <c r="AK70">
        <f t="shared" si="26"/>
        <v>1799.99</v>
      </c>
      <c r="AL70">
        <f t="shared" si="27"/>
        <v>1499.10224420793</v>
      </c>
      <c r="AM70">
        <f t="shared" si="28"/>
        <v>0.83283920700000003</v>
      </c>
      <c r="AN70">
        <f t="shared" si="29"/>
        <v>0.15339769107000004</v>
      </c>
      <c r="AO70">
        <v>32.4</v>
      </c>
      <c r="AP70">
        <v>0.5</v>
      </c>
      <c r="AQ70" t="s">
        <v>331</v>
      </c>
      <c r="AR70">
        <v>2</v>
      </c>
      <c r="AS70">
        <v>1690218705</v>
      </c>
      <c r="AT70">
        <v>727.45500000000004</v>
      </c>
      <c r="AU70">
        <v>800.01300000000003</v>
      </c>
      <c r="AV70">
        <v>12.228</v>
      </c>
      <c r="AW70">
        <v>5.71617</v>
      </c>
      <c r="AX70">
        <v>727.678</v>
      </c>
      <c r="AY70">
        <v>12.2204</v>
      </c>
      <c r="AZ70">
        <v>300.154</v>
      </c>
      <c r="BA70">
        <v>99.070300000000003</v>
      </c>
      <c r="BB70">
        <v>0.100023</v>
      </c>
      <c r="BC70">
        <v>25.671500000000002</v>
      </c>
      <c r="BD70">
        <v>26.892900000000001</v>
      </c>
      <c r="BE70">
        <v>27.226500000000001</v>
      </c>
      <c r="BF70">
        <v>0</v>
      </c>
      <c r="BG70">
        <v>0</v>
      </c>
      <c r="BH70">
        <v>10033.799999999999</v>
      </c>
      <c r="BI70">
        <v>1061.0999999999999</v>
      </c>
      <c r="BJ70">
        <v>1.62592</v>
      </c>
      <c r="BK70">
        <v>-72.5578</v>
      </c>
      <c r="BL70">
        <v>736.46</v>
      </c>
      <c r="BM70">
        <v>804.61199999999997</v>
      </c>
      <c r="BN70">
        <v>6.5118400000000003</v>
      </c>
      <c r="BO70">
        <v>800.01300000000003</v>
      </c>
      <c r="BP70">
        <v>5.71617</v>
      </c>
      <c r="BQ70">
        <v>1.21143</v>
      </c>
      <c r="BR70">
        <v>0.56630199999999997</v>
      </c>
      <c r="BS70">
        <v>9.7427799999999998</v>
      </c>
      <c r="BT70">
        <v>-1.10049</v>
      </c>
      <c r="BU70">
        <v>1799.99</v>
      </c>
      <c r="BV70">
        <v>0.90998900000000005</v>
      </c>
      <c r="BW70">
        <v>3.4001700000000003E-2</v>
      </c>
      <c r="BX70">
        <v>2.2003600000000002E-2</v>
      </c>
      <c r="BY70">
        <v>3.4005500000000001E-2</v>
      </c>
      <c r="BZ70">
        <v>25</v>
      </c>
      <c r="CA70">
        <v>33528.199999999997</v>
      </c>
      <c r="CB70">
        <v>1690217592</v>
      </c>
      <c r="CC70" t="s">
        <v>332</v>
      </c>
      <c r="CD70">
        <v>1690217586.5</v>
      </c>
      <c r="CE70">
        <v>1690217592</v>
      </c>
      <c r="CF70">
        <v>9</v>
      </c>
      <c r="CG70">
        <v>0.11600000000000001</v>
      </c>
      <c r="CH70">
        <v>-3.0000000000000001E-3</v>
      </c>
      <c r="CI70">
        <v>-0.27300000000000002</v>
      </c>
      <c r="CJ70">
        <v>-6.9000000000000006E-2</v>
      </c>
      <c r="CK70">
        <v>800</v>
      </c>
      <c r="CL70">
        <v>6</v>
      </c>
      <c r="CM70">
        <v>0.01</v>
      </c>
      <c r="CN70">
        <v>0.01</v>
      </c>
      <c r="CO70">
        <v>-69.434490243902431</v>
      </c>
      <c r="CP70">
        <v>-17.527599303136</v>
      </c>
      <c r="CQ70">
        <v>1.7288592752342089</v>
      </c>
      <c r="CR70">
        <v>-1</v>
      </c>
      <c r="CS70">
        <v>6.3393899999999999</v>
      </c>
      <c r="CT70">
        <v>0.9729388850174262</v>
      </c>
      <c r="CU70">
        <v>9.5945632369231343E-2</v>
      </c>
      <c r="CV70">
        <v>-1</v>
      </c>
      <c r="CW70">
        <v>0</v>
      </c>
      <c r="CX70">
        <v>0</v>
      </c>
      <c r="CY70" t="s">
        <v>333</v>
      </c>
      <c r="CZ70">
        <v>2.3642699999999999</v>
      </c>
      <c r="DA70">
        <v>2.7138399999999998</v>
      </c>
      <c r="DB70">
        <v>0.137408</v>
      </c>
      <c r="DC70">
        <v>0.14602000000000001</v>
      </c>
      <c r="DD70">
        <v>7.0038600000000006E-2</v>
      </c>
      <c r="DE70">
        <v>3.7897199999999999E-2</v>
      </c>
      <c r="DF70">
        <v>31485.5</v>
      </c>
      <c r="DG70">
        <v>27507.599999999999</v>
      </c>
      <c r="DH70">
        <v>31162</v>
      </c>
      <c r="DI70">
        <v>28068.3</v>
      </c>
      <c r="DJ70">
        <v>39358</v>
      </c>
      <c r="DK70">
        <v>38401.9</v>
      </c>
      <c r="DL70">
        <v>44345.1</v>
      </c>
      <c r="DM70">
        <v>42540.7</v>
      </c>
      <c r="DN70">
        <v>1.47465</v>
      </c>
      <c r="DO70">
        <v>2.0314000000000001</v>
      </c>
      <c r="DP70">
        <v>0.13172600000000001</v>
      </c>
      <c r="DQ70">
        <v>0.164129</v>
      </c>
      <c r="DR70">
        <v>24.734500000000001</v>
      </c>
      <c r="DS70">
        <v>24.537400000000002</v>
      </c>
      <c r="DT70">
        <v>16.8</v>
      </c>
      <c r="DU70">
        <v>29.8</v>
      </c>
      <c r="DV70">
        <v>7.1413500000000001</v>
      </c>
      <c r="DW70">
        <v>61.248600000000003</v>
      </c>
      <c r="DX70">
        <v>36.085700000000003</v>
      </c>
      <c r="DY70">
        <v>1</v>
      </c>
      <c r="DZ70">
        <v>-7.7632099999999996E-2</v>
      </c>
      <c r="EA70">
        <v>0.15782399999999999</v>
      </c>
      <c r="EB70">
        <v>20.190000000000001</v>
      </c>
      <c r="EC70">
        <v>5.2403500000000003</v>
      </c>
      <c r="ED70">
        <v>12.039899999999999</v>
      </c>
      <c r="EE70">
        <v>5.0167000000000002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1.86894</v>
      </c>
      <c r="EL70">
        <v>1.8646499999999999</v>
      </c>
      <c r="EM70">
        <v>1.8691899999999999</v>
      </c>
      <c r="EN70">
        <v>1.8672599999999999</v>
      </c>
      <c r="EO70">
        <v>1.8634200000000001</v>
      </c>
      <c r="EP70">
        <v>1.86456</v>
      </c>
      <c r="EQ70">
        <v>1.87018</v>
      </c>
      <c r="ER70">
        <v>1.86948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-0.223</v>
      </c>
      <c r="FG70">
        <v>7.6E-3</v>
      </c>
      <c r="FH70">
        <v>0.27827353915413472</v>
      </c>
      <c r="FI70">
        <v>-6.1462078757559423E-4</v>
      </c>
      <c r="FJ70">
        <v>-1.8861989874597051E-7</v>
      </c>
      <c r="FK70">
        <v>1.1980462299894961E-10</v>
      </c>
      <c r="FL70">
        <v>-3.2538871274648329E-2</v>
      </c>
      <c r="FM70">
        <v>-1.6848085045870601E-2</v>
      </c>
      <c r="FN70">
        <v>1.9789084769509481E-3</v>
      </c>
      <c r="FO70">
        <v>-2.7142391389806329E-5</v>
      </c>
      <c r="FP70">
        <v>3</v>
      </c>
      <c r="FQ70">
        <v>2158</v>
      </c>
      <c r="FR70">
        <v>1</v>
      </c>
      <c r="FS70">
        <v>19</v>
      </c>
      <c r="FT70">
        <v>18.600000000000001</v>
      </c>
      <c r="FU70">
        <v>18.600000000000001</v>
      </c>
      <c r="FV70">
        <v>1.7785599999999999</v>
      </c>
      <c r="FW70">
        <v>2.5866699999999998</v>
      </c>
      <c r="FX70">
        <v>1.5490699999999999</v>
      </c>
      <c r="FY70">
        <v>2.3290999999999999</v>
      </c>
      <c r="FZ70">
        <v>1.50146</v>
      </c>
      <c r="GA70">
        <v>2.32666</v>
      </c>
      <c r="GB70">
        <v>33.8735</v>
      </c>
      <c r="GC70">
        <v>23.982399999999998</v>
      </c>
      <c r="GD70">
        <v>19</v>
      </c>
      <c r="GE70">
        <v>282.988</v>
      </c>
      <c r="GF70">
        <v>580.88199999999995</v>
      </c>
      <c r="GG70">
        <v>23.395099999999999</v>
      </c>
      <c r="GH70">
        <v>26.4068</v>
      </c>
      <c r="GI70">
        <v>29.999700000000001</v>
      </c>
      <c r="GJ70">
        <v>26.5259</v>
      </c>
      <c r="GK70">
        <v>26.500299999999999</v>
      </c>
      <c r="GL70">
        <v>35.5518</v>
      </c>
      <c r="GM70">
        <v>-30</v>
      </c>
      <c r="GN70">
        <v>-30</v>
      </c>
      <c r="GO70">
        <v>23.460699999999999</v>
      </c>
      <c r="GP70">
        <v>800</v>
      </c>
      <c r="GQ70">
        <v>12.5298</v>
      </c>
      <c r="GR70">
        <v>99.703299999999999</v>
      </c>
      <c r="GS70">
        <v>99.5184</v>
      </c>
    </row>
    <row r="71" spans="1:201" x14ac:dyDescent="0.25">
      <c r="A71">
        <v>55</v>
      </c>
      <c r="B71">
        <v>1690218715</v>
      </c>
      <c r="C71">
        <v>694.5</v>
      </c>
      <c r="D71" t="s">
        <v>439</v>
      </c>
      <c r="E71" t="s">
        <v>440</v>
      </c>
      <c r="F71" t="s">
        <v>330</v>
      </c>
      <c r="H71">
        <v>1690218715</v>
      </c>
      <c r="I71">
        <f t="shared" si="0"/>
        <v>6.268929773409292E-4</v>
      </c>
      <c r="J71">
        <f t="shared" si="1"/>
        <v>0.62689297734092919</v>
      </c>
      <c r="K71">
        <f t="shared" si="2"/>
        <v>6.5555912479539353</v>
      </c>
      <c r="L71">
        <f t="shared" si="3"/>
        <v>724.36099999999999</v>
      </c>
      <c r="M71">
        <f t="shared" si="4"/>
        <v>272.70434168096119</v>
      </c>
      <c r="N71">
        <f t="shared" si="5"/>
        <v>27.045115450963891</v>
      </c>
      <c r="O71">
        <f t="shared" si="6"/>
        <v>71.837605343645905</v>
      </c>
      <c r="P71">
        <f t="shared" si="7"/>
        <v>2.4463119142117039E-2</v>
      </c>
      <c r="Q71">
        <f t="shared" si="8"/>
        <v>2.1324423945097521</v>
      </c>
      <c r="R71">
        <f t="shared" si="9"/>
        <v>2.4308274640272947E-2</v>
      </c>
      <c r="S71">
        <f t="shared" si="10"/>
        <v>1.5206502000524889E-2</v>
      </c>
      <c r="T71">
        <f t="shared" si="11"/>
        <v>276.11404580055682</v>
      </c>
      <c r="U71">
        <f t="shared" si="12"/>
        <v>27.673359718244207</v>
      </c>
      <c r="V71">
        <f t="shared" si="13"/>
        <v>27.673359718244207</v>
      </c>
      <c r="W71">
        <f t="shared" si="14"/>
        <v>3.7231757679846074</v>
      </c>
      <c r="X71">
        <f t="shared" si="15"/>
        <v>37.070030945990723</v>
      </c>
      <c r="Y71">
        <f t="shared" si="16"/>
        <v>1.22941745676954</v>
      </c>
      <c r="Z71">
        <f t="shared" si="17"/>
        <v>3.3164727015220001</v>
      </c>
      <c r="AA71">
        <f t="shared" si="18"/>
        <v>2.4937583112150676</v>
      </c>
      <c r="AB71">
        <f t="shared" si="19"/>
        <v>-27.645980300734976</v>
      </c>
      <c r="AC71">
        <f t="shared" si="20"/>
        <v>-225.90008958135709</v>
      </c>
      <c r="AD71">
        <f t="shared" si="21"/>
        <v>-22.791638647449275</v>
      </c>
      <c r="AE71">
        <f t="shared" si="22"/>
        <v>-0.22366272898452166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52683.569173130745</v>
      </c>
      <c r="AK71">
        <f t="shared" si="26"/>
        <v>1799.99</v>
      </c>
      <c r="AL71">
        <f t="shared" si="27"/>
        <v>1499.1024152069799</v>
      </c>
      <c r="AM71">
        <f t="shared" si="28"/>
        <v>0.832839302</v>
      </c>
      <c r="AN71">
        <f t="shared" si="29"/>
        <v>0.15339754432000002</v>
      </c>
      <c r="AO71">
        <v>32.4</v>
      </c>
      <c r="AP71">
        <v>0.5</v>
      </c>
      <c r="AQ71" t="s">
        <v>331</v>
      </c>
      <c r="AR71">
        <v>2</v>
      </c>
      <c r="AS71">
        <v>1690218715</v>
      </c>
      <c r="AT71">
        <v>724.36099999999999</v>
      </c>
      <c r="AU71">
        <v>800.02200000000005</v>
      </c>
      <c r="AV71">
        <v>12.396599999999999</v>
      </c>
      <c r="AW71">
        <v>5.71394</v>
      </c>
      <c r="AX71">
        <v>724.58199999999999</v>
      </c>
      <c r="AY71">
        <v>12.3858</v>
      </c>
      <c r="AZ71">
        <v>300.173</v>
      </c>
      <c r="BA71">
        <v>99.073800000000006</v>
      </c>
      <c r="BB71">
        <v>9.9961900000000006E-2</v>
      </c>
      <c r="BC71">
        <v>25.708400000000001</v>
      </c>
      <c r="BD71">
        <v>26.906600000000001</v>
      </c>
      <c r="BE71">
        <v>27.252600000000001</v>
      </c>
      <c r="BF71">
        <v>0</v>
      </c>
      <c r="BG71">
        <v>0</v>
      </c>
      <c r="BH71">
        <v>10013.799999999999</v>
      </c>
      <c r="BI71">
        <v>1061.28</v>
      </c>
      <c r="BJ71">
        <v>1.5137799999999999</v>
      </c>
      <c r="BK71">
        <v>-75.660899999999998</v>
      </c>
      <c r="BL71">
        <v>733.45299999999997</v>
      </c>
      <c r="BM71">
        <v>804.62</v>
      </c>
      <c r="BN71">
        <v>6.6826999999999996</v>
      </c>
      <c r="BO71">
        <v>800.02200000000005</v>
      </c>
      <c r="BP71">
        <v>5.71394</v>
      </c>
      <c r="BQ71">
        <v>1.22818</v>
      </c>
      <c r="BR71">
        <v>0.56610099999999997</v>
      </c>
      <c r="BS71">
        <v>9.9476099999999992</v>
      </c>
      <c r="BT71">
        <v>-1.1053299999999999</v>
      </c>
      <c r="BU71">
        <v>1799.99</v>
      </c>
      <c r="BV71">
        <v>0.90999300000000005</v>
      </c>
      <c r="BW71">
        <v>3.4000099999999998E-2</v>
      </c>
      <c r="BX71">
        <v>2.2002600000000001E-2</v>
      </c>
      <c r="BY71">
        <v>3.4003800000000001E-2</v>
      </c>
      <c r="BZ71">
        <v>25</v>
      </c>
      <c r="CA71">
        <v>33528.199999999997</v>
      </c>
      <c r="CB71">
        <v>1690217592</v>
      </c>
      <c r="CC71" t="s">
        <v>332</v>
      </c>
      <c r="CD71">
        <v>1690217586.5</v>
      </c>
      <c r="CE71">
        <v>1690217592</v>
      </c>
      <c r="CF71">
        <v>9</v>
      </c>
      <c r="CG71">
        <v>0.11600000000000001</v>
      </c>
      <c r="CH71">
        <v>-3.0000000000000001E-3</v>
      </c>
      <c r="CI71">
        <v>-0.27300000000000002</v>
      </c>
      <c r="CJ71">
        <v>-6.9000000000000006E-2</v>
      </c>
      <c r="CK71">
        <v>800</v>
      </c>
      <c r="CL71">
        <v>6</v>
      </c>
      <c r="CM71">
        <v>0.01</v>
      </c>
      <c r="CN71">
        <v>0.01</v>
      </c>
      <c r="CO71">
        <v>-72.422421951219519</v>
      </c>
      <c r="CP71">
        <v>-18.337599303135811</v>
      </c>
      <c r="CQ71">
        <v>1.8082688973512491</v>
      </c>
      <c r="CR71">
        <v>-1</v>
      </c>
      <c r="CS71">
        <v>6.5044746341463409</v>
      </c>
      <c r="CT71">
        <v>1.010212682926841</v>
      </c>
      <c r="CU71">
        <v>9.9609822639785753E-2</v>
      </c>
      <c r="CV71">
        <v>-1</v>
      </c>
      <c r="CW71">
        <v>0</v>
      </c>
      <c r="CX71">
        <v>0</v>
      </c>
      <c r="CY71" t="s">
        <v>333</v>
      </c>
      <c r="CZ71">
        <v>2.3643399999999999</v>
      </c>
      <c r="DA71">
        <v>2.7137600000000002</v>
      </c>
      <c r="DB71">
        <v>0.13702</v>
      </c>
      <c r="DC71">
        <v>0.14602699999999999</v>
      </c>
      <c r="DD71">
        <v>7.0757799999999996E-2</v>
      </c>
      <c r="DE71">
        <v>3.7886599999999999E-2</v>
      </c>
      <c r="DF71">
        <v>31499.9</v>
      </c>
      <c r="DG71">
        <v>27508.2</v>
      </c>
      <c r="DH71">
        <v>31162.2</v>
      </c>
      <c r="DI71">
        <v>28069.1</v>
      </c>
      <c r="DJ71">
        <v>39327.5</v>
      </c>
      <c r="DK71">
        <v>38403.300000000003</v>
      </c>
      <c r="DL71">
        <v>44345.3</v>
      </c>
      <c r="DM71">
        <v>42541.599999999999</v>
      </c>
      <c r="DN71">
        <v>1.47505</v>
      </c>
      <c r="DO71">
        <v>2.0315500000000002</v>
      </c>
      <c r="DP71">
        <v>0.132822</v>
      </c>
      <c r="DQ71">
        <v>0.16575300000000001</v>
      </c>
      <c r="DR71">
        <v>24.7303</v>
      </c>
      <c r="DS71">
        <v>24.536899999999999</v>
      </c>
      <c r="DT71">
        <v>16.8</v>
      </c>
      <c r="DU71">
        <v>29.8</v>
      </c>
      <c r="DV71">
        <v>7.1425099999999997</v>
      </c>
      <c r="DW71">
        <v>61.598599999999998</v>
      </c>
      <c r="DX71">
        <v>35.861400000000003</v>
      </c>
      <c r="DY71">
        <v>1</v>
      </c>
      <c r="DZ71">
        <v>-7.8229199999999999E-2</v>
      </c>
      <c r="EA71">
        <v>0.10044699999999999</v>
      </c>
      <c r="EB71">
        <v>20.190000000000001</v>
      </c>
      <c r="EC71">
        <v>5.24125</v>
      </c>
      <c r="ED71">
        <v>12.039899999999999</v>
      </c>
      <c r="EE71">
        <v>5.0168999999999997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1.8689199999999999</v>
      </c>
      <c r="EL71">
        <v>1.8646799999999999</v>
      </c>
      <c r="EM71">
        <v>1.8691800000000001</v>
      </c>
      <c r="EN71">
        <v>1.86724</v>
      </c>
      <c r="EO71">
        <v>1.8633999999999999</v>
      </c>
      <c r="EP71">
        <v>1.8645400000000001</v>
      </c>
      <c r="EQ71">
        <v>1.87018</v>
      </c>
      <c r="ER71">
        <v>1.86947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-0.221</v>
      </c>
      <c r="FG71">
        <v>1.0800000000000001E-2</v>
      </c>
      <c r="FH71">
        <v>0.27827353915413472</v>
      </c>
      <c r="FI71">
        <v>-6.1462078757559423E-4</v>
      </c>
      <c r="FJ71">
        <v>-1.8861989874597051E-7</v>
      </c>
      <c r="FK71">
        <v>1.1980462299894961E-10</v>
      </c>
      <c r="FL71">
        <v>-3.2538871274648329E-2</v>
      </c>
      <c r="FM71">
        <v>-1.6848085045870601E-2</v>
      </c>
      <c r="FN71">
        <v>1.9789084769509481E-3</v>
      </c>
      <c r="FO71">
        <v>-2.7142391389806329E-5</v>
      </c>
      <c r="FP71">
        <v>3</v>
      </c>
      <c r="FQ71">
        <v>2158</v>
      </c>
      <c r="FR71">
        <v>1</v>
      </c>
      <c r="FS71">
        <v>19</v>
      </c>
      <c r="FT71">
        <v>18.8</v>
      </c>
      <c r="FU71">
        <v>18.7</v>
      </c>
      <c r="FV71">
        <v>1.7785599999999999</v>
      </c>
      <c r="FW71">
        <v>2.5854499999999998</v>
      </c>
      <c r="FX71">
        <v>1.5490699999999999</v>
      </c>
      <c r="FY71">
        <v>2.3290999999999999</v>
      </c>
      <c r="FZ71">
        <v>1.50146</v>
      </c>
      <c r="GA71">
        <v>2.3120099999999999</v>
      </c>
      <c r="GB71">
        <v>33.850900000000003</v>
      </c>
      <c r="GC71">
        <v>23.982399999999998</v>
      </c>
      <c r="GD71">
        <v>19</v>
      </c>
      <c r="GE71">
        <v>283.14499999999998</v>
      </c>
      <c r="GF71">
        <v>580.98099999999999</v>
      </c>
      <c r="GG71">
        <v>23.525400000000001</v>
      </c>
      <c r="GH71">
        <v>26.398499999999999</v>
      </c>
      <c r="GI71">
        <v>29.999700000000001</v>
      </c>
      <c r="GJ71">
        <v>26.522400000000001</v>
      </c>
      <c r="GK71">
        <v>26.498000000000001</v>
      </c>
      <c r="GL71">
        <v>35.5501</v>
      </c>
      <c r="GM71">
        <v>-30</v>
      </c>
      <c r="GN71">
        <v>-30</v>
      </c>
      <c r="GO71">
        <v>23.5852</v>
      </c>
      <c r="GP71">
        <v>800</v>
      </c>
      <c r="GQ71">
        <v>12.5298</v>
      </c>
      <c r="GR71">
        <v>99.703800000000001</v>
      </c>
      <c r="GS71">
        <v>99.520899999999997</v>
      </c>
    </row>
    <row r="72" spans="1:201" x14ac:dyDescent="0.25">
      <c r="A72">
        <v>56</v>
      </c>
      <c r="B72">
        <v>1690218725</v>
      </c>
      <c r="C72">
        <v>704.5</v>
      </c>
      <c r="D72" t="s">
        <v>441</v>
      </c>
      <c r="E72" t="s">
        <v>442</v>
      </c>
      <c r="F72" t="s">
        <v>330</v>
      </c>
      <c r="H72">
        <v>1690218725</v>
      </c>
      <c r="I72">
        <f t="shared" si="0"/>
        <v>6.4296570998395163E-4</v>
      </c>
      <c r="J72">
        <f t="shared" si="1"/>
        <v>0.64296570998395164</v>
      </c>
      <c r="K72">
        <f t="shared" si="2"/>
        <v>6.8312372306932003</v>
      </c>
      <c r="L72">
        <f t="shared" si="3"/>
        <v>721.27</v>
      </c>
      <c r="M72">
        <f t="shared" si="4"/>
        <v>265.34248762295482</v>
      </c>
      <c r="N72">
        <f t="shared" si="5"/>
        <v>26.31483058492336</v>
      </c>
      <c r="O72">
        <f t="shared" si="6"/>
        <v>71.530564238011991</v>
      </c>
      <c r="P72">
        <f t="shared" si="7"/>
        <v>2.5227266756390136E-2</v>
      </c>
      <c r="Q72">
        <f t="shared" si="8"/>
        <v>2.1323526667033019</v>
      </c>
      <c r="R72">
        <f t="shared" si="9"/>
        <v>2.5062625751351424E-2</v>
      </c>
      <c r="S72">
        <f t="shared" si="10"/>
        <v>1.5678843754603981E-2</v>
      </c>
      <c r="T72">
        <f t="shared" si="11"/>
        <v>276.11542004400002</v>
      </c>
      <c r="U72">
        <f t="shared" si="12"/>
        <v>27.689601114780178</v>
      </c>
      <c r="V72">
        <f t="shared" si="13"/>
        <v>27.689601114780178</v>
      </c>
      <c r="W72">
        <f t="shared" si="14"/>
        <v>3.7267109777930738</v>
      </c>
      <c r="X72">
        <f t="shared" si="15"/>
        <v>37.529881433516671</v>
      </c>
      <c r="Y72">
        <f t="shared" si="16"/>
        <v>1.2462782891425199</v>
      </c>
      <c r="Z72">
        <f t="shared" si="17"/>
        <v>3.320762660415737</v>
      </c>
      <c r="AA72">
        <f t="shared" si="18"/>
        <v>2.4804326886505539</v>
      </c>
      <c r="AB72">
        <f t="shared" si="19"/>
        <v>-28.354787810292265</v>
      </c>
      <c r="AC72">
        <f t="shared" si="20"/>
        <v>-225.25157057220113</v>
      </c>
      <c r="AD72">
        <f t="shared" si="21"/>
        <v>-22.731490393168627</v>
      </c>
      <c r="AE72">
        <f t="shared" si="22"/>
        <v>-0.22242873166200638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52675.82158169421</v>
      </c>
      <c r="AK72">
        <f t="shared" si="26"/>
        <v>1800</v>
      </c>
      <c r="AL72">
        <f t="shared" si="27"/>
        <v>1499.1117263999997</v>
      </c>
      <c r="AM72">
        <f t="shared" si="28"/>
        <v>0.83283984799999988</v>
      </c>
      <c r="AN72">
        <f t="shared" si="29"/>
        <v>0.15339745558000001</v>
      </c>
      <c r="AO72">
        <v>32.4</v>
      </c>
      <c r="AP72">
        <v>0.5</v>
      </c>
      <c r="AQ72" t="s">
        <v>331</v>
      </c>
      <c r="AR72">
        <v>2</v>
      </c>
      <c r="AS72">
        <v>1690218725</v>
      </c>
      <c r="AT72">
        <v>721.27</v>
      </c>
      <c r="AU72">
        <v>800.01099999999997</v>
      </c>
      <c r="AV72">
        <v>12.566700000000001</v>
      </c>
      <c r="AW72">
        <v>5.7138400000000003</v>
      </c>
      <c r="AX72">
        <v>721.48800000000006</v>
      </c>
      <c r="AY72">
        <v>12.5526</v>
      </c>
      <c r="AZ72">
        <v>300.17099999999999</v>
      </c>
      <c r="BA72">
        <v>99.073099999999997</v>
      </c>
      <c r="BB72">
        <v>9.9975599999999998E-2</v>
      </c>
      <c r="BC72">
        <v>25.7302</v>
      </c>
      <c r="BD72">
        <v>26.9604</v>
      </c>
      <c r="BE72">
        <v>27.273</v>
      </c>
      <c r="BF72">
        <v>0</v>
      </c>
      <c r="BG72">
        <v>0</v>
      </c>
      <c r="BH72">
        <v>10013.1</v>
      </c>
      <c r="BI72">
        <v>1061.45</v>
      </c>
      <c r="BJ72">
        <v>1.1493599999999999</v>
      </c>
      <c r="BK72">
        <v>-78.741</v>
      </c>
      <c r="BL72">
        <v>730.44899999999996</v>
      </c>
      <c r="BM72">
        <v>804.60799999999995</v>
      </c>
      <c r="BN72">
        <v>6.8528200000000004</v>
      </c>
      <c r="BO72">
        <v>800.01099999999997</v>
      </c>
      <c r="BP72">
        <v>5.7138400000000003</v>
      </c>
      <c r="BQ72">
        <v>1.24502</v>
      </c>
      <c r="BR72">
        <v>0.56608800000000004</v>
      </c>
      <c r="BS72">
        <v>10.151</v>
      </c>
      <c r="BT72">
        <v>-1.10565</v>
      </c>
      <c r="BU72">
        <v>1800</v>
      </c>
      <c r="BV72">
        <v>0.90999799999999997</v>
      </c>
      <c r="BW72">
        <v>3.3998300000000002E-2</v>
      </c>
      <c r="BX72">
        <v>2.2001400000000001E-2</v>
      </c>
      <c r="BY72">
        <v>3.4001999999999998E-2</v>
      </c>
      <c r="BZ72">
        <v>25</v>
      </c>
      <c r="CA72">
        <v>33528.300000000003</v>
      </c>
      <c r="CB72">
        <v>1690217592</v>
      </c>
      <c r="CC72" t="s">
        <v>332</v>
      </c>
      <c r="CD72">
        <v>1690217586.5</v>
      </c>
      <c r="CE72">
        <v>1690217592</v>
      </c>
      <c r="CF72">
        <v>9</v>
      </c>
      <c r="CG72">
        <v>0.11600000000000001</v>
      </c>
      <c r="CH72">
        <v>-3.0000000000000001E-3</v>
      </c>
      <c r="CI72">
        <v>-0.27300000000000002</v>
      </c>
      <c r="CJ72">
        <v>-6.9000000000000006E-2</v>
      </c>
      <c r="CK72">
        <v>800</v>
      </c>
      <c r="CL72">
        <v>6</v>
      </c>
      <c r="CM72">
        <v>0.01</v>
      </c>
      <c r="CN72">
        <v>0.01</v>
      </c>
      <c r="CO72">
        <v>-75.492902439024391</v>
      </c>
      <c r="CP72">
        <v>-18.529187456445971</v>
      </c>
      <c r="CQ72">
        <v>1.8272679506992371</v>
      </c>
      <c r="CR72">
        <v>-1</v>
      </c>
      <c r="CS72">
        <v>6.6737095121951224</v>
      </c>
      <c r="CT72">
        <v>1.0216051567944251</v>
      </c>
      <c r="CU72">
        <v>0.1007325527337109</v>
      </c>
      <c r="CV72">
        <v>-1</v>
      </c>
      <c r="CW72">
        <v>0</v>
      </c>
      <c r="CX72">
        <v>0</v>
      </c>
      <c r="CY72" t="s">
        <v>333</v>
      </c>
      <c r="CZ72">
        <v>2.36435</v>
      </c>
      <c r="DA72">
        <v>2.7137799999999999</v>
      </c>
      <c r="DB72">
        <v>0.136626</v>
      </c>
      <c r="DC72">
        <v>0.14602499999999999</v>
      </c>
      <c r="DD72">
        <v>7.1476300000000006E-2</v>
      </c>
      <c r="DE72">
        <v>3.7886099999999999E-2</v>
      </c>
      <c r="DF72">
        <v>31514.5</v>
      </c>
      <c r="DG72">
        <v>27508.400000000001</v>
      </c>
      <c r="DH72">
        <v>31162.3</v>
      </c>
      <c r="DI72">
        <v>28069.200000000001</v>
      </c>
      <c r="DJ72">
        <v>39297.199999999997</v>
      </c>
      <c r="DK72">
        <v>38403.5</v>
      </c>
      <c r="DL72">
        <v>44345.8</v>
      </c>
      <c r="DM72">
        <v>42541.8</v>
      </c>
      <c r="DN72">
        <v>1.4749300000000001</v>
      </c>
      <c r="DO72">
        <v>2.0314800000000002</v>
      </c>
      <c r="DP72">
        <v>0.13610700000000001</v>
      </c>
      <c r="DQ72">
        <v>0.16681099999999999</v>
      </c>
      <c r="DR72">
        <v>24.7303</v>
      </c>
      <c r="DS72">
        <v>24.540099999999999</v>
      </c>
      <c r="DT72">
        <v>16.8</v>
      </c>
      <c r="DU72">
        <v>29.8</v>
      </c>
      <c r="DV72">
        <v>7.1420399999999997</v>
      </c>
      <c r="DW72">
        <v>61.498600000000003</v>
      </c>
      <c r="DX72">
        <v>36.049700000000001</v>
      </c>
      <c r="DY72">
        <v>1</v>
      </c>
      <c r="DZ72">
        <v>-7.8704300000000005E-2</v>
      </c>
      <c r="EA72">
        <v>0.14832000000000001</v>
      </c>
      <c r="EB72">
        <v>20.189900000000002</v>
      </c>
      <c r="EC72">
        <v>5.2413999999999996</v>
      </c>
      <c r="ED72">
        <v>12.039899999999999</v>
      </c>
      <c r="EE72">
        <v>5.0167000000000002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1.86896</v>
      </c>
      <c r="EL72">
        <v>1.86469</v>
      </c>
      <c r="EM72">
        <v>1.8692</v>
      </c>
      <c r="EN72">
        <v>1.8672599999999999</v>
      </c>
      <c r="EO72">
        <v>1.86341</v>
      </c>
      <c r="EP72">
        <v>1.8645799999999999</v>
      </c>
      <c r="EQ72">
        <v>1.87018</v>
      </c>
      <c r="ER72">
        <v>1.8694599999999999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-0.218</v>
      </c>
      <c r="FG72">
        <v>1.41E-2</v>
      </c>
      <c r="FH72">
        <v>0.27827353915413472</v>
      </c>
      <c r="FI72">
        <v>-6.1462078757559423E-4</v>
      </c>
      <c r="FJ72">
        <v>-1.8861989874597051E-7</v>
      </c>
      <c r="FK72">
        <v>1.1980462299894961E-10</v>
      </c>
      <c r="FL72">
        <v>-3.2538871274648329E-2</v>
      </c>
      <c r="FM72">
        <v>-1.6848085045870601E-2</v>
      </c>
      <c r="FN72">
        <v>1.9789084769509481E-3</v>
      </c>
      <c r="FO72">
        <v>-2.7142391389806329E-5</v>
      </c>
      <c r="FP72">
        <v>3</v>
      </c>
      <c r="FQ72">
        <v>2158</v>
      </c>
      <c r="FR72">
        <v>1</v>
      </c>
      <c r="FS72">
        <v>19</v>
      </c>
      <c r="FT72">
        <v>19</v>
      </c>
      <c r="FU72">
        <v>18.899999999999999</v>
      </c>
      <c r="FV72">
        <v>1.7785599999999999</v>
      </c>
      <c r="FW72">
        <v>2.5866699999999998</v>
      </c>
      <c r="FX72">
        <v>1.5490699999999999</v>
      </c>
      <c r="FY72">
        <v>2.3290999999999999</v>
      </c>
      <c r="FZ72">
        <v>1.50146</v>
      </c>
      <c r="GA72">
        <v>2.3327599999999999</v>
      </c>
      <c r="GB72">
        <v>33.850900000000003</v>
      </c>
      <c r="GC72">
        <v>23.982399999999998</v>
      </c>
      <c r="GD72">
        <v>19</v>
      </c>
      <c r="GE72">
        <v>283.07400000000001</v>
      </c>
      <c r="GF72">
        <v>580.88800000000003</v>
      </c>
      <c r="GG72">
        <v>23.627700000000001</v>
      </c>
      <c r="GH72">
        <v>26.391200000000001</v>
      </c>
      <c r="GI72">
        <v>29.9999</v>
      </c>
      <c r="GJ72">
        <v>26.5185</v>
      </c>
      <c r="GK72">
        <v>26.4953</v>
      </c>
      <c r="GL72">
        <v>35.5486</v>
      </c>
      <c r="GM72">
        <v>-30</v>
      </c>
      <c r="GN72">
        <v>-30</v>
      </c>
      <c r="GO72">
        <v>23.636199999999999</v>
      </c>
      <c r="GP72">
        <v>800</v>
      </c>
      <c r="GQ72">
        <v>12.5298</v>
      </c>
      <c r="GR72">
        <v>99.704599999999999</v>
      </c>
      <c r="GS72">
        <v>99.5214</v>
      </c>
    </row>
    <row r="73" spans="1:201" x14ac:dyDescent="0.25">
      <c r="A73">
        <v>57</v>
      </c>
      <c r="B73">
        <v>1690218735</v>
      </c>
      <c r="C73">
        <v>714.5</v>
      </c>
      <c r="D73" t="s">
        <v>443</v>
      </c>
      <c r="E73" t="s">
        <v>444</v>
      </c>
      <c r="F73" t="s">
        <v>330</v>
      </c>
      <c r="H73">
        <v>1690218735</v>
      </c>
      <c r="I73">
        <f t="shared" si="0"/>
        <v>6.5986901520401491E-4</v>
      </c>
      <c r="J73">
        <f t="shared" si="1"/>
        <v>0.65986901520401486</v>
      </c>
      <c r="K73">
        <f t="shared" si="2"/>
        <v>7.1097767492289954</v>
      </c>
      <c r="L73">
        <f t="shared" si="3"/>
        <v>718.20299999999997</v>
      </c>
      <c r="M73">
        <f t="shared" si="4"/>
        <v>258.88374245523062</v>
      </c>
      <c r="N73">
        <f t="shared" si="5"/>
        <v>25.673831592708076</v>
      </c>
      <c r="O73">
        <f t="shared" si="6"/>
        <v>71.225109373433995</v>
      </c>
      <c r="P73">
        <f t="shared" si="7"/>
        <v>2.6039572121007895E-2</v>
      </c>
      <c r="Q73">
        <f t="shared" si="8"/>
        <v>2.1326911604955523</v>
      </c>
      <c r="R73">
        <f t="shared" si="9"/>
        <v>2.5864225105654493E-2</v>
      </c>
      <c r="S73">
        <f t="shared" si="10"/>
        <v>1.6180796385966912E-2</v>
      </c>
      <c r="T73">
        <f t="shared" si="11"/>
        <v>276.11372633833162</v>
      </c>
      <c r="U73">
        <f t="shared" si="12"/>
        <v>27.705271572333189</v>
      </c>
      <c r="V73">
        <f t="shared" si="13"/>
        <v>27.705271572333189</v>
      </c>
      <c r="W73">
        <f t="shared" si="14"/>
        <v>3.7301246893204634</v>
      </c>
      <c r="X73">
        <f t="shared" si="15"/>
        <v>38.00483243750908</v>
      </c>
      <c r="Y73">
        <f t="shared" si="16"/>
        <v>1.2636900099149999</v>
      </c>
      <c r="Z73">
        <f t="shared" si="17"/>
        <v>3.3250771779953805</v>
      </c>
      <c r="AA73">
        <f t="shared" si="18"/>
        <v>2.4664346794054635</v>
      </c>
      <c r="AB73">
        <f t="shared" si="19"/>
        <v>-29.100223570497057</v>
      </c>
      <c r="AC73">
        <f t="shared" si="20"/>
        <v>-224.5710693175368</v>
      </c>
      <c r="AD73">
        <f t="shared" si="21"/>
        <v>-22.663479357267843</v>
      </c>
      <c r="AE73">
        <f t="shared" si="22"/>
        <v>-0.2210459069700903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52686.584344260264</v>
      </c>
      <c r="AK73">
        <f t="shared" si="26"/>
        <v>1799.99</v>
      </c>
      <c r="AL73">
        <f t="shared" si="27"/>
        <v>1499.10438079606</v>
      </c>
      <c r="AM73">
        <f t="shared" si="28"/>
        <v>0.83284039399999998</v>
      </c>
      <c r="AN73">
        <f t="shared" si="29"/>
        <v>0.15339736683999999</v>
      </c>
      <c r="AO73">
        <v>32.4</v>
      </c>
      <c r="AP73">
        <v>0.5</v>
      </c>
      <c r="AQ73" t="s">
        <v>331</v>
      </c>
      <c r="AR73">
        <v>2</v>
      </c>
      <c r="AS73">
        <v>1690218735</v>
      </c>
      <c r="AT73">
        <v>718.20299999999997</v>
      </c>
      <c r="AU73">
        <v>800.03899999999999</v>
      </c>
      <c r="AV73">
        <v>12.7425</v>
      </c>
      <c r="AW73">
        <v>5.7125599999999999</v>
      </c>
      <c r="AX73">
        <v>718.41899999999998</v>
      </c>
      <c r="AY73">
        <v>12.7249</v>
      </c>
      <c r="AZ73">
        <v>300.24900000000002</v>
      </c>
      <c r="BA73">
        <v>99.071200000000005</v>
      </c>
      <c r="BB73">
        <v>0.100078</v>
      </c>
      <c r="BC73">
        <v>25.752099999999999</v>
      </c>
      <c r="BD73">
        <v>27.043500000000002</v>
      </c>
      <c r="BE73">
        <v>27.3096</v>
      </c>
      <c r="BF73">
        <v>0</v>
      </c>
      <c r="BG73">
        <v>0</v>
      </c>
      <c r="BH73">
        <v>10016.200000000001</v>
      </c>
      <c r="BI73">
        <v>1061.5899999999999</v>
      </c>
      <c r="BJ73">
        <v>1.2334499999999999</v>
      </c>
      <c r="BK73">
        <v>-81.835999999999999</v>
      </c>
      <c r="BL73">
        <v>727.47299999999996</v>
      </c>
      <c r="BM73">
        <v>804.63599999999997</v>
      </c>
      <c r="BN73">
        <v>7.02989</v>
      </c>
      <c r="BO73">
        <v>800.03899999999999</v>
      </c>
      <c r="BP73">
        <v>5.7125599999999999</v>
      </c>
      <c r="BQ73">
        <v>1.26241</v>
      </c>
      <c r="BR73">
        <v>0.56595099999999998</v>
      </c>
      <c r="BS73">
        <v>10.358599999999999</v>
      </c>
      <c r="BT73">
        <v>-1.1089599999999999</v>
      </c>
      <c r="BU73">
        <v>1799.99</v>
      </c>
      <c r="BV73">
        <v>0.91000300000000001</v>
      </c>
      <c r="BW73">
        <v>3.3996499999999999E-2</v>
      </c>
      <c r="BX73">
        <v>2.2000200000000001E-2</v>
      </c>
      <c r="BY73">
        <v>3.4000200000000001E-2</v>
      </c>
      <c r="BZ73">
        <v>25</v>
      </c>
      <c r="CA73">
        <v>33528.300000000003</v>
      </c>
      <c r="CB73">
        <v>1690217592</v>
      </c>
      <c r="CC73" t="s">
        <v>332</v>
      </c>
      <c r="CD73">
        <v>1690217586.5</v>
      </c>
      <c r="CE73">
        <v>1690217592</v>
      </c>
      <c r="CF73">
        <v>9</v>
      </c>
      <c r="CG73">
        <v>0.11600000000000001</v>
      </c>
      <c r="CH73">
        <v>-3.0000000000000001E-3</v>
      </c>
      <c r="CI73">
        <v>-0.27300000000000002</v>
      </c>
      <c r="CJ73">
        <v>-6.9000000000000006E-2</v>
      </c>
      <c r="CK73">
        <v>800</v>
      </c>
      <c r="CL73">
        <v>6</v>
      </c>
      <c r="CM73">
        <v>0.01</v>
      </c>
      <c r="CN73">
        <v>0.01</v>
      </c>
      <c r="CO73">
        <v>-78.266360975609757</v>
      </c>
      <c r="CP73">
        <v>-18.334850174216012</v>
      </c>
      <c r="CQ73">
        <v>1.808072684012515</v>
      </c>
      <c r="CR73">
        <v>-1</v>
      </c>
      <c r="CS73">
        <v>6.82842780487805</v>
      </c>
      <c r="CT73">
        <v>1.039530731707321</v>
      </c>
      <c r="CU73">
        <v>0.1025051190515225</v>
      </c>
      <c r="CV73">
        <v>-1</v>
      </c>
      <c r="CW73">
        <v>0</v>
      </c>
      <c r="CX73">
        <v>0</v>
      </c>
      <c r="CY73" t="s">
        <v>333</v>
      </c>
      <c r="CZ73">
        <v>2.3645999999999998</v>
      </c>
      <c r="DA73">
        <v>2.7138900000000001</v>
      </c>
      <c r="DB73">
        <v>0.13623199999999999</v>
      </c>
      <c r="DC73">
        <v>0.14602699999999999</v>
      </c>
      <c r="DD73">
        <v>7.2214399999999998E-2</v>
      </c>
      <c r="DE73">
        <v>3.7878799999999997E-2</v>
      </c>
      <c r="DF73">
        <v>31529.200000000001</v>
      </c>
      <c r="DG73">
        <v>27508.6</v>
      </c>
      <c r="DH73">
        <v>31162.6</v>
      </c>
      <c r="DI73">
        <v>28069.5</v>
      </c>
      <c r="DJ73">
        <v>39265.9</v>
      </c>
      <c r="DK73">
        <v>38404.199999999997</v>
      </c>
      <c r="DL73">
        <v>44346</v>
      </c>
      <c r="DM73">
        <v>42542.3</v>
      </c>
      <c r="DN73">
        <v>1.4753700000000001</v>
      </c>
      <c r="DO73">
        <v>2.0318200000000002</v>
      </c>
      <c r="DP73">
        <v>0.14106199999999999</v>
      </c>
      <c r="DQ73">
        <v>0.16864399999999999</v>
      </c>
      <c r="DR73">
        <v>24.732299999999999</v>
      </c>
      <c r="DS73">
        <v>24.546800000000001</v>
      </c>
      <c r="DT73">
        <v>16.8</v>
      </c>
      <c r="DU73">
        <v>29.8</v>
      </c>
      <c r="DV73">
        <v>7.1414099999999996</v>
      </c>
      <c r="DW73">
        <v>61.578600000000002</v>
      </c>
      <c r="DX73">
        <v>35.973599999999998</v>
      </c>
      <c r="DY73">
        <v>1</v>
      </c>
      <c r="DZ73">
        <v>-7.9044699999999996E-2</v>
      </c>
      <c r="EA73">
        <v>0.20846100000000001</v>
      </c>
      <c r="EB73">
        <v>20.189900000000002</v>
      </c>
      <c r="EC73">
        <v>5.2416999999999998</v>
      </c>
      <c r="ED73">
        <v>12.039899999999999</v>
      </c>
      <c r="EE73">
        <v>5.0166500000000003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1.86894</v>
      </c>
      <c r="EL73">
        <v>1.86466</v>
      </c>
      <c r="EM73">
        <v>1.8692</v>
      </c>
      <c r="EN73">
        <v>1.86727</v>
      </c>
      <c r="EO73">
        <v>1.86341</v>
      </c>
      <c r="EP73">
        <v>1.86456</v>
      </c>
      <c r="EQ73">
        <v>1.87015</v>
      </c>
      <c r="ER73">
        <v>1.8694900000000001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-0.216</v>
      </c>
      <c r="FG73">
        <v>1.7600000000000001E-2</v>
      </c>
      <c r="FH73">
        <v>0.27827353915413472</v>
      </c>
      <c r="FI73">
        <v>-6.1462078757559423E-4</v>
      </c>
      <c r="FJ73">
        <v>-1.8861989874597051E-7</v>
      </c>
      <c r="FK73">
        <v>1.1980462299894961E-10</v>
      </c>
      <c r="FL73">
        <v>-3.2538871274648329E-2</v>
      </c>
      <c r="FM73">
        <v>-1.6848085045870601E-2</v>
      </c>
      <c r="FN73">
        <v>1.9789084769509481E-3</v>
      </c>
      <c r="FO73">
        <v>-2.7142391389806329E-5</v>
      </c>
      <c r="FP73">
        <v>3</v>
      </c>
      <c r="FQ73">
        <v>2158</v>
      </c>
      <c r="FR73">
        <v>1</v>
      </c>
      <c r="FS73">
        <v>19</v>
      </c>
      <c r="FT73">
        <v>19.100000000000001</v>
      </c>
      <c r="FU73">
        <v>19.100000000000001</v>
      </c>
      <c r="FV73">
        <v>1.7773399999999999</v>
      </c>
      <c r="FW73">
        <v>2.5830099999999998</v>
      </c>
      <c r="FX73">
        <v>1.5490699999999999</v>
      </c>
      <c r="FY73">
        <v>2.3290999999999999</v>
      </c>
      <c r="FZ73">
        <v>1.50146</v>
      </c>
      <c r="GA73">
        <v>2.36694</v>
      </c>
      <c r="GB73">
        <v>33.850900000000003</v>
      </c>
      <c r="GC73">
        <v>23.982399999999998</v>
      </c>
      <c r="GD73">
        <v>19</v>
      </c>
      <c r="GE73">
        <v>283.24900000000002</v>
      </c>
      <c r="GF73">
        <v>581.13900000000001</v>
      </c>
      <c r="GG73">
        <v>23.664899999999999</v>
      </c>
      <c r="GH73">
        <v>26.383500000000002</v>
      </c>
      <c r="GI73">
        <v>29.9999</v>
      </c>
      <c r="GJ73">
        <v>26.514600000000002</v>
      </c>
      <c r="GK73">
        <v>26.492000000000001</v>
      </c>
      <c r="GL73">
        <v>35.547400000000003</v>
      </c>
      <c r="GM73">
        <v>-30</v>
      </c>
      <c r="GN73">
        <v>-30</v>
      </c>
      <c r="GO73">
        <v>22.934000000000001</v>
      </c>
      <c r="GP73">
        <v>800</v>
      </c>
      <c r="GQ73">
        <v>12.5298</v>
      </c>
      <c r="GR73">
        <v>99.705299999999994</v>
      </c>
      <c r="GS73">
        <v>99.522499999999994</v>
      </c>
    </row>
    <row r="74" spans="1:201" x14ac:dyDescent="0.25">
      <c r="A74">
        <v>58</v>
      </c>
      <c r="B74">
        <v>1690218745</v>
      </c>
      <c r="C74">
        <v>724.5</v>
      </c>
      <c r="D74" t="s">
        <v>445</v>
      </c>
      <c r="E74" t="s">
        <v>446</v>
      </c>
      <c r="F74" t="s">
        <v>330</v>
      </c>
      <c r="H74">
        <v>1690218745</v>
      </c>
      <c r="I74">
        <f t="shared" si="0"/>
        <v>6.7518518450980221E-4</v>
      </c>
      <c r="J74">
        <f t="shared" si="1"/>
        <v>0.67518518450980225</v>
      </c>
      <c r="K74">
        <f t="shared" si="2"/>
        <v>7.3943066175199172</v>
      </c>
      <c r="L74">
        <f t="shared" si="3"/>
        <v>715.00300000000004</v>
      </c>
      <c r="M74">
        <f t="shared" si="4"/>
        <v>252.87504818246595</v>
      </c>
      <c r="N74">
        <f t="shared" si="5"/>
        <v>25.078499797798063</v>
      </c>
      <c r="O74">
        <f t="shared" si="6"/>
        <v>70.909339295455013</v>
      </c>
      <c r="P74">
        <f t="shared" si="7"/>
        <v>2.6892351771740524E-2</v>
      </c>
      <c r="Q74">
        <f t="shared" si="8"/>
        <v>2.1340327117398949</v>
      </c>
      <c r="R74">
        <f t="shared" si="9"/>
        <v>2.670549284342395E-2</v>
      </c>
      <c r="S74">
        <f t="shared" si="10"/>
        <v>1.6707613219295207E-2</v>
      </c>
      <c r="T74">
        <f t="shared" si="11"/>
        <v>276.11518838399991</v>
      </c>
      <c r="U74">
        <f t="shared" si="12"/>
        <v>27.67716750919319</v>
      </c>
      <c r="V74">
        <f t="shared" si="13"/>
        <v>27.67716750919319</v>
      </c>
      <c r="W74">
        <f t="shared" si="14"/>
        <v>3.7240043342317581</v>
      </c>
      <c r="X74">
        <f t="shared" si="15"/>
        <v>38.541693015631118</v>
      </c>
      <c r="Y74">
        <f t="shared" si="16"/>
        <v>1.2798933280159999</v>
      </c>
      <c r="Z74">
        <f t="shared" si="17"/>
        <v>3.3208020402656451</v>
      </c>
      <c r="AA74">
        <f t="shared" si="18"/>
        <v>2.4441110062157581</v>
      </c>
      <c r="AB74">
        <f t="shared" si="19"/>
        <v>-29.775666636882278</v>
      </c>
      <c r="AC74">
        <f t="shared" si="20"/>
        <v>-223.97554655750008</v>
      </c>
      <c r="AD74">
        <f t="shared" si="21"/>
        <v>-22.583538976095543</v>
      </c>
      <c r="AE74">
        <f t="shared" si="22"/>
        <v>-0.21956378647800534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52748.617774828381</v>
      </c>
      <c r="AK74">
        <f t="shared" si="26"/>
        <v>1800</v>
      </c>
      <c r="AL74">
        <f t="shared" si="27"/>
        <v>1499.1143993999999</v>
      </c>
      <c r="AM74">
        <f t="shared" si="28"/>
        <v>0.83284133299999996</v>
      </c>
      <c r="AN74">
        <f t="shared" si="29"/>
        <v>0.15339732687999996</v>
      </c>
      <c r="AO74">
        <v>32.4</v>
      </c>
      <c r="AP74">
        <v>0.5</v>
      </c>
      <c r="AQ74" t="s">
        <v>331</v>
      </c>
      <c r="AR74">
        <v>2</v>
      </c>
      <c r="AS74">
        <v>1690218745</v>
      </c>
      <c r="AT74">
        <v>715.00300000000004</v>
      </c>
      <c r="AU74">
        <v>800.02599999999995</v>
      </c>
      <c r="AV74">
        <v>12.9056</v>
      </c>
      <c r="AW74">
        <v>5.7118799999999998</v>
      </c>
      <c r="AX74">
        <v>715.21699999999998</v>
      </c>
      <c r="AY74">
        <v>12.8847</v>
      </c>
      <c r="AZ74">
        <v>300.17399999999998</v>
      </c>
      <c r="BA74">
        <v>99.073499999999996</v>
      </c>
      <c r="BB74">
        <v>9.9985000000000004E-2</v>
      </c>
      <c r="BC74">
        <v>25.730399999999999</v>
      </c>
      <c r="BD74">
        <v>26.991399999999999</v>
      </c>
      <c r="BE74">
        <v>27.290099999999999</v>
      </c>
      <c r="BF74">
        <v>0</v>
      </c>
      <c r="BG74">
        <v>0</v>
      </c>
      <c r="BH74">
        <v>10027.5</v>
      </c>
      <c r="BI74">
        <v>1061.56</v>
      </c>
      <c r="BJ74">
        <v>1.1773899999999999</v>
      </c>
      <c r="BK74">
        <v>-85.023099999999999</v>
      </c>
      <c r="BL74">
        <v>724.351</v>
      </c>
      <c r="BM74">
        <v>804.62199999999996</v>
      </c>
      <c r="BN74">
        <v>7.1936999999999998</v>
      </c>
      <c r="BO74">
        <v>800.02599999999995</v>
      </c>
      <c r="BP74">
        <v>5.7118799999999998</v>
      </c>
      <c r="BQ74">
        <v>1.2786</v>
      </c>
      <c r="BR74">
        <v>0.56589599999999995</v>
      </c>
      <c r="BS74">
        <v>10.5497</v>
      </c>
      <c r="BT74">
        <v>-1.1102799999999999</v>
      </c>
      <c r="BU74">
        <v>1800</v>
      </c>
      <c r="BV74">
        <v>0.91000899999999996</v>
      </c>
      <c r="BW74">
        <v>3.3994400000000001E-2</v>
      </c>
      <c r="BX74">
        <v>2.1998899999999998E-2</v>
      </c>
      <c r="BY74">
        <v>3.3998199999999999E-2</v>
      </c>
      <c r="BZ74">
        <v>25</v>
      </c>
      <c r="CA74">
        <v>33528.400000000001</v>
      </c>
      <c r="CB74">
        <v>1690217592</v>
      </c>
      <c r="CC74" t="s">
        <v>332</v>
      </c>
      <c r="CD74">
        <v>1690217586.5</v>
      </c>
      <c r="CE74">
        <v>1690217592</v>
      </c>
      <c r="CF74">
        <v>9</v>
      </c>
      <c r="CG74">
        <v>0.11600000000000001</v>
      </c>
      <c r="CH74">
        <v>-3.0000000000000001E-3</v>
      </c>
      <c r="CI74">
        <v>-0.27300000000000002</v>
      </c>
      <c r="CJ74">
        <v>-6.9000000000000006E-2</v>
      </c>
      <c r="CK74">
        <v>800</v>
      </c>
      <c r="CL74">
        <v>6</v>
      </c>
      <c r="CM74">
        <v>0.01</v>
      </c>
      <c r="CN74">
        <v>0.01</v>
      </c>
      <c r="CO74">
        <v>-81.621625000000009</v>
      </c>
      <c r="CP74">
        <v>-18.932870544089951</v>
      </c>
      <c r="CQ74">
        <v>1.821703666043136</v>
      </c>
      <c r="CR74">
        <v>-1</v>
      </c>
      <c r="CS74">
        <v>7.0155564999999998</v>
      </c>
      <c r="CT74">
        <v>1.0451297560975461</v>
      </c>
      <c r="CU74">
        <v>0.10056048268455151</v>
      </c>
      <c r="CV74">
        <v>-1</v>
      </c>
      <c r="CW74">
        <v>0</v>
      </c>
      <c r="CX74">
        <v>0</v>
      </c>
      <c r="CY74" t="s">
        <v>333</v>
      </c>
      <c r="CZ74">
        <v>2.36435</v>
      </c>
      <c r="DA74">
        <v>2.7138</v>
      </c>
      <c r="DB74">
        <v>0.135825</v>
      </c>
      <c r="DC74">
        <v>0.14602899999999999</v>
      </c>
      <c r="DD74">
        <v>7.2899000000000005E-2</v>
      </c>
      <c r="DE74">
        <v>3.7876199999999999E-2</v>
      </c>
      <c r="DF74">
        <v>31543.7</v>
      </c>
      <c r="DG74">
        <v>27508</v>
      </c>
      <c r="DH74">
        <v>31162.3</v>
      </c>
      <c r="DI74">
        <v>28068.9</v>
      </c>
      <c r="DJ74">
        <v>39236.5</v>
      </c>
      <c r="DK74">
        <v>38403.5</v>
      </c>
      <c r="DL74">
        <v>44345.7</v>
      </c>
      <c r="DM74">
        <v>42541.4</v>
      </c>
      <c r="DN74">
        <v>1.47465</v>
      </c>
      <c r="DO74">
        <v>2.0319799999999999</v>
      </c>
      <c r="DP74">
        <v>0.13758999999999999</v>
      </c>
      <c r="DQ74">
        <v>0.16681799999999999</v>
      </c>
      <c r="DR74">
        <v>24.737100000000002</v>
      </c>
      <c r="DS74">
        <v>24.557099999999998</v>
      </c>
      <c r="DT74">
        <v>16.8</v>
      </c>
      <c r="DU74">
        <v>29.8</v>
      </c>
      <c r="DV74">
        <v>7.1406299999999998</v>
      </c>
      <c r="DW74">
        <v>61.448599999999999</v>
      </c>
      <c r="DX74">
        <v>36.4343</v>
      </c>
      <c r="DY74">
        <v>1</v>
      </c>
      <c r="DZ74">
        <v>-7.5439500000000007E-2</v>
      </c>
      <c r="EA74">
        <v>1.8828800000000001</v>
      </c>
      <c r="EB74">
        <v>20.174900000000001</v>
      </c>
      <c r="EC74">
        <v>5.2413999999999996</v>
      </c>
      <c r="ED74">
        <v>12.039899999999999</v>
      </c>
      <c r="EE74">
        <v>5.0167000000000002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1.86897</v>
      </c>
      <c r="EL74">
        <v>1.8647</v>
      </c>
      <c r="EM74">
        <v>1.8692</v>
      </c>
      <c r="EN74">
        <v>1.8672500000000001</v>
      </c>
      <c r="EO74">
        <v>1.8634200000000001</v>
      </c>
      <c r="EP74">
        <v>1.8646</v>
      </c>
      <c r="EQ74">
        <v>1.8702300000000001</v>
      </c>
      <c r="ER74">
        <v>1.86948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-0.214</v>
      </c>
      <c r="FG74">
        <v>2.0899999999999998E-2</v>
      </c>
      <c r="FH74">
        <v>0.27827353915413472</v>
      </c>
      <c r="FI74">
        <v>-6.1462078757559423E-4</v>
      </c>
      <c r="FJ74">
        <v>-1.8861989874597051E-7</v>
      </c>
      <c r="FK74">
        <v>1.1980462299894961E-10</v>
      </c>
      <c r="FL74">
        <v>-3.2538871274648329E-2</v>
      </c>
      <c r="FM74">
        <v>-1.6848085045870601E-2</v>
      </c>
      <c r="FN74">
        <v>1.9789084769509481E-3</v>
      </c>
      <c r="FO74">
        <v>-2.7142391389806329E-5</v>
      </c>
      <c r="FP74">
        <v>3</v>
      </c>
      <c r="FQ74">
        <v>2158</v>
      </c>
      <c r="FR74">
        <v>1</v>
      </c>
      <c r="FS74">
        <v>19</v>
      </c>
      <c r="FT74">
        <v>19.3</v>
      </c>
      <c r="FU74">
        <v>19.2</v>
      </c>
      <c r="FV74">
        <v>1.7785599999999999</v>
      </c>
      <c r="FW74">
        <v>2.5830099999999998</v>
      </c>
      <c r="FX74">
        <v>1.5490699999999999</v>
      </c>
      <c r="FY74">
        <v>2.3290999999999999</v>
      </c>
      <c r="FZ74">
        <v>1.50146</v>
      </c>
      <c r="GA74">
        <v>2.3828100000000001</v>
      </c>
      <c r="GB74">
        <v>33.850900000000003</v>
      </c>
      <c r="GC74">
        <v>23.982399999999998</v>
      </c>
      <c r="GD74">
        <v>19</v>
      </c>
      <c r="GE74">
        <v>282.91899999999998</v>
      </c>
      <c r="GF74">
        <v>581.23099999999999</v>
      </c>
      <c r="GG74">
        <v>22.864599999999999</v>
      </c>
      <c r="GH74">
        <v>26.376200000000001</v>
      </c>
      <c r="GI74">
        <v>30.0002</v>
      </c>
      <c r="GJ74">
        <v>26.510100000000001</v>
      </c>
      <c r="GK74">
        <v>26.4892</v>
      </c>
      <c r="GL74">
        <v>35.546700000000001</v>
      </c>
      <c r="GM74">
        <v>-30</v>
      </c>
      <c r="GN74">
        <v>-30</v>
      </c>
      <c r="GO74">
        <v>22.8993</v>
      </c>
      <c r="GP74">
        <v>800</v>
      </c>
      <c r="GQ74">
        <v>12.5298</v>
      </c>
      <c r="GR74">
        <v>99.704499999999996</v>
      </c>
      <c r="GS74">
        <v>99.520300000000006</v>
      </c>
    </row>
    <row r="75" spans="1:201" x14ac:dyDescent="0.25">
      <c r="A75">
        <v>59</v>
      </c>
      <c r="B75">
        <v>1690218755</v>
      </c>
      <c r="C75">
        <v>734.5</v>
      </c>
      <c r="D75" t="s">
        <v>447</v>
      </c>
      <c r="E75" t="s">
        <v>448</v>
      </c>
      <c r="F75" t="s">
        <v>330</v>
      </c>
      <c r="H75">
        <v>1690218755</v>
      </c>
      <c r="I75">
        <f t="shared" si="0"/>
        <v>6.9033661127049749E-4</v>
      </c>
      <c r="J75">
        <f t="shared" si="1"/>
        <v>0.6903366112704975</v>
      </c>
      <c r="K75">
        <f t="shared" si="2"/>
        <v>7.6875428631222817</v>
      </c>
      <c r="L75">
        <f t="shared" si="3"/>
        <v>711.73599999999999</v>
      </c>
      <c r="M75">
        <f t="shared" si="4"/>
        <v>247.56801644985643</v>
      </c>
      <c r="N75">
        <f t="shared" si="5"/>
        <v>24.551715829779354</v>
      </c>
      <c r="O75">
        <f t="shared" si="6"/>
        <v>70.583996545301602</v>
      </c>
      <c r="P75">
        <f t="shared" si="7"/>
        <v>2.7812205223611247E-2</v>
      </c>
      <c r="Q75">
        <f t="shared" si="8"/>
        <v>2.1294246859991866</v>
      </c>
      <c r="R75">
        <f t="shared" si="9"/>
        <v>2.7611966872273842E-2</v>
      </c>
      <c r="S75">
        <f t="shared" si="10"/>
        <v>1.7275349634714995E-2</v>
      </c>
      <c r="T75">
        <f t="shared" si="11"/>
        <v>276.11473775399998</v>
      </c>
      <c r="U75">
        <f t="shared" si="12"/>
        <v>27.625192547787091</v>
      </c>
      <c r="V75">
        <f t="shared" si="13"/>
        <v>27.625192547787091</v>
      </c>
      <c r="W75">
        <f t="shared" si="14"/>
        <v>3.7127085856179911</v>
      </c>
      <c r="X75">
        <f t="shared" si="15"/>
        <v>39.140835442895529</v>
      </c>
      <c r="Y75">
        <f t="shared" si="16"/>
        <v>1.2958951066923201</v>
      </c>
      <c r="Z75">
        <f t="shared" si="17"/>
        <v>3.3108519325883186</v>
      </c>
      <c r="AA75">
        <f t="shared" si="18"/>
        <v>2.416813478925671</v>
      </c>
      <c r="AB75">
        <f t="shared" si="19"/>
        <v>-30.443844557028939</v>
      </c>
      <c r="AC75">
        <f t="shared" si="20"/>
        <v>-223.3340675331618</v>
      </c>
      <c r="AD75">
        <f t="shared" si="21"/>
        <v>-22.556004632717226</v>
      </c>
      <c r="AE75">
        <f t="shared" si="22"/>
        <v>-0.21917896890798261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52557.90084652778</v>
      </c>
      <c r="AK75">
        <f t="shared" si="26"/>
        <v>1800</v>
      </c>
      <c r="AL75">
        <f t="shared" si="27"/>
        <v>1499.1134544000001</v>
      </c>
      <c r="AM75">
        <f t="shared" si="28"/>
        <v>0.83284080800000004</v>
      </c>
      <c r="AN75">
        <f t="shared" si="29"/>
        <v>0.15339707652999998</v>
      </c>
      <c r="AO75">
        <v>32.4</v>
      </c>
      <c r="AP75">
        <v>0.5</v>
      </c>
      <c r="AQ75" t="s">
        <v>331</v>
      </c>
      <c r="AR75">
        <v>2</v>
      </c>
      <c r="AS75">
        <v>1690218755</v>
      </c>
      <c r="AT75">
        <v>711.73599999999999</v>
      </c>
      <c r="AU75">
        <v>800.03200000000004</v>
      </c>
      <c r="AV75">
        <v>13.0672</v>
      </c>
      <c r="AW75">
        <v>5.7119799999999996</v>
      </c>
      <c r="AX75">
        <v>711.947</v>
      </c>
      <c r="AY75">
        <v>13.043100000000001</v>
      </c>
      <c r="AZ75">
        <v>300.12200000000001</v>
      </c>
      <c r="BA75">
        <v>99.071700000000007</v>
      </c>
      <c r="BB75">
        <v>9.9898100000000004E-2</v>
      </c>
      <c r="BC75">
        <v>25.6798</v>
      </c>
      <c r="BD75">
        <v>26.950600000000001</v>
      </c>
      <c r="BE75">
        <v>27.235199999999999</v>
      </c>
      <c r="BF75">
        <v>0</v>
      </c>
      <c r="BG75">
        <v>0</v>
      </c>
      <c r="BH75">
        <v>9988.1200000000008</v>
      </c>
      <c r="BI75">
        <v>1061.45</v>
      </c>
      <c r="BJ75">
        <v>1.2334499999999999</v>
      </c>
      <c r="BK75">
        <v>-88.296300000000002</v>
      </c>
      <c r="BL75">
        <v>721.15899999999999</v>
      </c>
      <c r="BM75">
        <v>804.62800000000004</v>
      </c>
      <c r="BN75">
        <v>7.3552600000000004</v>
      </c>
      <c r="BO75">
        <v>800.03200000000004</v>
      </c>
      <c r="BP75">
        <v>5.7119799999999996</v>
      </c>
      <c r="BQ75">
        <v>1.2945899999999999</v>
      </c>
      <c r="BR75">
        <v>0.56589500000000004</v>
      </c>
      <c r="BS75">
        <v>10.7362</v>
      </c>
      <c r="BT75">
        <v>-1.11029</v>
      </c>
      <c r="BU75">
        <v>1800</v>
      </c>
      <c r="BV75">
        <v>0.91001200000000004</v>
      </c>
      <c r="BW75">
        <v>3.39929E-2</v>
      </c>
      <c r="BX75">
        <v>2.1997900000000001E-2</v>
      </c>
      <c r="BY75">
        <v>3.3996699999999998E-2</v>
      </c>
      <c r="BZ75">
        <v>25</v>
      </c>
      <c r="CA75">
        <v>33528.400000000001</v>
      </c>
      <c r="CB75">
        <v>1690217592</v>
      </c>
      <c r="CC75" t="s">
        <v>332</v>
      </c>
      <c r="CD75">
        <v>1690217586.5</v>
      </c>
      <c r="CE75">
        <v>1690217592</v>
      </c>
      <c r="CF75">
        <v>9</v>
      </c>
      <c r="CG75">
        <v>0.11600000000000001</v>
      </c>
      <c r="CH75">
        <v>-3.0000000000000001E-3</v>
      </c>
      <c r="CI75">
        <v>-0.27300000000000002</v>
      </c>
      <c r="CJ75">
        <v>-6.9000000000000006E-2</v>
      </c>
      <c r="CK75">
        <v>800</v>
      </c>
      <c r="CL75">
        <v>6</v>
      </c>
      <c r="CM75">
        <v>0.01</v>
      </c>
      <c r="CN75">
        <v>0.01</v>
      </c>
      <c r="CO75">
        <v>-84.803880000000007</v>
      </c>
      <c r="CP75">
        <v>-19.095518949343219</v>
      </c>
      <c r="CQ75">
        <v>1.8372066148367741</v>
      </c>
      <c r="CR75">
        <v>-1</v>
      </c>
      <c r="CS75">
        <v>7.182817</v>
      </c>
      <c r="CT75">
        <v>0.96411399624764127</v>
      </c>
      <c r="CU75">
        <v>9.2768134782370185E-2</v>
      </c>
      <c r="CV75">
        <v>-1</v>
      </c>
      <c r="CW75">
        <v>0</v>
      </c>
      <c r="CX75">
        <v>0</v>
      </c>
      <c r="CY75" t="s">
        <v>333</v>
      </c>
      <c r="CZ75">
        <v>2.36422</v>
      </c>
      <c r="DA75">
        <v>2.7136800000000001</v>
      </c>
      <c r="DB75">
        <v>0.135404</v>
      </c>
      <c r="DC75">
        <v>0.14602899999999999</v>
      </c>
      <c r="DD75">
        <v>7.35711E-2</v>
      </c>
      <c r="DE75">
        <v>3.7876399999999998E-2</v>
      </c>
      <c r="DF75">
        <v>31559.3</v>
      </c>
      <c r="DG75">
        <v>27509.200000000001</v>
      </c>
      <c r="DH75">
        <v>31162.5</v>
      </c>
      <c r="DI75">
        <v>28070.1</v>
      </c>
      <c r="DJ75">
        <v>39208.1</v>
      </c>
      <c r="DK75">
        <v>38405</v>
      </c>
      <c r="DL75">
        <v>44346</v>
      </c>
      <c r="DM75">
        <v>42543.1</v>
      </c>
      <c r="DN75">
        <v>1.47478</v>
      </c>
      <c r="DO75">
        <v>2.0320499999999999</v>
      </c>
      <c r="DP75">
        <v>0.13486999999999999</v>
      </c>
      <c r="DQ75">
        <v>0.163019</v>
      </c>
      <c r="DR75">
        <v>24.7407</v>
      </c>
      <c r="DS75">
        <v>24.564299999999999</v>
      </c>
      <c r="DT75">
        <v>16.8</v>
      </c>
      <c r="DU75">
        <v>29.8</v>
      </c>
      <c r="DV75">
        <v>7.1427399999999999</v>
      </c>
      <c r="DW75">
        <v>61.738599999999998</v>
      </c>
      <c r="DX75">
        <v>36.8309</v>
      </c>
      <c r="DY75">
        <v>1</v>
      </c>
      <c r="DZ75">
        <v>-7.8910099999999997E-2</v>
      </c>
      <c r="EA75">
        <v>0.72217900000000002</v>
      </c>
      <c r="EB75">
        <v>20.1873</v>
      </c>
      <c r="EC75">
        <v>5.2408000000000001</v>
      </c>
      <c r="ED75">
        <v>12.039899999999999</v>
      </c>
      <c r="EE75">
        <v>5.0166000000000004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1.86894</v>
      </c>
      <c r="EL75">
        <v>1.86469</v>
      </c>
      <c r="EM75">
        <v>1.8692</v>
      </c>
      <c r="EN75">
        <v>1.86724</v>
      </c>
      <c r="EO75">
        <v>1.86341</v>
      </c>
      <c r="EP75">
        <v>1.8646</v>
      </c>
      <c r="EQ75">
        <v>1.8702099999999999</v>
      </c>
      <c r="ER75">
        <v>1.86947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-0.21099999999999999</v>
      </c>
      <c r="FG75">
        <v>2.41E-2</v>
      </c>
      <c r="FH75">
        <v>0.27827353915413472</v>
      </c>
      <c r="FI75">
        <v>-6.1462078757559423E-4</v>
      </c>
      <c r="FJ75">
        <v>-1.8861989874597051E-7</v>
      </c>
      <c r="FK75">
        <v>1.1980462299894961E-10</v>
      </c>
      <c r="FL75">
        <v>-3.2538871274648329E-2</v>
      </c>
      <c r="FM75">
        <v>-1.6848085045870601E-2</v>
      </c>
      <c r="FN75">
        <v>1.9789084769509481E-3</v>
      </c>
      <c r="FO75">
        <v>-2.7142391389806329E-5</v>
      </c>
      <c r="FP75">
        <v>3</v>
      </c>
      <c r="FQ75">
        <v>2158</v>
      </c>
      <c r="FR75">
        <v>1</v>
      </c>
      <c r="FS75">
        <v>19</v>
      </c>
      <c r="FT75">
        <v>19.5</v>
      </c>
      <c r="FU75">
        <v>19.399999999999999</v>
      </c>
      <c r="FV75">
        <v>1.7773399999999999</v>
      </c>
      <c r="FW75">
        <v>2.5830099999999998</v>
      </c>
      <c r="FX75">
        <v>1.5490699999999999</v>
      </c>
      <c r="FY75">
        <v>2.3290999999999999</v>
      </c>
      <c r="FZ75">
        <v>1.50146</v>
      </c>
      <c r="GA75">
        <v>2.3815900000000001</v>
      </c>
      <c r="GB75">
        <v>33.850900000000003</v>
      </c>
      <c r="GC75">
        <v>23.991199999999999</v>
      </c>
      <c r="GD75">
        <v>19</v>
      </c>
      <c r="GE75">
        <v>282.95400000000001</v>
      </c>
      <c r="GF75">
        <v>581.25599999999997</v>
      </c>
      <c r="GG75">
        <v>22.837900000000001</v>
      </c>
      <c r="GH75">
        <v>26.367899999999999</v>
      </c>
      <c r="GI75">
        <v>29.998899999999999</v>
      </c>
      <c r="GJ75">
        <v>26.505800000000001</v>
      </c>
      <c r="GK75">
        <v>26.485900000000001</v>
      </c>
      <c r="GL75">
        <v>35.5458</v>
      </c>
      <c r="GM75">
        <v>-30</v>
      </c>
      <c r="GN75">
        <v>-30</v>
      </c>
      <c r="GO75">
        <v>22.9603</v>
      </c>
      <c r="GP75">
        <v>800</v>
      </c>
      <c r="GQ75">
        <v>12.5298</v>
      </c>
      <c r="GR75">
        <v>99.705100000000002</v>
      </c>
      <c r="GS75">
        <v>99.5244</v>
      </c>
    </row>
    <row r="76" spans="1:201" x14ac:dyDescent="0.25">
      <c r="A76">
        <v>60</v>
      </c>
      <c r="B76">
        <v>1690218765</v>
      </c>
      <c r="C76">
        <v>744.5</v>
      </c>
      <c r="D76" t="s">
        <v>449</v>
      </c>
      <c r="E76" t="s">
        <v>450</v>
      </c>
      <c r="F76" t="s">
        <v>330</v>
      </c>
      <c r="H76">
        <v>1690218765</v>
      </c>
      <c r="I76">
        <f t="shared" si="0"/>
        <v>7.0594373936434828E-4</v>
      </c>
      <c r="J76">
        <f t="shared" si="1"/>
        <v>0.70594373936434829</v>
      </c>
      <c r="K76">
        <f t="shared" si="2"/>
        <v>7.9819476893226264</v>
      </c>
      <c r="L76">
        <f t="shared" si="3"/>
        <v>708.48500000000001</v>
      </c>
      <c r="M76">
        <f t="shared" si="4"/>
        <v>241.88668522106261</v>
      </c>
      <c r="N76">
        <f t="shared" si="5"/>
        <v>23.989921770854998</v>
      </c>
      <c r="O76">
        <f t="shared" si="6"/>
        <v>70.266371670234491</v>
      </c>
      <c r="P76">
        <f t="shared" si="7"/>
        <v>2.8703264984278474E-2</v>
      </c>
      <c r="Q76">
        <f t="shared" si="8"/>
        <v>2.1353221931644044</v>
      </c>
      <c r="R76">
        <f t="shared" si="9"/>
        <v>2.8490627706444949E-2</v>
      </c>
      <c r="S76">
        <f t="shared" si="10"/>
        <v>1.7825615516611285E-2</v>
      </c>
      <c r="T76">
        <f t="shared" si="11"/>
        <v>276.11467252200003</v>
      </c>
      <c r="U76">
        <f t="shared" si="12"/>
        <v>27.601493453018652</v>
      </c>
      <c r="V76">
        <f t="shared" si="13"/>
        <v>27.601493453018652</v>
      </c>
      <c r="W76">
        <f t="shared" si="14"/>
        <v>3.7075679799264281</v>
      </c>
      <c r="X76">
        <f t="shared" si="15"/>
        <v>39.668085845617931</v>
      </c>
      <c r="Y76">
        <f t="shared" si="16"/>
        <v>1.31230806109686</v>
      </c>
      <c r="Z76">
        <f t="shared" si="17"/>
        <v>3.3082212895377925</v>
      </c>
      <c r="AA76">
        <f t="shared" si="18"/>
        <v>2.3952599188295682</v>
      </c>
      <c r="AB76">
        <f t="shared" si="19"/>
        <v>-31.132118905967758</v>
      </c>
      <c r="AC76">
        <f t="shared" si="20"/>
        <v>-222.76697156455006</v>
      </c>
      <c r="AD76">
        <f t="shared" si="21"/>
        <v>-22.432422058628891</v>
      </c>
      <c r="AE76">
        <f t="shared" si="22"/>
        <v>-0.21684000714668628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52815.980566585284</v>
      </c>
      <c r="AK76">
        <f t="shared" si="26"/>
        <v>1800</v>
      </c>
      <c r="AL76">
        <f t="shared" si="27"/>
        <v>1499.1141672000001</v>
      </c>
      <c r="AM76">
        <f t="shared" si="28"/>
        <v>0.83284120400000006</v>
      </c>
      <c r="AN76">
        <f t="shared" si="29"/>
        <v>0.15339704029000001</v>
      </c>
      <c r="AO76">
        <v>32.4</v>
      </c>
      <c r="AP76">
        <v>0.5</v>
      </c>
      <c r="AQ76" t="s">
        <v>331</v>
      </c>
      <c r="AR76">
        <v>2</v>
      </c>
      <c r="AS76">
        <v>1690218765</v>
      </c>
      <c r="AT76">
        <v>708.48500000000001</v>
      </c>
      <c r="AU76">
        <v>800.04100000000005</v>
      </c>
      <c r="AV76">
        <v>13.2318</v>
      </c>
      <c r="AW76">
        <v>5.71265</v>
      </c>
      <c r="AX76">
        <v>708.69399999999996</v>
      </c>
      <c r="AY76">
        <v>13.2043</v>
      </c>
      <c r="AZ76">
        <v>300.166</v>
      </c>
      <c r="BA76">
        <v>99.078400000000002</v>
      </c>
      <c r="BB76">
        <v>9.99477E-2</v>
      </c>
      <c r="BC76">
        <v>25.666399999999999</v>
      </c>
      <c r="BD76">
        <v>26.8918</v>
      </c>
      <c r="BE76">
        <v>27.1892</v>
      </c>
      <c r="BF76">
        <v>0</v>
      </c>
      <c r="BG76">
        <v>0</v>
      </c>
      <c r="BH76">
        <v>10038.1</v>
      </c>
      <c r="BI76">
        <v>1061.32</v>
      </c>
      <c r="BJ76">
        <v>1.41567</v>
      </c>
      <c r="BK76">
        <v>-91.555899999999994</v>
      </c>
      <c r="BL76">
        <v>717.98500000000001</v>
      </c>
      <c r="BM76">
        <v>804.63699999999994</v>
      </c>
      <c r="BN76">
        <v>7.5191800000000004</v>
      </c>
      <c r="BO76">
        <v>800.04100000000005</v>
      </c>
      <c r="BP76">
        <v>5.71265</v>
      </c>
      <c r="BQ76">
        <v>1.3109900000000001</v>
      </c>
      <c r="BR76">
        <v>0.56599999999999995</v>
      </c>
      <c r="BS76">
        <v>10.9254</v>
      </c>
      <c r="BT76">
        <v>-1.10778</v>
      </c>
      <c r="BU76">
        <v>1800</v>
      </c>
      <c r="BV76">
        <v>0.91001500000000002</v>
      </c>
      <c r="BW76">
        <v>3.3993500000000003E-2</v>
      </c>
      <c r="BX76">
        <v>2.1996700000000001E-2</v>
      </c>
      <c r="BY76">
        <v>3.3994700000000003E-2</v>
      </c>
      <c r="BZ76">
        <v>25</v>
      </c>
      <c r="CA76">
        <v>33528.5</v>
      </c>
      <c r="CB76">
        <v>1690217592</v>
      </c>
      <c r="CC76" t="s">
        <v>332</v>
      </c>
      <c r="CD76">
        <v>1690217586.5</v>
      </c>
      <c r="CE76">
        <v>1690217592</v>
      </c>
      <c r="CF76">
        <v>9</v>
      </c>
      <c r="CG76">
        <v>0.11600000000000001</v>
      </c>
      <c r="CH76">
        <v>-3.0000000000000001E-3</v>
      </c>
      <c r="CI76">
        <v>-0.27300000000000002</v>
      </c>
      <c r="CJ76">
        <v>-6.9000000000000006E-2</v>
      </c>
      <c r="CK76">
        <v>800</v>
      </c>
      <c r="CL76">
        <v>6</v>
      </c>
      <c r="CM76">
        <v>0.01</v>
      </c>
      <c r="CN76">
        <v>0.01</v>
      </c>
      <c r="CO76">
        <v>-87.777256097560965</v>
      </c>
      <c r="CP76">
        <v>-19.46584808362379</v>
      </c>
      <c r="CQ76">
        <v>1.9197313544333541</v>
      </c>
      <c r="CR76">
        <v>-1</v>
      </c>
      <c r="CS76">
        <v>7.3316104878048778</v>
      </c>
      <c r="CT76">
        <v>0.9697258536585347</v>
      </c>
      <c r="CU76">
        <v>9.562026224070698E-2</v>
      </c>
      <c r="CV76">
        <v>-1</v>
      </c>
      <c r="CW76">
        <v>0</v>
      </c>
      <c r="CX76">
        <v>0</v>
      </c>
      <c r="CY76" t="s">
        <v>333</v>
      </c>
      <c r="CZ76">
        <v>2.36435</v>
      </c>
      <c r="DA76">
        <v>2.7137699999999998</v>
      </c>
      <c r="DB76">
        <v>0.134995</v>
      </c>
      <c r="DC76">
        <v>0.14604</v>
      </c>
      <c r="DD76">
        <v>7.4258500000000005E-2</v>
      </c>
      <c r="DE76">
        <v>3.7882899999999997E-2</v>
      </c>
      <c r="DF76">
        <v>31575</v>
      </c>
      <c r="DG76">
        <v>27509.4</v>
      </c>
      <c r="DH76">
        <v>31163.200000000001</v>
      </c>
      <c r="DI76">
        <v>28070.7</v>
      </c>
      <c r="DJ76">
        <v>39179.9</v>
      </c>
      <c r="DK76">
        <v>38405.699999999997</v>
      </c>
      <c r="DL76">
        <v>44347.3</v>
      </c>
      <c r="DM76">
        <v>42544.2</v>
      </c>
      <c r="DN76">
        <v>1.4754499999999999</v>
      </c>
      <c r="DO76">
        <v>2.0321199999999999</v>
      </c>
      <c r="DP76">
        <v>0.13115299999999999</v>
      </c>
      <c r="DQ76">
        <v>0.160083</v>
      </c>
      <c r="DR76">
        <v>24.742799999999999</v>
      </c>
      <c r="DS76">
        <v>24.566400000000002</v>
      </c>
      <c r="DT76">
        <v>16.8</v>
      </c>
      <c r="DU76">
        <v>29.8</v>
      </c>
      <c r="DV76">
        <v>7.1434800000000003</v>
      </c>
      <c r="DW76">
        <v>61.008600000000001</v>
      </c>
      <c r="DX76">
        <v>37.2196</v>
      </c>
      <c r="DY76">
        <v>1</v>
      </c>
      <c r="DZ76">
        <v>-7.9959299999999997E-2</v>
      </c>
      <c r="EA76">
        <v>0.46421800000000002</v>
      </c>
      <c r="EB76">
        <v>20.189</v>
      </c>
      <c r="EC76">
        <v>5.24125</v>
      </c>
      <c r="ED76">
        <v>12.039899999999999</v>
      </c>
      <c r="EE76">
        <v>5.0168499999999998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1.8646400000000001</v>
      </c>
      <c r="EM76">
        <v>1.8691899999999999</v>
      </c>
      <c r="EN76">
        <v>1.86727</v>
      </c>
      <c r="EO76">
        <v>1.8633999999999999</v>
      </c>
      <c r="EP76">
        <v>1.86459</v>
      </c>
      <c r="EQ76">
        <v>1.87018</v>
      </c>
      <c r="ER76">
        <v>1.86948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-0.20899999999999999</v>
      </c>
      <c r="FG76">
        <v>2.75E-2</v>
      </c>
      <c r="FH76">
        <v>0.27827353915413472</v>
      </c>
      <c r="FI76">
        <v>-6.1462078757559423E-4</v>
      </c>
      <c r="FJ76">
        <v>-1.8861989874597051E-7</v>
      </c>
      <c r="FK76">
        <v>1.1980462299894961E-10</v>
      </c>
      <c r="FL76">
        <v>-3.2538871274648329E-2</v>
      </c>
      <c r="FM76">
        <v>-1.6848085045870601E-2</v>
      </c>
      <c r="FN76">
        <v>1.9789084769509481E-3</v>
      </c>
      <c r="FO76">
        <v>-2.7142391389806329E-5</v>
      </c>
      <c r="FP76">
        <v>3</v>
      </c>
      <c r="FQ76">
        <v>2158</v>
      </c>
      <c r="FR76">
        <v>1</v>
      </c>
      <c r="FS76">
        <v>19</v>
      </c>
      <c r="FT76">
        <v>19.600000000000001</v>
      </c>
      <c r="FU76">
        <v>19.600000000000001</v>
      </c>
      <c r="FV76">
        <v>1.7773399999999999</v>
      </c>
      <c r="FW76">
        <v>2.5830099999999998</v>
      </c>
      <c r="FX76">
        <v>1.5490699999999999</v>
      </c>
      <c r="FY76">
        <v>2.3290999999999999</v>
      </c>
      <c r="FZ76">
        <v>1.50146</v>
      </c>
      <c r="GA76">
        <v>2.3999000000000001</v>
      </c>
      <c r="GB76">
        <v>33.850900000000003</v>
      </c>
      <c r="GC76">
        <v>23.991199999999999</v>
      </c>
      <c r="GD76">
        <v>19</v>
      </c>
      <c r="GE76">
        <v>283.22199999999998</v>
      </c>
      <c r="GF76">
        <v>581.28</v>
      </c>
      <c r="GG76">
        <v>22.9818</v>
      </c>
      <c r="GH76">
        <v>26.360700000000001</v>
      </c>
      <c r="GI76">
        <v>29.999700000000001</v>
      </c>
      <c r="GJ76">
        <v>26.501300000000001</v>
      </c>
      <c r="GK76">
        <v>26.482500000000002</v>
      </c>
      <c r="GL76">
        <v>35.545999999999999</v>
      </c>
      <c r="GM76">
        <v>-30</v>
      </c>
      <c r="GN76">
        <v>-30</v>
      </c>
      <c r="GO76">
        <v>23.074400000000001</v>
      </c>
      <c r="GP76">
        <v>800</v>
      </c>
      <c r="GQ76">
        <v>12.5298</v>
      </c>
      <c r="GR76">
        <v>99.707700000000003</v>
      </c>
      <c r="GS76">
        <v>99.526799999999994</v>
      </c>
    </row>
    <row r="77" spans="1:201" x14ac:dyDescent="0.25">
      <c r="A77">
        <v>61</v>
      </c>
      <c r="B77">
        <v>1690218775</v>
      </c>
      <c r="C77">
        <v>754.5</v>
      </c>
      <c r="D77" t="s">
        <v>451</v>
      </c>
      <c r="E77" t="s">
        <v>452</v>
      </c>
      <c r="F77" t="s">
        <v>330</v>
      </c>
      <c r="H77">
        <v>1690218775</v>
      </c>
      <c r="I77">
        <f t="shared" si="0"/>
        <v>7.2154971036086587E-4</v>
      </c>
      <c r="J77">
        <f t="shared" si="1"/>
        <v>0.7215497103608659</v>
      </c>
      <c r="K77">
        <f t="shared" si="2"/>
        <v>8.2643473965696685</v>
      </c>
      <c r="L77">
        <f t="shared" si="3"/>
        <v>705.30899999999997</v>
      </c>
      <c r="M77">
        <f t="shared" si="4"/>
        <v>235.88940203219283</v>
      </c>
      <c r="N77">
        <f t="shared" si="5"/>
        <v>23.394117777922361</v>
      </c>
      <c r="O77">
        <f t="shared" si="6"/>
        <v>69.948381206107797</v>
      </c>
      <c r="P77">
        <f t="shared" si="7"/>
        <v>2.951911227028459E-2</v>
      </c>
      <c r="Q77">
        <f t="shared" si="8"/>
        <v>2.1325856117936501</v>
      </c>
      <c r="R77">
        <f t="shared" si="9"/>
        <v>2.9293980350627576E-2</v>
      </c>
      <c r="S77">
        <f t="shared" si="10"/>
        <v>1.832882170025834E-2</v>
      </c>
      <c r="T77">
        <f t="shared" si="11"/>
        <v>276.11318041936454</v>
      </c>
      <c r="U77">
        <f t="shared" si="12"/>
        <v>27.609576907042474</v>
      </c>
      <c r="V77">
        <f t="shared" si="13"/>
        <v>27.609576907042474</v>
      </c>
      <c r="W77">
        <f t="shared" si="14"/>
        <v>3.7093206754833417</v>
      </c>
      <c r="X77">
        <f t="shared" si="15"/>
        <v>40.132913370213267</v>
      </c>
      <c r="Y77">
        <f t="shared" si="16"/>
        <v>1.3285758355408801</v>
      </c>
      <c r="Z77">
        <f t="shared" si="17"/>
        <v>3.3104395469254717</v>
      </c>
      <c r="AA77">
        <f t="shared" si="18"/>
        <v>2.3807448399424613</v>
      </c>
      <c r="AB77">
        <f t="shared" si="19"/>
        <v>-31.820342226914185</v>
      </c>
      <c r="AC77">
        <f t="shared" si="20"/>
        <v>-222.11166579379761</v>
      </c>
      <c r="AD77">
        <f t="shared" si="21"/>
        <v>-22.39730690313641</v>
      </c>
      <c r="AE77">
        <f t="shared" si="22"/>
        <v>-0.21613450448367644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52695.197583273984</v>
      </c>
      <c r="AK77">
        <f t="shared" si="26"/>
        <v>1799.99</v>
      </c>
      <c r="AL77">
        <f t="shared" si="27"/>
        <v>1499.1017816105</v>
      </c>
      <c r="AM77">
        <f t="shared" si="28"/>
        <v>0.83283894999999997</v>
      </c>
      <c r="AN77">
        <f t="shared" si="29"/>
        <v>0.15339706355000002</v>
      </c>
      <c r="AO77">
        <v>32.4</v>
      </c>
      <c r="AP77">
        <v>0.5</v>
      </c>
      <c r="AQ77" t="s">
        <v>331</v>
      </c>
      <c r="AR77">
        <v>2</v>
      </c>
      <c r="AS77">
        <v>1690218775</v>
      </c>
      <c r="AT77">
        <v>705.30899999999997</v>
      </c>
      <c r="AU77">
        <v>800.005</v>
      </c>
      <c r="AV77">
        <v>13.3964</v>
      </c>
      <c r="AW77">
        <v>5.7125399999999997</v>
      </c>
      <c r="AX77">
        <v>705.51700000000005</v>
      </c>
      <c r="AY77">
        <v>13.365399999999999</v>
      </c>
      <c r="AZ77">
        <v>300.17500000000001</v>
      </c>
      <c r="BA77">
        <v>99.074100000000001</v>
      </c>
      <c r="BB77">
        <v>9.9994200000000005E-2</v>
      </c>
      <c r="BC77">
        <v>25.677700000000002</v>
      </c>
      <c r="BD77">
        <v>26.877800000000001</v>
      </c>
      <c r="BE77">
        <v>27.214700000000001</v>
      </c>
      <c r="BF77">
        <v>0</v>
      </c>
      <c r="BG77">
        <v>0</v>
      </c>
      <c r="BH77">
        <v>10015</v>
      </c>
      <c r="BI77">
        <v>1061.42</v>
      </c>
      <c r="BJ77">
        <v>1.3595999999999999</v>
      </c>
      <c r="BK77">
        <v>-94.695099999999996</v>
      </c>
      <c r="BL77">
        <v>714.88599999999997</v>
      </c>
      <c r="BM77">
        <v>804.601</v>
      </c>
      <c r="BN77">
        <v>7.6838499999999996</v>
      </c>
      <c r="BO77">
        <v>800.005</v>
      </c>
      <c r="BP77">
        <v>5.7125399999999997</v>
      </c>
      <c r="BQ77">
        <v>1.32724</v>
      </c>
      <c r="BR77">
        <v>0.56596500000000005</v>
      </c>
      <c r="BS77">
        <v>11.110900000000001</v>
      </c>
      <c r="BT77">
        <v>-1.1086100000000001</v>
      </c>
      <c r="BU77">
        <v>1799.99</v>
      </c>
      <c r="BV77">
        <v>0.91000199999999998</v>
      </c>
      <c r="BW77">
        <v>3.4009299999999999E-2</v>
      </c>
      <c r="BX77">
        <v>2.1995500000000001E-2</v>
      </c>
      <c r="BY77">
        <v>3.39929E-2</v>
      </c>
      <c r="BZ77">
        <v>25</v>
      </c>
      <c r="CA77">
        <v>33528.199999999997</v>
      </c>
      <c r="CB77">
        <v>1690217592</v>
      </c>
      <c r="CC77" t="s">
        <v>332</v>
      </c>
      <c r="CD77">
        <v>1690217586.5</v>
      </c>
      <c r="CE77">
        <v>1690217592</v>
      </c>
      <c r="CF77">
        <v>9</v>
      </c>
      <c r="CG77">
        <v>0.11600000000000001</v>
      </c>
      <c r="CH77">
        <v>-3.0000000000000001E-3</v>
      </c>
      <c r="CI77">
        <v>-0.27300000000000002</v>
      </c>
      <c r="CJ77">
        <v>-6.9000000000000006E-2</v>
      </c>
      <c r="CK77">
        <v>800</v>
      </c>
      <c r="CL77">
        <v>6</v>
      </c>
      <c r="CM77">
        <v>0.01</v>
      </c>
      <c r="CN77">
        <v>0.01</v>
      </c>
      <c r="CO77">
        <v>-91.262182499999994</v>
      </c>
      <c r="CP77">
        <v>-19.232653283302241</v>
      </c>
      <c r="CQ77">
        <v>1.8504906674835611</v>
      </c>
      <c r="CR77">
        <v>-1</v>
      </c>
      <c r="CS77">
        <v>7.5067484999999996</v>
      </c>
      <c r="CT77">
        <v>0.98284727954973083</v>
      </c>
      <c r="CU77">
        <v>9.4549836317943919E-2</v>
      </c>
      <c r="CV77">
        <v>-1</v>
      </c>
      <c r="CW77">
        <v>0</v>
      </c>
      <c r="CX77">
        <v>0</v>
      </c>
      <c r="CY77" t="s">
        <v>333</v>
      </c>
      <c r="CZ77">
        <v>2.3644099999999999</v>
      </c>
      <c r="DA77">
        <v>2.7138</v>
      </c>
      <c r="DB77">
        <v>0.13458000000000001</v>
      </c>
      <c r="DC77">
        <v>0.14603099999999999</v>
      </c>
      <c r="DD77">
        <v>7.4934399999999998E-2</v>
      </c>
      <c r="DE77">
        <v>3.7880999999999998E-2</v>
      </c>
      <c r="DF77">
        <v>31590.6</v>
      </c>
      <c r="DG77">
        <v>27510.400000000001</v>
      </c>
      <c r="DH77">
        <v>31163.5</v>
      </c>
      <c r="DI77">
        <v>28071.3</v>
      </c>
      <c r="DJ77">
        <v>39151.4</v>
      </c>
      <c r="DK77">
        <v>38406.5</v>
      </c>
      <c r="DL77">
        <v>44347.8</v>
      </c>
      <c r="DM77">
        <v>42545</v>
      </c>
      <c r="DN77">
        <v>1.4757199999999999</v>
      </c>
      <c r="DO77">
        <v>2.0322</v>
      </c>
      <c r="DP77">
        <v>0.13042200000000001</v>
      </c>
      <c r="DQ77">
        <v>0.16151399999999999</v>
      </c>
      <c r="DR77">
        <v>24.7407</v>
      </c>
      <c r="DS77">
        <v>24.5685</v>
      </c>
      <c r="DT77">
        <v>16.8</v>
      </c>
      <c r="DU77">
        <v>29.8</v>
      </c>
      <c r="DV77">
        <v>7.1420000000000003</v>
      </c>
      <c r="DW77">
        <v>61.568600000000004</v>
      </c>
      <c r="DX77">
        <v>37.311700000000002</v>
      </c>
      <c r="DY77">
        <v>1</v>
      </c>
      <c r="DZ77">
        <v>-8.0937499999999996E-2</v>
      </c>
      <c r="EA77">
        <v>0.268592</v>
      </c>
      <c r="EB77">
        <v>20.189699999999998</v>
      </c>
      <c r="EC77">
        <v>5.2409499999999998</v>
      </c>
      <c r="ED77">
        <v>12.039899999999999</v>
      </c>
      <c r="EE77">
        <v>5.0167999999999999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1.8689199999999999</v>
      </c>
      <c r="EL77">
        <v>1.8647</v>
      </c>
      <c r="EM77">
        <v>1.8692</v>
      </c>
      <c r="EN77">
        <v>1.8672599999999999</v>
      </c>
      <c r="EO77">
        <v>1.8633999999999999</v>
      </c>
      <c r="EP77">
        <v>1.86459</v>
      </c>
      <c r="EQ77">
        <v>1.8702099999999999</v>
      </c>
      <c r="ER77">
        <v>1.8694599999999999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-0.20799999999999999</v>
      </c>
      <c r="FG77">
        <v>3.1E-2</v>
      </c>
      <c r="FH77">
        <v>0.27827353915413472</v>
      </c>
      <c r="FI77">
        <v>-6.1462078757559423E-4</v>
      </c>
      <c r="FJ77">
        <v>-1.8861989874597051E-7</v>
      </c>
      <c r="FK77">
        <v>1.1980462299894961E-10</v>
      </c>
      <c r="FL77">
        <v>-3.2538871274648329E-2</v>
      </c>
      <c r="FM77">
        <v>-1.6848085045870601E-2</v>
      </c>
      <c r="FN77">
        <v>1.9789084769509481E-3</v>
      </c>
      <c r="FO77">
        <v>-2.7142391389806329E-5</v>
      </c>
      <c r="FP77">
        <v>3</v>
      </c>
      <c r="FQ77">
        <v>2158</v>
      </c>
      <c r="FR77">
        <v>1</v>
      </c>
      <c r="FS77">
        <v>19</v>
      </c>
      <c r="FT77">
        <v>19.8</v>
      </c>
      <c r="FU77">
        <v>19.7</v>
      </c>
      <c r="FV77">
        <v>1.7773399999999999</v>
      </c>
      <c r="FW77">
        <v>2.5793499999999998</v>
      </c>
      <c r="FX77">
        <v>1.5490699999999999</v>
      </c>
      <c r="FY77">
        <v>2.3290999999999999</v>
      </c>
      <c r="FZ77">
        <v>1.50146</v>
      </c>
      <c r="GA77">
        <v>2.3889200000000002</v>
      </c>
      <c r="GB77">
        <v>33.850900000000003</v>
      </c>
      <c r="GC77">
        <v>23.991199999999999</v>
      </c>
      <c r="GD77">
        <v>19</v>
      </c>
      <c r="GE77">
        <v>283.32</v>
      </c>
      <c r="GF77">
        <v>581.31200000000001</v>
      </c>
      <c r="GG77">
        <v>23.144600000000001</v>
      </c>
      <c r="GH77">
        <v>26.354099999999999</v>
      </c>
      <c r="GI77">
        <v>29.999600000000001</v>
      </c>
      <c r="GJ77">
        <v>26.4969</v>
      </c>
      <c r="GK77">
        <v>26.479800000000001</v>
      </c>
      <c r="GL77">
        <v>35.5473</v>
      </c>
      <c r="GM77">
        <v>-30</v>
      </c>
      <c r="GN77">
        <v>-30</v>
      </c>
      <c r="GO77">
        <v>23.2377</v>
      </c>
      <c r="GP77">
        <v>800</v>
      </c>
      <c r="GQ77">
        <v>12.5298</v>
      </c>
      <c r="GR77">
        <v>99.708799999999997</v>
      </c>
      <c r="GS77">
        <v>99.528700000000001</v>
      </c>
    </row>
    <row r="78" spans="1:201" x14ac:dyDescent="0.25">
      <c r="A78">
        <v>62</v>
      </c>
      <c r="B78">
        <v>1690218785</v>
      </c>
      <c r="C78">
        <v>764.5</v>
      </c>
      <c r="D78" t="s">
        <v>453</v>
      </c>
      <c r="E78" t="s">
        <v>454</v>
      </c>
      <c r="F78" t="s">
        <v>330</v>
      </c>
      <c r="H78">
        <v>1690218785</v>
      </c>
      <c r="I78">
        <f t="shared" si="0"/>
        <v>7.3768012654792351E-4</v>
      </c>
      <c r="J78">
        <f t="shared" si="1"/>
        <v>0.73768012654792348</v>
      </c>
      <c r="K78">
        <f t="shared" si="2"/>
        <v>8.5578198772678586</v>
      </c>
      <c r="L78">
        <f t="shared" si="3"/>
        <v>702.01700000000005</v>
      </c>
      <c r="M78">
        <f t="shared" si="4"/>
        <v>229.4046144742268</v>
      </c>
      <c r="N78">
        <f t="shared" si="5"/>
        <v>22.750591047779253</v>
      </c>
      <c r="O78">
        <f t="shared" si="6"/>
        <v>69.620664397677999</v>
      </c>
      <c r="P78">
        <f t="shared" si="7"/>
        <v>3.0339130293750207E-2</v>
      </c>
      <c r="Q78">
        <f t="shared" si="8"/>
        <v>2.1296510976424301</v>
      </c>
      <c r="R78">
        <f t="shared" si="9"/>
        <v>3.0101046178563448E-2</v>
      </c>
      <c r="S78">
        <f t="shared" si="10"/>
        <v>1.8834388934988764E-2</v>
      </c>
      <c r="T78">
        <f t="shared" si="11"/>
        <v>276.11455465800003</v>
      </c>
      <c r="U78">
        <f t="shared" si="12"/>
        <v>27.630333068013893</v>
      </c>
      <c r="V78">
        <f t="shared" si="13"/>
        <v>27.630333068013893</v>
      </c>
      <c r="W78">
        <f t="shared" si="14"/>
        <v>3.71382444396242</v>
      </c>
      <c r="X78">
        <f t="shared" si="15"/>
        <v>40.583966290849261</v>
      </c>
      <c r="Y78">
        <f t="shared" si="16"/>
        <v>1.345421469211</v>
      </c>
      <c r="Z78">
        <f t="shared" si="17"/>
        <v>3.3151552008714367</v>
      </c>
      <c r="AA78">
        <f t="shared" si="18"/>
        <v>2.3684029747514197</v>
      </c>
      <c r="AB78">
        <f t="shared" si="19"/>
        <v>-32.531693580763424</v>
      </c>
      <c r="AC78">
        <f t="shared" si="20"/>
        <v>-221.43359486658343</v>
      </c>
      <c r="AD78">
        <f t="shared" si="21"/>
        <v>-22.36470848293677</v>
      </c>
      <c r="AE78">
        <f t="shared" si="22"/>
        <v>-0.21544227228361024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52563.855954148661</v>
      </c>
      <c r="AK78">
        <f t="shared" si="26"/>
        <v>1800</v>
      </c>
      <c r="AL78">
        <f t="shared" si="27"/>
        <v>1499.1110927999998</v>
      </c>
      <c r="AM78">
        <f t="shared" si="28"/>
        <v>0.83283949599999996</v>
      </c>
      <c r="AN78">
        <f t="shared" si="29"/>
        <v>0.15339697481</v>
      </c>
      <c r="AO78">
        <v>32.4</v>
      </c>
      <c r="AP78">
        <v>0.5</v>
      </c>
      <c r="AQ78" t="s">
        <v>331</v>
      </c>
      <c r="AR78">
        <v>2</v>
      </c>
      <c r="AS78">
        <v>1690218785</v>
      </c>
      <c r="AT78">
        <v>702.01700000000005</v>
      </c>
      <c r="AU78">
        <v>799.97299999999996</v>
      </c>
      <c r="AV78">
        <v>13.5665</v>
      </c>
      <c r="AW78">
        <v>5.7125599999999999</v>
      </c>
      <c r="AX78">
        <v>702.22199999999998</v>
      </c>
      <c r="AY78">
        <v>13.532</v>
      </c>
      <c r="AZ78">
        <v>300.18799999999999</v>
      </c>
      <c r="BA78">
        <v>99.072299999999998</v>
      </c>
      <c r="BB78">
        <v>0.100034</v>
      </c>
      <c r="BC78">
        <v>25.701699999999999</v>
      </c>
      <c r="BD78">
        <v>26.929500000000001</v>
      </c>
      <c r="BE78">
        <v>27.2319</v>
      </c>
      <c r="BF78">
        <v>0</v>
      </c>
      <c r="BG78">
        <v>0</v>
      </c>
      <c r="BH78">
        <v>9990</v>
      </c>
      <c r="BI78">
        <v>1061.43</v>
      </c>
      <c r="BJ78">
        <v>1.3595999999999999</v>
      </c>
      <c r="BK78">
        <v>-97.955299999999994</v>
      </c>
      <c r="BL78">
        <v>711.67200000000003</v>
      </c>
      <c r="BM78">
        <v>804.56899999999996</v>
      </c>
      <c r="BN78">
        <v>7.85398</v>
      </c>
      <c r="BO78">
        <v>799.97299999999996</v>
      </c>
      <c r="BP78">
        <v>5.7125599999999999</v>
      </c>
      <c r="BQ78">
        <v>1.3440700000000001</v>
      </c>
      <c r="BR78">
        <v>0.56595700000000004</v>
      </c>
      <c r="BS78">
        <v>11.3009</v>
      </c>
      <c r="BT78">
        <v>-1.1088100000000001</v>
      </c>
      <c r="BU78">
        <v>1800</v>
      </c>
      <c r="BV78">
        <v>0.91000700000000001</v>
      </c>
      <c r="BW78">
        <v>3.4007500000000003E-2</v>
      </c>
      <c r="BX78">
        <v>2.1994300000000001E-2</v>
      </c>
      <c r="BY78">
        <v>3.3991100000000003E-2</v>
      </c>
      <c r="BZ78">
        <v>25</v>
      </c>
      <c r="CA78">
        <v>33528.400000000001</v>
      </c>
      <c r="CB78">
        <v>1690217592</v>
      </c>
      <c r="CC78" t="s">
        <v>332</v>
      </c>
      <c r="CD78">
        <v>1690217586.5</v>
      </c>
      <c r="CE78">
        <v>1690217592</v>
      </c>
      <c r="CF78">
        <v>9</v>
      </c>
      <c r="CG78">
        <v>0.11600000000000001</v>
      </c>
      <c r="CH78">
        <v>-3.0000000000000001E-3</v>
      </c>
      <c r="CI78">
        <v>-0.27300000000000002</v>
      </c>
      <c r="CJ78">
        <v>-6.9000000000000006E-2</v>
      </c>
      <c r="CK78">
        <v>800</v>
      </c>
      <c r="CL78">
        <v>6</v>
      </c>
      <c r="CM78">
        <v>0.01</v>
      </c>
      <c r="CN78">
        <v>0.01</v>
      </c>
      <c r="CO78">
        <v>-94.478132500000001</v>
      </c>
      <c r="CP78">
        <v>-19.176498686679089</v>
      </c>
      <c r="CQ78">
        <v>1.844909385361176</v>
      </c>
      <c r="CR78">
        <v>-1</v>
      </c>
      <c r="CS78">
        <v>7.6714974999999992</v>
      </c>
      <c r="CT78">
        <v>0.99582303939961703</v>
      </c>
      <c r="CU78">
        <v>9.5797937184210799E-2</v>
      </c>
      <c r="CV78">
        <v>-1</v>
      </c>
      <c r="CW78">
        <v>0</v>
      </c>
      <c r="CX78">
        <v>0</v>
      </c>
      <c r="CY78" t="s">
        <v>333</v>
      </c>
      <c r="CZ78">
        <v>2.36443</v>
      </c>
      <c r="DA78">
        <v>2.7138200000000001</v>
      </c>
      <c r="DB78">
        <v>0.13415199999999999</v>
      </c>
      <c r="DC78">
        <v>0.14602599999999999</v>
      </c>
      <c r="DD78">
        <v>7.5631900000000002E-2</v>
      </c>
      <c r="DE78">
        <v>3.7880900000000002E-2</v>
      </c>
      <c r="DF78">
        <v>31606.6</v>
      </c>
      <c r="DG78">
        <v>27510.9</v>
      </c>
      <c r="DH78">
        <v>31163.9</v>
      </c>
      <c r="DI78">
        <v>28071.599999999999</v>
      </c>
      <c r="DJ78">
        <v>39122.199999999997</v>
      </c>
      <c r="DK78">
        <v>38406.9</v>
      </c>
      <c r="DL78">
        <v>44348.3</v>
      </c>
      <c r="DM78">
        <v>42545.3</v>
      </c>
      <c r="DN78">
        <v>1.4757199999999999</v>
      </c>
      <c r="DO78">
        <v>2.03233</v>
      </c>
      <c r="DP78">
        <v>0.13358100000000001</v>
      </c>
      <c r="DQ78">
        <v>0.16256399999999999</v>
      </c>
      <c r="DR78">
        <v>24.7407</v>
      </c>
      <c r="DS78">
        <v>24.5685</v>
      </c>
      <c r="DT78">
        <v>16.8</v>
      </c>
      <c r="DU78">
        <v>29.8</v>
      </c>
      <c r="DV78">
        <v>7.1421799999999998</v>
      </c>
      <c r="DW78">
        <v>61.678600000000003</v>
      </c>
      <c r="DX78">
        <v>37.0593</v>
      </c>
      <c r="DY78">
        <v>1</v>
      </c>
      <c r="DZ78">
        <v>-8.1867400000000007E-2</v>
      </c>
      <c r="EA78">
        <v>0.18573000000000001</v>
      </c>
      <c r="EB78">
        <v>20.189800000000002</v>
      </c>
      <c r="EC78">
        <v>5.2411000000000003</v>
      </c>
      <c r="ED78">
        <v>12.039899999999999</v>
      </c>
      <c r="EE78">
        <v>5.0168999999999997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1.86897</v>
      </c>
      <c r="EL78">
        <v>1.8647199999999999</v>
      </c>
      <c r="EM78">
        <v>1.8692</v>
      </c>
      <c r="EN78">
        <v>1.86727</v>
      </c>
      <c r="EO78">
        <v>1.8633999999999999</v>
      </c>
      <c r="EP78">
        <v>1.8646</v>
      </c>
      <c r="EQ78">
        <v>1.8702000000000001</v>
      </c>
      <c r="ER78">
        <v>1.8694599999999999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-0.20499999999999999</v>
      </c>
      <c r="FG78">
        <v>3.4500000000000003E-2</v>
      </c>
      <c r="FH78">
        <v>0.27827353915413472</v>
      </c>
      <c r="FI78">
        <v>-6.1462078757559423E-4</v>
      </c>
      <c r="FJ78">
        <v>-1.8861989874597051E-7</v>
      </c>
      <c r="FK78">
        <v>1.1980462299894961E-10</v>
      </c>
      <c r="FL78">
        <v>-3.2538871274648329E-2</v>
      </c>
      <c r="FM78">
        <v>-1.6848085045870601E-2</v>
      </c>
      <c r="FN78">
        <v>1.9789084769509481E-3</v>
      </c>
      <c r="FO78">
        <v>-2.7142391389806329E-5</v>
      </c>
      <c r="FP78">
        <v>3</v>
      </c>
      <c r="FQ78">
        <v>2158</v>
      </c>
      <c r="FR78">
        <v>1</v>
      </c>
      <c r="FS78">
        <v>19</v>
      </c>
      <c r="FT78">
        <v>20</v>
      </c>
      <c r="FU78">
        <v>19.899999999999999</v>
      </c>
      <c r="FV78">
        <v>1.7773399999999999</v>
      </c>
      <c r="FW78">
        <v>2.5793499999999998</v>
      </c>
      <c r="FX78">
        <v>1.5490699999999999</v>
      </c>
      <c r="FY78">
        <v>2.3290999999999999</v>
      </c>
      <c r="FZ78">
        <v>1.50146</v>
      </c>
      <c r="GA78">
        <v>2.3950200000000001</v>
      </c>
      <c r="GB78">
        <v>33.850900000000003</v>
      </c>
      <c r="GC78">
        <v>23.982399999999998</v>
      </c>
      <c r="GD78">
        <v>19</v>
      </c>
      <c r="GE78">
        <v>283.3</v>
      </c>
      <c r="GF78">
        <v>581.37099999999998</v>
      </c>
      <c r="GG78">
        <v>23.3127</v>
      </c>
      <c r="GH78">
        <v>26.347899999999999</v>
      </c>
      <c r="GI78">
        <v>29.999700000000001</v>
      </c>
      <c r="GJ78">
        <v>26.4925</v>
      </c>
      <c r="GK78">
        <v>26.475899999999999</v>
      </c>
      <c r="GL78">
        <v>35.5488</v>
      </c>
      <c r="GM78">
        <v>-30</v>
      </c>
      <c r="GN78">
        <v>-30</v>
      </c>
      <c r="GO78">
        <v>23.375499999999999</v>
      </c>
      <c r="GP78">
        <v>800</v>
      </c>
      <c r="GQ78">
        <v>12.5298</v>
      </c>
      <c r="GR78">
        <v>99.710099999999997</v>
      </c>
      <c r="GS78">
        <v>99.529700000000005</v>
      </c>
    </row>
    <row r="79" spans="1:201" x14ac:dyDescent="0.25">
      <c r="A79">
        <v>63</v>
      </c>
      <c r="B79">
        <v>1690218795</v>
      </c>
      <c r="C79">
        <v>774.5</v>
      </c>
      <c r="D79" t="s">
        <v>455</v>
      </c>
      <c r="E79" t="s">
        <v>456</v>
      </c>
      <c r="F79" t="s">
        <v>330</v>
      </c>
      <c r="H79">
        <v>1690218795</v>
      </c>
      <c r="I79">
        <f t="shared" si="0"/>
        <v>7.5371633627394161E-4</v>
      </c>
      <c r="J79">
        <f t="shared" si="1"/>
        <v>0.75371633627394163</v>
      </c>
      <c r="K79">
        <f t="shared" si="2"/>
        <v>8.8458753637360328</v>
      </c>
      <c r="L79">
        <f t="shared" si="3"/>
        <v>698.82299999999998</v>
      </c>
      <c r="M79">
        <f t="shared" si="4"/>
        <v>223.92129717043977</v>
      </c>
      <c r="N79">
        <f t="shared" si="5"/>
        <v>22.206582126059452</v>
      </c>
      <c r="O79">
        <f t="shared" si="6"/>
        <v>69.303235275862207</v>
      </c>
      <c r="P79">
        <f t="shared" si="7"/>
        <v>3.1189791051939177E-2</v>
      </c>
      <c r="Q79">
        <f t="shared" si="8"/>
        <v>2.1323326638152222</v>
      </c>
      <c r="R79">
        <f t="shared" si="9"/>
        <v>3.0938542106859229E-2</v>
      </c>
      <c r="S79">
        <f t="shared" si="10"/>
        <v>1.9358993733753917E-2</v>
      </c>
      <c r="T79">
        <f t="shared" si="11"/>
        <v>276.11288293501718</v>
      </c>
      <c r="U79">
        <f t="shared" si="12"/>
        <v>27.642686323809155</v>
      </c>
      <c r="V79">
        <f t="shared" si="13"/>
        <v>27.642686323809155</v>
      </c>
      <c r="W79">
        <f t="shared" si="14"/>
        <v>3.7165071754515844</v>
      </c>
      <c r="X79">
        <f t="shared" si="15"/>
        <v>41.046510964019909</v>
      </c>
      <c r="Y79">
        <f t="shared" si="16"/>
        <v>1.3623865488817801</v>
      </c>
      <c r="Z79">
        <f t="shared" si="17"/>
        <v>3.3191287563418133</v>
      </c>
      <c r="AA79">
        <f t="shared" si="18"/>
        <v>2.354120626569804</v>
      </c>
      <c r="AB79">
        <f t="shared" si="19"/>
        <v>-33.238890429680822</v>
      </c>
      <c r="AC79">
        <f t="shared" si="20"/>
        <v>-220.81036612043712</v>
      </c>
      <c r="AD79">
        <f t="shared" si="21"/>
        <v>-22.277344249800013</v>
      </c>
      <c r="AE79">
        <f t="shared" si="22"/>
        <v>-0.21371786490078648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52676.381289491161</v>
      </c>
      <c r="AK79">
        <f t="shared" si="26"/>
        <v>1799.99</v>
      </c>
      <c r="AL79">
        <f t="shared" si="27"/>
        <v>1499.10348800102</v>
      </c>
      <c r="AM79">
        <f t="shared" si="28"/>
        <v>0.83283989800000002</v>
      </c>
      <c r="AN79">
        <f t="shared" si="29"/>
        <v>0.15339689828</v>
      </c>
      <c r="AO79">
        <v>32.4</v>
      </c>
      <c r="AP79">
        <v>0.5</v>
      </c>
      <c r="AQ79" t="s">
        <v>331</v>
      </c>
      <c r="AR79">
        <v>2</v>
      </c>
      <c r="AS79">
        <v>1690218795</v>
      </c>
      <c r="AT79">
        <v>698.82299999999998</v>
      </c>
      <c r="AU79">
        <v>799.99199999999996</v>
      </c>
      <c r="AV79">
        <v>13.7377</v>
      </c>
      <c r="AW79">
        <v>5.7137500000000001</v>
      </c>
      <c r="AX79">
        <v>699.02499999999998</v>
      </c>
      <c r="AY79">
        <v>13.699400000000001</v>
      </c>
      <c r="AZ79">
        <v>300.16300000000001</v>
      </c>
      <c r="BA79">
        <v>99.071399999999997</v>
      </c>
      <c r="BB79">
        <v>9.9971400000000002E-2</v>
      </c>
      <c r="BC79">
        <v>25.721900000000002</v>
      </c>
      <c r="BD79">
        <v>26.936</v>
      </c>
      <c r="BE79">
        <v>27.248100000000001</v>
      </c>
      <c r="BF79">
        <v>0</v>
      </c>
      <c r="BG79">
        <v>0</v>
      </c>
      <c r="BH79">
        <v>10013.1</v>
      </c>
      <c r="BI79">
        <v>1061.54</v>
      </c>
      <c r="BJ79">
        <v>1.4296899999999999</v>
      </c>
      <c r="BK79">
        <v>-101.169</v>
      </c>
      <c r="BL79">
        <v>708.55700000000002</v>
      </c>
      <c r="BM79">
        <v>804.58900000000006</v>
      </c>
      <c r="BN79">
        <v>8.0239499999999992</v>
      </c>
      <c r="BO79">
        <v>799.99199999999996</v>
      </c>
      <c r="BP79">
        <v>5.7137500000000001</v>
      </c>
      <c r="BQ79">
        <v>1.3610100000000001</v>
      </c>
      <c r="BR79">
        <v>0.56606900000000004</v>
      </c>
      <c r="BS79">
        <v>11.4901</v>
      </c>
      <c r="BT79">
        <v>-1.1061000000000001</v>
      </c>
      <c r="BU79">
        <v>1799.99</v>
      </c>
      <c r="BV79">
        <v>0.91001100000000001</v>
      </c>
      <c r="BW79">
        <v>3.4006000000000002E-2</v>
      </c>
      <c r="BX79">
        <v>2.19934E-2</v>
      </c>
      <c r="BY79">
        <v>3.3989600000000002E-2</v>
      </c>
      <c r="BZ79">
        <v>25</v>
      </c>
      <c r="CA79">
        <v>33528.400000000001</v>
      </c>
      <c r="CB79">
        <v>1690217592</v>
      </c>
      <c r="CC79" t="s">
        <v>332</v>
      </c>
      <c r="CD79">
        <v>1690217586.5</v>
      </c>
      <c r="CE79">
        <v>1690217592</v>
      </c>
      <c r="CF79">
        <v>9</v>
      </c>
      <c r="CG79">
        <v>0.11600000000000001</v>
      </c>
      <c r="CH79">
        <v>-3.0000000000000001E-3</v>
      </c>
      <c r="CI79">
        <v>-0.27300000000000002</v>
      </c>
      <c r="CJ79">
        <v>-6.9000000000000006E-2</v>
      </c>
      <c r="CK79">
        <v>800</v>
      </c>
      <c r="CL79">
        <v>6</v>
      </c>
      <c r="CM79">
        <v>0.01</v>
      </c>
      <c r="CN79">
        <v>0.01</v>
      </c>
      <c r="CO79">
        <v>-97.795987804878052</v>
      </c>
      <c r="CP79">
        <v>-19.542733797909531</v>
      </c>
      <c r="CQ79">
        <v>1.927098410816954</v>
      </c>
      <c r="CR79">
        <v>-1</v>
      </c>
      <c r="CS79">
        <v>7.8446492682926836</v>
      </c>
      <c r="CT79">
        <v>1.0289032055749101</v>
      </c>
      <c r="CU79">
        <v>0.101455759056872</v>
      </c>
      <c r="CV79">
        <v>-1</v>
      </c>
      <c r="CW79">
        <v>0</v>
      </c>
      <c r="CX79">
        <v>0</v>
      </c>
      <c r="CY79" t="s">
        <v>333</v>
      </c>
      <c r="CZ79">
        <v>2.36436</v>
      </c>
      <c r="DA79">
        <v>2.7137699999999998</v>
      </c>
      <c r="DB79">
        <v>0.133738</v>
      </c>
      <c r="DC79">
        <v>0.14602799999999999</v>
      </c>
      <c r="DD79">
        <v>7.6330800000000004E-2</v>
      </c>
      <c r="DE79">
        <v>3.7887499999999998E-2</v>
      </c>
      <c r="DF79">
        <v>31622.400000000001</v>
      </c>
      <c r="DG79">
        <v>27510.7</v>
      </c>
      <c r="DH79">
        <v>31164.6</v>
      </c>
      <c r="DI79">
        <v>28071.5</v>
      </c>
      <c r="DJ79">
        <v>39093.199999999997</v>
      </c>
      <c r="DK79">
        <v>38406.6</v>
      </c>
      <c r="DL79">
        <v>44349.3</v>
      </c>
      <c r="DM79">
        <v>42545.3</v>
      </c>
      <c r="DN79">
        <v>1.476</v>
      </c>
      <c r="DO79">
        <v>2.0326</v>
      </c>
      <c r="DP79">
        <v>0.13411000000000001</v>
      </c>
      <c r="DQ79">
        <v>0.163436</v>
      </c>
      <c r="DR79">
        <v>24.738600000000002</v>
      </c>
      <c r="DS79">
        <v>24.570499999999999</v>
      </c>
      <c r="DT79">
        <v>16.8</v>
      </c>
      <c r="DU79">
        <v>29.8</v>
      </c>
      <c r="DV79">
        <v>7.14168</v>
      </c>
      <c r="DW79">
        <v>61.578600000000002</v>
      </c>
      <c r="DX79">
        <v>36.871000000000002</v>
      </c>
      <c r="DY79">
        <v>1</v>
      </c>
      <c r="DZ79">
        <v>-8.2400899999999999E-2</v>
      </c>
      <c r="EA79">
        <v>0.19217000000000001</v>
      </c>
      <c r="EB79">
        <v>20.189800000000002</v>
      </c>
      <c r="EC79">
        <v>5.2411000000000003</v>
      </c>
      <c r="ED79">
        <v>12.039899999999999</v>
      </c>
      <c r="EE79">
        <v>5.0167000000000002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1.86894</v>
      </c>
      <c r="EL79">
        <v>1.8647</v>
      </c>
      <c r="EM79">
        <v>1.8692</v>
      </c>
      <c r="EN79">
        <v>1.8672800000000001</v>
      </c>
      <c r="EO79">
        <v>1.86341</v>
      </c>
      <c r="EP79">
        <v>1.8646</v>
      </c>
      <c r="EQ79">
        <v>1.8702000000000001</v>
      </c>
      <c r="ER79">
        <v>1.86944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-0.20200000000000001</v>
      </c>
      <c r="FG79">
        <v>3.8300000000000001E-2</v>
      </c>
      <c r="FH79">
        <v>0.27827353915413472</v>
      </c>
      <c r="FI79">
        <v>-6.1462078757559423E-4</v>
      </c>
      <c r="FJ79">
        <v>-1.8861989874597051E-7</v>
      </c>
      <c r="FK79">
        <v>1.1980462299894961E-10</v>
      </c>
      <c r="FL79">
        <v>-3.2538871274648329E-2</v>
      </c>
      <c r="FM79">
        <v>-1.6848085045870601E-2</v>
      </c>
      <c r="FN79">
        <v>1.9789084769509481E-3</v>
      </c>
      <c r="FO79">
        <v>-2.7142391389806329E-5</v>
      </c>
      <c r="FP79">
        <v>3</v>
      </c>
      <c r="FQ79">
        <v>2158</v>
      </c>
      <c r="FR79">
        <v>1</v>
      </c>
      <c r="FS79">
        <v>19</v>
      </c>
      <c r="FT79">
        <v>20.100000000000001</v>
      </c>
      <c r="FU79">
        <v>20.100000000000001</v>
      </c>
      <c r="FV79">
        <v>1.7773399999999999</v>
      </c>
      <c r="FW79">
        <v>2.5842299999999998</v>
      </c>
      <c r="FX79">
        <v>1.5490699999999999</v>
      </c>
      <c r="FY79">
        <v>2.3290999999999999</v>
      </c>
      <c r="FZ79">
        <v>1.50146</v>
      </c>
      <c r="GA79">
        <v>2.3290999999999999</v>
      </c>
      <c r="GB79">
        <v>33.850900000000003</v>
      </c>
      <c r="GC79">
        <v>23.982399999999998</v>
      </c>
      <c r="GD79">
        <v>19</v>
      </c>
      <c r="GE79">
        <v>283.40100000000001</v>
      </c>
      <c r="GF79">
        <v>581.55999999999995</v>
      </c>
      <c r="GG79">
        <v>23.4391</v>
      </c>
      <c r="GH79">
        <v>26.3413</v>
      </c>
      <c r="GI79">
        <v>29.9998</v>
      </c>
      <c r="GJ79">
        <v>26.488499999999998</v>
      </c>
      <c r="GK79">
        <v>26.4726</v>
      </c>
      <c r="GL79">
        <v>35.546599999999998</v>
      </c>
      <c r="GM79">
        <v>-30</v>
      </c>
      <c r="GN79">
        <v>-30</v>
      </c>
      <c r="GO79">
        <v>23.495699999999999</v>
      </c>
      <c r="GP79">
        <v>800</v>
      </c>
      <c r="GQ79">
        <v>12.5298</v>
      </c>
      <c r="GR79">
        <v>99.712199999999996</v>
      </c>
      <c r="GS79">
        <v>99.529600000000002</v>
      </c>
    </row>
    <row r="80" spans="1:201" x14ac:dyDescent="0.25">
      <c r="A80">
        <v>64</v>
      </c>
      <c r="B80">
        <v>1690218805</v>
      </c>
      <c r="C80">
        <v>784.5</v>
      </c>
      <c r="D80" t="s">
        <v>457</v>
      </c>
      <c r="E80" t="s">
        <v>458</v>
      </c>
      <c r="F80" t="s">
        <v>330</v>
      </c>
      <c r="H80">
        <v>1690218805</v>
      </c>
      <c r="I80">
        <f t="shared" si="0"/>
        <v>7.7056568064666909E-4</v>
      </c>
      <c r="J80">
        <f t="shared" si="1"/>
        <v>0.77056568064666908</v>
      </c>
      <c r="K80">
        <f t="shared" si="2"/>
        <v>9.1398755145795647</v>
      </c>
      <c r="L80">
        <f t="shared" si="3"/>
        <v>695.53899999999999</v>
      </c>
      <c r="M80">
        <f t="shared" si="4"/>
        <v>218.75290508072138</v>
      </c>
      <c r="N80">
        <f t="shared" si="5"/>
        <v>21.694307588959106</v>
      </c>
      <c r="O80">
        <f t="shared" si="6"/>
        <v>68.978453111509481</v>
      </c>
      <c r="P80">
        <f t="shared" si="7"/>
        <v>3.2081815488278063E-2</v>
      </c>
      <c r="Q80">
        <f t="shared" si="8"/>
        <v>2.1301667030664868</v>
      </c>
      <c r="R80">
        <f t="shared" si="9"/>
        <v>3.1815787911735283E-2</v>
      </c>
      <c r="S80">
        <f t="shared" si="10"/>
        <v>1.9908584998186131E-2</v>
      </c>
      <c r="T80">
        <f t="shared" si="11"/>
        <v>276.11261491650623</v>
      </c>
      <c r="U80">
        <f t="shared" si="12"/>
        <v>27.659840450067581</v>
      </c>
      <c r="V80">
        <f t="shared" si="13"/>
        <v>27.659840450067581</v>
      </c>
      <c r="W80">
        <f t="shared" si="14"/>
        <v>3.7202353067254763</v>
      </c>
      <c r="X80">
        <f t="shared" si="15"/>
        <v>41.527012074504185</v>
      </c>
      <c r="Y80">
        <f t="shared" si="16"/>
        <v>1.3800768262519501</v>
      </c>
      <c r="Z80">
        <f t="shared" si="17"/>
        <v>3.3233231993092476</v>
      </c>
      <c r="AA80">
        <f t="shared" si="18"/>
        <v>2.3401584804735265</v>
      </c>
      <c r="AB80">
        <f t="shared" si="19"/>
        <v>-33.981946516518107</v>
      </c>
      <c r="AC80">
        <f t="shared" si="20"/>
        <v>-220.10995489532678</v>
      </c>
      <c r="AD80">
        <f t="shared" si="21"/>
        <v>-22.233538092701373</v>
      </c>
      <c r="AE80">
        <f t="shared" si="22"/>
        <v>-0.21282458804000726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52578.87144383425</v>
      </c>
      <c r="AK80">
        <f t="shared" si="26"/>
        <v>1799.99</v>
      </c>
      <c r="AL80">
        <f t="shared" si="27"/>
        <v>1499.1043429962697</v>
      </c>
      <c r="AM80">
        <f t="shared" si="28"/>
        <v>0.8328403729999998</v>
      </c>
      <c r="AN80">
        <f t="shared" si="29"/>
        <v>0.15339674938</v>
      </c>
      <c r="AO80">
        <v>32.4</v>
      </c>
      <c r="AP80">
        <v>0.5</v>
      </c>
      <c r="AQ80" t="s">
        <v>331</v>
      </c>
      <c r="AR80">
        <v>2</v>
      </c>
      <c r="AS80">
        <v>1690218805</v>
      </c>
      <c r="AT80">
        <v>695.53899999999999</v>
      </c>
      <c r="AU80">
        <v>799.98299999999995</v>
      </c>
      <c r="AV80">
        <v>13.915900000000001</v>
      </c>
      <c r="AW80">
        <v>5.7139199999999999</v>
      </c>
      <c r="AX80">
        <v>695.74</v>
      </c>
      <c r="AY80">
        <v>13.873799999999999</v>
      </c>
      <c r="AZ80">
        <v>300.15800000000002</v>
      </c>
      <c r="BA80">
        <v>99.072699999999998</v>
      </c>
      <c r="BB80">
        <v>9.9960499999999994E-2</v>
      </c>
      <c r="BC80">
        <v>25.743200000000002</v>
      </c>
      <c r="BD80">
        <v>26.957899999999999</v>
      </c>
      <c r="BE80">
        <v>27.258400000000002</v>
      </c>
      <c r="BF80">
        <v>0</v>
      </c>
      <c r="BG80">
        <v>0</v>
      </c>
      <c r="BH80">
        <v>9994.3799999999992</v>
      </c>
      <c r="BI80">
        <v>1061.5999999999999</v>
      </c>
      <c r="BJ80">
        <v>1.38764</v>
      </c>
      <c r="BK80">
        <v>-104.444</v>
      </c>
      <c r="BL80">
        <v>705.35500000000002</v>
      </c>
      <c r="BM80">
        <v>804.58100000000002</v>
      </c>
      <c r="BN80">
        <v>8.2019800000000007</v>
      </c>
      <c r="BO80">
        <v>799.98299999999995</v>
      </c>
      <c r="BP80">
        <v>5.7139199999999999</v>
      </c>
      <c r="BQ80">
        <v>1.37869</v>
      </c>
      <c r="BR80">
        <v>0.56609299999999996</v>
      </c>
      <c r="BS80">
        <v>11.6852</v>
      </c>
      <c r="BT80">
        <v>-1.1055200000000001</v>
      </c>
      <c r="BU80">
        <v>1799.99</v>
      </c>
      <c r="BV80">
        <v>0.91001699999999996</v>
      </c>
      <c r="BW80">
        <v>3.4003699999999998E-2</v>
      </c>
      <c r="BX80">
        <v>2.1991900000000002E-2</v>
      </c>
      <c r="BY80">
        <v>3.3987400000000001E-2</v>
      </c>
      <c r="BZ80">
        <v>25</v>
      </c>
      <c r="CA80">
        <v>33528.400000000001</v>
      </c>
      <c r="CB80">
        <v>1690217592</v>
      </c>
      <c r="CC80" t="s">
        <v>332</v>
      </c>
      <c r="CD80">
        <v>1690217586.5</v>
      </c>
      <c r="CE80">
        <v>1690217592</v>
      </c>
      <c r="CF80">
        <v>9</v>
      </c>
      <c r="CG80">
        <v>0.11600000000000001</v>
      </c>
      <c r="CH80">
        <v>-3.0000000000000001E-3</v>
      </c>
      <c r="CI80">
        <v>-0.27300000000000002</v>
      </c>
      <c r="CJ80">
        <v>-6.9000000000000006E-2</v>
      </c>
      <c r="CK80">
        <v>800</v>
      </c>
      <c r="CL80">
        <v>6</v>
      </c>
      <c r="CM80">
        <v>0.01</v>
      </c>
      <c r="CN80">
        <v>0.01</v>
      </c>
      <c r="CO80">
        <v>-100.6948195121951</v>
      </c>
      <c r="CP80">
        <v>-19.15651149825791</v>
      </c>
      <c r="CQ80">
        <v>1.8891161268156289</v>
      </c>
      <c r="CR80">
        <v>-1</v>
      </c>
      <c r="CS80">
        <v>7.9997217073170734</v>
      </c>
      <c r="CT80">
        <v>1.0373866202090609</v>
      </c>
      <c r="CU80">
        <v>0.1022953660086377</v>
      </c>
      <c r="CV80">
        <v>-1</v>
      </c>
      <c r="CW80">
        <v>0</v>
      </c>
      <c r="CX80">
        <v>0</v>
      </c>
      <c r="CY80" t="s">
        <v>333</v>
      </c>
      <c r="CZ80">
        <v>2.36435</v>
      </c>
      <c r="DA80">
        <v>2.7137500000000001</v>
      </c>
      <c r="DB80">
        <v>0.13331299999999999</v>
      </c>
      <c r="DC80">
        <v>0.14602999999999999</v>
      </c>
      <c r="DD80">
        <v>7.7056200000000005E-2</v>
      </c>
      <c r="DE80">
        <v>3.7889100000000002E-2</v>
      </c>
      <c r="DF80">
        <v>31638.400000000001</v>
      </c>
      <c r="DG80">
        <v>27511.1</v>
      </c>
      <c r="DH80">
        <v>31165</v>
      </c>
      <c r="DI80">
        <v>28071.9</v>
      </c>
      <c r="DJ80">
        <v>39062.9</v>
      </c>
      <c r="DK80">
        <v>38407.1</v>
      </c>
      <c r="DL80">
        <v>44350</v>
      </c>
      <c r="DM80">
        <v>42545.9</v>
      </c>
      <c r="DN80">
        <v>1.4761</v>
      </c>
      <c r="DO80">
        <v>2.0327500000000001</v>
      </c>
      <c r="DP80">
        <v>0.13531699999999999</v>
      </c>
      <c r="DQ80">
        <v>0.16387599999999999</v>
      </c>
      <c r="DR80">
        <v>24.7407</v>
      </c>
      <c r="DS80">
        <v>24.573599999999999</v>
      </c>
      <c r="DT80">
        <v>16.8</v>
      </c>
      <c r="DU80">
        <v>29.8</v>
      </c>
      <c r="DV80">
        <v>7.1418900000000001</v>
      </c>
      <c r="DW80">
        <v>61.718600000000002</v>
      </c>
      <c r="DX80">
        <v>36.442300000000003</v>
      </c>
      <c r="DY80">
        <v>1</v>
      </c>
      <c r="DZ80">
        <v>-8.2855700000000004E-2</v>
      </c>
      <c r="EA80">
        <v>0.21860299999999999</v>
      </c>
      <c r="EB80">
        <v>20.190000000000001</v>
      </c>
      <c r="EC80">
        <v>5.2408000000000001</v>
      </c>
      <c r="ED80">
        <v>12.039899999999999</v>
      </c>
      <c r="EE80">
        <v>5.01715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1.86894</v>
      </c>
      <c r="EL80">
        <v>1.8646799999999999</v>
      </c>
      <c r="EM80">
        <v>1.8692</v>
      </c>
      <c r="EN80">
        <v>1.8672599999999999</v>
      </c>
      <c r="EO80">
        <v>1.86341</v>
      </c>
      <c r="EP80">
        <v>1.86456</v>
      </c>
      <c r="EQ80">
        <v>1.8702000000000001</v>
      </c>
      <c r="ER80">
        <v>1.8694500000000001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-0.20100000000000001</v>
      </c>
      <c r="FG80">
        <v>4.2099999999999999E-2</v>
      </c>
      <c r="FH80">
        <v>0.27827353915413472</v>
      </c>
      <c r="FI80">
        <v>-6.1462078757559423E-4</v>
      </c>
      <c r="FJ80">
        <v>-1.8861989874597051E-7</v>
      </c>
      <c r="FK80">
        <v>1.1980462299894961E-10</v>
      </c>
      <c r="FL80">
        <v>-3.2538871274648329E-2</v>
      </c>
      <c r="FM80">
        <v>-1.6848085045870601E-2</v>
      </c>
      <c r="FN80">
        <v>1.9789084769509481E-3</v>
      </c>
      <c r="FO80">
        <v>-2.7142391389806329E-5</v>
      </c>
      <c r="FP80">
        <v>3</v>
      </c>
      <c r="FQ80">
        <v>2158</v>
      </c>
      <c r="FR80">
        <v>1</v>
      </c>
      <c r="FS80">
        <v>19</v>
      </c>
      <c r="FT80">
        <v>20.3</v>
      </c>
      <c r="FU80">
        <v>20.2</v>
      </c>
      <c r="FV80">
        <v>1.7773399999999999</v>
      </c>
      <c r="FW80">
        <v>2.5842299999999998</v>
      </c>
      <c r="FX80">
        <v>1.5490699999999999</v>
      </c>
      <c r="FY80">
        <v>2.3290999999999999</v>
      </c>
      <c r="FZ80">
        <v>1.50146</v>
      </c>
      <c r="GA80">
        <v>2.33765</v>
      </c>
      <c r="GB80">
        <v>33.850900000000003</v>
      </c>
      <c r="GC80">
        <v>23.982399999999998</v>
      </c>
      <c r="GD80">
        <v>19</v>
      </c>
      <c r="GE80">
        <v>283.42599999999999</v>
      </c>
      <c r="GF80">
        <v>581.64599999999996</v>
      </c>
      <c r="GG80">
        <v>23.540400000000002</v>
      </c>
      <c r="GH80">
        <v>26.335599999999999</v>
      </c>
      <c r="GI80">
        <v>29.9999</v>
      </c>
      <c r="GJ80">
        <v>26.4846</v>
      </c>
      <c r="GK80">
        <v>26.4693</v>
      </c>
      <c r="GL80">
        <v>35.5488</v>
      </c>
      <c r="GM80">
        <v>-30</v>
      </c>
      <c r="GN80">
        <v>-30</v>
      </c>
      <c r="GO80">
        <v>23.567900000000002</v>
      </c>
      <c r="GP80">
        <v>800</v>
      </c>
      <c r="GQ80">
        <v>12.5298</v>
      </c>
      <c r="GR80">
        <v>99.713800000000006</v>
      </c>
      <c r="GS80">
        <v>99.530900000000003</v>
      </c>
    </row>
    <row r="81" spans="1:201" x14ac:dyDescent="0.25">
      <c r="A81">
        <v>65</v>
      </c>
      <c r="B81">
        <v>1690218815</v>
      </c>
      <c r="C81">
        <v>794.5</v>
      </c>
      <c r="D81" t="s">
        <v>459</v>
      </c>
      <c r="E81" t="s">
        <v>460</v>
      </c>
      <c r="F81" t="s">
        <v>330</v>
      </c>
      <c r="H81">
        <v>1690218815</v>
      </c>
      <c r="I81">
        <f t="shared" ref="I81:I144" si="30">(J81)/1000</f>
        <v>7.8733819768765157E-4</v>
      </c>
      <c r="J81">
        <f t="shared" ref="J81:J144" si="31">1000*AZ81*AH81*(AV81-AW81)/(100*AO81*(1000-AH81*AV81))</f>
        <v>0.78733819768765156</v>
      </c>
      <c r="K81">
        <f t="shared" ref="K81:K144" si="32">AZ81*AH81*(AU81-AT81*(1000-AH81*AW81)/(1000-AH81*AV81))/(100*AO81)</f>
        <v>9.438187145312531</v>
      </c>
      <c r="L81">
        <f t="shared" ref="L81:L144" si="33">AT81 - IF(AH81&gt;1, K81*AO81*100/(AJ81*BH81), 0)</f>
        <v>692.25099999999998</v>
      </c>
      <c r="M81">
        <f t="shared" ref="M81:M144" si="34">((S81-I81/2)*L81-K81)/(S81+I81/2)</f>
        <v>214.08840246251094</v>
      </c>
      <c r="N81">
        <f t="shared" ref="N81:N144" si="35">M81*(BA81+BB81)/1000</f>
        <v>21.232163149853701</v>
      </c>
      <c r="O81">
        <f t="shared" ref="O81:O144" si="36">(AT81 - IF(AH81&gt;1, K81*AO81*100/(AJ81*BH81), 0))*(BA81+BB81)/1000</f>
        <v>68.653817785496997</v>
      </c>
      <c r="P81">
        <f t="shared" ref="P81:P144" si="37">2/((1/R81-1/Q81)+SIGN(R81)*SQRT((1/R81-1/Q81)*(1/R81-1/Q81) + 4*AP81/((AP81+1)*(AP81+1))*(2*1/R81*1/Q81-1/Q81*1/Q81)))</f>
        <v>3.301680816640417E-2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2.1312067560445183</v>
      </c>
      <c r="R81">
        <f t="shared" ref="R81:R144" si="39">I81*(1000-(1000*0.61365*EXP(17.502*V81/(240.97+V81))/(BA81+BB81)+AV81)/2)/(1000*0.61365*EXP(17.502*V81/(240.97+V81))/(BA81+BB81)-AV81)</f>
        <v>3.2735258069113184E-2</v>
      </c>
      <c r="S81">
        <f t="shared" ref="S81:S144" si="40">1/((AP81+1)/(P81/1.6)+1/(Q81/1.37)) + AP81/((AP81+1)/(P81/1.6) + AP81/(Q81/1.37))</f>
        <v>2.0484632239263861E-2</v>
      </c>
      <c r="T81">
        <f t="shared" ref="T81:T144" si="41">(AK81*AN81)</f>
        <v>276.11250614311052</v>
      </c>
      <c r="U81">
        <f t="shared" ref="U81:U144" si="42">(BC81+(T81+2*0.95*0.0000000567*(((BC81+$B$7)+273)^4-(BC81+273)^4)-44100*I81)/(1.84*29.3*Q81+8*0.95*0.0000000567*(BC81+273)^3))</f>
        <v>27.665415415630029</v>
      </c>
      <c r="V81">
        <f t="shared" ref="V81:V144" si="43">($C$7*BD81+$D$7*BE81+$E$7*U81)</f>
        <v>27.665415415630029</v>
      </c>
      <c r="W81">
        <f t="shared" ref="W81:W144" si="44">0.61365*EXP(17.502*V81/(240.97+V81))</f>
        <v>3.7214476245413337</v>
      </c>
      <c r="X81">
        <f t="shared" ref="X81:X144" si="45">(Y81/Z81*100)</f>
        <v>42.02632837097989</v>
      </c>
      <c r="Y81">
        <f t="shared" ref="Y81:Y144" si="46">AV81*(BA81+BB81)/1000</f>
        <v>1.3976895444204001</v>
      </c>
      <c r="Z81">
        <f t="shared" ref="Z81:Z144" si="47">0.61365*EXP(17.502*BC81/(240.97+BC81))</f>
        <v>3.3257474506993465</v>
      </c>
      <c r="AA81">
        <f t="shared" ref="AA81:AA144" si="48">(W81-AV81*(BA81+BB81)/1000)</f>
        <v>2.3237580801209337</v>
      </c>
      <c r="AB81">
        <f t="shared" ref="AB81:AB144" si="49">(-I81*44100)</f>
        <v>-34.721614518025433</v>
      </c>
      <c r="AC81">
        <f t="shared" ref="AC81:AC144" si="50">2*29.3*Q81*0.92*(BC81-V81)</f>
        <v>-219.44473304419239</v>
      </c>
      <c r="AD81">
        <f t="shared" ref="AD81:AD144" si="51">2*0.95*0.0000000567*(((BC81+$B$7)+273)^4-(V81+273)^4)</f>
        <v>-22.157506484780729</v>
      </c>
      <c r="AE81">
        <f t="shared" ref="AE81:AE144" si="52">T81+AD81+AB81+AC81</f>
        <v>-0.21134790388802571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52621.767331877367</v>
      </c>
      <c r="AK81">
        <f t="shared" ref="AK81:AK144" si="56">$B$11*BI81+$C$11*BJ81+$D$11*BU81</f>
        <v>1799.99</v>
      </c>
      <c r="AL81">
        <f t="shared" ref="AL81:AL144" si="57">AK81*AM81</f>
        <v>1499.1051925915499</v>
      </c>
      <c r="AM81">
        <f t="shared" ref="AM81:AM144" si="58">($B$11*$D$9+$C$11*$D$9+$D$11*(BV81*$E$9+BW81*$F$9+BX81*$G$9+BY81*$H$9))/($B$11+$C$11+$D$11)</f>
        <v>0.83284084499999989</v>
      </c>
      <c r="AN81">
        <f t="shared" ref="AN81:AN144" si="59">($B$11*$K$9+$C$11*$K$9+$D$11*(BV81*$L$9+BW81*$M$9+BX81*$N$9+BY81*$O$9))/($B$11+$C$11+$D$11)</f>
        <v>0.15339668895</v>
      </c>
      <c r="AO81">
        <v>32.4</v>
      </c>
      <c r="AP81">
        <v>0.5</v>
      </c>
      <c r="AQ81" t="s">
        <v>331</v>
      </c>
      <c r="AR81">
        <v>2</v>
      </c>
      <c r="AS81">
        <v>1690218815</v>
      </c>
      <c r="AT81">
        <v>692.25099999999998</v>
      </c>
      <c r="AU81">
        <v>800.00300000000004</v>
      </c>
      <c r="AV81">
        <v>14.0932</v>
      </c>
      <c r="AW81">
        <v>5.7149799999999997</v>
      </c>
      <c r="AX81">
        <v>692.44899999999996</v>
      </c>
      <c r="AY81">
        <v>14.0471</v>
      </c>
      <c r="AZ81">
        <v>300.18599999999998</v>
      </c>
      <c r="BA81">
        <v>99.074700000000007</v>
      </c>
      <c r="BB81">
        <v>0.100047</v>
      </c>
      <c r="BC81">
        <v>25.755500000000001</v>
      </c>
      <c r="BD81">
        <v>26.999099999999999</v>
      </c>
      <c r="BE81">
        <v>27.2578</v>
      </c>
      <c r="BF81">
        <v>0</v>
      </c>
      <c r="BG81">
        <v>0</v>
      </c>
      <c r="BH81">
        <v>10003.1</v>
      </c>
      <c r="BI81">
        <v>1061.6600000000001</v>
      </c>
      <c r="BJ81">
        <v>1.2474700000000001</v>
      </c>
      <c r="BK81">
        <v>-107.752</v>
      </c>
      <c r="BL81">
        <v>702.14599999999996</v>
      </c>
      <c r="BM81">
        <v>804.60199999999998</v>
      </c>
      <c r="BN81">
        <v>8.37819</v>
      </c>
      <c r="BO81">
        <v>800.00300000000004</v>
      </c>
      <c r="BP81">
        <v>5.7149799999999997</v>
      </c>
      <c r="BQ81">
        <v>1.39628</v>
      </c>
      <c r="BR81">
        <v>0.56620999999999999</v>
      </c>
      <c r="BS81">
        <v>11.8773</v>
      </c>
      <c r="BT81">
        <v>-1.1027100000000001</v>
      </c>
      <c r="BU81">
        <v>1799.99</v>
      </c>
      <c r="BV81">
        <v>0.91002099999999997</v>
      </c>
      <c r="BW81">
        <v>3.4002299999999999E-2</v>
      </c>
      <c r="BX81">
        <v>2.1991E-2</v>
      </c>
      <c r="BY81">
        <v>3.3985899999999999E-2</v>
      </c>
      <c r="BZ81">
        <v>25</v>
      </c>
      <c r="CA81">
        <v>33528.400000000001</v>
      </c>
      <c r="CB81">
        <v>1690217592</v>
      </c>
      <c r="CC81" t="s">
        <v>332</v>
      </c>
      <c r="CD81">
        <v>1690217586.5</v>
      </c>
      <c r="CE81">
        <v>1690217592</v>
      </c>
      <c r="CF81">
        <v>9</v>
      </c>
      <c r="CG81">
        <v>0.11600000000000001</v>
      </c>
      <c r="CH81">
        <v>-3.0000000000000001E-3</v>
      </c>
      <c r="CI81">
        <v>-0.27300000000000002</v>
      </c>
      <c r="CJ81">
        <v>-6.9000000000000006E-2</v>
      </c>
      <c r="CK81">
        <v>800</v>
      </c>
      <c r="CL81">
        <v>6</v>
      </c>
      <c r="CM81">
        <v>0.01</v>
      </c>
      <c r="CN81">
        <v>0.01</v>
      </c>
      <c r="CO81">
        <v>-104.195425</v>
      </c>
      <c r="CP81">
        <v>-19.943808630393811</v>
      </c>
      <c r="CQ81">
        <v>1.9190708935250409</v>
      </c>
      <c r="CR81">
        <v>-1</v>
      </c>
      <c r="CS81">
        <v>8.1883745000000001</v>
      </c>
      <c r="CT81">
        <v>1.0700001500938079</v>
      </c>
      <c r="CU81">
        <v>0.1029314770114081</v>
      </c>
      <c r="CV81">
        <v>-1</v>
      </c>
      <c r="CW81">
        <v>0</v>
      </c>
      <c r="CX81">
        <v>0</v>
      </c>
      <c r="CY81" t="s">
        <v>333</v>
      </c>
      <c r="CZ81">
        <v>2.3644400000000001</v>
      </c>
      <c r="DA81">
        <v>2.7138399999999998</v>
      </c>
      <c r="DB81">
        <v>0.13288800000000001</v>
      </c>
      <c r="DC81">
        <v>0.146036</v>
      </c>
      <c r="DD81">
        <v>7.7774999999999997E-2</v>
      </c>
      <c r="DE81">
        <v>3.7895999999999999E-2</v>
      </c>
      <c r="DF81">
        <v>31653.9</v>
      </c>
      <c r="DG81">
        <v>27511.200000000001</v>
      </c>
      <c r="DH81">
        <v>31165</v>
      </c>
      <c r="DI81">
        <v>28072.2</v>
      </c>
      <c r="DJ81">
        <v>39032.300000000003</v>
      </c>
      <c r="DK81">
        <v>38407.1</v>
      </c>
      <c r="DL81">
        <v>44350.2</v>
      </c>
      <c r="DM81">
        <v>42546.3</v>
      </c>
      <c r="DN81">
        <v>1.47607</v>
      </c>
      <c r="DO81">
        <v>2.0329000000000002</v>
      </c>
      <c r="DP81">
        <v>0.13783599999999999</v>
      </c>
      <c r="DQ81">
        <v>0.16345799999999999</v>
      </c>
      <c r="DR81">
        <v>24.7407</v>
      </c>
      <c r="DS81">
        <v>24.579799999999999</v>
      </c>
      <c r="DT81">
        <v>16.8</v>
      </c>
      <c r="DU81">
        <v>29.8</v>
      </c>
      <c r="DV81">
        <v>7.1417900000000003</v>
      </c>
      <c r="DW81">
        <v>61.738599999999998</v>
      </c>
      <c r="DX81">
        <v>36.274000000000001</v>
      </c>
      <c r="DY81">
        <v>1</v>
      </c>
      <c r="DZ81">
        <v>-8.2881099999999999E-2</v>
      </c>
      <c r="EA81">
        <v>0.25769599999999998</v>
      </c>
      <c r="EB81">
        <v>20.189800000000002</v>
      </c>
      <c r="EC81">
        <v>5.2406499999999996</v>
      </c>
      <c r="ED81">
        <v>12.039899999999999</v>
      </c>
      <c r="EE81">
        <v>5.0169499999999996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1.8689199999999999</v>
      </c>
      <c r="EL81">
        <v>1.8646799999999999</v>
      </c>
      <c r="EM81">
        <v>1.8691899999999999</v>
      </c>
      <c r="EN81">
        <v>1.86724</v>
      </c>
      <c r="EO81">
        <v>1.8633999999999999</v>
      </c>
      <c r="EP81">
        <v>1.86456</v>
      </c>
      <c r="EQ81">
        <v>1.87018</v>
      </c>
      <c r="ER81">
        <v>1.86947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-0.19800000000000001</v>
      </c>
      <c r="FG81">
        <v>4.6100000000000002E-2</v>
      </c>
      <c r="FH81">
        <v>0.27827353915413472</v>
      </c>
      <c r="FI81">
        <v>-6.1462078757559423E-4</v>
      </c>
      <c r="FJ81">
        <v>-1.8861989874597051E-7</v>
      </c>
      <c r="FK81">
        <v>1.1980462299894961E-10</v>
      </c>
      <c r="FL81">
        <v>-3.2538871274648329E-2</v>
      </c>
      <c r="FM81">
        <v>-1.6848085045870601E-2</v>
      </c>
      <c r="FN81">
        <v>1.9789084769509481E-3</v>
      </c>
      <c r="FO81">
        <v>-2.7142391389806329E-5</v>
      </c>
      <c r="FP81">
        <v>3</v>
      </c>
      <c r="FQ81">
        <v>2158</v>
      </c>
      <c r="FR81">
        <v>1</v>
      </c>
      <c r="FS81">
        <v>19</v>
      </c>
      <c r="FT81">
        <v>20.5</v>
      </c>
      <c r="FU81">
        <v>20.399999999999999</v>
      </c>
      <c r="FV81">
        <v>1.7773399999999999</v>
      </c>
      <c r="FW81">
        <v>2.5878899999999998</v>
      </c>
      <c r="FX81">
        <v>1.5490699999999999</v>
      </c>
      <c r="FY81">
        <v>2.3290999999999999</v>
      </c>
      <c r="FZ81">
        <v>1.50146</v>
      </c>
      <c r="GA81">
        <v>2.32178</v>
      </c>
      <c r="GB81">
        <v>33.850900000000003</v>
      </c>
      <c r="GC81">
        <v>23.982399999999998</v>
      </c>
      <c r="GD81">
        <v>19</v>
      </c>
      <c r="GE81">
        <v>283.39800000000002</v>
      </c>
      <c r="GF81">
        <v>581.73299999999995</v>
      </c>
      <c r="GG81">
        <v>23.6</v>
      </c>
      <c r="GH81">
        <v>26.329000000000001</v>
      </c>
      <c r="GI81">
        <v>30</v>
      </c>
      <c r="GJ81">
        <v>26.480699999999999</v>
      </c>
      <c r="GK81">
        <v>26.466000000000001</v>
      </c>
      <c r="GL81">
        <v>35.547899999999998</v>
      </c>
      <c r="GM81">
        <v>-30</v>
      </c>
      <c r="GN81">
        <v>-30</v>
      </c>
      <c r="GO81">
        <v>23.602399999999999</v>
      </c>
      <c r="GP81">
        <v>800</v>
      </c>
      <c r="GQ81">
        <v>12.5298</v>
      </c>
      <c r="GR81">
        <v>99.713999999999999</v>
      </c>
      <c r="GS81">
        <v>99.531899999999993</v>
      </c>
    </row>
    <row r="82" spans="1:201" x14ac:dyDescent="0.25">
      <c r="A82">
        <v>66</v>
      </c>
      <c r="B82">
        <v>1690218825</v>
      </c>
      <c r="C82">
        <v>804.5</v>
      </c>
      <c r="D82" t="s">
        <v>461</v>
      </c>
      <c r="E82" t="s">
        <v>462</v>
      </c>
      <c r="F82" t="s">
        <v>330</v>
      </c>
      <c r="H82">
        <v>1690218825</v>
      </c>
      <c r="I82">
        <f t="shared" si="30"/>
        <v>8.0396549770924417E-4</v>
      </c>
      <c r="J82">
        <f t="shared" si="31"/>
        <v>0.80396549770924419</v>
      </c>
      <c r="K82">
        <f t="shared" si="32"/>
        <v>9.7359113716787071</v>
      </c>
      <c r="L82">
        <f t="shared" si="33"/>
        <v>688.91899999999998</v>
      </c>
      <c r="M82">
        <f t="shared" si="34"/>
        <v>209.00086468320163</v>
      </c>
      <c r="N82">
        <f t="shared" si="35"/>
        <v>20.727943574926613</v>
      </c>
      <c r="O82">
        <f t="shared" si="36"/>
        <v>68.324474070190803</v>
      </c>
      <c r="P82">
        <f t="shared" si="37"/>
        <v>3.3916266645078817E-2</v>
      </c>
      <c r="Q82">
        <f t="shared" si="38"/>
        <v>2.1341365950411131</v>
      </c>
      <c r="R82">
        <f t="shared" si="39"/>
        <v>3.361964574507862E-2</v>
      </c>
      <c r="S82">
        <f t="shared" si="40"/>
        <v>2.1038712488891886E-2</v>
      </c>
      <c r="T82">
        <f t="shared" si="41"/>
        <v>276.11353399140023</v>
      </c>
      <c r="U82">
        <f t="shared" si="42"/>
        <v>27.683898867222226</v>
      </c>
      <c r="V82">
        <f t="shared" si="43"/>
        <v>27.683898867222226</v>
      </c>
      <c r="W82">
        <f t="shared" si="44"/>
        <v>3.7254694553531928</v>
      </c>
      <c r="X82">
        <f t="shared" si="45"/>
        <v>42.48783755802549</v>
      </c>
      <c r="Y82">
        <f t="shared" si="46"/>
        <v>1.4152763130699602</v>
      </c>
      <c r="Z82">
        <f t="shared" si="47"/>
        <v>3.3310151667218229</v>
      </c>
      <c r="AA82">
        <f t="shared" si="48"/>
        <v>2.3101931422832327</v>
      </c>
      <c r="AB82">
        <f t="shared" si="49"/>
        <v>-35.454878448977666</v>
      </c>
      <c r="AC82">
        <f t="shared" si="50"/>
        <v>-218.80105115272266</v>
      </c>
      <c r="AD82">
        <f t="shared" si="51"/>
        <v>-22.067171283568797</v>
      </c>
      <c r="AE82">
        <f t="shared" si="52"/>
        <v>-0.20956689386889593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52744.041156153158</v>
      </c>
      <c r="AK82">
        <f t="shared" si="56"/>
        <v>1799.99</v>
      </c>
      <c r="AL82">
        <f t="shared" si="57"/>
        <v>1499.1030200036198</v>
      </c>
      <c r="AM82">
        <f t="shared" si="58"/>
        <v>0.83283963799999994</v>
      </c>
      <c r="AN82">
        <f t="shared" si="59"/>
        <v>0.15339725998000001</v>
      </c>
      <c r="AO82">
        <v>32.4</v>
      </c>
      <c r="AP82">
        <v>0.5</v>
      </c>
      <c r="AQ82" t="s">
        <v>331</v>
      </c>
      <c r="AR82">
        <v>2</v>
      </c>
      <c r="AS82">
        <v>1690218825</v>
      </c>
      <c r="AT82">
        <v>688.91899999999998</v>
      </c>
      <c r="AU82">
        <v>799.98900000000003</v>
      </c>
      <c r="AV82">
        <v>14.270300000000001</v>
      </c>
      <c r="AW82">
        <v>5.7159700000000004</v>
      </c>
      <c r="AX82">
        <v>689.11400000000003</v>
      </c>
      <c r="AY82">
        <v>14.2203</v>
      </c>
      <c r="AZ82">
        <v>300.161</v>
      </c>
      <c r="BA82">
        <v>99.076400000000007</v>
      </c>
      <c r="BB82">
        <v>9.9953200000000006E-2</v>
      </c>
      <c r="BC82">
        <v>25.7822</v>
      </c>
      <c r="BD82">
        <v>26.994900000000001</v>
      </c>
      <c r="BE82">
        <v>27.2821</v>
      </c>
      <c r="BF82">
        <v>0</v>
      </c>
      <c r="BG82">
        <v>0</v>
      </c>
      <c r="BH82">
        <v>10028.1</v>
      </c>
      <c r="BI82">
        <v>1061.83</v>
      </c>
      <c r="BJ82">
        <v>1.28952</v>
      </c>
      <c r="BK82">
        <v>-111.07</v>
      </c>
      <c r="BL82">
        <v>698.89200000000005</v>
      </c>
      <c r="BM82">
        <v>804.58799999999997</v>
      </c>
      <c r="BN82">
        <v>8.5543600000000009</v>
      </c>
      <c r="BO82">
        <v>799.98900000000003</v>
      </c>
      <c r="BP82">
        <v>5.7159700000000004</v>
      </c>
      <c r="BQ82">
        <v>1.4138500000000001</v>
      </c>
      <c r="BR82">
        <v>0.56631799999999999</v>
      </c>
      <c r="BS82">
        <v>12.067</v>
      </c>
      <c r="BT82">
        <v>-1.1001099999999999</v>
      </c>
      <c r="BU82">
        <v>1799.99</v>
      </c>
      <c r="BV82">
        <v>0.91</v>
      </c>
      <c r="BW82">
        <v>3.40004E-2</v>
      </c>
      <c r="BX82">
        <v>2.1998400000000001E-2</v>
      </c>
      <c r="BY82">
        <v>3.4001000000000003E-2</v>
      </c>
      <c r="BZ82">
        <v>25</v>
      </c>
      <c r="CA82">
        <v>33528.199999999997</v>
      </c>
      <c r="CB82">
        <v>1690217592</v>
      </c>
      <c r="CC82" t="s">
        <v>332</v>
      </c>
      <c r="CD82">
        <v>1690217586.5</v>
      </c>
      <c r="CE82">
        <v>1690217592</v>
      </c>
      <c r="CF82">
        <v>9</v>
      </c>
      <c r="CG82">
        <v>0.11600000000000001</v>
      </c>
      <c r="CH82">
        <v>-3.0000000000000001E-3</v>
      </c>
      <c r="CI82">
        <v>-0.27300000000000002</v>
      </c>
      <c r="CJ82">
        <v>-6.9000000000000006E-2</v>
      </c>
      <c r="CK82">
        <v>800</v>
      </c>
      <c r="CL82">
        <v>6</v>
      </c>
      <c r="CM82">
        <v>0.01</v>
      </c>
      <c r="CN82">
        <v>0.01</v>
      </c>
      <c r="CO82">
        <v>-107.50225</v>
      </c>
      <c r="CP82">
        <v>-19.801080675421801</v>
      </c>
      <c r="CQ82">
        <v>1.9050629221891859</v>
      </c>
      <c r="CR82">
        <v>-1</v>
      </c>
      <c r="CS82">
        <v>8.3654015000000008</v>
      </c>
      <c r="CT82">
        <v>1.0545368105065529</v>
      </c>
      <c r="CU82">
        <v>0.1014428432800953</v>
      </c>
      <c r="CV82">
        <v>-1</v>
      </c>
      <c r="CW82">
        <v>0</v>
      </c>
      <c r="CX82">
        <v>0</v>
      </c>
      <c r="CY82" t="s">
        <v>333</v>
      </c>
      <c r="CZ82">
        <v>2.3643700000000001</v>
      </c>
      <c r="DA82">
        <v>2.7137699999999998</v>
      </c>
      <c r="DB82">
        <v>0.13245499999999999</v>
      </c>
      <c r="DC82">
        <v>0.146038</v>
      </c>
      <c r="DD82">
        <v>7.8489699999999996E-2</v>
      </c>
      <c r="DE82">
        <v>3.79023E-2</v>
      </c>
      <c r="DF82">
        <v>31670.1</v>
      </c>
      <c r="DG82">
        <v>27511.200000000001</v>
      </c>
      <c r="DH82">
        <v>31165.3</v>
      </c>
      <c r="DI82">
        <v>28072.2</v>
      </c>
      <c r="DJ82">
        <v>39002.300000000003</v>
      </c>
      <c r="DK82">
        <v>38407.1</v>
      </c>
      <c r="DL82">
        <v>44350.7</v>
      </c>
      <c r="DM82">
        <v>42546.5</v>
      </c>
      <c r="DN82">
        <v>1.47645</v>
      </c>
      <c r="DO82">
        <v>2.0331199999999998</v>
      </c>
      <c r="DP82">
        <v>0.13745599999999999</v>
      </c>
      <c r="DQ82">
        <v>0.16456799999999999</v>
      </c>
      <c r="DR82">
        <v>24.742799999999999</v>
      </c>
      <c r="DS82">
        <v>24.585999999999999</v>
      </c>
      <c r="DT82">
        <v>16.8</v>
      </c>
      <c r="DU82">
        <v>29.8</v>
      </c>
      <c r="DV82">
        <v>7.1420199999999996</v>
      </c>
      <c r="DW82">
        <v>61.128599999999999</v>
      </c>
      <c r="DX82">
        <v>36.053699999999999</v>
      </c>
      <c r="DY82">
        <v>1</v>
      </c>
      <c r="DZ82">
        <v>-8.2837900000000006E-2</v>
      </c>
      <c r="EA82">
        <v>0.342364</v>
      </c>
      <c r="EB82">
        <v>20.189599999999999</v>
      </c>
      <c r="EC82">
        <v>5.2409499999999998</v>
      </c>
      <c r="ED82">
        <v>12.039899999999999</v>
      </c>
      <c r="EE82">
        <v>5.0167000000000002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1.86894</v>
      </c>
      <c r="EL82">
        <v>1.8647</v>
      </c>
      <c r="EM82">
        <v>1.8692</v>
      </c>
      <c r="EN82">
        <v>1.86724</v>
      </c>
      <c r="EO82">
        <v>1.86341</v>
      </c>
      <c r="EP82">
        <v>1.8646</v>
      </c>
      <c r="EQ82">
        <v>1.8702099999999999</v>
      </c>
      <c r="ER82">
        <v>1.86948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-0.19500000000000001</v>
      </c>
      <c r="FG82">
        <v>0.05</v>
      </c>
      <c r="FH82">
        <v>0.27827353915413472</v>
      </c>
      <c r="FI82">
        <v>-6.1462078757559423E-4</v>
      </c>
      <c r="FJ82">
        <v>-1.8861989874597051E-7</v>
      </c>
      <c r="FK82">
        <v>1.1980462299894961E-10</v>
      </c>
      <c r="FL82">
        <v>-3.2538871274648329E-2</v>
      </c>
      <c r="FM82">
        <v>-1.6848085045870601E-2</v>
      </c>
      <c r="FN82">
        <v>1.9789084769509481E-3</v>
      </c>
      <c r="FO82">
        <v>-2.7142391389806329E-5</v>
      </c>
      <c r="FP82">
        <v>3</v>
      </c>
      <c r="FQ82">
        <v>2158</v>
      </c>
      <c r="FR82">
        <v>1</v>
      </c>
      <c r="FS82">
        <v>19</v>
      </c>
      <c r="FT82">
        <v>20.6</v>
      </c>
      <c r="FU82">
        <v>20.6</v>
      </c>
      <c r="FV82">
        <v>1.7773399999999999</v>
      </c>
      <c r="FW82">
        <v>2.5927699999999998</v>
      </c>
      <c r="FX82">
        <v>1.5490699999999999</v>
      </c>
      <c r="FY82">
        <v>2.3290999999999999</v>
      </c>
      <c r="FZ82">
        <v>1.50146</v>
      </c>
      <c r="GA82">
        <v>2.2717299999999998</v>
      </c>
      <c r="GB82">
        <v>33.850900000000003</v>
      </c>
      <c r="GC82">
        <v>23.982399999999998</v>
      </c>
      <c r="GD82">
        <v>19</v>
      </c>
      <c r="GE82">
        <v>283.53899999999999</v>
      </c>
      <c r="GF82">
        <v>581.88099999999997</v>
      </c>
      <c r="GG82">
        <v>23.614799999999999</v>
      </c>
      <c r="GH82">
        <v>26.323499999999999</v>
      </c>
      <c r="GI82">
        <v>30.000299999999999</v>
      </c>
      <c r="GJ82">
        <v>26.476199999999999</v>
      </c>
      <c r="GK82">
        <v>26.462599999999998</v>
      </c>
      <c r="GL82">
        <v>35.548299999999998</v>
      </c>
      <c r="GM82">
        <v>-30</v>
      </c>
      <c r="GN82">
        <v>-30</v>
      </c>
      <c r="GO82">
        <v>23.6081</v>
      </c>
      <c r="GP82">
        <v>800</v>
      </c>
      <c r="GQ82">
        <v>12.5298</v>
      </c>
      <c r="GR82">
        <v>99.715100000000007</v>
      </c>
      <c r="GS82">
        <v>99.532300000000006</v>
      </c>
    </row>
    <row r="83" spans="1:201" x14ac:dyDescent="0.25">
      <c r="A83">
        <v>67</v>
      </c>
      <c r="B83">
        <v>1690218835</v>
      </c>
      <c r="C83">
        <v>814.5</v>
      </c>
      <c r="D83" t="s">
        <v>463</v>
      </c>
      <c r="E83" t="s">
        <v>464</v>
      </c>
      <c r="F83" t="s">
        <v>330</v>
      </c>
      <c r="H83">
        <v>1690218835</v>
      </c>
      <c r="I83">
        <f t="shared" si="30"/>
        <v>8.2073486684291444E-4</v>
      </c>
      <c r="J83">
        <f t="shared" si="31"/>
        <v>0.82073486684291441</v>
      </c>
      <c r="K83">
        <f t="shared" si="32"/>
        <v>10.031948651147632</v>
      </c>
      <c r="L83">
        <f t="shared" si="33"/>
        <v>685.65099999999995</v>
      </c>
      <c r="M83">
        <f t="shared" si="34"/>
        <v>204.87495814402209</v>
      </c>
      <c r="N83">
        <f t="shared" si="35"/>
        <v>20.31814603058789</v>
      </c>
      <c r="O83">
        <f t="shared" si="36"/>
        <v>67.998340403444288</v>
      </c>
      <c r="P83">
        <f t="shared" si="37"/>
        <v>3.4871528509869014E-2</v>
      </c>
      <c r="Q83">
        <f t="shared" si="38"/>
        <v>2.1284968300391771</v>
      </c>
      <c r="R83">
        <f t="shared" si="39"/>
        <v>3.4557224249933294E-2</v>
      </c>
      <c r="S83">
        <f t="shared" si="40"/>
        <v>2.162626794556672E-2</v>
      </c>
      <c r="T83">
        <f t="shared" si="41"/>
        <v>276.11524018392129</v>
      </c>
      <c r="U83">
        <f t="shared" si="42"/>
        <v>27.690321208604324</v>
      </c>
      <c r="V83">
        <f t="shared" si="43"/>
        <v>27.690321208604324</v>
      </c>
      <c r="W83">
        <f t="shared" si="44"/>
        <v>3.7268677859670536</v>
      </c>
      <c r="X83">
        <f t="shared" si="45"/>
        <v>42.993328718180827</v>
      </c>
      <c r="Y83">
        <f t="shared" si="46"/>
        <v>1.43276801702703</v>
      </c>
      <c r="Z83">
        <f t="shared" si="47"/>
        <v>3.3325356741245939</v>
      </c>
      <c r="AA83">
        <f t="shared" si="48"/>
        <v>2.2940997689400238</v>
      </c>
      <c r="AB83">
        <f t="shared" si="49"/>
        <v>-36.194407627772527</v>
      </c>
      <c r="AC83">
        <f t="shared" si="50"/>
        <v>-218.07622442008415</v>
      </c>
      <c r="AD83">
        <f t="shared" si="51"/>
        <v>-22.053903697368487</v>
      </c>
      <c r="AE83">
        <f t="shared" si="52"/>
        <v>-0.2092955613038896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52498.451439004493</v>
      </c>
      <c r="AK83">
        <f t="shared" si="56"/>
        <v>1799.99</v>
      </c>
      <c r="AL83">
        <f t="shared" si="57"/>
        <v>1499.1030992031799</v>
      </c>
      <c r="AM83">
        <f t="shared" si="58"/>
        <v>0.83283968199999991</v>
      </c>
      <c r="AN83">
        <f t="shared" si="59"/>
        <v>0.15339820787</v>
      </c>
      <c r="AO83">
        <v>32.4</v>
      </c>
      <c r="AP83">
        <v>0.5</v>
      </c>
      <c r="AQ83" t="s">
        <v>331</v>
      </c>
      <c r="AR83">
        <v>2</v>
      </c>
      <c r="AS83">
        <v>1690218835</v>
      </c>
      <c r="AT83">
        <v>685.65099999999995</v>
      </c>
      <c r="AU83">
        <v>800.005</v>
      </c>
      <c r="AV83">
        <v>14.447100000000001</v>
      </c>
      <c r="AW83">
        <v>5.7164599999999997</v>
      </c>
      <c r="AX83">
        <v>685.84500000000003</v>
      </c>
      <c r="AY83">
        <v>14.3931</v>
      </c>
      <c r="AZ83">
        <v>300.18</v>
      </c>
      <c r="BA83">
        <v>99.073400000000007</v>
      </c>
      <c r="BB83">
        <v>9.9999299999999999E-2</v>
      </c>
      <c r="BC83">
        <v>25.789899999999999</v>
      </c>
      <c r="BD83">
        <v>27.011800000000001</v>
      </c>
      <c r="BE83">
        <v>27.305900000000001</v>
      </c>
      <c r="BF83">
        <v>0</v>
      </c>
      <c r="BG83">
        <v>0</v>
      </c>
      <c r="BH83">
        <v>9980</v>
      </c>
      <c r="BI83">
        <v>1061.99</v>
      </c>
      <c r="BJ83">
        <v>1.38764</v>
      </c>
      <c r="BK83">
        <v>-114.354</v>
      </c>
      <c r="BL83">
        <v>695.702</v>
      </c>
      <c r="BM83">
        <v>804.60500000000002</v>
      </c>
      <c r="BN83">
        <v>8.73062</v>
      </c>
      <c r="BO83">
        <v>800.005</v>
      </c>
      <c r="BP83">
        <v>5.7164599999999997</v>
      </c>
      <c r="BQ83">
        <v>1.4313199999999999</v>
      </c>
      <c r="BR83">
        <v>0.56634899999999999</v>
      </c>
      <c r="BS83">
        <v>12.2536</v>
      </c>
      <c r="BT83">
        <v>-1.09935</v>
      </c>
      <c r="BU83">
        <v>1799.99</v>
      </c>
      <c r="BV83">
        <v>0.90998000000000001</v>
      </c>
      <c r="BW83">
        <v>3.3998199999999999E-2</v>
      </c>
      <c r="BX83">
        <v>2.20091E-2</v>
      </c>
      <c r="BY83">
        <v>3.4013099999999998E-2</v>
      </c>
      <c r="BZ83">
        <v>25</v>
      </c>
      <c r="CA83">
        <v>33528</v>
      </c>
      <c r="CB83">
        <v>1690217592</v>
      </c>
      <c r="CC83" t="s">
        <v>332</v>
      </c>
      <c r="CD83">
        <v>1690217586.5</v>
      </c>
      <c r="CE83">
        <v>1690217592</v>
      </c>
      <c r="CF83">
        <v>9</v>
      </c>
      <c r="CG83">
        <v>0.11600000000000001</v>
      </c>
      <c r="CH83">
        <v>-3.0000000000000001E-3</v>
      </c>
      <c r="CI83">
        <v>-0.27300000000000002</v>
      </c>
      <c r="CJ83">
        <v>-6.9000000000000006E-2</v>
      </c>
      <c r="CK83">
        <v>800</v>
      </c>
      <c r="CL83">
        <v>6</v>
      </c>
      <c r="CM83">
        <v>0.01</v>
      </c>
      <c r="CN83">
        <v>0.01</v>
      </c>
      <c r="CO83">
        <v>-110.8246</v>
      </c>
      <c r="CP83">
        <v>-20.13350093808597</v>
      </c>
      <c r="CQ83">
        <v>1.936941762160133</v>
      </c>
      <c r="CR83">
        <v>-1</v>
      </c>
      <c r="CS83">
        <v>8.5416527500000008</v>
      </c>
      <c r="CT83">
        <v>1.063471857410873</v>
      </c>
      <c r="CU83">
        <v>0.10230173246303061</v>
      </c>
      <c r="CV83">
        <v>-1</v>
      </c>
      <c r="CW83">
        <v>0</v>
      </c>
      <c r="CX83">
        <v>0</v>
      </c>
      <c r="CY83" t="s">
        <v>333</v>
      </c>
      <c r="CZ83">
        <v>2.3644400000000001</v>
      </c>
      <c r="DA83">
        <v>2.7137699999999998</v>
      </c>
      <c r="DB83">
        <v>0.132024</v>
      </c>
      <c r="DC83">
        <v>0.146037</v>
      </c>
      <c r="DD83">
        <v>7.9195600000000005E-2</v>
      </c>
      <c r="DE83">
        <v>3.7904300000000002E-2</v>
      </c>
      <c r="DF83">
        <v>31686.1</v>
      </c>
      <c r="DG83">
        <v>27511.8</v>
      </c>
      <c r="DH83">
        <v>31165.599999999999</v>
      </c>
      <c r="DI83">
        <v>28072.799999999999</v>
      </c>
      <c r="DJ83">
        <v>38972.6</v>
      </c>
      <c r="DK83">
        <v>38407.699999999997</v>
      </c>
      <c r="DL83">
        <v>44351.199999999997</v>
      </c>
      <c r="DM83">
        <v>42547.3</v>
      </c>
      <c r="DN83">
        <v>1.47675</v>
      </c>
      <c r="DO83">
        <v>2.0330699999999999</v>
      </c>
      <c r="DP83">
        <v>0.13836499999999999</v>
      </c>
      <c r="DQ83">
        <v>0.165522</v>
      </c>
      <c r="DR83">
        <v>24.744900000000001</v>
      </c>
      <c r="DS83">
        <v>24.5943</v>
      </c>
      <c r="DT83">
        <v>16.8</v>
      </c>
      <c r="DU83">
        <v>29.8</v>
      </c>
      <c r="DV83">
        <v>7.1420599999999999</v>
      </c>
      <c r="DW83">
        <v>61.808599999999998</v>
      </c>
      <c r="DX83">
        <v>36.005600000000001</v>
      </c>
      <c r="DY83">
        <v>1</v>
      </c>
      <c r="DZ83">
        <v>-8.3404500000000006E-2</v>
      </c>
      <c r="EA83">
        <v>0.31610300000000002</v>
      </c>
      <c r="EB83">
        <v>20.189699999999998</v>
      </c>
      <c r="EC83">
        <v>5.24125</v>
      </c>
      <c r="ED83">
        <v>12.039899999999999</v>
      </c>
      <c r="EE83">
        <v>5.0168499999999998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1.8689199999999999</v>
      </c>
      <c r="EL83">
        <v>1.8646799999999999</v>
      </c>
      <c r="EM83">
        <v>1.8692</v>
      </c>
      <c r="EN83">
        <v>1.86724</v>
      </c>
      <c r="EO83">
        <v>1.8633999999999999</v>
      </c>
      <c r="EP83">
        <v>1.8645799999999999</v>
      </c>
      <c r="EQ83">
        <v>1.87019</v>
      </c>
      <c r="ER83">
        <v>1.8694299999999999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-0.19400000000000001</v>
      </c>
      <c r="FG83">
        <v>5.3999999999999999E-2</v>
      </c>
      <c r="FH83">
        <v>0.27827353915413472</v>
      </c>
      <c r="FI83">
        <v>-6.1462078757559423E-4</v>
      </c>
      <c r="FJ83">
        <v>-1.8861989874597051E-7</v>
      </c>
      <c r="FK83">
        <v>1.1980462299894961E-10</v>
      </c>
      <c r="FL83">
        <v>-3.2538871274648329E-2</v>
      </c>
      <c r="FM83">
        <v>-1.6848085045870601E-2</v>
      </c>
      <c r="FN83">
        <v>1.9789084769509481E-3</v>
      </c>
      <c r="FO83">
        <v>-2.7142391389806329E-5</v>
      </c>
      <c r="FP83">
        <v>3</v>
      </c>
      <c r="FQ83">
        <v>2158</v>
      </c>
      <c r="FR83">
        <v>1</v>
      </c>
      <c r="FS83">
        <v>19</v>
      </c>
      <c r="FT83">
        <v>20.8</v>
      </c>
      <c r="FU83">
        <v>20.7</v>
      </c>
      <c r="FV83">
        <v>1.7785599999999999</v>
      </c>
      <c r="FW83">
        <v>2.5878899999999998</v>
      </c>
      <c r="FX83">
        <v>1.5490699999999999</v>
      </c>
      <c r="FY83">
        <v>2.3290999999999999</v>
      </c>
      <c r="FZ83">
        <v>1.50146</v>
      </c>
      <c r="GA83">
        <v>2.2997999999999998</v>
      </c>
      <c r="GB83">
        <v>33.850900000000003</v>
      </c>
      <c r="GC83">
        <v>23.982399999999998</v>
      </c>
      <c r="GD83">
        <v>19</v>
      </c>
      <c r="GE83">
        <v>283.65100000000001</v>
      </c>
      <c r="GF83">
        <v>581.79600000000005</v>
      </c>
      <c r="GG83">
        <v>23.619700000000002</v>
      </c>
      <c r="GH83">
        <v>26.317799999999998</v>
      </c>
      <c r="GI83">
        <v>30</v>
      </c>
      <c r="GJ83">
        <v>26.4724</v>
      </c>
      <c r="GK83">
        <v>26.4587</v>
      </c>
      <c r="GL83">
        <v>35.545400000000001</v>
      </c>
      <c r="GM83">
        <v>-30</v>
      </c>
      <c r="GN83">
        <v>-30</v>
      </c>
      <c r="GO83">
        <v>23.259499999999999</v>
      </c>
      <c r="GP83">
        <v>800</v>
      </c>
      <c r="GQ83">
        <v>12.5298</v>
      </c>
      <c r="GR83">
        <v>99.716099999999997</v>
      </c>
      <c r="GS83">
        <v>99.534099999999995</v>
      </c>
    </row>
    <row r="84" spans="1:201" x14ac:dyDescent="0.25">
      <c r="A84">
        <v>68</v>
      </c>
      <c r="B84">
        <v>1690218845</v>
      </c>
      <c r="C84">
        <v>824.5</v>
      </c>
      <c r="D84" t="s">
        <v>465</v>
      </c>
      <c r="E84" t="s">
        <v>466</v>
      </c>
      <c r="F84" t="s">
        <v>330</v>
      </c>
      <c r="H84">
        <v>1690218845</v>
      </c>
      <c r="I84">
        <f t="shared" si="30"/>
        <v>8.3688265257210166E-4</v>
      </c>
      <c r="J84">
        <f t="shared" si="31"/>
        <v>0.8368826525721017</v>
      </c>
      <c r="K84">
        <f t="shared" si="32"/>
        <v>10.334602992696574</v>
      </c>
      <c r="L84">
        <f t="shared" si="33"/>
        <v>682.35199999999998</v>
      </c>
      <c r="M84">
        <f t="shared" si="34"/>
        <v>201.13366045208764</v>
      </c>
      <c r="N84">
        <f t="shared" si="35"/>
        <v>19.94696104778517</v>
      </c>
      <c r="O84">
        <f t="shared" si="36"/>
        <v>67.670666035139206</v>
      </c>
      <c r="P84">
        <f t="shared" si="37"/>
        <v>3.587499503507767E-2</v>
      </c>
      <c r="Q84">
        <f t="shared" si="38"/>
        <v>2.1345347635702288</v>
      </c>
      <c r="R84">
        <f t="shared" si="39"/>
        <v>3.5543366001995799E-2</v>
      </c>
      <c r="S84">
        <f t="shared" si="40"/>
        <v>2.2244143717105955E-2</v>
      </c>
      <c r="T84">
        <f t="shared" si="41"/>
        <v>276.11484901009453</v>
      </c>
      <c r="U84">
        <f t="shared" si="42"/>
        <v>27.676410273029138</v>
      </c>
      <c r="V84">
        <f t="shared" si="43"/>
        <v>27.676410273029138</v>
      </c>
      <c r="W84">
        <f t="shared" si="44"/>
        <v>3.7238395486289009</v>
      </c>
      <c r="X84">
        <f t="shared" si="45"/>
        <v>43.509761705041726</v>
      </c>
      <c r="Y84">
        <f t="shared" si="46"/>
        <v>1.4496861765898803</v>
      </c>
      <c r="Z84">
        <f t="shared" si="47"/>
        <v>3.3318642065141368</v>
      </c>
      <c r="AA84">
        <f t="shared" si="48"/>
        <v>2.2741533720390206</v>
      </c>
      <c r="AB84">
        <f t="shared" si="49"/>
        <v>-36.906524978429687</v>
      </c>
      <c r="AC84">
        <f t="shared" si="50"/>
        <v>-217.48527663404943</v>
      </c>
      <c r="AD84">
        <f t="shared" si="51"/>
        <v>-21.930024648862076</v>
      </c>
      <c r="AE84">
        <f t="shared" si="52"/>
        <v>-0.20697725124668409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52760.466509448306</v>
      </c>
      <c r="AK84">
        <f t="shared" si="56"/>
        <v>1799.99</v>
      </c>
      <c r="AL84">
        <f t="shared" si="57"/>
        <v>1499.1027266052499</v>
      </c>
      <c r="AM84">
        <f t="shared" si="58"/>
        <v>0.832839475</v>
      </c>
      <c r="AN84">
        <f t="shared" si="59"/>
        <v>0.15339799055000003</v>
      </c>
      <c r="AO84">
        <v>32.4</v>
      </c>
      <c r="AP84">
        <v>0.5</v>
      </c>
      <c r="AQ84" t="s">
        <v>331</v>
      </c>
      <c r="AR84">
        <v>2</v>
      </c>
      <c r="AS84">
        <v>1690218845</v>
      </c>
      <c r="AT84">
        <v>682.35199999999998</v>
      </c>
      <c r="AU84">
        <v>800.053</v>
      </c>
      <c r="AV84">
        <v>14.617800000000001</v>
      </c>
      <c r="AW84">
        <v>5.7176400000000003</v>
      </c>
      <c r="AX84">
        <v>682.54300000000001</v>
      </c>
      <c r="AY84">
        <v>14.559900000000001</v>
      </c>
      <c r="AZ84">
        <v>300.20400000000001</v>
      </c>
      <c r="BA84">
        <v>99.072699999999998</v>
      </c>
      <c r="BB84">
        <v>9.9964600000000001E-2</v>
      </c>
      <c r="BC84">
        <v>25.7865</v>
      </c>
      <c r="BD84">
        <v>26.9544</v>
      </c>
      <c r="BE84">
        <v>27.301600000000001</v>
      </c>
      <c r="BF84">
        <v>0</v>
      </c>
      <c r="BG84">
        <v>0</v>
      </c>
      <c r="BH84">
        <v>10031.9</v>
      </c>
      <c r="BI84">
        <v>1061.96</v>
      </c>
      <c r="BJ84">
        <v>1.68198</v>
      </c>
      <c r="BK84">
        <v>-117.70099999999999</v>
      </c>
      <c r="BL84">
        <v>692.47400000000005</v>
      </c>
      <c r="BM84">
        <v>804.654</v>
      </c>
      <c r="BN84">
        <v>8.9001599999999996</v>
      </c>
      <c r="BO84">
        <v>800.053</v>
      </c>
      <c r="BP84">
        <v>5.7176400000000003</v>
      </c>
      <c r="BQ84">
        <v>1.4482299999999999</v>
      </c>
      <c r="BR84">
        <v>0.56646200000000002</v>
      </c>
      <c r="BS84">
        <v>12.4322</v>
      </c>
      <c r="BT84">
        <v>-1.0966400000000001</v>
      </c>
      <c r="BU84">
        <v>1799.99</v>
      </c>
      <c r="BV84">
        <v>0.90998400000000002</v>
      </c>
      <c r="BW84">
        <v>3.3996400000000003E-2</v>
      </c>
      <c r="BX84">
        <v>2.2008E-2</v>
      </c>
      <c r="BY84">
        <v>3.4011300000000001E-2</v>
      </c>
      <c r="BZ84">
        <v>25</v>
      </c>
      <c r="CA84">
        <v>33528.199999999997</v>
      </c>
      <c r="CB84">
        <v>1690217592</v>
      </c>
      <c r="CC84" t="s">
        <v>332</v>
      </c>
      <c r="CD84">
        <v>1690217586.5</v>
      </c>
      <c r="CE84">
        <v>1690217592</v>
      </c>
      <c r="CF84">
        <v>9</v>
      </c>
      <c r="CG84">
        <v>0.11600000000000001</v>
      </c>
      <c r="CH84">
        <v>-3.0000000000000001E-3</v>
      </c>
      <c r="CI84">
        <v>-0.27300000000000002</v>
      </c>
      <c r="CJ84">
        <v>-6.9000000000000006E-2</v>
      </c>
      <c r="CK84">
        <v>800</v>
      </c>
      <c r="CL84">
        <v>6</v>
      </c>
      <c r="CM84">
        <v>0.01</v>
      </c>
      <c r="CN84">
        <v>0.01</v>
      </c>
      <c r="CO84">
        <v>-114.14279999999999</v>
      </c>
      <c r="CP84">
        <v>-19.738491557223409</v>
      </c>
      <c r="CQ84">
        <v>1.899077449710779</v>
      </c>
      <c r="CR84">
        <v>-1</v>
      </c>
      <c r="CS84">
        <v>8.7176200000000001</v>
      </c>
      <c r="CT84">
        <v>1.050670243902418</v>
      </c>
      <c r="CU84">
        <v>0.1010749310165482</v>
      </c>
      <c r="CV84">
        <v>-1</v>
      </c>
      <c r="CW84">
        <v>0</v>
      </c>
      <c r="CX84">
        <v>0</v>
      </c>
      <c r="CY84" t="s">
        <v>333</v>
      </c>
      <c r="CZ84">
        <v>2.3645399999999999</v>
      </c>
      <c r="DA84">
        <v>2.7137799999999999</v>
      </c>
      <c r="DB84">
        <v>0.13159100000000001</v>
      </c>
      <c r="DC84">
        <v>0.14604300000000001</v>
      </c>
      <c r="DD84">
        <v>7.9876100000000005E-2</v>
      </c>
      <c r="DE84">
        <v>3.7910699999999999E-2</v>
      </c>
      <c r="DF84">
        <v>31702.2</v>
      </c>
      <c r="DG84">
        <v>27511.599999999999</v>
      </c>
      <c r="DH84">
        <v>31165.8</v>
      </c>
      <c r="DI84">
        <v>28072.799999999999</v>
      </c>
      <c r="DJ84">
        <v>38943.800000000003</v>
      </c>
      <c r="DK84">
        <v>38407.5</v>
      </c>
      <c r="DL84">
        <v>44351.5</v>
      </c>
      <c r="DM84">
        <v>42547.3</v>
      </c>
      <c r="DN84">
        <v>1.4763500000000001</v>
      </c>
      <c r="DO84">
        <v>2.03315</v>
      </c>
      <c r="DP84">
        <v>0.134632</v>
      </c>
      <c r="DQ84">
        <v>0.16484399999999999</v>
      </c>
      <c r="DR84">
        <v>24.7485</v>
      </c>
      <c r="DS84">
        <v>24.601099999999999</v>
      </c>
      <c r="DT84">
        <v>16.8</v>
      </c>
      <c r="DU84">
        <v>29.8</v>
      </c>
      <c r="DV84">
        <v>7.1416199999999996</v>
      </c>
      <c r="DW84">
        <v>61.108600000000003</v>
      </c>
      <c r="DX84">
        <v>35.997599999999998</v>
      </c>
      <c r="DY84">
        <v>1</v>
      </c>
      <c r="DZ84">
        <v>-8.2837900000000006E-2</v>
      </c>
      <c r="EA84">
        <v>1.1624399999999999</v>
      </c>
      <c r="EB84">
        <v>20.183900000000001</v>
      </c>
      <c r="EC84">
        <v>5.2406499999999996</v>
      </c>
      <c r="ED84">
        <v>12.039899999999999</v>
      </c>
      <c r="EE84">
        <v>5.0169499999999996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1.8689199999999999</v>
      </c>
      <c r="EL84">
        <v>1.8646400000000001</v>
      </c>
      <c r="EM84">
        <v>1.8692</v>
      </c>
      <c r="EN84">
        <v>1.8672500000000001</v>
      </c>
      <c r="EO84">
        <v>1.8633999999999999</v>
      </c>
      <c r="EP84">
        <v>1.8646</v>
      </c>
      <c r="EQ84">
        <v>1.87016</v>
      </c>
      <c r="ER84">
        <v>1.86944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-0.191</v>
      </c>
      <c r="FG84">
        <v>5.79E-2</v>
      </c>
      <c r="FH84">
        <v>0.27827353915413472</v>
      </c>
      <c r="FI84">
        <v>-6.1462078757559423E-4</v>
      </c>
      <c r="FJ84">
        <v>-1.8861989874597051E-7</v>
      </c>
      <c r="FK84">
        <v>1.1980462299894961E-10</v>
      </c>
      <c r="FL84">
        <v>-3.2538871274648329E-2</v>
      </c>
      <c r="FM84">
        <v>-1.6848085045870601E-2</v>
      </c>
      <c r="FN84">
        <v>1.9789084769509481E-3</v>
      </c>
      <c r="FO84">
        <v>-2.7142391389806329E-5</v>
      </c>
      <c r="FP84">
        <v>3</v>
      </c>
      <c r="FQ84">
        <v>2158</v>
      </c>
      <c r="FR84">
        <v>1</v>
      </c>
      <c r="FS84">
        <v>19</v>
      </c>
      <c r="FT84">
        <v>21</v>
      </c>
      <c r="FU84">
        <v>20.9</v>
      </c>
      <c r="FV84">
        <v>1.7773399999999999</v>
      </c>
      <c r="FW84">
        <v>2.5891099999999998</v>
      </c>
      <c r="FX84">
        <v>1.5490699999999999</v>
      </c>
      <c r="FY84">
        <v>2.3290999999999999</v>
      </c>
      <c r="FZ84">
        <v>1.50146</v>
      </c>
      <c r="GA84">
        <v>2.3339799999999999</v>
      </c>
      <c r="GB84">
        <v>33.850900000000003</v>
      </c>
      <c r="GC84">
        <v>23.982399999999998</v>
      </c>
      <c r="GD84">
        <v>19</v>
      </c>
      <c r="GE84">
        <v>283.45999999999998</v>
      </c>
      <c r="GF84">
        <v>581.827</v>
      </c>
      <c r="GG84">
        <v>23.2149</v>
      </c>
      <c r="GH84">
        <v>26.311800000000002</v>
      </c>
      <c r="GI84">
        <v>29.9999</v>
      </c>
      <c r="GJ84">
        <v>26.468</v>
      </c>
      <c r="GK84">
        <v>26.456</v>
      </c>
      <c r="GL84">
        <v>35.543799999999997</v>
      </c>
      <c r="GM84">
        <v>-30</v>
      </c>
      <c r="GN84">
        <v>-30</v>
      </c>
      <c r="GO84">
        <v>23.237200000000001</v>
      </c>
      <c r="GP84">
        <v>800</v>
      </c>
      <c r="GQ84">
        <v>12.5298</v>
      </c>
      <c r="GR84">
        <v>99.716800000000006</v>
      </c>
      <c r="GS84">
        <v>99.534199999999998</v>
      </c>
    </row>
    <row r="85" spans="1:201" x14ac:dyDescent="0.25">
      <c r="A85">
        <v>69</v>
      </c>
      <c r="B85">
        <v>1690218855</v>
      </c>
      <c r="C85">
        <v>834.5</v>
      </c>
      <c r="D85" t="s">
        <v>467</v>
      </c>
      <c r="E85" t="s">
        <v>468</v>
      </c>
      <c r="F85" t="s">
        <v>330</v>
      </c>
      <c r="H85">
        <v>1690218855</v>
      </c>
      <c r="I85">
        <f t="shared" si="30"/>
        <v>8.5245634407032792E-4</v>
      </c>
      <c r="J85">
        <f t="shared" si="31"/>
        <v>0.85245634407032789</v>
      </c>
      <c r="K85">
        <f t="shared" si="32"/>
        <v>10.634616523806557</v>
      </c>
      <c r="L85">
        <f t="shared" si="33"/>
        <v>678.99599999999998</v>
      </c>
      <c r="M85">
        <f t="shared" si="34"/>
        <v>198.34723916280768</v>
      </c>
      <c r="N85">
        <f t="shared" si="35"/>
        <v>19.671117989446284</v>
      </c>
      <c r="O85">
        <f t="shared" si="36"/>
        <v>67.339532865384001</v>
      </c>
      <c r="P85">
        <f t="shared" si="37"/>
        <v>3.6947793893449717E-2</v>
      </c>
      <c r="Q85">
        <f t="shared" si="38"/>
        <v>2.130558741805471</v>
      </c>
      <c r="R85">
        <f t="shared" si="39"/>
        <v>3.6595489743043136E-2</v>
      </c>
      <c r="S85">
        <f t="shared" si="40"/>
        <v>2.2903554166472107E-2</v>
      </c>
      <c r="T85">
        <f t="shared" si="41"/>
        <v>276.11484789410071</v>
      </c>
      <c r="U85">
        <f t="shared" si="42"/>
        <v>27.639940096117201</v>
      </c>
      <c r="V85">
        <f t="shared" si="43"/>
        <v>27.639940096117201</v>
      </c>
      <c r="W85">
        <f t="shared" si="44"/>
        <v>3.7159106366217198</v>
      </c>
      <c r="X85">
        <f t="shared" si="45"/>
        <v>44.091242975522</v>
      </c>
      <c r="Y85">
        <f t="shared" si="46"/>
        <v>1.4660765490358001</v>
      </c>
      <c r="Z85">
        <f t="shared" si="47"/>
        <v>3.3250968902140441</v>
      </c>
      <c r="AA85">
        <f t="shared" si="48"/>
        <v>2.2498340875859197</v>
      </c>
      <c r="AB85">
        <f t="shared" si="49"/>
        <v>-37.593324773501465</v>
      </c>
      <c r="AC85">
        <f t="shared" si="50"/>
        <v>-216.83089203568167</v>
      </c>
      <c r="AD85">
        <f t="shared" si="51"/>
        <v>-21.897084958540173</v>
      </c>
      <c r="AE85">
        <f t="shared" si="52"/>
        <v>-0.20645387362262113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52594.305521499882</v>
      </c>
      <c r="AK85">
        <f t="shared" si="56"/>
        <v>1799.99</v>
      </c>
      <c r="AL85">
        <f t="shared" si="57"/>
        <v>1499.1037129997699</v>
      </c>
      <c r="AM85">
        <f t="shared" si="58"/>
        <v>0.83284002299999993</v>
      </c>
      <c r="AN85">
        <f t="shared" si="59"/>
        <v>0.15339798993000001</v>
      </c>
      <c r="AO85">
        <v>32.4</v>
      </c>
      <c r="AP85">
        <v>0.5</v>
      </c>
      <c r="AQ85" t="s">
        <v>331</v>
      </c>
      <c r="AR85">
        <v>2</v>
      </c>
      <c r="AS85">
        <v>1690218855</v>
      </c>
      <c r="AT85">
        <v>678.99599999999998</v>
      </c>
      <c r="AU85">
        <v>800.024</v>
      </c>
      <c r="AV85">
        <v>14.7827</v>
      </c>
      <c r="AW85">
        <v>5.7180400000000002</v>
      </c>
      <c r="AX85">
        <v>679.18499999999995</v>
      </c>
      <c r="AY85">
        <v>14.721</v>
      </c>
      <c r="AZ85">
        <v>300.19099999999997</v>
      </c>
      <c r="BA85">
        <v>99.075100000000006</v>
      </c>
      <c r="BB85">
        <v>0.100054</v>
      </c>
      <c r="BC85">
        <v>25.752199999999998</v>
      </c>
      <c r="BD85">
        <v>26.907599999999999</v>
      </c>
      <c r="BE85">
        <v>27.295000000000002</v>
      </c>
      <c r="BF85">
        <v>0</v>
      </c>
      <c r="BG85">
        <v>0</v>
      </c>
      <c r="BH85">
        <v>9997.5</v>
      </c>
      <c r="BI85">
        <v>1062</v>
      </c>
      <c r="BJ85">
        <v>1.68198</v>
      </c>
      <c r="BK85">
        <v>-121.02800000000001</v>
      </c>
      <c r="BL85">
        <v>689.18399999999997</v>
      </c>
      <c r="BM85">
        <v>804.625</v>
      </c>
      <c r="BN85">
        <v>9.0647000000000002</v>
      </c>
      <c r="BO85">
        <v>800.024</v>
      </c>
      <c r="BP85">
        <v>5.7180400000000002</v>
      </c>
      <c r="BQ85">
        <v>1.4645999999999999</v>
      </c>
      <c r="BR85">
        <v>0.56651600000000002</v>
      </c>
      <c r="BS85">
        <v>12.6035</v>
      </c>
      <c r="BT85">
        <v>-1.09535</v>
      </c>
      <c r="BU85">
        <v>1799.99</v>
      </c>
      <c r="BV85">
        <v>0.90998699999999999</v>
      </c>
      <c r="BW85">
        <v>3.3995400000000002E-2</v>
      </c>
      <c r="BX85">
        <v>2.20074E-2</v>
      </c>
      <c r="BY85">
        <v>3.40103E-2</v>
      </c>
      <c r="BZ85">
        <v>25.041699999999999</v>
      </c>
      <c r="CA85">
        <v>33528</v>
      </c>
      <c r="CB85">
        <v>1690217592</v>
      </c>
      <c r="CC85" t="s">
        <v>332</v>
      </c>
      <c r="CD85">
        <v>1690217586.5</v>
      </c>
      <c r="CE85">
        <v>1690217592</v>
      </c>
      <c r="CF85">
        <v>9</v>
      </c>
      <c r="CG85">
        <v>0.11600000000000001</v>
      </c>
      <c r="CH85">
        <v>-3.0000000000000001E-3</v>
      </c>
      <c r="CI85">
        <v>-0.27300000000000002</v>
      </c>
      <c r="CJ85">
        <v>-6.9000000000000006E-2</v>
      </c>
      <c r="CK85">
        <v>800</v>
      </c>
      <c r="CL85">
        <v>6</v>
      </c>
      <c r="CM85">
        <v>0.01</v>
      </c>
      <c r="CN85">
        <v>0.01</v>
      </c>
      <c r="CO85">
        <v>-117.5099268292683</v>
      </c>
      <c r="CP85">
        <v>-19.881951219512128</v>
      </c>
      <c r="CQ85">
        <v>1.960603271895667</v>
      </c>
      <c r="CR85">
        <v>-1</v>
      </c>
      <c r="CS85">
        <v>8.8912382926829263</v>
      </c>
      <c r="CT85">
        <v>0.99067902439024069</v>
      </c>
      <c r="CU85">
        <v>9.770166503567701E-2</v>
      </c>
      <c r="CV85">
        <v>-1</v>
      </c>
      <c r="CW85">
        <v>0</v>
      </c>
      <c r="CX85">
        <v>0</v>
      </c>
      <c r="CY85" t="s">
        <v>333</v>
      </c>
      <c r="CZ85">
        <v>2.36449</v>
      </c>
      <c r="DA85">
        <v>2.7138399999999998</v>
      </c>
      <c r="DB85">
        <v>0.13115199999999999</v>
      </c>
      <c r="DC85">
        <v>0.14604400000000001</v>
      </c>
      <c r="DD85">
        <v>8.0532900000000004E-2</v>
      </c>
      <c r="DE85">
        <v>3.7914200000000002E-2</v>
      </c>
      <c r="DF85">
        <v>31718.2</v>
      </c>
      <c r="DG85">
        <v>27512.5</v>
      </c>
      <c r="DH85">
        <v>31165.8</v>
      </c>
      <c r="DI85">
        <v>28073.7</v>
      </c>
      <c r="DJ85">
        <v>38915.599999999999</v>
      </c>
      <c r="DK85">
        <v>38408.5</v>
      </c>
      <c r="DL85">
        <v>44351.4</v>
      </c>
      <c r="DM85">
        <v>42548.5</v>
      </c>
      <c r="DN85">
        <v>1.4764999999999999</v>
      </c>
      <c r="DO85">
        <v>2.0327700000000002</v>
      </c>
      <c r="DP85">
        <v>0.131741</v>
      </c>
      <c r="DQ85">
        <v>0.164159</v>
      </c>
      <c r="DR85">
        <v>24.748999999999999</v>
      </c>
      <c r="DS85">
        <v>24.605699999999999</v>
      </c>
      <c r="DT85">
        <v>16.8</v>
      </c>
      <c r="DU85">
        <v>29.8</v>
      </c>
      <c r="DV85">
        <v>7.1417000000000002</v>
      </c>
      <c r="DW85">
        <v>61.638599999999997</v>
      </c>
      <c r="DX85">
        <v>36.274000000000001</v>
      </c>
      <c r="DY85">
        <v>1</v>
      </c>
      <c r="DZ85">
        <v>-8.4385199999999994E-2</v>
      </c>
      <c r="EA85">
        <v>0.55367900000000003</v>
      </c>
      <c r="EB85">
        <v>20.188199999999998</v>
      </c>
      <c r="EC85">
        <v>5.2408000000000001</v>
      </c>
      <c r="ED85">
        <v>12.039899999999999</v>
      </c>
      <c r="EE85">
        <v>5.01675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1.8689499999999999</v>
      </c>
      <c r="EL85">
        <v>1.8646799999999999</v>
      </c>
      <c r="EM85">
        <v>1.8692</v>
      </c>
      <c r="EN85">
        <v>1.8672899999999999</v>
      </c>
      <c r="EO85">
        <v>1.8633999999999999</v>
      </c>
      <c r="EP85">
        <v>1.86459</v>
      </c>
      <c r="EQ85">
        <v>1.87019</v>
      </c>
      <c r="ER85">
        <v>1.8694500000000001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-0.189</v>
      </c>
      <c r="FG85">
        <v>6.1699999999999998E-2</v>
      </c>
      <c r="FH85">
        <v>0.27827353915413472</v>
      </c>
      <c r="FI85">
        <v>-6.1462078757559423E-4</v>
      </c>
      <c r="FJ85">
        <v>-1.8861989874597051E-7</v>
      </c>
      <c r="FK85">
        <v>1.1980462299894961E-10</v>
      </c>
      <c r="FL85">
        <v>-3.2538871274648329E-2</v>
      </c>
      <c r="FM85">
        <v>-1.6848085045870601E-2</v>
      </c>
      <c r="FN85">
        <v>1.9789084769509481E-3</v>
      </c>
      <c r="FO85">
        <v>-2.7142391389806329E-5</v>
      </c>
      <c r="FP85">
        <v>3</v>
      </c>
      <c r="FQ85">
        <v>2158</v>
      </c>
      <c r="FR85">
        <v>1</v>
      </c>
      <c r="FS85">
        <v>19</v>
      </c>
      <c r="FT85">
        <v>21.1</v>
      </c>
      <c r="FU85">
        <v>21.1</v>
      </c>
      <c r="FV85">
        <v>1.7773399999999999</v>
      </c>
      <c r="FW85">
        <v>2.5866699999999998</v>
      </c>
      <c r="FX85">
        <v>1.5490699999999999</v>
      </c>
      <c r="FY85">
        <v>2.3290999999999999</v>
      </c>
      <c r="FZ85">
        <v>1.50146</v>
      </c>
      <c r="GA85">
        <v>2.33765</v>
      </c>
      <c r="GB85">
        <v>33.850900000000003</v>
      </c>
      <c r="GC85">
        <v>23.982399999999998</v>
      </c>
      <c r="GD85">
        <v>19</v>
      </c>
      <c r="GE85">
        <v>283.50700000000001</v>
      </c>
      <c r="GF85">
        <v>581.47400000000005</v>
      </c>
      <c r="GG85">
        <v>23.210899999999999</v>
      </c>
      <c r="GH85">
        <v>26.306799999999999</v>
      </c>
      <c r="GI85">
        <v>29.999199999999998</v>
      </c>
      <c r="GJ85">
        <v>26.463999999999999</v>
      </c>
      <c r="GK85">
        <v>26.452100000000002</v>
      </c>
      <c r="GL85">
        <v>35.5456</v>
      </c>
      <c r="GM85">
        <v>-30</v>
      </c>
      <c r="GN85">
        <v>-30</v>
      </c>
      <c r="GO85">
        <v>23.294</v>
      </c>
      <c r="GP85">
        <v>800</v>
      </c>
      <c r="GQ85">
        <v>12.5298</v>
      </c>
      <c r="GR85">
        <v>99.7166</v>
      </c>
      <c r="GS85">
        <v>99.537099999999995</v>
      </c>
    </row>
    <row r="86" spans="1:201" x14ac:dyDescent="0.25">
      <c r="A86">
        <v>70</v>
      </c>
      <c r="B86">
        <v>1690218865</v>
      </c>
      <c r="C86">
        <v>844.5</v>
      </c>
      <c r="D86" t="s">
        <v>469</v>
      </c>
      <c r="E86" t="s">
        <v>470</v>
      </c>
      <c r="F86" t="s">
        <v>330</v>
      </c>
      <c r="H86">
        <v>1690218865</v>
      </c>
      <c r="I86">
        <f t="shared" si="30"/>
        <v>8.6796601746148231E-4</v>
      </c>
      <c r="J86">
        <f t="shared" si="31"/>
        <v>0.86796601746148228</v>
      </c>
      <c r="K86">
        <f t="shared" si="32"/>
        <v>10.92470737994045</v>
      </c>
      <c r="L86">
        <f t="shared" si="33"/>
        <v>675.72799999999995</v>
      </c>
      <c r="M86">
        <f t="shared" si="34"/>
        <v>194.86244951315507</v>
      </c>
      <c r="N86">
        <f t="shared" si="35"/>
        <v>19.325687958094164</v>
      </c>
      <c r="O86">
        <f t="shared" si="36"/>
        <v>67.016033644108802</v>
      </c>
      <c r="P86">
        <f t="shared" si="37"/>
        <v>3.7925392118595212E-2</v>
      </c>
      <c r="Q86">
        <f t="shared" si="38"/>
        <v>2.1313747036789485</v>
      </c>
      <c r="R86">
        <f t="shared" si="39"/>
        <v>3.7554439740769233E-2</v>
      </c>
      <c r="S86">
        <f t="shared" si="40"/>
        <v>2.3504550973030502E-2</v>
      </c>
      <c r="T86">
        <f t="shared" si="41"/>
        <v>276.11456113769378</v>
      </c>
      <c r="U86">
        <f t="shared" si="42"/>
        <v>27.633070869840033</v>
      </c>
      <c r="V86">
        <f t="shared" si="43"/>
        <v>27.633070869840033</v>
      </c>
      <c r="W86">
        <f t="shared" si="44"/>
        <v>3.7144188610276907</v>
      </c>
      <c r="X86">
        <f t="shared" si="45"/>
        <v>44.58112067166978</v>
      </c>
      <c r="Y86">
        <f t="shared" si="46"/>
        <v>1.4822951549265599</v>
      </c>
      <c r="Z86">
        <f t="shared" si="47"/>
        <v>3.3249391953229259</v>
      </c>
      <c r="AA86">
        <f t="shared" si="48"/>
        <v>2.232123706101131</v>
      </c>
      <c r="AB86">
        <f t="shared" si="49"/>
        <v>-38.277301370051369</v>
      </c>
      <c r="AC86">
        <f t="shared" si="50"/>
        <v>-216.21653938088573</v>
      </c>
      <c r="AD86">
        <f t="shared" si="51"/>
        <v>-21.825844993515211</v>
      </c>
      <c r="AE86">
        <f t="shared" si="52"/>
        <v>-0.20512460675851685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52629.791838030018</v>
      </c>
      <c r="AK86">
        <f t="shared" si="56"/>
        <v>1799.99</v>
      </c>
      <c r="AL86">
        <f t="shared" si="57"/>
        <v>1499.1041521973298</v>
      </c>
      <c r="AM86">
        <f t="shared" si="58"/>
        <v>0.83284026699999991</v>
      </c>
      <c r="AN86">
        <f t="shared" si="59"/>
        <v>0.15339783061999998</v>
      </c>
      <c r="AO86">
        <v>32.4</v>
      </c>
      <c r="AP86">
        <v>0.5</v>
      </c>
      <c r="AQ86" t="s">
        <v>331</v>
      </c>
      <c r="AR86">
        <v>2</v>
      </c>
      <c r="AS86">
        <v>1690218865</v>
      </c>
      <c r="AT86">
        <v>675.72799999999995</v>
      </c>
      <c r="AU86">
        <v>799.96299999999997</v>
      </c>
      <c r="AV86">
        <v>14.946099999999999</v>
      </c>
      <c r="AW86">
        <v>5.7185699999999997</v>
      </c>
      <c r="AX86">
        <v>675.91399999999999</v>
      </c>
      <c r="AY86">
        <v>14.880599999999999</v>
      </c>
      <c r="AZ86">
        <v>300.20800000000003</v>
      </c>
      <c r="BA86">
        <v>99.076099999999997</v>
      </c>
      <c r="BB86">
        <v>9.99496E-2</v>
      </c>
      <c r="BC86">
        <v>25.7514</v>
      </c>
      <c r="BD86">
        <v>26.944099999999999</v>
      </c>
      <c r="BE86">
        <v>27.255800000000001</v>
      </c>
      <c r="BF86">
        <v>0</v>
      </c>
      <c r="BG86">
        <v>0</v>
      </c>
      <c r="BH86">
        <v>10004.4</v>
      </c>
      <c r="BI86">
        <v>1061.99</v>
      </c>
      <c r="BJ86">
        <v>1.68198</v>
      </c>
      <c r="BK86">
        <v>-124.235</v>
      </c>
      <c r="BL86">
        <v>685.98099999999999</v>
      </c>
      <c r="BM86">
        <v>804.56399999999996</v>
      </c>
      <c r="BN86">
        <v>9.2275700000000001</v>
      </c>
      <c r="BO86">
        <v>799.96299999999997</v>
      </c>
      <c r="BP86">
        <v>5.7185699999999997</v>
      </c>
      <c r="BQ86">
        <v>1.48081</v>
      </c>
      <c r="BR86">
        <v>0.56657400000000002</v>
      </c>
      <c r="BS86">
        <v>12.7714</v>
      </c>
      <c r="BT86">
        <v>-1.09395</v>
      </c>
      <c r="BU86">
        <v>1799.99</v>
      </c>
      <c r="BV86">
        <v>0.90999200000000002</v>
      </c>
      <c r="BW86">
        <v>3.39934E-2</v>
      </c>
      <c r="BX86">
        <v>2.2006100000000001E-2</v>
      </c>
      <c r="BY86">
        <v>3.4008400000000001E-2</v>
      </c>
      <c r="BZ86">
        <v>25</v>
      </c>
      <c r="CA86">
        <v>33528.199999999997</v>
      </c>
      <c r="CB86">
        <v>1690217592</v>
      </c>
      <c r="CC86" t="s">
        <v>332</v>
      </c>
      <c r="CD86">
        <v>1690217586.5</v>
      </c>
      <c r="CE86">
        <v>1690217592</v>
      </c>
      <c r="CF86">
        <v>9</v>
      </c>
      <c r="CG86">
        <v>0.11600000000000001</v>
      </c>
      <c r="CH86">
        <v>-3.0000000000000001E-3</v>
      </c>
      <c r="CI86">
        <v>-0.27300000000000002</v>
      </c>
      <c r="CJ86">
        <v>-6.9000000000000006E-2</v>
      </c>
      <c r="CK86">
        <v>800</v>
      </c>
      <c r="CL86">
        <v>6</v>
      </c>
      <c r="CM86">
        <v>0.01</v>
      </c>
      <c r="CN86">
        <v>0.01</v>
      </c>
      <c r="CO86">
        <v>-120.4913414634146</v>
      </c>
      <c r="CP86">
        <v>-19.802696864111649</v>
      </c>
      <c r="CQ86">
        <v>1.952806568290582</v>
      </c>
      <c r="CR86">
        <v>-1</v>
      </c>
      <c r="CS86">
        <v>9.0397226829268291</v>
      </c>
      <c r="CT86">
        <v>0.98810278745642033</v>
      </c>
      <c r="CU86">
        <v>9.7432237641482317E-2</v>
      </c>
      <c r="CV86">
        <v>-1</v>
      </c>
      <c r="CW86">
        <v>0</v>
      </c>
      <c r="CX86">
        <v>0</v>
      </c>
      <c r="CY86" t="s">
        <v>333</v>
      </c>
      <c r="CZ86">
        <v>2.3645499999999999</v>
      </c>
      <c r="DA86">
        <v>2.7137500000000001</v>
      </c>
      <c r="DB86">
        <v>0.13072300000000001</v>
      </c>
      <c r="DC86">
        <v>0.146039</v>
      </c>
      <c r="DD86">
        <v>8.1179799999999996E-2</v>
      </c>
      <c r="DE86">
        <v>3.7917800000000002E-2</v>
      </c>
      <c r="DF86">
        <v>31734.3</v>
      </c>
      <c r="DG86">
        <v>27513.200000000001</v>
      </c>
      <c r="DH86">
        <v>31166.2</v>
      </c>
      <c r="DI86">
        <v>28074.2</v>
      </c>
      <c r="DJ86">
        <v>38888.699999999997</v>
      </c>
      <c r="DK86">
        <v>38409.1</v>
      </c>
      <c r="DL86">
        <v>44352.2</v>
      </c>
      <c r="DM86">
        <v>42549.4</v>
      </c>
      <c r="DN86">
        <v>1.4771000000000001</v>
      </c>
      <c r="DO86">
        <v>2.0332300000000001</v>
      </c>
      <c r="DP86">
        <v>0.133939</v>
      </c>
      <c r="DQ86">
        <v>0.16175999999999999</v>
      </c>
      <c r="DR86">
        <v>24.749500000000001</v>
      </c>
      <c r="DS86">
        <v>24.605699999999999</v>
      </c>
      <c r="DT86">
        <v>16.8</v>
      </c>
      <c r="DU86">
        <v>29.8</v>
      </c>
      <c r="DV86">
        <v>7.1414999999999997</v>
      </c>
      <c r="DW86">
        <v>61.358600000000003</v>
      </c>
      <c r="DX86">
        <v>36.238</v>
      </c>
      <c r="DY86">
        <v>1</v>
      </c>
      <c r="DZ86">
        <v>-8.4873000000000004E-2</v>
      </c>
      <c r="EA86">
        <v>0.364172</v>
      </c>
      <c r="EB86">
        <v>20.189599999999999</v>
      </c>
      <c r="EC86">
        <v>5.2409499999999998</v>
      </c>
      <c r="ED86">
        <v>12.039899999999999</v>
      </c>
      <c r="EE86">
        <v>5.0167999999999999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1.86896</v>
      </c>
      <c r="EL86">
        <v>1.8646799999999999</v>
      </c>
      <c r="EM86">
        <v>1.8692</v>
      </c>
      <c r="EN86">
        <v>1.8672800000000001</v>
      </c>
      <c r="EO86">
        <v>1.8634200000000001</v>
      </c>
      <c r="EP86">
        <v>1.8646100000000001</v>
      </c>
      <c r="EQ86">
        <v>1.87019</v>
      </c>
      <c r="ER86">
        <v>1.86948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-0.186</v>
      </c>
      <c r="FG86">
        <v>6.5500000000000003E-2</v>
      </c>
      <c r="FH86">
        <v>0.27827353915413472</v>
      </c>
      <c r="FI86">
        <v>-6.1462078757559423E-4</v>
      </c>
      <c r="FJ86">
        <v>-1.8861989874597051E-7</v>
      </c>
      <c r="FK86">
        <v>1.1980462299894961E-10</v>
      </c>
      <c r="FL86">
        <v>-3.2538871274648329E-2</v>
      </c>
      <c r="FM86">
        <v>-1.6848085045870601E-2</v>
      </c>
      <c r="FN86">
        <v>1.9789084769509481E-3</v>
      </c>
      <c r="FO86">
        <v>-2.7142391389806329E-5</v>
      </c>
      <c r="FP86">
        <v>3</v>
      </c>
      <c r="FQ86">
        <v>2158</v>
      </c>
      <c r="FR86">
        <v>1</v>
      </c>
      <c r="FS86">
        <v>19</v>
      </c>
      <c r="FT86">
        <v>21.3</v>
      </c>
      <c r="FU86">
        <v>21.2</v>
      </c>
      <c r="FV86">
        <v>1.7785599999999999</v>
      </c>
      <c r="FW86">
        <v>2.5830099999999998</v>
      </c>
      <c r="FX86">
        <v>1.5490699999999999</v>
      </c>
      <c r="FY86">
        <v>2.3290999999999999</v>
      </c>
      <c r="FZ86">
        <v>1.50146</v>
      </c>
      <c r="GA86">
        <v>2.3706100000000001</v>
      </c>
      <c r="GB86">
        <v>33.850900000000003</v>
      </c>
      <c r="GC86">
        <v>23.982399999999998</v>
      </c>
      <c r="GD86">
        <v>19</v>
      </c>
      <c r="GE86">
        <v>283.74700000000001</v>
      </c>
      <c r="GF86">
        <v>581.81399999999996</v>
      </c>
      <c r="GG86">
        <v>23.314599999999999</v>
      </c>
      <c r="GH86">
        <v>26.301300000000001</v>
      </c>
      <c r="GI86">
        <v>29.9998</v>
      </c>
      <c r="GJ86">
        <v>26.460100000000001</v>
      </c>
      <c r="GK86">
        <v>26.449300000000001</v>
      </c>
      <c r="GL86">
        <v>35.5473</v>
      </c>
      <c r="GM86">
        <v>-30</v>
      </c>
      <c r="GN86">
        <v>-30</v>
      </c>
      <c r="GO86">
        <v>23.375299999999999</v>
      </c>
      <c r="GP86">
        <v>800</v>
      </c>
      <c r="GQ86">
        <v>12.5298</v>
      </c>
      <c r="GR86">
        <v>99.718199999999996</v>
      </c>
      <c r="GS86">
        <v>99.539100000000005</v>
      </c>
    </row>
    <row r="87" spans="1:201" x14ac:dyDescent="0.25">
      <c r="A87">
        <v>71</v>
      </c>
      <c r="B87">
        <v>1690218875</v>
      </c>
      <c r="C87">
        <v>854.5</v>
      </c>
      <c r="D87" t="s">
        <v>471</v>
      </c>
      <c r="E87" t="s">
        <v>472</v>
      </c>
      <c r="F87" t="s">
        <v>330</v>
      </c>
      <c r="H87">
        <v>1690218875</v>
      </c>
      <c r="I87">
        <f t="shared" si="30"/>
        <v>8.8380741757589879E-4</v>
      </c>
      <c r="J87">
        <f t="shared" si="31"/>
        <v>0.88380741757589876</v>
      </c>
      <c r="K87">
        <f t="shared" si="32"/>
        <v>11.22104603578202</v>
      </c>
      <c r="L87">
        <f t="shared" si="33"/>
        <v>672.44200000000001</v>
      </c>
      <c r="M87">
        <f t="shared" si="34"/>
        <v>190.86941305394348</v>
      </c>
      <c r="N87">
        <f t="shared" si="35"/>
        <v>18.929990532256564</v>
      </c>
      <c r="O87">
        <f t="shared" si="36"/>
        <v>66.691254978051987</v>
      </c>
      <c r="P87">
        <f t="shared" si="37"/>
        <v>3.8883960100351181E-2</v>
      </c>
      <c r="Q87">
        <f t="shared" si="38"/>
        <v>2.1263560015263518</v>
      </c>
      <c r="R87">
        <f t="shared" si="39"/>
        <v>3.849321287443716E-2</v>
      </c>
      <c r="S87">
        <f t="shared" si="40"/>
        <v>2.4093037821418153E-2</v>
      </c>
      <c r="T87">
        <f t="shared" si="41"/>
        <v>276.11582772599996</v>
      </c>
      <c r="U87">
        <f t="shared" si="42"/>
        <v>27.640962397538622</v>
      </c>
      <c r="V87">
        <f t="shared" si="43"/>
        <v>27.640962397538622</v>
      </c>
      <c r="W87">
        <f t="shared" si="44"/>
        <v>3.7161326923832929</v>
      </c>
      <c r="X87">
        <f t="shared" si="45"/>
        <v>45.054588178838145</v>
      </c>
      <c r="Y87">
        <f t="shared" si="46"/>
        <v>1.4988726707779998</v>
      </c>
      <c r="Z87">
        <f t="shared" si="47"/>
        <v>3.3267925229466657</v>
      </c>
      <c r="AA87">
        <f t="shared" si="48"/>
        <v>2.2172600216052931</v>
      </c>
      <c r="AB87">
        <f t="shared" si="49"/>
        <v>-38.975907115097137</v>
      </c>
      <c r="AC87">
        <f t="shared" si="50"/>
        <v>-215.53449355931215</v>
      </c>
      <c r="AD87">
        <f t="shared" si="51"/>
        <v>-21.810235079179524</v>
      </c>
      <c r="AE87">
        <f t="shared" si="52"/>
        <v>-0.20480802758885375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52411.15636875097</v>
      </c>
      <c r="AK87">
        <f t="shared" si="56"/>
        <v>1800</v>
      </c>
      <c r="AL87">
        <f t="shared" si="57"/>
        <v>1499.1133265999999</v>
      </c>
      <c r="AM87">
        <f t="shared" si="58"/>
        <v>0.83284073699999994</v>
      </c>
      <c r="AN87">
        <f t="shared" si="59"/>
        <v>0.15339768206999999</v>
      </c>
      <c r="AO87">
        <v>32.4</v>
      </c>
      <c r="AP87">
        <v>0.5</v>
      </c>
      <c r="AQ87" t="s">
        <v>331</v>
      </c>
      <c r="AR87">
        <v>2</v>
      </c>
      <c r="AS87">
        <v>1690218875</v>
      </c>
      <c r="AT87">
        <v>672.44200000000001</v>
      </c>
      <c r="AU87">
        <v>799.95899999999995</v>
      </c>
      <c r="AV87">
        <v>15.113</v>
      </c>
      <c r="AW87">
        <v>5.71868</v>
      </c>
      <c r="AX87">
        <v>672.62599999999998</v>
      </c>
      <c r="AY87">
        <v>15.0435</v>
      </c>
      <c r="AZ87">
        <v>300.209</v>
      </c>
      <c r="BA87">
        <v>99.077699999999993</v>
      </c>
      <c r="BB87">
        <v>0.100006</v>
      </c>
      <c r="BC87">
        <v>25.7608</v>
      </c>
      <c r="BD87">
        <v>26.9163</v>
      </c>
      <c r="BE87">
        <v>27.279199999999999</v>
      </c>
      <c r="BF87">
        <v>0</v>
      </c>
      <c r="BG87">
        <v>0</v>
      </c>
      <c r="BH87">
        <v>9961.25</v>
      </c>
      <c r="BI87">
        <v>1062.1099999999999</v>
      </c>
      <c r="BJ87">
        <v>1.68198</v>
      </c>
      <c r="BK87">
        <v>-127.517</v>
      </c>
      <c r="BL87">
        <v>682.76099999999997</v>
      </c>
      <c r="BM87">
        <v>804.56</v>
      </c>
      <c r="BN87">
        <v>9.3943100000000008</v>
      </c>
      <c r="BO87">
        <v>799.95899999999995</v>
      </c>
      <c r="BP87">
        <v>5.71868</v>
      </c>
      <c r="BQ87">
        <v>1.49736</v>
      </c>
      <c r="BR87">
        <v>0.56659400000000004</v>
      </c>
      <c r="BS87">
        <v>12.9412</v>
      </c>
      <c r="BT87">
        <v>-1.0934699999999999</v>
      </c>
      <c r="BU87">
        <v>1800</v>
      </c>
      <c r="BV87">
        <v>0.90999799999999997</v>
      </c>
      <c r="BW87">
        <v>3.3991199999999999E-2</v>
      </c>
      <c r="BX87">
        <v>2.2004599999999999E-2</v>
      </c>
      <c r="BY87">
        <v>3.4006099999999997E-2</v>
      </c>
      <c r="BZ87">
        <v>25</v>
      </c>
      <c r="CA87">
        <v>33528.300000000003</v>
      </c>
      <c r="CB87">
        <v>1690217592</v>
      </c>
      <c r="CC87" t="s">
        <v>332</v>
      </c>
      <c r="CD87">
        <v>1690217586.5</v>
      </c>
      <c r="CE87">
        <v>1690217592</v>
      </c>
      <c r="CF87">
        <v>9</v>
      </c>
      <c r="CG87">
        <v>0.11600000000000001</v>
      </c>
      <c r="CH87">
        <v>-3.0000000000000001E-3</v>
      </c>
      <c r="CI87">
        <v>-0.27300000000000002</v>
      </c>
      <c r="CJ87">
        <v>-6.9000000000000006E-2</v>
      </c>
      <c r="CK87">
        <v>800</v>
      </c>
      <c r="CL87">
        <v>6</v>
      </c>
      <c r="CM87">
        <v>0.01</v>
      </c>
      <c r="CN87">
        <v>0.01</v>
      </c>
      <c r="CO87">
        <v>-123.99355</v>
      </c>
      <c r="CP87">
        <v>-19.249936210131239</v>
      </c>
      <c r="CQ87">
        <v>1.8519921024399639</v>
      </c>
      <c r="CR87">
        <v>-1</v>
      </c>
      <c r="CS87">
        <v>9.2153195000000014</v>
      </c>
      <c r="CT87">
        <v>0.97166589118196522</v>
      </c>
      <c r="CU87">
        <v>9.3476550025928931E-2</v>
      </c>
      <c r="CV87">
        <v>-1</v>
      </c>
      <c r="CW87">
        <v>0</v>
      </c>
      <c r="CX87">
        <v>0</v>
      </c>
      <c r="CY87" t="s">
        <v>333</v>
      </c>
      <c r="CZ87">
        <v>2.36456</v>
      </c>
      <c r="DA87">
        <v>2.7137600000000002</v>
      </c>
      <c r="DB87">
        <v>0.13028999999999999</v>
      </c>
      <c r="DC87">
        <v>0.14604200000000001</v>
      </c>
      <c r="DD87">
        <v>8.1837800000000002E-2</v>
      </c>
      <c r="DE87">
        <v>3.7919399999999999E-2</v>
      </c>
      <c r="DF87">
        <v>31750.1</v>
      </c>
      <c r="DG87">
        <v>27513</v>
      </c>
      <c r="DH87">
        <v>31166.2</v>
      </c>
      <c r="DI87">
        <v>28074.1</v>
      </c>
      <c r="DJ87">
        <v>38860.6</v>
      </c>
      <c r="DK87">
        <v>38408.800000000003</v>
      </c>
      <c r="DL87">
        <v>44352.1</v>
      </c>
      <c r="DM87">
        <v>42549.1</v>
      </c>
      <c r="DN87">
        <v>1.4772000000000001</v>
      </c>
      <c r="DO87">
        <v>2.0333199999999998</v>
      </c>
      <c r="DP87">
        <v>0.13211400000000001</v>
      </c>
      <c r="DQ87">
        <v>0.16307099999999999</v>
      </c>
      <c r="DR87">
        <v>24.7516</v>
      </c>
      <c r="DS87">
        <v>24.607800000000001</v>
      </c>
      <c r="DT87">
        <v>16.8</v>
      </c>
      <c r="DU87">
        <v>29.8</v>
      </c>
      <c r="DV87">
        <v>7.14072</v>
      </c>
      <c r="DW87">
        <v>62.038600000000002</v>
      </c>
      <c r="DX87">
        <v>36.694699999999997</v>
      </c>
      <c r="DY87">
        <v>1</v>
      </c>
      <c r="DZ87">
        <v>-8.5327700000000006E-2</v>
      </c>
      <c r="EA87">
        <v>0.31499700000000003</v>
      </c>
      <c r="EB87">
        <v>20.189699999999998</v>
      </c>
      <c r="EC87">
        <v>5.2413999999999996</v>
      </c>
      <c r="ED87">
        <v>12.039899999999999</v>
      </c>
      <c r="EE87">
        <v>5.0168499999999998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1.86893</v>
      </c>
      <c r="EL87">
        <v>1.86467</v>
      </c>
      <c r="EM87">
        <v>1.8691899999999999</v>
      </c>
      <c r="EN87">
        <v>1.8672500000000001</v>
      </c>
      <c r="EO87">
        <v>1.86341</v>
      </c>
      <c r="EP87">
        <v>1.86459</v>
      </c>
      <c r="EQ87">
        <v>1.8702000000000001</v>
      </c>
      <c r="ER87">
        <v>1.86948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-0.184</v>
      </c>
      <c r="FG87">
        <v>6.9500000000000006E-2</v>
      </c>
      <c r="FH87">
        <v>0.27827353915413472</v>
      </c>
      <c r="FI87">
        <v>-6.1462078757559423E-4</v>
      </c>
      <c r="FJ87">
        <v>-1.8861989874597051E-7</v>
      </c>
      <c r="FK87">
        <v>1.1980462299894961E-10</v>
      </c>
      <c r="FL87">
        <v>-3.2538871274648329E-2</v>
      </c>
      <c r="FM87">
        <v>-1.6848085045870601E-2</v>
      </c>
      <c r="FN87">
        <v>1.9789084769509481E-3</v>
      </c>
      <c r="FO87">
        <v>-2.7142391389806329E-5</v>
      </c>
      <c r="FP87">
        <v>3</v>
      </c>
      <c r="FQ87">
        <v>2158</v>
      </c>
      <c r="FR87">
        <v>1</v>
      </c>
      <c r="FS87">
        <v>19</v>
      </c>
      <c r="FT87">
        <v>21.5</v>
      </c>
      <c r="FU87">
        <v>21.4</v>
      </c>
      <c r="FV87">
        <v>1.7773399999999999</v>
      </c>
      <c r="FW87">
        <v>2.5842299999999998</v>
      </c>
      <c r="FX87">
        <v>1.5490699999999999</v>
      </c>
      <c r="FY87">
        <v>2.3290999999999999</v>
      </c>
      <c r="FZ87">
        <v>1.50146</v>
      </c>
      <c r="GA87">
        <v>2.3840300000000001</v>
      </c>
      <c r="GB87">
        <v>33.850900000000003</v>
      </c>
      <c r="GC87">
        <v>23.991199999999999</v>
      </c>
      <c r="GD87">
        <v>19</v>
      </c>
      <c r="GE87">
        <v>283.77300000000002</v>
      </c>
      <c r="GF87">
        <v>581.84699999999998</v>
      </c>
      <c r="GG87">
        <v>23.4117</v>
      </c>
      <c r="GH87">
        <v>26.296299999999999</v>
      </c>
      <c r="GI87">
        <v>29.9999</v>
      </c>
      <c r="GJ87">
        <v>26.456700000000001</v>
      </c>
      <c r="GK87">
        <v>26.444900000000001</v>
      </c>
      <c r="GL87">
        <v>35.547199999999997</v>
      </c>
      <c r="GM87">
        <v>-30</v>
      </c>
      <c r="GN87">
        <v>-30</v>
      </c>
      <c r="GO87">
        <v>23.4542</v>
      </c>
      <c r="GP87">
        <v>800</v>
      </c>
      <c r="GQ87">
        <v>12.5298</v>
      </c>
      <c r="GR87">
        <v>99.718100000000007</v>
      </c>
      <c r="GS87">
        <v>99.538700000000006</v>
      </c>
    </row>
    <row r="88" spans="1:201" x14ac:dyDescent="0.25">
      <c r="A88">
        <v>72</v>
      </c>
      <c r="B88">
        <v>1690218885</v>
      </c>
      <c r="C88">
        <v>864.5</v>
      </c>
      <c r="D88" t="s">
        <v>473</v>
      </c>
      <c r="E88" t="s">
        <v>474</v>
      </c>
      <c r="F88" t="s">
        <v>330</v>
      </c>
      <c r="H88">
        <v>1690218885</v>
      </c>
      <c r="I88">
        <f t="shared" si="30"/>
        <v>8.9960667998654597E-4</v>
      </c>
      <c r="J88">
        <f t="shared" si="31"/>
        <v>0.89960667998654598</v>
      </c>
      <c r="K88">
        <f t="shared" si="32"/>
        <v>11.506555889388899</v>
      </c>
      <c r="L88">
        <f t="shared" si="33"/>
        <v>669.32399999999996</v>
      </c>
      <c r="M88">
        <f t="shared" si="34"/>
        <v>187.48850857743423</v>
      </c>
      <c r="N88">
        <f t="shared" si="35"/>
        <v>18.59360081072737</v>
      </c>
      <c r="O88">
        <f t="shared" si="36"/>
        <v>66.378165592475995</v>
      </c>
      <c r="P88">
        <f t="shared" si="37"/>
        <v>3.9840646683791364E-2</v>
      </c>
      <c r="Q88">
        <f t="shared" si="38"/>
        <v>2.125776505219179</v>
      </c>
      <c r="R88">
        <f t="shared" si="39"/>
        <v>3.9430434156748705E-2</v>
      </c>
      <c r="S88">
        <f t="shared" si="40"/>
        <v>2.468052526057259E-2</v>
      </c>
      <c r="T88">
        <f t="shared" si="41"/>
        <v>276.11416922587114</v>
      </c>
      <c r="U88">
        <f t="shared" si="42"/>
        <v>27.651762267180739</v>
      </c>
      <c r="V88">
        <f t="shared" si="43"/>
        <v>27.651762267180739</v>
      </c>
      <c r="W88">
        <f t="shared" si="44"/>
        <v>3.7184792571153999</v>
      </c>
      <c r="X88">
        <f t="shared" si="45"/>
        <v>45.513741174664304</v>
      </c>
      <c r="Y88">
        <f t="shared" si="46"/>
        <v>1.5155754762027001</v>
      </c>
      <c r="Z88">
        <f t="shared" si="47"/>
        <v>3.3299294610533154</v>
      </c>
      <c r="AA88">
        <f t="shared" si="48"/>
        <v>2.2029037809126999</v>
      </c>
      <c r="AB88">
        <f t="shared" si="49"/>
        <v>-39.672654587406676</v>
      </c>
      <c r="AC88">
        <f t="shared" si="50"/>
        <v>-214.89125415179541</v>
      </c>
      <c r="AD88">
        <f t="shared" si="51"/>
        <v>-21.753978217203446</v>
      </c>
      <c r="AE88">
        <f t="shared" si="52"/>
        <v>-0.20371773053437892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52383.225782433736</v>
      </c>
      <c r="AK88">
        <f t="shared" si="56"/>
        <v>1799.99</v>
      </c>
      <c r="AL88">
        <f t="shared" si="57"/>
        <v>1499.1028328046602</v>
      </c>
      <c r="AM88">
        <f t="shared" si="58"/>
        <v>0.8328395340000001</v>
      </c>
      <c r="AN88">
        <f t="shared" si="59"/>
        <v>0.15339761289000001</v>
      </c>
      <c r="AO88">
        <v>32.4</v>
      </c>
      <c r="AP88">
        <v>0.5</v>
      </c>
      <c r="AQ88" t="s">
        <v>331</v>
      </c>
      <c r="AR88">
        <v>2</v>
      </c>
      <c r="AS88">
        <v>1690218885</v>
      </c>
      <c r="AT88">
        <v>669.32399999999996</v>
      </c>
      <c r="AU88">
        <v>800.03200000000004</v>
      </c>
      <c r="AV88">
        <v>15.282299999999999</v>
      </c>
      <c r="AW88">
        <v>5.7198399999999996</v>
      </c>
      <c r="AX88">
        <v>669.50599999999997</v>
      </c>
      <c r="AY88">
        <v>15.2089</v>
      </c>
      <c r="AZ88">
        <v>300.15100000000001</v>
      </c>
      <c r="BA88">
        <v>99.071899999999999</v>
      </c>
      <c r="BB88">
        <v>0.100049</v>
      </c>
      <c r="BC88">
        <v>25.776700000000002</v>
      </c>
      <c r="BD88">
        <v>26.947900000000001</v>
      </c>
      <c r="BE88">
        <v>27.269400000000001</v>
      </c>
      <c r="BF88">
        <v>0</v>
      </c>
      <c r="BG88">
        <v>0</v>
      </c>
      <c r="BH88">
        <v>9956.8799999999992</v>
      </c>
      <c r="BI88">
        <v>1062.1600000000001</v>
      </c>
      <c r="BJ88">
        <v>1.65395</v>
      </c>
      <c r="BK88">
        <v>-130.708</v>
      </c>
      <c r="BL88">
        <v>679.71100000000001</v>
      </c>
      <c r="BM88">
        <v>804.63400000000001</v>
      </c>
      <c r="BN88">
        <v>9.5624900000000004</v>
      </c>
      <c r="BO88">
        <v>800.03200000000004</v>
      </c>
      <c r="BP88">
        <v>5.7198399999999996</v>
      </c>
      <c r="BQ88">
        <v>1.5140499999999999</v>
      </c>
      <c r="BR88">
        <v>0.56667500000000004</v>
      </c>
      <c r="BS88">
        <v>13.110799999999999</v>
      </c>
      <c r="BT88">
        <v>-1.09152</v>
      </c>
      <c r="BU88">
        <v>1799.99</v>
      </c>
      <c r="BV88">
        <v>0.90999300000000005</v>
      </c>
      <c r="BW88">
        <v>3.3998100000000003E-2</v>
      </c>
      <c r="BX88">
        <v>2.2003700000000001E-2</v>
      </c>
      <c r="BY88">
        <v>3.4004699999999999E-2</v>
      </c>
      <c r="BZ88">
        <v>25.041699999999999</v>
      </c>
      <c r="CA88">
        <v>33528.199999999997</v>
      </c>
      <c r="CB88">
        <v>1690217592</v>
      </c>
      <c r="CC88" t="s">
        <v>332</v>
      </c>
      <c r="CD88">
        <v>1690217586.5</v>
      </c>
      <c r="CE88">
        <v>1690217592</v>
      </c>
      <c r="CF88">
        <v>9</v>
      </c>
      <c r="CG88">
        <v>0.11600000000000001</v>
      </c>
      <c r="CH88">
        <v>-3.0000000000000001E-3</v>
      </c>
      <c r="CI88">
        <v>-0.27300000000000002</v>
      </c>
      <c r="CJ88">
        <v>-6.9000000000000006E-2</v>
      </c>
      <c r="CK88">
        <v>800</v>
      </c>
      <c r="CL88">
        <v>6</v>
      </c>
      <c r="CM88">
        <v>0.01</v>
      </c>
      <c r="CN88">
        <v>0.01</v>
      </c>
      <c r="CO88">
        <v>-126.99702439024389</v>
      </c>
      <c r="CP88">
        <v>-19.711379790940889</v>
      </c>
      <c r="CQ88">
        <v>1.943819354346473</v>
      </c>
      <c r="CR88">
        <v>-1</v>
      </c>
      <c r="CS88">
        <v>9.368194390243902</v>
      </c>
      <c r="CT88">
        <v>1.0074859233449589</v>
      </c>
      <c r="CU88">
        <v>9.9353433908980937E-2</v>
      </c>
      <c r="CV88">
        <v>-1</v>
      </c>
      <c r="CW88">
        <v>0</v>
      </c>
      <c r="CX88">
        <v>0</v>
      </c>
      <c r="CY88" t="s">
        <v>333</v>
      </c>
      <c r="CZ88">
        <v>2.3643700000000001</v>
      </c>
      <c r="DA88">
        <v>2.7138</v>
      </c>
      <c r="DB88">
        <v>0.12987000000000001</v>
      </c>
      <c r="DC88">
        <v>0.14604300000000001</v>
      </c>
      <c r="DD88">
        <v>8.2496799999999995E-2</v>
      </c>
      <c r="DE88">
        <v>3.7923800000000001E-2</v>
      </c>
      <c r="DF88">
        <v>31765.7</v>
      </c>
      <c r="DG88">
        <v>27513.5</v>
      </c>
      <c r="DH88">
        <v>31166.400000000001</v>
      </c>
      <c r="DI88">
        <v>28074.7</v>
      </c>
      <c r="DJ88">
        <v>38832.9</v>
      </c>
      <c r="DK88">
        <v>38409.300000000003</v>
      </c>
      <c r="DL88">
        <v>44352.7</v>
      </c>
      <c r="DM88">
        <v>42549.9</v>
      </c>
      <c r="DN88">
        <v>1.47732</v>
      </c>
      <c r="DO88">
        <v>2.03315</v>
      </c>
      <c r="DP88">
        <v>0.13388700000000001</v>
      </c>
      <c r="DQ88">
        <v>0.16234100000000001</v>
      </c>
      <c r="DR88">
        <v>24.754200000000001</v>
      </c>
      <c r="DS88">
        <v>24.6099</v>
      </c>
      <c r="DT88">
        <v>16.8</v>
      </c>
      <c r="DU88">
        <v>29.8</v>
      </c>
      <c r="DV88">
        <v>7.1425400000000003</v>
      </c>
      <c r="DW88">
        <v>61.578600000000002</v>
      </c>
      <c r="DX88">
        <v>36.995199999999997</v>
      </c>
      <c r="DY88">
        <v>1</v>
      </c>
      <c r="DZ88">
        <v>-8.6011199999999996E-2</v>
      </c>
      <c r="EA88">
        <v>0.23213</v>
      </c>
      <c r="EB88">
        <v>20.189699999999998</v>
      </c>
      <c r="EC88">
        <v>5.2408000000000001</v>
      </c>
      <c r="ED88">
        <v>12.039899999999999</v>
      </c>
      <c r="EE88">
        <v>5.0168999999999997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1.8689199999999999</v>
      </c>
      <c r="EL88">
        <v>1.8647</v>
      </c>
      <c r="EM88">
        <v>1.8692</v>
      </c>
      <c r="EN88">
        <v>1.8672500000000001</v>
      </c>
      <c r="EO88">
        <v>1.8633999999999999</v>
      </c>
      <c r="EP88">
        <v>1.8645799999999999</v>
      </c>
      <c r="EQ88">
        <v>1.8702000000000001</v>
      </c>
      <c r="ER88">
        <v>1.86947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-0.182</v>
      </c>
      <c r="FG88">
        <v>7.3400000000000007E-2</v>
      </c>
      <c r="FH88">
        <v>0.27827353915413472</v>
      </c>
      <c r="FI88">
        <v>-6.1462078757559423E-4</v>
      </c>
      <c r="FJ88">
        <v>-1.8861989874597051E-7</v>
      </c>
      <c r="FK88">
        <v>1.1980462299894961E-10</v>
      </c>
      <c r="FL88">
        <v>-3.2538871274648329E-2</v>
      </c>
      <c r="FM88">
        <v>-1.6848085045870601E-2</v>
      </c>
      <c r="FN88">
        <v>1.9789084769509481E-3</v>
      </c>
      <c r="FO88">
        <v>-2.7142391389806329E-5</v>
      </c>
      <c r="FP88">
        <v>3</v>
      </c>
      <c r="FQ88">
        <v>2158</v>
      </c>
      <c r="FR88">
        <v>1</v>
      </c>
      <c r="FS88">
        <v>19</v>
      </c>
      <c r="FT88">
        <v>21.6</v>
      </c>
      <c r="FU88">
        <v>21.6</v>
      </c>
      <c r="FV88">
        <v>1.7773399999999999</v>
      </c>
      <c r="FW88">
        <v>2.5793499999999998</v>
      </c>
      <c r="FX88">
        <v>1.5490699999999999</v>
      </c>
      <c r="FY88">
        <v>2.3290999999999999</v>
      </c>
      <c r="FZ88">
        <v>1.50024</v>
      </c>
      <c r="GA88">
        <v>2.3938000000000001</v>
      </c>
      <c r="GB88">
        <v>33.850900000000003</v>
      </c>
      <c r="GC88">
        <v>23.991199999999999</v>
      </c>
      <c r="GD88">
        <v>19</v>
      </c>
      <c r="GE88">
        <v>283.80799999999999</v>
      </c>
      <c r="GF88">
        <v>581.67200000000003</v>
      </c>
      <c r="GG88">
        <v>23.5014</v>
      </c>
      <c r="GH88">
        <v>26.2913</v>
      </c>
      <c r="GI88">
        <v>29.999700000000001</v>
      </c>
      <c r="GJ88">
        <v>26.452400000000001</v>
      </c>
      <c r="GK88">
        <v>26.4422</v>
      </c>
      <c r="GL88">
        <v>35.545099999999998</v>
      </c>
      <c r="GM88">
        <v>-30</v>
      </c>
      <c r="GN88">
        <v>-30</v>
      </c>
      <c r="GO88">
        <v>23.5562</v>
      </c>
      <c r="GP88">
        <v>800</v>
      </c>
      <c r="GQ88">
        <v>12.5298</v>
      </c>
      <c r="GR88">
        <v>99.719099999999997</v>
      </c>
      <c r="GS88">
        <v>99.540400000000005</v>
      </c>
    </row>
    <row r="89" spans="1:201" x14ac:dyDescent="0.25">
      <c r="A89">
        <v>73</v>
      </c>
      <c r="B89">
        <v>1690218895</v>
      </c>
      <c r="C89">
        <v>874.5</v>
      </c>
      <c r="D89" t="s">
        <v>475</v>
      </c>
      <c r="E89" t="s">
        <v>476</v>
      </c>
      <c r="F89" t="s">
        <v>330</v>
      </c>
      <c r="H89">
        <v>1690218895</v>
      </c>
      <c r="I89">
        <f t="shared" si="30"/>
        <v>9.1543659070677369E-4</v>
      </c>
      <c r="J89">
        <f t="shared" si="31"/>
        <v>0.91543659070677375</v>
      </c>
      <c r="K89">
        <f t="shared" si="32"/>
        <v>11.79392751172489</v>
      </c>
      <c r="L89">
        <f t="shared" si="33"/>
        <v>666.077</v>
      </c>
      <c r="M89">
        <f t="shared" si="34"/>
        <v>184.38126631998918</v>
      </c>
      <c r="N89">
        <f t="shared" si="35"/>
        <v>18.286051600190298</v>
      </c>
      <c r="O89">
        <f t="shared" si="36"/>
        <v>66.0583292153011</v>
      </c>
      <c r="P89">
        <f t="shared" si="37"/>
        <v>4.0836131742473213E-2</v>
      </c>
      <c r="Q89">
        <f t="shared" si="38"/>
        <v>2.1320874683879141</v>
      </c>
      <c r="R89">
        <f t="shared" si="39"/>
        <v>4.0406543832052812E-2</v>
      </c>
      <c r="S89">
        <f t="shared" si="40"/>
        <v>2.5292309995311971E-2</v>
      </c>
      <c r="T89">
        <f t="shared" si="41"/>
        <v>276.11438765465761</v>
      </c>
      <c r="U89">
        <f t="shared" si="42"/>
        <v>27.656271363821453</v>
      </c>
      <c r="V89">
        <f t="shared" si="43"/>
        <v>27.656271363821453</v>
      </c>
      <c r="W89">
        <f t="shared" si="44"/>
        <v>3.7194593632660666</v>
      </c>
      <c r="X89">
        <f t="shared" si="45"/>
        <v>45.96788355769803</v>
      </c>
      <c r="Y89">
        <f t="shared" si="46"/>
        <v>1.5320686280278299</v>
      </c>
      <c r="Z89">
        <f t="shared" si="47"/>
        <v>3.3329109575053764</v>
      </c>
      <c r="AA89">
        <f t="shared" si="48"/>
        <v>2.1873907352382367</v>
      </c>
      <c r="AB89">
        <f t="shared" si="49"/>
        <v>-40.370753650168723</v>
      </c>
      <c r="AC89">
        <f t="shared" si="50"/>
        <v>-214.31184660784223</v>
      </c>
      <c r="AD89">
        <f t="shared" si="51"/>
        <v>-21.633225873459899</v>
      </c>
      <c r="AE89">
        <f t="shared" si="52"/>
        <v>-0.20143847681325155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52653.523037446626</v>
      </c>
      <c r="AK89">
        <f t="shared" si="56"/>
        <v>1799.99</v>
      </c>
      <c r="AL89">
        <f t="shared" si="57"/>
        <v>1499.1015098120101</v>
      </c>
      <c r="AM89">
        <f t="shared" si="58"/>
        <v>0.83283879900000002</v>
      </c>
      <c r="AN89">
        <f t="shared" si="59"/>
        <v>0.15339773424</v>
      </c>
      <c r="AO89">
        <v>32.4</v>
      </c>
      <c r="AP89">
        <v>0.5</v>
      </c>
      <c r="AQ89" t="s">
        <v>331</v>
      </c>
      <c r="AR89">
        <v>2</v>
      </c>
      <c r="AS89">
        <v>1690218895</v>
      </c>
      <c r="AT89">
        <v>666.077</v>
      </c>
      <c r="AU89">
        <v>799.96799999999996</v>
      </c>
      <c r="AV89">
        <v>15.4481</v>
      </c>
      <c r="AW89">
        <v>5.7191099999999997</v>
      </c>
      <c r="AX89">
        <v>666.25599999999997</v>
      </c>
      <c r="AY89">
        <v>15.370699999999999</v>
      </c>
      <c r="AZ89">
        <v>300.154</v>
      </c>
      <c r="BA89">
        <v>99.075299999999999</v>
      </c>
      <c r="BB89">
        <v>9.9914299999999998E-2</v>
      </c>
      <c r="BC89">
        <v>25.791799999999999</v>
      </c>
      <c r="BD89">
        <v>27.028199999999998</v>
      </c>
      <c r="BE89">
        <v>27.274100000000001</v>
      </c>
      <c r="BF89">
        <v>0</v>
      </c>
      <c r="BG89">
        <v>0</v>
      </c>
      <c r="BH89">
        <v>10010.6</v>
      </c>
      <c r="BI89">
        <v>1062.33</v>
      </c>
      <c r="BJ89">
        <v>1.68198</v>
      </c>
      <c r="BK89">
        <v>-133.892</v>
      </c>
      <c r="BL89">
        <v>676.52800000000002</v>
      </c>
      <c r="BM89">
        <v>804.57</v>
      </c>
      <c r="BN89">
        <v>9.7290399999999995</v>
      </c>
      <c r="BO89">
        <v>799.96799999999996</v>
      </c>
      <c r="BP89">
        <v>5.7191099999999997</v>
      </c>
      <c r="BQ89">
        <v>1.5305299999999999</v>
      </c>
      <c r="BR89">
        <v>0.56662199999999996</v>
      </c>
      <c r="BS89">
        <v>13.2766</v>
      </c>
      <c r="BT89">
        <v>-1.0927800000000001</v>
      </c>
      <c r="BU89">
        <v>1799.99</v>
      </c>
      <c r="BV89">
        <v>0.90998599999999996</v>
      </c>
      <c r="BW89">
        <v>3.4008299999999998E-2</v>
      </c>
      <c r="BX89">
        <v>2.20027E-2</v>
      </c>
      <c r="BY89">
        <v>3.4003199999999997E-2</v>
      </c>
      <c r="BZ89">
        <v>25.083300000000001</v>
      </c>
      <c r="CA89">
        <v>33528.199999999997</v>
      </c>
      <c r="CB89">
        <v>1690217592</v>
      </c>
      <c r="CC89" t="s">
        <v>332</v>
      </c>
      <c r="CD89">
        <v>1690217586.5</v>
      </c>
      <c r="CE89">
        <v>1690217592</v>
      </c>
      <c r="CF89">
        <v>9</v>
      </c>
      <c r="CG89">
        <v>0.11600000000000001</v>
      </c>
      <c r="CH89">
        <v>-3.0000000000000001E-3</v>
      </c>
      <c r="CI89">
        <v>-0.27300000000000002</v>
      </c>
      <c r="CJ89">
        <v>-6.9000000000000006E-2</v>
      </c>
      <c r="CK89">
        <v>800</v>
      </c>
      <c r="CL89">
        <v>6</v>
      </c>
      <c r="CM89">
        <v>0.01</v>
      </c>
      <c r="CN89">
        <v>0.01</v>
      </c>
      <c r="CO89">
        <v>-130.4683</v>
      </c>
      <c r="CP89">
        <v>-19.014709193245359</v>
      </c>
      <c r="CQ89">
        <v>1.8293517185057671</v>
      </c>
      <c r="CR89">
        <v>-1</v>
      </c>
      <c r="CS89">
        <v>9.549194</v>
      </c>
      <c r="CT89">
        <v>1.0033969981238049</v>
      </c>
      <c r="CU89">
        <v>9.65262660833828E-2</v>
      </c>
      <c r="CV89">
        <v>-1</v>
      </c>
      <c r="CW89">
        <v>0</v>
      </c>
      <c r="CX89">
        <v>0</v>
      </c>
      <c r="CY89" t="s">
        <v>333</v>
      </c>
      <c r="CZ89">
        <v>2.3643900000000002</v>
      </c>
      <c r="DA89">
        <v>2.7137199999999999</v>
      </c>
      <c r="DB89">
        <v>0.129443</v>
      </c>
      <c r="DC89">
        <v>0.14604200000000001</v>
      </c>
      <c r="DD89">
        <v>8.3146800000000007E-2</v>
      </c>
      <c r="DE89">
        <v>3.7921499999999997E-2</v>
      </c>
      <c r="DF89">
        <v>31781.9</v>
      </c>
      <c r="DG89">
        <v>27514.2</v>
      </c>
      <c r="DH89">
        <v>31166.9</v>
      </c>
      <c r="DI89">
        <v>28075.3</v>
      </c>
      <c r="DJ89">
        <v>38805.800000000003</v>
      </c>
      <c r="DK89">
        <v>38410.1</v>
      </c>
      <c r="DL89">
        <v>44353.4</v>
      </c>
      <c r="DM89">
        <v>42550.7</v>
      </c>
      <c r="DN89">
        <v>1.47723</v>
      </c>
      <c r="DO89">
        <v>2.03355</v>
      </c>
      <c r="DP89">
        <v>0.138603</v>
      </c>
      <c r="DQ89">
        <v>0.16250500000000001</v>
      </c>
      <c r="DR89">
        <v>24.757400000000001</v>
      </c>
      <c r="DS89">
        <v>24.611899999999999</v>
      </c>
      <c r="DT89">
        <v>16.8</v>
      </c>
      <c r="DU89">
        <v>29.8</v>
      </c>
      <c r="DV89">
        <v>7.1415699999999998</v>
      </c>
      <c r="DW89">
        <v>61.418599999999998</v>
      </c>
      <c r="DX89">
        <v>37.127400000000002</v>
      </c>
      <c r="DY89">
        <v>1</v>
      </c>
      <c r="DZ89">
        <v>-8.5919700000000002E-2</v>
      </c>
      <c r="EA89">
        <v>0.94316199999999994</v>
      </c>
      <c r="EB89">
        <v>20.186199999999999</v>
      </c>
      <c r="EC89">
        <v>5.2406499999999996</v>
      </c>
      <c r="ED89">
        <v>12.039899999999999</v>
      </c>
      <c r="EE89">
        <v>5.01675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1.86894</v>
      </c>
      <c r="EL89">
        <v>1.8647</v>
      </c>
      <c r="EM89">
        <v>1.8692</v>
      </c>
      <c r="EN89">
        <v>1.8672800000000001</v>
      </c>
      <c r="EO89">
        <v>1.86341</v>
      </c>
      <c r="EP89">
        <v>1.8646199999999999</v>
      </c>
      <c r="EQ89">
        <v>1.87018</v>
      </c>
      <c r="ER89">
        <v>1.86947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-0.17899999999999999</v>
      </c>
      <c r="FG89">
        <v>7.7399999999999997E-2</v>
      </c>
      <c r="FH89">
        <v>0.27827353915413472</v>
      </c>
      <c r="FI89">
        <v>-6.1462078757559423E-4</v>
      </c>
      <c r="FJ89">
        <v>-1.8861989874597051E-7</v>
      </c>
      <c r="FK89">
        <v>1.1980462299894961E-10</v>
      </c>
      <c r="FL89">
        <v>-3.2538871274648329E-2</v>
      </c>
      <c r="FM89">
        <v>-1.6848085045870601E-2</v>
      </c>
      <c r="FN89">
        <v>1.9789084769509481E-3</v>
      </c>
      <c r="FO89">
        <v>-2.7142391389806329E-5</v>
      </c>
      <c r="FP89">
        <v>3</v>
      </c>
      <c r="FQ89">
        <v>2158</v>
      </c>
      <c r="FR89">
        <v>1</v>
      </c>
      <c r="FS89">
        <v>19</v>
      </c>
      <c r="FT89">
        <v>21.8</v>
      </c>
      <c r="FU89">
        <v>21.7</v>
      </c>
      <c r="FV89">
        <v>1.7773399999999999</v>
      </c>
      <c r="FW89">
        <v>2.5830099999999998</v>
      </c>
      <c r="FX89">
        <v>1.5490699999999999</v>
      </c>
      <c r="FY89">
        <v>2.3290999999999999</v>
      </c>
      <c r="FZ89">
        <v>1.50146</v>
      </c>
      <c r="GA89">
        <v>2.4047900000000002</v>
      </c>
      <c r="GB89">
        <v>33.850900000000003</v>
      </c>
      <c r="GC89">
        <v>23.991199999999999</v>
      </c>
      <c r="GD89">
        <v>19</v>
      </c>
      <c r="GE89">
        <v>283.74799999999999</v>
      </c>
      <c r="GF89">
        <v>581.95699999999999</v>
      </c>
      <c r="GG89">
        <v>23.474499999999999</v>
      </c>
      <c r="GH89">
        <v>26.286899999999999</v>
      </c>
      <c r="GI89">
        <v>30.000299999999999</v>
      </c>
      <c r="GJ89">
        <v>26.448399999999999</v>
      </c>
      <c r="GK89">
        <v>26.438300000000002</v>
      </c>
      <c r="GL89">
        <v>35.545699999999997</v>
      </c>
      <c r="GM89">
        <v>-30</v>
      </c>
      <c r="GN89">
        <v>-30</v>
      </c>
      <c r="GO89">
        <v>23.371500000000001</v>
      </c>
      <c r="GP89">
        <v>800</v>
      </c>
      <c r="GQ89">
        <v>12.5298</v>
      </c>
      <c r="GR89">
        <v>99.720799999999997</v>
      </c>
      <c r="GS89">
        <v>99.542400000000001</v>
      </c>
    </row>
    <row r="90" spans="1:201" x14ac:dyDescent="0.25">
      <c r="A90">
        <v>74</v>
      </c>
      <c r="B90">
        <v>1690218905</v>
      </c>
      <c r="C90">
        <v>884.5</v>
      </c>
      <c r="D90" t="s">
        <v>477</v>
      </c>
      <c r="E90" t="s">
        <v>478</v>
      </c>
      <c r="F90" t="s">
        <v>330</v>
      </c>
      <c r="H90">
        <v>1690218905</v>
      </c>
      <c r="I90">
        <f t="shared" si="30"/>
        <v>9.3065355082161123E-4</v>
      </c>
      <c r="J90">
        <f t="shared" si="31"/>
        <v>0.93065355082161128</v>
      </c>
      <c r="K90">
        <f t="shared" si="32"/>
        <v>12.082872920331681</v>
      </c>
      <c r="L90">
        <f t="shared" si="33"/>
        <v>662.88199999999995</v>
      </c>
      <c r="M90">
        <f t="shared" si="34"/>
        <v>181.81156061239204</v>
      </c>
      <c r="N90">
        <f t="shared" si="35"/>
        <v>18.031119070734579</v>
      </c>
      <c r="O90">
        <f t="shared" si="36"/>
        <v>65.741167567052997</v>
      </c>
      <c r="P90">
        <f t="shared" si="37"/>
        <v>4.1881559103880341E-2</v>
      </c>
      <c r="Q90">
        <f t="shared" si="38"/>
        <v>2.1309165811220185</v>
      </c>
      <c r="R90">
        <f t="shared" si="39"/>
        <v>4.1429580188442283E-2</v>
      </c>
      <c r="S90">
        <f t="shared" si="40"/>
        <v>2.5933689600598418E-2</v>
      </c>
      <c r="T90">
        <f t="shared" si="41"/>
        <v>276.11571481199996</v>
      </c>
      <c r="U90">
        <f t="shared" si="42"/>
        <v>27.643617206904853</v>
      </c>
      <c r="V90">
        <f t="shared" si="43"/>
        <v>27.643617206904853</v>
      </c>
      <c r="W90">
        <f t="shared" si="44"/>
        <v>3.716709401942845</v>
      </c>
      <c r="X90">
        <f t="shared" si="45"/>
        <v>46.469604561533558</v>
      </c>
      <c r="Y90">
        <f t="shared" si="46"/>
        <v>1.5480288477751498</v>
      </c>
      <c r="Z90">
        <f t="shared" si="47"/>
        <v>3.3312718332373579</v>
      </c>
      <c r="AA90">
        <f t="shared" si="48"/>
        <v>2.168680554167695</v>
      </c>
      <c r="AB90">
        <f t="shared" si="49"/>
        <v>-41.041821591233052</v>
      </c>
      <c r="AC90">
        <f t="shared" si="50"/>
        <v>-213.69393794257803</v>
      </c>
      <c r="AD90">
        <f t="shared" si="51"/>
        <v>-21.580440941163143</v>
      </c>
      <c r="AE90">
        <f t="shared" si="52"/>
        <v>-0.20048566297427328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52604.276936159265</v>
      </c>
      <c r="AK90">
        <f t="shared" si="56"/>
        <v>1800</v>
      </c>
      <c r="AL90">
        <f t="shared" si="57"/>
        <v>1499.1102701999998</v>
      </c>
      <c r="AM90">
        <f t="shared" si="58"/>
        <v>0.83283903899999989</v>
      </c>
      <c r="AN90">
        <f t="shared" si="59"/>
        <v>0.15339761933999999</v>
      </c>
      <c r="AO90">
        <v>32.4</v>
      </c>
      <c r="AP90">
        <v>0.5</v>
      </c>
      <c r="AQ90" t="s">
        <v>331</v>
      </c>
      <c r="AR90">
        <v>2</v>
      </c>
      <c r="AS90">
        <v>1690218905</v>
      </c>
      <c r="AT90">
        <v>662.88199999999995</v>
      </c>
      <c r="AU90">
        <v>799.97799999999995</v>
      </c>
      <c r="AV90">
        <v>15.6091</v>
      </c>
      <c r="AW90">
        <v>5.7193800000000001</v>
      </c>
      <c r="AX90">
        <v>663.05899999999997</v>
      </c>
      <c r="AY90">
        <v>15.527699999999999</v>
      </c>
      <c r="AZ90">
        <v>300.13499999999999</v>
      </c>
      <c r="BA90">
        <v>99.074799999999996</v>
      </c>
      <c r="BB90">
        <v>9.99665E-2</v>
      </c>
      <c r="BC90">
        <v>25.7835</v>
      </c>
      <c r="BD90">
        <v>26.976199999999999</v>
      </c>
      <c r="BE90">
        <v>27.2911</v>
      </c>
      <c r="BF90">
        <v>0</v>
      </c>
      <c r="BG90">
        <v>0</v>
      </c>
      <c r="BH90">
        <v>10000.6</v>
      </c>
      <c r="BI90">
        <v>1062.4100000000001</v>
      </c>
      <c r="BJ90">
        <v>1.7380500000000001</v>
      </c>
      <c r="BK90">
        <v>-137.096</v>
      </c>
      <c r="BL90">
        <v>673.39300000000003</v>
      </c>
      <c r="BM90">
        <v>804.58</v>
      </c>
      <c r="BN90">
        <v>9.8897200000000005</v>
      </c>
      <c r="BO90">
        <v>799.97799999999995</v>
      </c>
      <c r="BP90">
        <v>5.7193800000000001</v>
      </c>
      <c r="BQ90">
        <v>1.54647</v>
      </c>
      <c r="BR90">
        <v>0.56664599999999998</v>
      </c>
      <c r="BS90">
        <v>13.435499999999999</v>
      </c>
      <c r="BT90">
        <v>-1.0922000000000001</v>
      </c>
      <c r="BU90">
        <v>1800</v>
      </c>
      <c r="BV90">
        <v>0.90998999999999997</v>
      </c>
      <c r="BW90">
        <v>3.4006799999999997E-2</v>
      </c>
      <c r="BX90">
        <v>2.2001699999999999E-2</v>
      </c>
      <c r="BY90">
        <v>3.40016E-2</v>
      </c>
      <c r="BZ90">
        <v>25</v>
      </c>
      <c r="CA90">
        <v>33528.199999999997</v>
      </c>
      <c r="CB90">
        <v>1690217592</v>
      </c>
      <c r="CC90" t="s">
        <v>332</v>
      </c>
      <c r="CD90">
        <v>1690217586.5</v>
      </c>
      <c r="CE90">
        <v>1690217592</v>
      </c>
      <c r="CF90">
        <v>9</v>
      </c>
      <c r="CG90">
        <v>0.11600000000000001</v>
      </c>
      <c r="CH90">
        <v>-3.0000000000000001E-3</v>
      </c>
      <c r="CI90">
        <v>-0.27300000000000002</v>
      </c>
      <c r="CJ90">
        <v>-6.9000000000000006E-2</v>
      </c>
      <c r="CK90">
        <v>800</v>
      </c>
      <c r="CL90">
        <v>6</v>
      </c>
      <c r="CM90">
        <v>0.01</v>
      </c>
      <c r="CN90">
        <v>0.01</v>
      </c>
      <c r="CO90">
        <v>-133.650025</v>
      </c>
      <c r="CP90">
        <v>-19.23601125703593</v>
      </c>
      <c r="CQ90">
        <v>1.8505413733216021</v>
      </c>
      <c r="CR90">
        <v>-1</v>
      </c>
      <c r="CS90">
        <v>9.71447225</v>
      </c>
      <c r="CT90">
        <v>0.97651621013130341</v>
      </c>
      <c r="CU90">
        <v>9.3943968978522197E-2</v>
      </c>
      <c r="CV90">
        <v>-1</v>
      </c>
      <c r="CW90">
        <v>0</v>
      </c>
      <c r="CX90">
        <v>0</v>
      </c>
      <c r="CY90" t="s">
        <v>333</v>
      </c>
      <c r="CZ90">
        <v>2.3643399999999999</v>
      </c>
      <c r="DA90">
        <v>2.7137600000000002</v>
      </c>
      <c r="DB90">
        <v>0.12901699999999999</v>
      </c>
      <c r="DC90">
        <v>0.14604300000000001</v>
      </c>
      <c r="DD90">
        <v>8.3771799999999993E-2</v>
      </c>
      <c r="DE90">
        <v>3.7923199999999997E-2</v>
      </c>
      <c r="DF90">
        <v>31797.3</v>
      </c>
      <c r="DG90">
        <v>27514.1</v>
      </c>
      <c r="DH90">
        <v>31166.799999999999</v>
      </c>
      <c r="DI90">
        <v>28075.3</v>
      </c>
      <c r="DJ90">
        <v>38778.6</v>
      </c>
      <c r="DK90">
        <v>38410.1</v>
      </c>
      <c r="DL90">
        <v>44352.9</v>
      </c>
      <c r="DM90">
        <v>42550.7</v>
      </c>
      <c r="DN90">
        <v>1.4770700000000001</v>
      </c>
      <c r="DO90">
        <v>2.0336500000000002</v>
      </c>
      <c r="DP90">
        <v>0.135295</v>
      </c>
      <c r="DQ90">
        <v>0.16350999999999999</v>
      </c>
      <c r="DR90">
        <v>24.759499999999999</v>
      </c>
      <c r="DS90">
        <v>24.612400000000001</v>
      </c>
      <c r="DT90">
        <v>16.8</v>
      </c>
      <c r="DU90">
        <v>29.8</v>
      </c>
      <c r="DV90">
        <v>7.1417299999999999</v>
      </c>
      <c r="DW90">
        <v>61.318600000000004</v>
      </c>
      <c r="DX90">
        <v>37.179499999999997</v>
      </c>
      <c r="DY90">
        <v>1</v>
      </c>
      <c r="DZ90">
        <v>-8.5749500000000006E-2</v>
      </c>
      <c r="EA90">
        <v>0.78143499999999999</v>
      </c>
      <c r="EB90">
        <v>20.187000000000001</v>
      </c>
      <c r="EC90">
        <v>5.2403500000000003</v>
      </c>
      <c r="ED90">
        <v>12.039899999999999</v>
      </c>
      <c r="EE90">
        <v>5.0167999999999999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1.86893</v>
      </c>
      <c r="EL90">
        <v>1.8647</v>
      </c>
      <c r="EM90">
        <v>1.8692</v>
      </c>
      <c r="EN90">
        <v>1.8672800000000001</v>
      </c>
      <c r="EO90">
        <v>1.86341</v>
      </c>
      <c r="EP90">
        <v>1.8646100000000001</v>
      </c>
      <c r="EQ90">
        <v>1.8702099999999999</v>
      </c>
      <c r="ER90">
        <v>1.86947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-0.17699999999999999</v>
      </c>
      <c r="FG90">
        <v>8.14E-2</v>
      </c>
      <c r="FH90">
        <v>0.27827353915413472</v>
      </c>
      <c r="FI90">
        <v>-6.1462078757559423E-4</v>
      </c>
      <c r="FJ90">
        <v>-1.8861989874597051E-7</v>
      </c>
      <c r="FK90">
        <v>1.1980462299894961E-10</v>
      </c>
      <c r="FL90">
        <v>-3.2538871274648329E-2</v>
      </c>
      <c r="FM90">
        <v>-1.6848085045870601E-2</v>
      </c>
      <c r="FN90">
        <v>1.9789084769509481E-3</v>
      </c>
      <c r="FO90">
        <v>-2.7142391389806329E-5</v>
      </c>
      <c r="FP90">
        <v>3</v>
      </c>
      <c r="FQ90">
        <v>2158</v>
      </c>
      <c r="FR90">
        <v>1</v>
      </c>
      <c r="FS90">
        <v>19</v>
      </c>
      <c r="FT90">
        <v>22</v>
      </c>
      <c r="FU90">
        <v>21.9</v>
      </c>
      <c r="FV90">
        <v>1.7773399999999999</v>
      </c>
      <c r="FW90">
        <v>2.5781200000000002</v>
      </c>
      <c r="FX90">
        <v>1.5490699999999999</v>
      </c>
      <c r="FY90">
        <v>2.3290999999999999</v>
      </c>
      <c r="FZ90">
        <v>1.50146</v>
      </c>
      <c r="GA90">
        <v>2.3962400000000001</v>
      </c>
      <c r="GB90">
        <v>33.850900000000003</v>
      </c>
      <c r="GC90">
        <v>23.991199999999999</v>
      </c>
      <c r="GD90">
        <v>19</v>
      </c>
      <c r="GE90">
        <v>283.66899999999998</v>
      </c>
      <c r="GF90">
        <v>581.99699999999996</v>
      </c>
      <c r="GG90">
        <v>23.330500000000001</v>
      </c>
      <c r="GH90">
        <v>26.282</v>
      </c>
      <c r="GI90">
        <v>30.0001</v>
      </c>
      <c r="GJ90">
        <v>26.4451</v>
      </c>
      <c r="GK90">
        <v>26.4344</v>
      </c>
      <c r="GL90">
        <v>35.546999999999997</v>
      </c>
      <c r="GM90">
        <v>-30</v>
      </c>
      <c r="GN90">
        <v>-30</v>
      </c>
      <c r="GO90">
        <v>23.3628</v>
      </c>
      <c r="GP90">
        <v>800</v>
      </c>
      <c r="GQ90">
        <v>12.5298</v>
      </c>
      <c r="GR90">
        <v>99.719800000000006</v>
      </c>
      <c r="GS90">
        <v>99.542500000000004</v>
      </c>
    </row>
    <row r="91" spans="1:201" x14ac:dyDescent="0.25">
      <c r="A91">
        <v>75</v>
      </c>
      <c r="B91">
        <v>1690218915</v>
      </c>
      <c r="C91">
        <v>894.5</v>
      </c>
      <c r="D91" t="s">
        <v>479</v>
      </c>
      <c r="E91" t="s">
        <v>480</v>
      </c>
      <c r="F91" t="s">
        <v>330</v>
      </c>
      <c r="H91">
        <v>1690218915</v>
      </c>
      <c r="I91">
        <f t="shared" si="30"/>
        <v>9.4534955031978871E-4</v>
      </c>
      <c r="J91">
        <f t="shared" si="31"/>
        <v>0.94534955031978873</v>
      </c>
      <c r="K91">
        <f t="shared" si="32"/>
        <v>12.373254922440813</v>
      </c>
      <c r="L91">
        <f t="shared" si="33"/>
        <v>659.72</v>
      </c>
      <c r="M91">
        <f t="shared" si="34"/>
        <v>179.20811679610617</v>
      </c>
      <c r="N91">
        <f t="shared" si="35"/>
        <v>17.773132471159784</v>
      </c>
      <c r="O91">
        <f t="shared" si="36"/>
        <v>65.428347574311999</v>
      </c>
      <c r="P91">
        <f t="shared" si="37"/>
        <v>4.2926820346299903E-2</v>
      </c>
      <c r="Q91">
        <f t="shared" si="38"/>
        <v>2.1360254987977259</v>
      </c>
      <c r="R91">
        <f t="shared" si="39"/>
        <v>4.2453259073835153E-2</v>
      </c>
      <c r="S91">
        <f t="shared" si="40"/>
        <v>2.6575399127026722E-2</v>
      </c>
      <c r="T91">
        <f t="shared" si="41"/>
        <v>276.11550736200002</v>
      </c>
      <c r="U91">
        <f t="shared" si="42"/>
        <v>27.626466664649751</v>
      </c>
      <c r="V91">
        <f t="shared" si="43"/>
        <v>27.626466664649751</v>
      </c>
      <c r="W91">
        <f t="shared" si="44"/>
        <v>3.7129851322836891</v>
      </c>
      <c r="X91">
        <f t="shared" si="45"/>
        <v>46.949694230251957</v>
      </c>
      <c r="Y91">
        <f t="shared" si="46"/>
        <v>1.5632805043194198</v>
      </c>
      <c r="Z91">
        <f t="shared" si="47"/>
        <v>3.3296926208991633</v>
      </c>
      <c r="AA91">
        <f t="shared" si="48"/>
        <v>2.1497046279642693</v>
      </c>
      <c r="AB91">
        <f t="shared" si="49"/>
        <v>-41.689915169102683</v>
      </c>
      <c r="AC91">
        <f t="shared" si="50"/>
        <v>-213.1525209728938</v>
      </c>
      <c r="AD91">
        <f t="shared" si="51"/>
        <v>-21.471574564462511</v>
      </c>
      <c r="AE91">
        <f t="shared" si="52"/>
        <v>-0.19850334445897033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52827.16283990736</v>
      </c>
      <c r="AK91">
        <f t="shared" si="56"/>
        <v>1800</v>
      </c>
      <c r="AL91">
        <f t="shared" si="57"/>
        <v>1499.1107112</v>
      </c>
      <c r="AM91">
        <f t="shared" si="58"/>
        <v>0.83283928399999996</v>
      </c>
      <c r="AN91">
        <f t="shared" si="59"/>
        <v>0.15339750409</v>
      </c>
      <c r="AO91">
        <v>32.4</v>
      </c>
      <c r="AP91">
        <v>0.5</v>
      </c>
      <c r="AQ91" t="s">
        <v>331</v>
      </c>
      <c r="AR91">
        <v>2</v>
      </c>
      <c r="AS91">
        <v>1690218915</v>
      </c>
      <c r="AT91">
        <v>659.72</v>
      </c>
      <c r="AU91">
        <v>800.01800000000003</v>
      </c>
      <c r="AV91">
        <v>15.762700000000001</v>
      </c>
      <c r="AW91">
        <v>5.7187799999999998</v>
      </c>
      <c r="AX91">
        <v>659.89499999999998</v>
      </c>
      <c r="AY91">
        <v>15.6775</v>
      </c>
      <c r="AZ91">
        <v>300.14699999999999</v>
      </c>
      <c r="BA91">
        <v>99.075999999999993</v>
      </c>
      <c r="BB91">
        <v>9.9934599999999998E-2</v>
      </c>
      <c r="BC91">
        <v>25.775500000000001</v>
      </c>
      <c r="BD91">
        <v>26.927700000000002</v>
      </c>
      <c r="BE91">
        <v>27.254799999999999</v>
      </c>
      <c r="BF91">
        <v>0</v>
      </c>
      <c r="BG91">
        <v>0</v>
      </c>
      <c r="BH91">
        <v>10044.4</v>
      </c>
      <c r="BI91">
        <v>1062.53</v>
      </c>
      <c r="BJ91">
        <v>1.7380500000000001</v>
      </c>
      <c r="BK91">
        <v>-140.298</v>
      </c>
      <c r="BL91">
        <v>670.28599999999994</v>
      </c>
      <c r="BM91">
        <v>804.61900000000003</v>
      </c>
      <c r="BN91">
        <v>10.043900000000001</v>
      </c>
      <c r="BO91">
        <v>800.01800000000003</v>
      </c>
      <c r="BP91">
        <v>5.7187799999999998</v>
      </c>
      <c r="BQ91">
        <v>1.5617000000000001</v>
      </c>
      <c r="BR91">
        <v>0.56659400000000004</v>
      </c>
      <c r="BS91">
        <v>13.586</v>
      </c>
      <c r="BT91">
        <v>-1.0934699999999999</v>
      </c>
      <c r="BU91">
        <v>1800</v>
      </c>
      <c r="BV91">
        <v>0.90999399999999997</v>
      </c>
      <c r="BW91">
        <v>3.4005199999999999E-2</v>
      </c>
      <c r="BX91">
        <v>2.2000700000000002E-2</v>
      </c>
      <c r="BY91">
        <v>3.4000099999999998E-2</v>
      </c>
      <c r="BZ91">
        <v>25.041699999999999</v>
      </c>
      <c r="CA91">
        <v>33528.300000000003</v>
      </c>
      <c r="CB91">
        <v>1690217592</v>
      </c>
      <c r="CC91" t="s">
        <v>332</v>
      </c>
      <c r="CD91">
        <v>1690217586.5</v>
      </c>
      <c r="CE91">
        <v>1690217592</v>
      </c>
      <c r="CF91">
        <v>9</v>
      </c>
      <c r="CG91">
        <v>0.11600000000000001</v>
      </c>
      <c r="CH91">
        <v>-3.0000000000000001E-3</v>
      </c>
      <c r="CI91">
        <v>-0.27300000000000002</v>
      </c>
      <c r="CJ91">
        <v>-6.9000000000000006E-2</v>
      </c>
      <c r="CK91">
        <v>800</v>
      </c>
      <c r="CL91">
        <v>6</v>
      </c>
      <c r="CM91">
        <v>0.01</v>
      </c>
      <c r="CN91">
        <v>0.01</v>
      </c>
      <c r="CO91">
        <v>-136.62185365853659</v>
      </c>
      <c r="CP91">
        <v>-19.345881533100819</v>
      </c>
      <c r="CQ91">
        <v>1.9077367201001081</v>
      </c>
      <c r="CR91">
        <v>-1</v>
      </c>
      <c r="CS91">
        <v>9.8635792682926837</v>
      </c>
      <c r="CT91">
        <v>0.95188829268292818</v>
      </c>
      <c r="CU91">
        <v>9.3863530110636778E-2</v>
      </c>
      <c r="CV91">
        <v>-1</v>
      </c>
      <c r="CW91">
        <v>0</v>
      </c>
      <c r="CX91">
        <v>0</v>
      </c>
      <c r="CY91" t="s">
        <v>333</v>
      </c>
      <c r="CZ91">
        <v>2.3643800000000001</v>
      </c>
      <c r="DA91">
        <v>2.7137600000000002</v>
      </c>
      <c r="DB91">
        <v>0.12859699999999999</v>
      </c>
      <c r="DC91">
        <v>0.14605199999999999</v>
      </c>
      <c r="DD91">
        <v>8.4367800000000007E-2</v>
      </c>
      <c r="DE91">
        <v>3.79209E-2</v>
      </c>
      <c r="DF91">
        <v>31812.400000000001</v>
      </c>
      <c r="DG91">
        <v>27514</v>
      </c>
      <c r="DH91">
        <v>31166.5</v>
      </c>
      <c r="DI91">
        <v>28075.4</v>
      </c>
      <c r="DJ91">
        <v>38753.1</v>
      </c>
      <c r="DK91">
        <v>38410.300000000003</v>
      </c>
      <c r="DL91">
        <v>44352.9</v>
      </c>
      <c r="DM91">
        <v>42550.9</v>
      </c>
      <c r="DN91">
        <v>1.4775799999999999</v>
      </c>
      <c r="DO91">
        <v>2.0338699999999998</v>
      </c>
      <c r="DP91">
        <v>0.13220299999999999</v>
      </c>
      <c r="DQ91">
        <v>0.161164</v>
      </c>
      <c r="DR91">
        <v>24.761500000000002</v>
      </c>
      <c r="DS91">
        <v>24.6145</v>
      </c>
      <c r="DT91">
        <v>16.8</v>
      </c>
      <c r="DU91">
        <v>29.8</v>
      </c>
      <c r="DV91">
        <v>7.1425400000000003</v>
      </c>
      <c r="DW91">
        <v>61.068600000000004</v>
      </c>
      <c r="DX91">
        <v>37.307699999999997</v>
      </c>
      <c r="DY91">
        <v>1</v>
      </c>
      <c r="DZ91">
        <v>-8.6623500000000006E-2</v>
      </c>
      <c r="EA91">
        <v>0.39485599999999998</v>
      </c>
      <c r="EB91">
        <v>20.189</v>
      </c>
      <c r="EC91">
        <v>5.2406499999999996</v>
      </c>
      <c r="ED91">
        <v>12.039899999999999</v>
      </c>
      <c r="EE91">
        <v>5.0170000000000003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1.8689100000000001</v>
      </c>
      <c r="EL91">
        <v>1.86466</v>
      </c>
      <c r="EM91">
        <v>1.8692</v>
      </c>
      <c r="EN91">
        <v>1.8672599999999999</v>
      </c>
      <c r="EO91">
        <v>1.8633999999999999</v>
      </c>
      <c r="EP91">
        <v>1.86459</v>
      </c>
      <c r="EQ91">
        <v>1.87018</v>
      </c>
      <c r="ER91">
        <v>1.86947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-0.17499999999999999</v>
      </c>
      <c r="FG91">
        <v>8.5199999999999998E-2</v>
      </c>
      <c r="FH91">
        <v>0.27827353915413472</v>
      </c>
      <c r="FI91">
        <v>-6.1462078757559423E-4</v>
      </c>
      <c r="FJ91">
        <v>-1.8861989874597051E-7</v>
      </c>
      <c r="FK91">
        <v>1.1980462299894961E-10</v>
      </c>
      <c r="FL91">
        <v>-3.2538871274648329E-2</v>
      </c>
      <c r="FM91">
        <v>-1.6848085045870601E-2</v>
      </c>
      <c r="FN91">
        <v>1.9789084769509481E-3</v>
      </c>
      <c r="FO91">
        <v>-2.7142391389806329E-5</v>
      </c>
      <c r="FP91">
        <v>3</v>
      </c>
      <c r="FQ91">
        <v>2158</v>
      </c>
      <c r="FR91">
        <v>1</v>
      </c>
      <c r="FS91">
        <v>19</v>
      </c>
      <c r="FT91">
        <v>22.1</v>
      </c>
      <c r="FU91">
        <v>22.1</v>
      </c>
      <c r="FV91">
        <v>1.7773399999999999</v>
      </c>
      <c r="FW91">
        <v>2.5830099999999998</v>
      </c>
      <c r="FX91">
        <v>1.5490699999999999</v>
      </c>
      <c r="FY91">
        <v>2.3290999999999999</v>
      </c>
      <c r="FZ91">
        <v>1.50146</v>
      </c>
      <c r="GA91">
        <v>2.36694</v>
      </c>
      <c r="GB91">
        <v>33.850900000000003</v>
      </c>
      <c r="GC91">
        <v>23.991199999999999</v>
      </c>
      <c r="GD91">
        <v>19</v>
      </c>
      <c r="GE91">
        <v>283.86500000000001</v>
      </c>
      <c r="GF91">
        <v>582.15099999999995</v>
      </c>
      <c r="GG91">
        <v>23.368200000000002</v>
      </c>
      <c r="GH91">
        <v>26.2775</v>
      </c>
      <c r="GI91">
        <v>29.9998</v>
      </c>
      <c r="GJ91">
        <v>26.441199999999998</v>
      </c>
      <c r="GK91">
        <v>26.431699999999999</v>
      </c>
      <c r="GL91">
        <v>35.546300000000002</v>
      </c>
      <c r="GM91">
        <v>-30</v>
      </c>
      <c r="GN91">
        <v>-30</v>
      </c>
      <c r="GO91">
        <v>23.441199999999998</v>
      </c>
      <c r="GP91">
        <v>800</v>
      </c>
      <c r="GQ91">
        <v>12.5298</v>
      </c>
      <c r="GR91">
        <v>99.719499999999996</v>
      </c>
      <c r="GS91">
        <v>99.542900000000003</v>
      </c>
    </row>
    <row r="92" spans="1:201" x14ac:dyDescent="0.25">
      <c r="A92">
        <v>76</v>
      </c>
      <c r="B92">
        <v>1690218925</v>
      </c>
      <c r="C92">
        <v>904.5</v>
      </c>
      <c r="D92" t="s">
        <v>481</v>
      </c>
      <c r="E92" t="s">
        <v>482</v>
      </c>
      <c r="F92" t="s">
        <v>330</v>
      </c>
      <c r="H92">
        <v>1690218925</v>
      </c>
      <c r="I92">
        <f t="shared" si="30"/>
        <v>9.6041807383648434E-4</v>
      </c>
      <c r="J92">
        <f t="shared" si="31"/>
        <v>0.96041807383648437</v>
      </c>
      <c r="K92">
        <f t="shared" si="32"/>
        <v>12.654630364441633</v>
      </c>
      <c r="L92">
        <f t="shared" si="33"/>
        <v>656.62599999999998</v>
      </c>
      <c r="M92">
        <f t="shared" si="34"/>
        <v>176.43423889977063</v>
      </c>
      <c r="N92">
        <f t="shared" si="35"/>
        <v>17.497867566017959</v>
      </c>
      <c r="O92">
        <f t="shared" si="36"/>
        <v>65.120890707223396</v>
      </c>
      <c r="P92">
        <f t="shared" si="37"/>
        <v>4.3923639094523119E-2</v>
      </c>
      <c r="Q92">
        <f t="shared" si="38"/>
        <v>2.1346327360484687</v>
      </c>
      <c r="R92">
        <f t="shared" si="39"/>
        <v>4.3427646504356744E-2</v>
      </c>
      <c r="S92">
        <f t="shared" si="40"/>
        <v>2.7186375271302705E-2</v>
      </c>
      <c r="T92">
        <f t="shared" si="41"/>
        <v>276.11388446745309</v>
      </c>
      <c r="U92">
        <f t="shared" si="42"/>
        <v>27.629190236677296</v>
      </c>
      <c r="V92">
        <f t="shared" si="43"/>
        <v>27.629190236677296</v>
      </c>
      <c r="W92">
        <f t="shared" si="44"/>
        <v>3.7135763430193687</v>
      </c>
      <c r="X92">
        <f t="shared" si="45"/>
        <v>47.39660056962164</v>
      </c>
      <c r="Y92">
        <f t="shared" si="46"/>
        <v>1.5788066685214601</v>
      </c>
      <c r="Z92">
        <f t="shared" si="47"/>
        <v>3.3310546527536826</v>
      </c>
      <c r="AA92">
        <f t="shared" si="48"/>
        <v>2.1347696744979086</v>
      </c>
      <c r="AB92">
        <f t="shared" si="49"/>
        <v>-42.354437056188956</v>
      </c>
      <c r="AC92">
        <f t="shared" si="50"/>
        <v>-212.5329051117744</v>
      </c>
      <c r="AD92">
        <f t="shared" si="51"/>
        <v>-21.424158137533816</v>
      </c>
      <c r="AE92">
        <f t="shared" si="52"/>
        <v>-0.19761583804407223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52765.492882809456</v>
      </c>
      <c r="AK92">
        <f t="shared" si="56"/>
        <v>1799.99</v>
      </c>
      <c r="AL92">
        <f t="shared" si="57"/>
        <v>1499.1026618056101</v>
      </c>
      <c r="AM92">
        <f t="shared" si="58"/>
        <v>0.83283943900000001</v>
      </c>
      <c r="AN92">
        <f t="shared" si="59"/>
        <v>0.15339745468999999</v>
      </c>
      <c r="AO92">
        <v>32.4</v>
      </c>
      <c r="AP92">
        <v>0.5</v>
      </c>
      <c r="AQ92" t="s">
        <v>331</v>
      </c>
      <c r="AR92">
        <v>2</v>
      </c>
      <c r="AS92">
        <v>1690218925</v>
      </c>
      <c r="AT92">
        <v>656.62599999999998</v>
      </c>
      <c r="AU92">
        <v>800.02800000000002</v>
      </c>
      <c r="AV92">
        <v>15.9194</v>
      </c>
      <c r="AW92">
        <v>5.7176200000000001</v>
      </c>
      <c r="AX92">
        <v>656.79899999999998</v>
      </c>
      <c r="AY92">
        <v>15.830399999999999</v>
      </c>
      <c r="AZ92">
        <v>300.16500000000002</v>
      </c>
      <c r="BA92">
        <v>99.075100000000006</v>
      </c>
      <c r="BB92">
        <v>9.9910899999999997E-2</v>
      </c>
      <c r="BC92">
        <v>25.782399999999999</v>
      </c>
      <c r="BD92">
        <v>26.944099999999999</v>
      </c>
      <c r="BE92">
        <v>27.293600000000001</v>
      </c>
      <c r="BF92">
        <v>0</v>
      </c>
      <c r="BG92">
        <v>0</v>
      </c>
      <c r="BH92">
        <v>10032.5</v>
      </c>
      <c r="BI92">
        <v>1062.67</v>
      </c>
      <c r="BJ92">
        <v>1.7380500000000001</v>
      </c>
      <c r="BK92">
        <v>-143.40199999999999</v>
      </c>
      <c r="BL92">
        <v>667.24900000000002</v>
      </c>
      <c r="BM92">
        <v>804.62900000000002</v>
      </c>
      <c r="BN92">
        <v>10.2018</v>
      </c>
      <c r="BO92">
        <v>800.02800000000002</v>
      </c>
      <c r="BP92">
        <v>5.7176200000000001</v>
      </c>
      <c r="BQ92">
        <v>1.5772200000000001</v>
      </c>
      <c r="BR92">
        <v>0.566473</v>
      </c>
      <c r="BS92">
        <v>13.738</v>
      </c>
      <c r="BT92">
        <v>-1.0963700000000001</v>
      </c>
      <c r="BU92">
        <v>1799.99</v>
      </c>
      <c r="BV92">
        <v>0.90999600000000003</v>
      </c>
      <c r="BW92">
        <v>3.40045E-2</v>
      </c>
      <c r="BX92">
        <v>2.2000200000000001E-2</v>
      </c>
      <c r="BY92">
        <v>3.3999300000000003E-2</v>
      </c>
      <c r="BZ92">
        <v>25</v>
      </c>
      <c r="CA92">
        <v>33528.1</v>
      </c>
      <c r="CB92">
        <v>1690217592</v>
      </c>
      <c r="CC92" t="s">
        <v>332</v>
      </c>
      <c r="CD92">
        <v>1690217586.5</v>
      </c>
      <c r="CE92">
        <v>1690217592</v>
      </c>
      <c r="CF92">
        <v>9</v>
      </c>
      <c r="CG92">
        <v>0.11600000000000001</v>
      </c>
      <c r="CH92">
        <v>-3.0000000000000001E-3</v>
      </c>
      <c r="CI92">
        <v>-0.27300000000000002</v>
      </c>
      <c r="CJ92">
        <v>-6.9000000000000006E-2</v>
      </c>
      <c r="CK92">
        <v>800</v>
      </c>
      <c r="CL92">
        <v>6</v>
      </c>
      <c r="CM92">
        <v>0.01</v>
      </c>
      <c r="CN92">
        <v>0.01</v>
      </c>
      <c r="CO92">
        <v>-140.05622500000001</v>
      </c>
      <c r="CP92">
        <v>-19.011523452157359</v>
      </c>
      <c r="CQ92">
        <v>1.829039194324442</v>
      </c>
      <c r="CR92">
        <v>-1</v>
      </c>
      <c r="CS92">
        <v>10.03417425</v>
      </c>
      <c r="CT92">
        <v>0.9499115572232455</v>
      </c>
      <c r="CU92">
        <v>9.1386790399036938E-2</v>
      </c>
      <c r="CV92">
        <v>-1</v>
      </c>
      <c r="CW92">
        <v>0</v>
      </c>
      <c r="CX92">
        <v>0</v>
      </c>
      <c r="CY92" t="s">
        <v>333</v>
      </c>
      <c r="CZ92">
        <v>2.36443</v>
      </c>
      <c r="DA92">
        <v>2.71373</v>
      </c>
      <c r="DB92">
        <v>0.12818099999999999</v>
      </c>
      <c r="DC92">
        <v>0.14605199999999999</v>
      </c>
      <c r="DD92">
        <v>8.4971099999999994E-2</v>
      </c>
      <c r="DE92">
        <v>3.7914499999999997E-2</v>
      </c>
      <c r="DF92">
        <v>31827.8</v>
      </c>
      <c r="DG92">
        <v>27514.6</v>
      </c>
      <c r="DH92">
        <v>31166.7</v>
      </c>
      <c r="DI92">
        <v>28076</v>
      </c>
      <c r="DJ92">
        <v>38727.4</v>
      </c>
      <c r="DK92">
        <v>38411.199999999997</v>
      </c>
      <c r="DL92">
        <v>44353</v>
      </c>
      <c r="DM92">
        <v>42551.5</v>
      </c>
      <c r="DN92">
        <v>1.4774</v>
      </c>
      <c r="DO92">
        <v>2.0337299999999998</v>
      </c>
      <c r="DP92">
        <v>0.13311200000000001</v>
      </c>
      <c r="DQ92">
        <v>0.163443</v>
      </c>
      <c r="DR92">
        <v>24.763100000000001</v>
      </c>
      <c r="DS92">
        <v>24.616099999999999</v>
      </c>
      <c r="DT92">
        <v>16.8</v>
      </c>
      <c r="DU92">
        <v>29.8</v>
      </c>
      <c r="DV92">
        <v>7.1421799999999998</v>
      </c>
      <c r="DW92">
        <v>61.0886</v>
      </c>
      <c r="DX92">
        <v>37.091299999999997</v>
      </c>
      <c r="DY92">
        <v>1</v>
      </c>
      <c r="DZ92">
        <v>-8.71672E-2</v>
      </c>
      <c r="EA92">
        <v>0.31119799999999997</v>
      </c>
      <c r="EB92">
        <v>20.189800000000002</v>
      </c>
      <c r="EC92">
        <v>5.2411000000000003</v>
      </c>
      <c r="ED92">
        <v>12.039899999999999</v>
      </c>
      <c r="EE92">
        <v>5.0168499999999998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1.8689199999999999</v>
      </c>
      <c r="EL92">
        <v>1.8646799999999999</v>
      </c>
      <c r="EM92">
        <v>1.8691899999999999</v>
      </c>
      <c r="EN92">
        <v>1.8672800000000001</v>
      </c>
      <c r="EO92">
        <v>1.8633999999999999</v>
      </c>
      <c r="EP92">
        <v>1.86459</v>
      </c>
      <c r="EQ92">
        <v>1.8702000000000001</v>
      </c>
      <c r="ER92">
        <v>1.86947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-0.17299999999999999</v>
      </c>
      <c r="FG92">
        <v>8.8999999999999996E-2</v>
      </c>
      <c r="FH92">
        <v>0.27827353915413472</v>
      </c>
      <c r="FI92">
        <v>-6.1462078757559423E-4</v>
      </c>
      <c r="FJ92">
        <v>-1.8861989874597051E-7</v>
      </c>
      <c r="FK92">
        <v>1.1980462299894961E-10</v>
      </c>
      <c r="FL92">
        <v>-3.2538871274648329E-2</v>
      </c>
      <c r="FM92">
        <v>-1.6848085045870601E-2</v>
      </c>
      <c r="FN92">
        <v>1.9789084769509481E-3</v>
      </c>
      <c r="FO92">
        <v>-2.7142391389806329E-5</v>
      </c>
      <c r="FP92">
        <v>3</v>
      </c>
      <c r="FQ92">
        <v>2158</v>
      </c>
      <c r="FR92">
        <v>1</v>
      </c>
      <c r="FS92">
        <v>19</v>
      </c>
      <c r="FT92">
        <v>22.3</v>
      </c>
      <c r="FU92">
        <v>22.2</v>
      </c>
      <c r="FV92">
        <v>1.7773399999999999</v>
      </c>
      <c r="FW92">
        <v>2.5781200000000002</v>
      </c>
      <c r="FX92">
        <v>1.5490699999999999</v>
      </c>
      <c r="FY92">
        <v>2.3290999999999999</v>
      </c>
      <c r="FZ92">
        <v>1.50146</v>
      </c>
      <c r="GA92">
        <v>2.3950200000000001</v>
      </c>
      <c r="GB92">
        <v>33.850900000000003</v>
      </c>
      <c r="GC92">
        <v>23.991199999999999</v>
      </c>
      <c r="GD92">
        <v>19</v>
      </c>
      <c r="GE92">
        <v>283.77100000000002</v>
      </c>
      <c r="GF92">
        <v>581.97799999999995</v>
      </c>
      <c r="GG92">
        <v>23.464300000000001</v>
      </c>
      <c r="GH92">
        <v>26.273</v>
      </c>
      <c r="GI92">
        <v>29.999700000000001</v>
      </c>
      <c r="GJ92">
        <v>26.436900000000001</v>
      </c>
      <c r="GK92">
        <v>26.427299999999999</v>
      </c>
      <c r="GL92">
        <v>35.543599999999998</v>
      </c>
      <c r="GM92">
        <v>-30</v>
      </c>
      <c r="GN92">
        <v>-30</v>
      </c>
      <c r="GO92">
        <v>23.494700000000002</v>
      </c>
      <c r="GP92">
        <v>800</v>
      </c>
      <c r="GQ92">
        <v>12.5298</v>
      </c>
      <c r="GR92">
        <v>99.72</v>
      </c>
      <c r="GS92">
        <v>99.544600000000003</v>
      </c>
    </row>
    <row r="93" spans="1:201" x14ac:dyDescent="0.25">
      <c r="A93">
        <v>77</v>
      </c>
      <c r="B93">
        <v>1690218935</v>
      </c>
      <c r="C93">
        <v>914.5</v>
      </c>
      <c r="D93" t="s">
        <v>483</v>
      </c>
      <c r="E93" t="s">
        <v>484</v>
      </c>
      <c r="F93" t="s">
        <v>330</v>
      </c>
      <c r="H93">
        <v>1690218935</v>
      </c>
      <c r="I93">
        <f t="shared" si="30"/>
        <v>9.7623680365802631E-4</v>
      </c>
      <c r="J93">
        <f t="shared" si="31"/>
        <v>0.97623680365802634</v>
      </c>
      <c r="K93">
        <f t="shared" si="32"/>
        <v>12.944618735649653</v>
      </c>
      <c r="L93">
        <f t="shared" si="33"/>
        <v>653.45000000000005</v>
      </c>
      <c r="M93">
        <f t="shared" si="34"/>
        <v>173.75112049261483</v>
      </c>
      <c r="N93">
        <f t="shared" si="35"/>
        <v>17.233182577731487</v>
      </c>
      <c r="O93">
        <f t="shared" si="36"/>
        <v>64.811226100249996</v>
      </c>
      <c r="P93">
        <f t="shared" si="37"/>
        <v>4.4969122664818895E-2</v>
      </c>
      <c r="Q93">
        <f t="shared" si="38"/>
        <v>2.1310841573276003</v>
      </c>
      <c r="R93">
        <f t="shared" si="39"/>
        <v>4.4448533598640982E-2</v>
      </c>
      <c r="S93">
        <f t="shared" si="40"/>
        <v>2.782660413608528E-2</v>
      </c>
      <c r="T93">
        <f t="shared" si="41"/>
        <v>276.11533801799999</v>
      </c>
      <c r="U93">
        <f t="shared" si="42"/>
        <v>27.636161224284969</v>
      </c>
      <c r="V93">
        <f t="shared" si="43"/>
        <v>27.636161224284969</v>
      </c>
      <c r="W93">
        <f t="shared" si="44"/>
        <v>3.715089922198572</v>
      </c>
      <c r="X93">
        <f t="shared" si="45"/>
        <v>47.855625549505838</v>
      </c>
      <c r="Y93">
        <f t="shared" si="46"/>
        <v>1.5950137463174996</v>
      </c>
      <c r="Z93">
        <f t="shared" si="47"/>
        <v>3.3329702161504184</v>
      </c>
      <c r="AA93">
        <f t="shared" si="48"/>
        <v>2.1200761758810724</v>
      </c>
      <c r="AB93">
        <f t="shared" si="49"/>
        <v>-43.05204304131896</v>
      </c>
      <c r="AC93">
        <f t="shared" si="50"/>
        <v>-211.86605488155598</v>
      </c>
      <c r="AD93">
        <f t="shared" si="51"/>
        <v>-21.39428389725348</v>
      </c>
      <c r="AE93">
        <f t="shared" si="52"/>
        <v>-0.19704380212843375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52610.196816271113</v>
      </c>
      <c r="AK93">
        <f t="shared" si="56"/>
        <v>1800</v>
      </c>
      <c r="AL93">
        <f t="shared" si="57"/>
        <v>1499.1119747999999</v>
      </c>
      <c r="AM93">
        <f t="shared" si="58"/>
        <v>0.83283998599999987</v>
      </c>
      <c r="AN93">
        <f t="shared" si="59"/>
        <v>0.15339741000999998</v>
      </c>
      <c r="AO93">
        <v>32.4</v>
      </c>
      <c r="AP93">
        <v>0.5</v>
      </c>
      <c r="AQ93" t="s">
        <v>331</v>
      </c>
      <c r="AR93">
        <v>2</v>
      </c>
      <c r="AS93">
        <v>1690218935</v>
      </c>
      <c r="AT93">
        <v>653.45000000000005</v>
      </c>
      <c r="AU93">
        <v>800.01099999999997</v>
      </c>
      <c r="AV93">
        <v>16.081499999999998</v>
      </c>
      <c r="AW93">
        <v>5.71692</v>
      </c>
      <c r="AX93">
        <v>653.62099999999998</v>
      </c>
      <c r="AY93">
        <v>15.9885</v>
      </c>
      <c r="AZ93">
        <v>300.267</v>
      </c>
      <c r="BA93">
        <v>99.083100000000002</v>
      </c>
      <c r="BB93">
        <v>0.100045</v>
      </c>
      <c r="BC93">
        <v>25.792100000000001</v>
      </c>
      <c r="BD93">
        <v>26.981400000000001</v>
      </c>
      <c r="BE93">
        <v>27.293099999999999</v>
      </c>
      <c r="BF93">
        <v>0</v>
      </c>
      <c r="BG93">
        <v>0</v>
      </c>
      <c r="BH93">
        <v>10001.200000000001</v>
      </c>
      <c r="BI93">
        <v>1062.8499999999999</v>
      </c>
      <c r="BJ93">
        <v>1.7380500000000001</v>
      </c>
      <c r="BK93">
        <v>-146.56100000000001</v>
      </c>
      <c r="BL93">
        <v>664.13</v>
      </c>
      <c r="BM93">
        <v>804.61099999999999</v>
      </c>
      <c r="BN93">
        <v>10.364599999999999</v>
      </c>
      <c r="BO93">
        <v>800.01099999999997</v>
      </c>
      <c r="BP93">
        <v>5.71692</v>
      </c>
      <c r="BQ93">
        <v>1.59341</v>
      </c>
      <c r="BR93">
        <v>0.56645000000000001</v>
      </c>
      <c r="BS93">
        <v>13.895200000000001</v>
      </c>
      <c r="BT93">
        <v>-1.0969199999999999</v>
      </c>
      <c r="BU93">
        <v>1800</v>
      </c>
      <c r="BV93">
        <v>0.91</v>
      </c>
      <c r="BW93">
        <v>3.4003100000000001E-2</v>
      </c>
      <c r="BX93">
        <v>2.1999299999999999E-2</v>
      </c>
      <c r="BY93">
        <v>3.3997899999999998E-2</v>
      </c>
      <c r="BZ93">
        <v>25</v>
      </c>
      <c r="CA93">
        <v>33528.300000000003</v>
      </c>
      <c r="CB93">
        <v>1690217592</v>
      </c>
      <c r="CC93" t="s">
        <v>332</v>
      </c>
      <c r="CD93">
        <v>1690217586.5</v>
      </c>
      <c r="CE93">
        <v>1690217592</v>
      </c>
      <c r="CF93">
        <v>9</v>
      </c>
      <c r="CG93">
        <v>0.11600000000000001</v>
      </c>
      <c r="CH93">
        <v>-3.0000000000000001E-3</v>
      </c>
      <c r="CI93">
        <v>-0.27300000000000002</v>
      </c>
      <c r="CJ93">
        <v>-6.9000000000000006E-2</v>
      </c>
      <c r="CK93">
        <v>800</v>
      </c>
      <c r="CL93">
        <v>6</v>
      </c>
      <c r="CM93">
        <v>0.01</v>
      </c>
      <c r="CN93">
        <v>0.01</v>
      </c>
      <c r="CO93">
        <v>-143.16305</v>
      </c>
      <c r="CP93">
        <v>-18.256727954971609</v>
      </c>
      <c r="CQ93">
        <v>1.756563462417456</v>
      </c>
      <c r="CR93">
        <v>-1</v>
      </c>
      <c r="CS93">
        <v>10.1916525</v>
      </c>
      <c r="CT93">
        <v>0.94518686679173891</v>
      </c>
      <c r="CU93">
        <v>9.0932857063604919E-2</v>
      </c>
      <c r="CV93">
        <v>-1</v>
      </c>
      <c r="CW93">
        <v>0</v>
      </c>
      <c r="CX93">
        <v>0</v>
      </c>
      <c r="CY93" t="s">
        <v>333</v>
      </c>
      <c r="CZ93">
        <v>2.36477</v>
      </c>
      <c r="DA93">
        <v>2.7138399999999998</v>
      </c>
      <c r="DB93">
        <v>0.12776599999999999</v>
      </c>
      <c r="DC93">
        <v>0.146063</v>
      </c>
      <c r="DD93">
        <v>8.5600599999999999E-2</v>
      </c>
      <c r="DE93">
        <v>3.7914099999999999E-2</v>
      </c>
      <c r="DF93">
        <v>31843.599999999999</v>
      </c>
      <c r="DG93">
        <v>27514.400000000001</v>
      </c>
      <c r="DH93">
        <v>31167.3</v>
      </c>
      <c r="DI93">
        <v>28076.1</v>
      </c>
      <c r="DJ93">
        <v>38701.4</v>
      </c>
      <c r="DK93">
        <v>38411.599999999999</v>
      </c>
      <c r="DL93">
        <v>44354</v>
      </c>
      <c r="DM93">
        <v>42552</v>
      </c>
      <c r="DN93">
        <v>1.47817</v>
      </c>
      <c r="DO93">
        <v>2.03363</v>
      </c>
      <c r="DP93">
        <v>0.13533200000000001</v>
      </c>
      <c r="DQ93">
        <v>0.16328699999999999</v>
      </c>
      <c r="DR93">
        <v>24.764099999999999</v>
      </c>
      <c r="DS93">
        <v>24.618099999999998</v>
      </c>
      <c r="DT93">
        <v>16.8</v>
      </c>
      <c r="DU93">
        <v>29.8</v>
      </c>
      <c r="DV93">
        <v>7.1415899999999999</v>
      </c>
      <c r="DW93">
        <v>61.288600000000002</v>
      </c>
      <c r="DX93">
        <v>36.923099999999998</v>
      </c>
      <c r="DY93">
        <v>1</v>
      </c>
      <c r="DZ93">
        <v>-8.7654999999999997E-2</v>
      </c>
      <c r="EA93">
        <v>0.271868</v>
      </c>
      <c r="EB93">
        <v>20.189900000000002</v>
      </c>
      <c r="EC93">
        <v>5.2406499999999996</v>
      </c>
      <c r="ED93">
        <v>12.039899999999999</v>
      </c>
      <c r="EE93">
        <v>5.0167999999999999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1.86893</v>
      </c>
      <c r="EL93">
        <v>1.86469</v>
      </c>
      <c r="EM93">
        <v>1.8691899999999999</v>
      </c>
      <c r="EN93">
        <v>1.8672599999999999</v>
      </c>
      <c r="EO93">
        <v>1.86341</v>
      </c>
      <c r="EP93">
        <v>1.86459</v>
      </c>
      <c r="EQ93">
        <v>1.8702099999999999</v>
      </c>
      <c r="ER93">
        <v>1.8694999999999999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-0.17100000000000001</v>
      </c>
      <c r="FG93">
        <v>9.2999999999999999E-2</v>
      </c>
      <c r="FH93">
        <v>0.27827353915413472</v>
      </c>
      <c r="FI93">
        <v>-6.1462078757559423E-4</v>
      </c>
      <c r="FJ93">
        <v>-1.8861989874597051E-7</v>
      </c>
      <c r="FK93">
        <v>1.1980462299894961E-10</v>
      </c>
      <c r="FL93">
        <v>-3.2538871274648329E-2</v>
      </c>
      <c r="FM93">
        <v>-1.6848085045870601E-2</v>
      </c>
      <c r="FN93">
        <v>1.9789084769509481E-3</v>
      </c>
      <c r="FO93">
        <v>-2.7142391389806329E-5</v>
      </c>
      <c r="FP93">
        <v>3</v>
      </c>
      <c r="FQ93">
        <v>2158</v>
      </c>
      <c r="FR93">
        <v>1</v>
      </c>
      <c r="FS93">
        <v>19</v>
      </c>
      <c r="FT93">
        <v>22.5</v>
      </c>
      <c r="FU93">
        <v>22.4</v>
      </c>
      <c r="FV93">
        <v>1.7773399999999999</v>
      </c>
      <c r="FW93">
        <v>2.5805699999999998</v>
      </c>
      <c r="FX93">
        <v>1.5490699999999999</v>
      </c>
      <c r="FY93">
        <v>2.3290999999999999</v>
      </c>
      <c r="FZ93">
        <v>1.50146</v>
      </c>
      <c r="GA93">
        <v>2.3840300000000001</v>
      </c>
      <c r="GB93">
        <v>33.850900000000003</v>
      </c>
      <c r="GC93">
        <v>23.991199999999999</v>
      </c>
      <c r="GD93">
        <v>19</v>
      </c>
      <c r="GE93">
        <v>284.08499999999998</v>
      </c>
      <c r="GF93">
        <v>581.85199999999998</v>
      </c>
      <c r="GG93">
        <v>23.53</v>
      </c>
      <c r="GH93">
        <v>26.268599999999999</v>
      </c>
      <c r="GI93">
        <v>29.999700000000001</v>
      </c>
      <c r="GJ93">
        <v>26.4329</v>
      </c>
      <c r="GK93">
        <v>26.423400000000001</v>
      </c>
      <c r="GL93">
        <v>35.544699999999999</v>
      </c>
      <c r="GM93">
        <v>-30</v>
      </c>
      <c r="GN93">
        <v>-30</v>
      </c>
      <c r="GO93">
        <v>23.539899999999999</v>
      </c>
      <c r="GP93">
        <v>800</v>
      </c>
      <c r="GQ93">
        <v>12.5298</v>
      </c>
      <c r="GR93">
        <v>99.722099999999998</v>
      </c>
      <c r="GS93">
        <v>99.545400000000001</v>
      </c>
    </row>
    <row r="94" spans="1:201" x14ac:dyDescent="0.25">
      <c r="A94">
        <v>78</v>
      </c>
      <c r="B94">
        <v>1690218945</v>
      </c>
      <c r="C94">
        <v>924.5</v>
      </c>
      <c r="D94" t="s">
        <v>485</v>
      </c>
      <c r="E94" t="s">
        <v>486</v>
      </c>
      <c r="F94" t="s">
        <v>330</v>
      </c>
      <c r="H94">
        <v>1690218945</v>
      </c>
      <c r="I94">
        <f t="shared" si="30"/>
        <v>9.9086181997419488E-4</v>
      </c>
      <c r="J94">
        <f t="shared" si="31"/>
        <v>0.99086181997419498</v>
      </c>
      <c r="K94">
        <f t="shared" si="32"/>
        <v>13.21317028298691</v>
      </c>
      <c r="L94">
        <f t="shared" si="33"/>
        <v>650.43399999999997</v>
      </c>
      <c r="M94">
        <f t="shared" si="34"/>
        <v>171.38103046833643</v>
      </c>
      <c r="N94">
        <f t="shared" si="35"/>
        <v>16.99707462514743</v>
      </c>
      <c r="O94">
        <f t="shared" si="36"/>
        <v>64.508161764003987</v>
      </c>
      <c r="P94">
        <f t="shared" si="37"/>
        <v>4.5957561879640264E-2</v>
      </c>
      <c r="Q94">
        <f t="shared" si="38"/>
        <v>2.1290517232098232</v>
      </c>
      <c r="R94">
        <f t="shared" si="39"/>
        <v>4.5413472701218649E-2</v>
      </c>
      <c r="S94">
        <f t="shared" si="40"/>
        <v>2.8431767920546545E-2</v>
      </c>
      <c r="T94">
        <f t="shared" si="41"/>
        <v>276.11345146185869</v>
      </c>
      <c r="U94">
        <f t="shared" si="42"/>
        <v>27.641324223940259</v>
      </c>
      <c r="V94">
        <f t="shared" si="43"/>
        <v>27.641324223940259</v>
      </c>
      <c r="W94">
        <f t="shared" si="44"/>
        <v>3.7162112880613729</v>
      </c>
      <c r="X94">
        <f t="shared" si="45"/>
        <v>48.292600523623541</v>
      </c>
      <c r="Y94">
        <f t="shared" si="46"/>
        <v>1.6104080940961998</v>
      </c>
      <c r="Z94">
        <f t="shared" si="47"/>
        <v>3.3346891172456701</v>
      </c>
      <c r="AA94">
        <f t="shared" si="48"/>
        <v>2.1058031939651731</v>
      </c>
      <c r="AB94">
        <f t="shared" si="49"/>
        <v>-43.697006260861997</v>
      </c>
      <c r="AC94">
        <f t="shared" si="50"/>
        <v>-211.25801434001755</v>
      </c>
      <c r="AD94">
        <f t="shared" si="51"/>
        <v>-21.354729368490315</v>
      </c>
      <c r="AE94">
        <f t="shared" si="52"/>
        <v>-0.19629850751118738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52520.605270991662</v>
      </c>
      <c r="AK94">
        <f t="shared" si="56"/>
        <v>1799.99</v>
      </c>
      <c r="AL94">
        <f t="shared" si="57"/>
        <v>1499.1031190030701</v>
      </c>
      <c r="AM94">
        <f t="shared" si="58"/>
        <v>0.83283969300000005</v>
      </c>
      <c r="AN94">
        <f t="shared" si="59"/>
        <v>0.15339721412999999</v>
      </c>
      <c r="AO94">
        <v>32.4</v>
      </c>
      <c r="AP94">
        <v>0.5</v>
      </c>
      <c r="AQ94" t="s">
        <v>331</v>
      </c>
      <c r="AR94">
        <v>2</v>
      </c>
      <c r="AS94">
        <v>1690218945</v>
      </c>
      <c r="AT94">
        <v>650.43399999999997</v>
      </c>
      <c r="AU94">
        <v>800.00400000000002</v>
      </c>
      <c r="AV94">
        <v>16.2377</v>
      </c>
      <c r="AW94">
        <v>5.7166800000000002</v>
      </c>
      <c r="AX94">
        <v>650.60199999999998</v>
      </c>
      <c r="AY94">
        <v>16.140799999999999</v>
      </c>
      <c r="AZ94">
        <v>300.18599999999998</v>
      </c>
      <c r="BA94">
        <v>99.077100000000002</v>
      </c>
      <c r="BB94">
        <v>0.100006</v>
      </c>
      <c r="BC94">
        <v>25.800799999999999</v>
      </c>
      <c r="BD94">
        <v>27.006</v>
      </c>
      <c r="BE94">
        <v>27.289200000000001</v>
      </c>
      <c r="BF94">
        <v>0</v>
      </c>
      <c r="BG94">
        <v>0</v>
      </c>
      <c r="BH94">
        <v>9984.3799999999992</v>
      </c>
      <c r="BI94">
        <v>1062.8800000000001</v>
      </c>
      <c r="BJ94">
        <v>1.7380500000000001</v>
      </c>
      <c r="BK94">
        <v>-149.57</v>
      </c>
      <c r="BL94">
        <v>661.17</v>
      </c>
      <c r="BM94">
        <v>804.60400000000004</v>
      </c>
      <c r="BN94">
        <v>10.521000000000001</v>
      </c>
      <c r="BO94">
        <v>800.00400000000002</v>
      </c>
      <c r="BP94">
        <v>5.7166800000000002</v>
      </c>
      <c r="BQ94">
        <v>1.6087800000000001</v>
      </c>
      <c r="BR94">
        <v>0.56639200000000001</v>
      </c>
      <c r="BS94">
        <v>14.043200000000001</v>
      </c>
      <c r="BT94">
        <v>-1.09833</v>
      </c>
      <c r="BU94">
        <v>1799.99</v>
      </c>
      <c r="BV94">
        <v>0.91000300000000001</v>
      </c>
      <c r="BW94">
        <v>3.4001700000000003E-2</v>
      </c>
      <c r="BX94">
        <v>2.1998400000000001E-2</v>
      </c>
      <c r="BY94">
        <v>3.3996499999999999E-2</v>
      </c>
      <c r="BZ94">
        <v>25</v>
      </c>
      <c r="CA94">
        <v>33528.300000000003</v>
      </c>
      <c r="CB94">
        <v>1690217592</v>
      </c>
      <c r="CC94" t="s">
        <v>332</v>
      </c>
      <c r="CD94">
        <v>1690217586.5</v>
      </c>
      <c r="CE94">
        <v>1690217592</v>
      </c>
      <c r="CF94">
        <v>9</v>
      </c>
      <c r="CG94">
        <v>0.11600000000000001</v>
      </c>
      <c r="CH94">
        <v>-3.0000000000000001E-3</v>
      </c>
      <c r="CI94">
        <v>-0.27300000000000002</v>
      </c>
      <c r="CJ94">
        <v>-6.9000000000000006E-2</v>
      </c>
      <c r="CK94">
        <v>800</v>
      </c>
      <c r="CL94">
        <v>6</v>
      </c>
      <c r="CM94">
        <v>0.01</v>
      </c>
      <c r="CN94">
        <v>0.01</v>
      </c>
      <c r="CO94">
        <v>-146.3616829268293</v>
      </c>
      <c r="CP94">
        <v>-18.866257839721339</v>
      </c>
      <c r="CQ94">
        <v>1.8612223290088661</v>
      </c>
      <c r="CR94">
        <v>-1</v>
      </c>
      <c r="CS94">
        <v>10.35506341463415</v>
      </c>
      <c r="CT94">
        <v>0.96746550522648156</v>
      </c>
      <c r="CU94">
        <v>9.5401627935431457E-2</v>
      </c>
      <c r="CV94">
        <v>-1</v>
      </c>
      <c r="CW94">
        <v>0</v>
      </c>
      <c r="CX94">
        <v>0</v>
      </c>
      <c r="CY94" t="s">
        <v>333</v>
      </c>
      <c r="CZ94">
        <v>2.3645100000000001</v>
      </c>
      <c r="DA94">
        <v>2.7137799999999999</v>
      </c>
      <c r="DB94">
        <v>0.12735199999999999</v>
      </c>
      <c r="DC94">
        <v>0.14605499999999999</v>
      </c>
      <c r="DD94">
        <v>8.6193000000000006E-2</v>
      </c>
      <c r="DE94">
        <v>3.7910899999999997E-2</v>
      </c>
      <c r="DF94">
        <v>31858.9</v>
      </c>
      <c r="DG94">
        <v>27515</v>
      </c>
      <c r="DH94">
        <v>31167.599999999999</v>
      </c>
      <c r="DI94">
        <v>28076.400000000001</v>
      </c>
      <c r="DJ94">
        <v>38676.400000000001</v>
      </c>
      <c r="DK94">
        <v>38412.300000000003</v>
      </c>
      <c r="DL94">
        <v>44354.400000000001</v>
      </c>
      <c r="DM94">
        <v>42552.5</v>
      </c>
      <c r="DN94">
        <v>1.4781</v>
      </c>
      <c r="DO94">
        <v>2.03363</v>
      </c>
      <c r="DP94">
        <v>0.13667299999999999</v>
      </c>
      <c r="DQ94">
        <v>0.16292200000000001</v>
      </c>
      <c r="DR94">
        <v>24.7667</v>
      </c>
      <c r="DS94">
        <v>24.620200000000001</v>
      </c>
      <c r="DT94">
        <v>16.8</v>
      </c>
      <c r="DU94">
        <v>29.8</v>
      </c>
      <c r="DV94">
        <v>7.1420000000000003</v>
      </c>
      <c r="DW94">
        <v>61.608600000000003</v>
      </c>
      <c r="DX94">
        <v>36.850999999999999</v>
      </c>
      <c r="DY94">
        <v>1</v>
      </c>
      <c r="DZ94">
        <v>-8.7754100000000002E-2</v>
      </c>
      <c r="EA94">
        <v>0.38224900000000001</v>
      </c>
      <c r="EB94">
        <v>20.189499999999999</v>
      </c>
      <c r="EC94">
        <v>5.2409499999999998</v>
      </c>
      <c r="ED94">
        <v>12.039899999999999</v>
      </c>
      <c r="EE94">
        <v>5.0168499999999998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1.8689499999999999</v>
      </c>
      <c r="EL94">
        <v>1.8647</v>
      </c>
      <c r="EM94">
        <v>1.8692</v>
      </c>
      <c r="EN94">
        <v>1.8672500000000001</v>
      </c>
      <c r="EO94">
        <v>1.86341</v>
      </c>
      <c r="EP94">
        <v>1.8646</v>
      </c>
      <c r="EQ94">
        <v>1.87022</v>
      </c>
      <c r="ER94">
        <v>1.8694900000000001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-0.16800000000000001</v>
      </c>
      <c r="FG94">
        <v>9.69E-2</v>
      </c>
      <c r="FH94">
        <v>0.27827353915413472</v>
      </c>
      <c r="FI94">
        <v>-6.1462078757559423E-4</v>
      </c>
      <c r="FJ94">
        <v>-1.8861989874597051E-7</v>
      </c>
      <c r="FK94">
        <v>1.1980462299894961E-10</v>
      </c>
      <c r="FL94">
        <v>-3.2538871274648329E-2</v>
      </c>
      <c r="FM94">
        <v>-1.6848085045870601E-2</v>
      </c>
      <c r="FN94">
        <v>1.9789084769509481E-3</v>
      </c>
      <c r="FO94">
        <v>-2.7142391389806329E-5</v>
      </c>
      <c r="FP94">
        <v>3</v>
      </c>
      <c r="FQ94">
        <v>2158</v>
      </c>
      <c r="FR94">
        <v>1</v>
      </c>
      <c r="FS94">
        <v>19</v>
      </c>
      <c r="FT94">
        <v>22.6</v>
      </c>
      <c r="FU94">
        <v>22.6</v>
      </c>
      <c r="FV94">
        <v>1.7773399999999999</v>
      </c>
      <c r="FW94">
        <v>2.5805699999999998</v>
      </c>
      <c r="FX94">
        <v>1.5490699999999999</v>
      </c>
      <c r="FY94">
        <v>2.3290999999999999</v>
      </c>
      <c r="FZ94">
        <v>1.50146</v>
      </c>
      <c r="GA94">
        <v>2.34497</v>
      </c>
      <c r="GB94">
        <v>33.850900000000003</v>
      </c>
      <c r="GC94">
        <v>23.991199999999999</v>
      </c>
      <c r="GD94">
        <v>19</v>
      </c>
      <c r="GE94">
        <v>284.036</v>
      </c>
      <c r="GF94">
        <v>581.81500000000005</v>
      </c>
      <c r="GG94">
        <v>23.5547</v>
      </c>
      <c r="GH94">
        <v>26.264099999999999</v>
      </c>
      <c r="GI94">
        <v>30</v>
      </c>
      <c r="GJ94">
        <v>26.428999999999998</v>
      </c>
      <c r="GK94">
        <v>26.420100000000001</v>
      </c>
      <c r="GL94">
        <v>35.543799999999997</v>
      </c>
      <c r="GM94">
        <v>-30</v>
      </c>
      <c r="GN94">
        <v>-30</v>
      </c>
      <c r="GO94">
        <v>23.4588</v>
      </c>
      <c r="GP94">
        <v>800</v>
      </c>
      <c r="GQ94">
        <v>12.5298</v>
      </c>
      <c r="GR94">
        <v>99.722899999999996</v>
      </c>
      <c r="GS94">
        <v>99.546700000000001</v>
      </c>
    </row>
    <row r="95" spans="1:201" x14ac:dyDescent="0.25">
      <c r="A95">
        <v>79</v>
      </c>
      <c r="B95">
        <v>1690218955</v>
      </c>
      <c r="C95">
        <v>934.5</v>
      </c>
      <c r="D95" t="s">
        <v>487</v>
      </c>
      <c r="E95" t="s">
        <v>488</v>
      </c>
      <c r="F95" t="s">
        <v>330</v>
      </c>
      <c r="H95">
        <v>1690218955</v>
      </c>
      <c r="I95">
        <f t="shared" si="30"/>
        <v>1.0052235825757719E-3</v>
      </c>
      <c r="J95">
        <f t="shared" si="31"/>
        <v>1.0052235825757718</v>
      </c>
      <c r="K95">
        <f t="shared" si="32"/>
        <v>13.488942897956848</v>
      </c>
      <c r="L95">
        <f t="shared" si="33"/>
        <v>647.35799999999995</v>
      </c>
      <c r="M95">
        <f t="shared" si="34"/>
        <v>169.25756737065129</v>
      </c>
      <c r="N95">
        <f t="shared" si="35"/>
        <v>16.785871281648141</v>
      </c>
      <c r="O95">
        <f t="shared" si="36"/>
        <v>64.200781270530001</v>
      </c>
      <c r="P95">
        <f t="shared" si="37"/>
        <v>4.7002440430225112E-2</v>
      </c>
      <c r="Q95">
        <f t="shared" si="38"/>
        <v>2.1334512485333255</v>
      </c>
      <c r="R95">
        <f t="shared" si="39"/>
        <v>4.6434652633330471E-2</v>
      </c>
      <c r="S95">
        <f t="shared" si="40"/>
        <v>2.9072099840248833E-2</v>
      </c>
      <c r="T95">
        <f t="shared" si="41"/>
        <v>276.1133233205706</v>
      </c>
      <c r="U95">
        <f t="shared" si="42"/>
        <v>27.633165951174046</v>
      </c>
      <c r="V95">
        <f t="shared" si="43"/>
        <v>27.633165951174046</v>
      </c>
      <c r="W95">
        <f t="shared" si="44"/>
        <v>3.7144395060760993</v>
      </c>
      <c r="X95">
        <f t="shared" si="45"/>
        <v>48.738771236606716</v>
      </c>
      <c r="Y95">
        <f t="shared" si="46"/>
        <v>1.625315395701</v>
      </c>
      <c r="Z95">
        <f t="shared" si="47"/>
        <v>3.3347484035056225</v>
      </c>
      <c r="AA95">
        <f t="shared" si="48"/>
        <v>2.0891241103750993</v>
      </c>
      <c r="AB95">
        <f t="shared" si="49"/>
        <v>-44.330359991591543</v>
      </c>
      <c r="AC95">
        <f t="shared" si="50"/>
        <v>-210.72170425169202</v>
      </c>
      <c r="AD95">
        <f t="shared" si="51"/>
        <v>-21.255754243317099</v>
      </c>
      <c r="AE95">
        <f t="shared" si="52"/>
        <v>-0.19449516603003758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52710.931373467254</v>
      </c>
      <c r="AK95">
        <f t="shared" si="56"/>
        <v>1799.99</v>
      </c>
      <c r="AL95">
        <f t="shared" si="57"/>
        <v>1499.1035618006099</v>
      </c>
      <c r="AM95">
        <f t="shared" si="58"/>
        <v>0.83283993899999997</v>
      </c>
      <c r="AN95">
        <f t="shared" si="59"/>
        <v>0.15339714294000001</v>
      </c>
      <c r="AO95">
        <v>32.4</v>
      </c>
      <c r="AP95">
        <v>0.5</v>
      </c>
      <c r="AQ95" t="s">
        <v>331</v>
      </c>
      <c r="AR95">
        <v>2</v>
      </c>
      <c r="AS95">
        <v>1690218955</v>
      </c>
      <c r="AT95">
        <v>647.35799999999995</v>
      </c>
      <c r="AU95">
        <v>799.97500000000002</v>
      </c>
      <c r="AV95">
        <v>16.3886</v>
      </c>
      <c r="AW95">
        <v>5.7165100000000004</v>
      </c>
      <c r="AX95">
        <v>647.524</v>
      </c>
      <c r="AY95">
        <v>16.287800000000001</v>
      </c>
      <c r="AZ95">
        <v>300.18</v>
      </c>
      <c r="BA95">
        <v>99.073499999999996</v>
      </c>
      <c r="BB95">
        <v>0.100035</v>
      </c>
      <c r="BC95">
        <v>25.801100000000002</v>
      </c>
      <c r="BD95">
        <v>26.972100000000001</v>
      </c>
      <c r="BE95">
        <v>27.2864</v>
      </c>
      <c r="BF95">
        <v>0</v>
      </c>
      <c r="BG95">
        <v>0</v>
      </c>
      <c r="BH95">
        <v>10022.5</v>
      </c>
      <c r="BI95">
        <v>1062.99</v>
      </c>
      <c r="BJ95">
        <v>1.7380500000000001</v>
      </c>
      <c r="BK95">
        <v>-152.61699999999999</v>
      </c>
      <c r="BL95">
        <v>658.14400000000001</v>
      </c>
      <c r="BM95">
        <v>804.57500000000005</v>
      </c>
      <c r="BN95">
        <v>10.6721</v>
      </c>
      <c r="BO95">
        <v>799.97500000000002</v>
      </c>
      <c r="BP95">
        <v>5.7165100000000004</v>
      </c>
      <c r="BQ95">
        <v>1.6236699999999999</v>
      </c>
      <c r="BR95">
        <v>0.56635400000000002</v>
      </c>
      <c r="BS95">
        <v>14.1853</v>
      </c>
      <c r="BT95">
        <v>-1.0992299999999999</v>
      </c>
      <c r="BU95">
        <v>1799.99</v>
      </c>
      <c r="BV95">
        <v>0.91000599999999998</v>
      </c>
      <c r="BW95">
        <v>3.4000500000000003E-2</v>
      </c>
      <c r="BX95">
        <v>2.1997699999999999E-2</v>
      </c>
      <c r="BY95">
        <v>3.3995400000000002E-2</v>
      </c>
      <c r="BZ95">
        <v>25</v>
      </c>
      <c r="CA95">
        <v>33528.199999999997</v>
      </c>
      <c r="CB95">
        <v>1690217592</v>
      </c>
      <c r="CC95" t="s">
        <v>332</v>
      </c>
      <c r="CD95">
        <v>1690217586.5</v>
      </c>
      <c r="CE95">
        <v>1690217592</v>
      </c>
      <c r="CF95">
        <v>9</v>
      </c>
      <c r="CG95">
        <v>0.11600000000000001</v>
      </c>
      <c r="CH95">
        <v>-3.0000000000000001E-3</v>
      </c>
      <c r="CI95">
        <v>-0.27300000000000002</v>
      </c>
      <c r="CJ95">
        <v>-6.9000000000000006E-2</v>
      </c>
      <c r="CK95">
        <v>800</v>
      </c>
      <c r="CL95">
        <v>6</v>
      </c>
      <c r="CM95">
        <v>0.01</v>
      </c>
      <c r="CN95">
        <v>0.01</v>
      </c>
      <c r="CO95">
        <v>-149.15041463414639</v>
      </c>
      <c r="CP95">
        <v>-18.206864111498479</v>
      </c>
      <c r="CQ95">
        <v>1.795798904701553</v>
      </c>
      <c r="CR95">
        <v>-1</v>
      </c>
      <c r="CS95">
        <v>10.49813414634146</v>
      </c>
      <c r="CT95">
        <v>0.93650383275261673</v>
      </c>
      <c r="CU95">
        <v>9.2349235367986351E-2</v>
      </c>
      <c r="CV95">
        <v>-1</v>
      </c>
      <c r="CW95">
        <v>0</v>
      </c>
      <c r="CX95">
        <v>0</v>
      </c>
      <c r="CY95" t="s">
        <v>333</v>
      </c>
      <c r="CZ95">
        <v>2.36449</v>
      </c>
      <c r="DA95">
        <v>2.7138499999999999</v>
      </c>
      <c r="DB95">
        <v>0.12693299999999999</v>
      </c>
      <c r="DC95">
        <v>0.14604700000000001</v>
      </c>
      <c r="DD95">
        <v>8.6765099999999998E-2</v>
      </c>
      <c r="DE95">
        <v>3.7908999999999998E-2</v>
      </c>
      <c r="DF95">
        <v>31874.5</v>
      </c>
      <c r="DG95">
        <v>27515.4</v>
      </c>
      <c r="DH95">
        <v>31167.8</v>
      </c>
      <c r="DI95">
        <v>28076.6</v>
      </c>
      <c r="DJ95">
        <v>38652.400000000001</v>
      </c>
      <c r="DK95">
        <v>38412.400000000001</v>
      </c>
      <c r="DL95">
        <v>44354.9</v>
      </c>
      <c r="DM95">
        <v>42552.6</v>
      </c>
      <c r="DN95">
        <v>1.4779800000000001</v>
      </c>
      <c r="DO95">
        <v>2.0336699999999999</v>
      </c>
      <c r="DP95">
        <v>0.13444600000000001</v>
      </c>
      <c r="DQ95">
        <v>0.16262399999999999</v>
      </c>
      <c r="DR95">
        <v>24.769300000000001</v>
      </c>
      <c r="DS95">
        <v>24.622299999999999</v>
      </c>
      <c r="DT95">
        <v>16.8</v>
      </c>
      <c r="DU95">
        <v>29.8</v>
      </c>
      <c r="DV95">
        <v>7.14168</v>
      </c>
      <c r="DW95">
        <v>61.748600000000003</v>
      </c>
      <c r="DX95">
        <v>36.498399999999997</v>
      </c>
      <c r="DY95">
        <v>1</v>
      </c>
      <c r="DZ95">
        <v>-8.8086899999999996E-2</v>
      </c>
      <c r="EA95">
        <v>0.63218700000000005</v>
      </c>
      <c r="EB95">
        <v>20.188099999999999</v>
      </c>
      <c r="EC95">
        <v>5.2413999999999996</v>
      </c>
      <c r="ED95">
        <v>12.039899999999999</v>
      </c>
      <c r="EE95">
        <v>5.01715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1.86894</v>
      </c>
      <c r="EL95">
        <v>1.86467</v>
      </c>
      <c r="EM95">
        <v>1.8692</v>
      </c>
      <c r="EN95">
        <v>1.8672599999999999</v>
      </c>
      <c r="EO95">
        <v>1.8633999999999999</v>
      </c>
      <c r="EP95">
        <v>1.8646</v>
      </c>
      <c r="EQ95">
        <v>1.8702000000000001</v>
      </c>
      <c r="ER95">
        <v>1.86948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-0.16600000000000001</v>
      </c>
      <c r="FG95">
        <v>0.1008</v>
      </c>
      <c r="FH95">
        <v>0.27827353915413472</v>
      </c>
      <c r="FI95">
        <v>-6.1462078757559423E-4</v>
      </c>
      <c r="FJ95">
        <v>-1.8861989874597051E-7</v>
      </c>
      <c r="FK95">
        <v>1.1980462299894961E-10</v>
      </c>
      <c r="FL95">
        <v>-3.2538871274648329E-2</v>
      </c>
      <c r="FM95">
        <v>-1.6848085045870601E-2</v>
      </c>
      <c r="FN95">
        <v>1.9789084769509481E-3</v>
      </c>
      <c r="FO95">
        <v>-2.7142391389806329E-5</v>
      </c>
      <c r="FP95">
        <v>3</v>
      </c>
      <c r="FQ95">
        <v>2158</v>
      </c>
      <c r="FR95">
        <v>1</v>
      </c>
      <c r="FS95">
        <v>19</v>
      </c>
      <c r="FT95">
        <v>22.8</v>
      </c>
      <c r="FU95">
        <v>22.7</v>
      </c>
      <c r="FV95">
        <v>1.7773399999999999</v>
      </c>
      <c r="FW95">
        <v>2.5830099999999998</v>
      </c>
      <c r="FX95">
        <v>1.5490699999999999</v>
      </c>
      <c r="FY95">
        <v>2.3290999999999999</v>
      </c>
      <c r="FZ95">
        <v>1.50146</v>
      </c>
      <c r="GA95">
        <v>2.32422</v>
      </c>
      <c r="GB95">
        <v>33.850900000000003</v>
      </c>
      <c r="GC95">
        <v>23.982399999999998</v>
      </c>
      <c r="GD95">
        <v>19</v>
      </c>
      <c r="GE95">
        <v>283.96600000000001</v>
      </c>
      <c r="GF95">
        <v>581.81200000000001</v>
      </c>
      <c r="GG95">
        <v>23.4465</v>
      </c>
      <c r="GH95">
        <v>26.259699999999999</v>
      </c>
      <c r="GI95">
        <v>29.9999</v>
      </c>
      <c r="GJ95">
        <v>26.4251</v>
      </c>
      <c r="GK95">
        <v>26.4162</v>
      </c>
      <c r="GL95">
        <v>35.543700000000001</v>
      </c>
      <c r="GM95">
        <v>-30</v>
      </c>
      <c r="GN95">
        <v>-30</v>
      </c>
      <c r="GO95">
        <v>23.4526</v>
      </c>
      <c r="GP95">
        <v>800</v>
      </c>
      <c r="GQ95">
        <v>12.5298</v>
      </c>
      <c r="GR95">
        <v>99.7239</v>
      </c>
      <c r="GS95">
        <v>99.546999999999997</v>
      </c>
    </row>
    <row r="96" spans="1:201" x14ac:dyDescent="0.25">
      <c r="A96">
        <v>80</v>
      </c>
      <c r="B96">
        <v>1690218965</v>
      </c>
      <c r="C96">
        <v>944.5</v>
      </c>
      <c r="D96" t="s">
        <v>489</v>
      </c>
      <c r="E96" t="s">
        <v>490</v>
      </c>
      <c r="F96" t="s">
        <v>330</v>
      </c>
      <c r="H96">
        <v>1690218965</v>
      </c>
      <c r="I96">
        <f t="shared" si="30"/>
        <v>1.0194232182495803E-3</v>
      </c>
      <c r="J96">
        <f t="shared" si="31"/>
        <v>1.0194232182495804</v>
      </c>
      <c r="K96">
        <f t="shared" si="32"/>
        <v>13.773104973186143</v>
      </c>
      <c r="L96">
        <f t="shared" si="33"/>
        <v>644.28200000000004</v>
      </c>
      <c r="M96">
        <f t="shared" si="34"/>
        <v>167.01824239167362</v>
      </c>
      <c r="N96">
        <f t="shared" si="35"/>
        <v>16.56369495844211</v>
      </c>
      <c r="O96">
        <f t="shared" si="36"/>
        <v>63.895358748829793</v>
      </c>
      <c r="P96">
        <f t="shared" si="37"/>
        <v>4.8069366307922558E-2</v>
      </c>
      <c r="Q96">
        <f t="shared" si="38"/>
        <v>2.1327938087061327</v>
      </c>
      <c r="R96">
        <f t="shared" si="39"/>
        <v>4.7475504119835234E-2</v>
      </c>
      <c r="S96">
        <f t="shared" si="40"/>
        <v>2.9724934900381451E-2</v>
      </c>
      <c r="T96">
        <f t="shared" si="41"/>
        <v>276.11465047200005</v>
      </c>
      <c r="U96">
        <f t="shared" si="42"/>
        <v>27.622449313617551</v>
      </c>
      <c r="V96">
        <f t="shared" si="43"/>
        <v>27.622449313617551</v>
      </c>
      <c r="W96">
        <f t="shared" si="44"/>
        <v>3.7121132285099345</v>
      </c>
      <c r="X96">
        <f t="shared" si="45"/>
        <v>49.199676291959477</v>
      </c>
      <c r="Y96">
        <f t="shared" si="46"/>
        <v>1.6400729731837498</v>
      </c>
      <c r="Z96">
        <f t="shared" si="47"/>
        <v>3.3335035853717212</v>
      </c>
      <c r="AA96">
        <f t="shared" si="48"/>
        <v>2.0720402553261845</v>
      </c>
      <c r="AB96">
        <f t="shared" si="49"/>
        <v>-44.956563924806488</v>
      </c>
      <c r="AC96">
        <f t="shared" si="50"/>
        <v>-210.14892966638448</v>
      </c>
      <c r="AD96">
        <f t="shared" si="51"/>
        <v>-21.202705371338329</v>
      </c>
      <c r="AE96">
        <f t="shared" si="52"/>
        <v>-0.1935484905292526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52683.541839410827</v>
      </c>
      <c r="AK96">
        <f t="shared" si="56"/>
        <v>1800</v>
      </c>
      <c r="AL96">
        <f t="shared" si="57"/>
        <v>1499.1123221999999</v>
      </c>
      <c r="AM96">
        <f t="shared" si="58"/>
        <v>0.83284017899999996</v>
      </c>
      <c r="AN96">
        <f t="shared" si="59"/>
        <v>0.15339702804000002</v>
      </c>
      <c r="AO96">
        <v>32.4</v>
      </c>
      <c r="AP96">
        <v>0.5</v>
      </c>
      <c r="AQ96" t="s">
        <v>331</v>
      </c>
      <c r="AR96">
        <v>2</v>
      </c>
      <c r="AS96">
        <v>1690218965</v>
      </c>
      <c r="AT96">
        <v>644.28200000000004</v>
      </c>
      <c r="AU96">
        <v>800.03200000000004</v>
      </c>
      <c r="AV96">
        <v>16.537500000000001</v>
      </c>
      <c r="AW96">
        <v>5.7162600000000001</v>
      </c>
      <c r="AX96">
        <v>644.44600000000003</v>
      </c>
      <c r="AY96">
        <v>16.433</v>
      </c>
      <c r="AZ96">
        <v>300.17899999999997</v>
      </c>
      <c r="BA96">
        <v>99.072999999999993</v>
      </c>
      <c r="BB96">
        <v>9.9968899999999999E-2</v>
      </c>
      <c r="BC96">
        <v>25.794799999999999</v>
      </c>
      <c r="BD96">
        <v>26.973400000000002</v>
      </c>
      <c r="BE96">
        <v>27.305499999999999</v>
      </c>
      <c r="BF96">
        <v>0</v>
      </c>
      <c r="BG96">
        <v>0</v>
      </c>
      <c r="BH96">
        <v>10016.9</v>
      </c>
      <c r="BI96">
        <v>1063.07</v>
      </c>
      <c r="BJ96">
        <v>1.7380500000000001</v>
      </c>
      <c r="BK96">
        <v>-155.749</v>
      </c>
      <c r="BL96">
        <v>655.11599999999999</v>
      </c>
      <c r="BM96">
        <v>804.63099999999997</v>
      </c>
      <c r="BN96">
        <v>10.821300000000001</v>
      </c>
      <c r="BO96">
        <v>800.03200000000004</v>
      </c>
      <c r="BP96">
        <v>5.7162600000000001</v>
      </c>
      <c r="BQ96">
        <v>1.63842</v>
      </c>
      <c r="BR96">
        <v>0.56632700000000002</v>
      </c>
      <c r="BS96">
        <v>14.324999999999999</v>
      </c>
      <c r="BT96">
        <v>-1.09989</v>
      </c>
      <c r="BU96">
        <v>1800</v>
      </c>
      <c r="BV96">
        <v>0.91000999999999999</v>
      </c>
      <c r="BW96">
        <v>3.3999000000000001E-2</v>
      </c>
      <c r="BX96">
        <v>2.1996700000000001E-2</v>
      </c>
      <c r="BY96">
        <v>3.3993799999999998E-2</v>
      </c>
      <c r="BZ96">
        <v>25</v>
      </c>
      <c r="CA96">
        <v>33528.5</v>
      </c>
      <c r="CB96">
        <v>1690217592</v>
      </c>
      <c r="CC96" t="s">
        <v>332</v>
      </c>
      <c r="CD96">
        <v>1690217586.5</v>
      </c>
      <c r="CE96">
        <v>1690217592</v>
      </c>
      <c r="CF96">
        <v>9</v>
      </c>
      <c r="CG96">
        <v>0.11600000000000001</v>
      </c>
      <c r="CH96">
        <v>-3.0000000000000001E-3</v>
      </c>
      <c r="CI96">
        <v>-0.27300000000000002</v>
      </c>
      <c r="CJ96">
        <v>-6.9000000000000006E-2</v>
      </c>
      <c r="CK96">
        <v>800</v>
      </c>
      <c r="CL96">
        <v>6</v>
      </c>
      <c r="CM96">
        <v>0.01</v>
      </c>
      <c r="CN96">
        <v>0.01</v>
      </c>
      <c r="CO96">
        <v>-152.43697499999999</v>
      </c>
      <c r="CP96">
        <v>-18.628401500937571</v>
      </c>
      <c r="CQ96">
        <v>1.7922800072463561</v>
      </c>
      <c r="CR96">
        <v>-1</v>
      </c>
      <c r="CS96">
        <v>10.662195000000001</v>
      </c>
      <c r="CT96">
        <v>0.90016885553468551</v>
      </c>
      <c r="CU96">
        <v>8.6599434033947348E-2</v>
      </c>
      <c r="CV96">
        <v>-1</v>
      </c>
      <c r="CW96">
        <v>0</v>
      </c>
      <c r="CX96">
        <v>0</v>
      </c>
      <c r="CY96" t="s">
        <v>333</v>
      </c>
      <c r="CZ96">
        <v>2.3645100000000001</v>
      </c>
      <c r="DA96">
        <v>2.7137799999999999</v>
      </c>
      <c r="DB96">
        <v>0.12651699999999999</v>
      </c>
      <c r="DC96">
        <v>0.14605399999999999</v>
      </c>
      <c r="DD96">
        <v>8.7330400000000002E-2</v>
      </c>
      <c r="DE96">
        <v>3.7907900000000001E-2</v>
      </c>
      <c r="DF96">
        <v>31889.8</v>
      </c>
      <c r="DG96">
        <v>27515.3</v>
      </c>
      <c r="DH96">
        <v>31167.9</v>
      </c>
      <c r="DI96">
        <v>28076.7</v>
      </c>
      <c r="DJ96">
        <v>38628.300000000003</v>
      </c>
      <c r="DK96">
        <v>38412.5</v>
      </c>
      <c r="DL96">
        <v>44355</v>
      </c>
      <c r="DM96">
        <v>42552.7</v>
      </c>
      <c r="DN96">
        <v>1.4782200000000001</v>
      </c>
      <c r="DO96">
        <v>2.0334699999999999</v>
      </c>
      <c r="DP96">
        <v>0.13436400000000001</v>
      </c>
      <c r="DQ96">
        <v>0.163794</v>
      </c>
      <c r="DR96">
        <v>24.771899999999999</v>
      </c>
      <c r="DS96">
        <v>24.622299999999999</v>
      </c>
      <c r="DT96">
        <v>16.8</v>
      </c>
      <c r="DU96">
        <v>29.8</v>
      </c>
      <c r="DV96">
        <v>7.1424200000000004</v>
      </c>
      <c r="DW96">
        <v>61.2286</v>
      </c>
      <c r="DX96">
        <v>36.334099999999999</v>
      </c>
      <c r="DY96">
        <v>1</v>
      </c>
      <c r="DZ96">
        <v>-8.8432399999999994E-2</v>
      </c>
      <c r="EA96">
        <v>0.43338500000000002</v>
      </c>
      <c r="EB96">
        <v>20.1892</v>
      </c>
      <c r="EC96">
        <v>5.24125</v>
      </c>
      <c r="ED96">
        <v>12.039899999999999</v>
      </c>
      <c r="EE96">
        <v>5.0169499999999996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1.86894</v>
      </c>
      <c r="EL96">
        <v>1.86467</v>
      </c>
      <c r="EM96">
        <v>1.8692</v>
      </c>
      <c r="EN96">
        <v>1.8672500000000001</v>
      </c>
      <c r="EO96">
        <v>1.8633999999999999</v>
      </c>
      <c r="EP96">
        <v>1.86459</v>
      </c>
      <c r="EQ96">
        <v>1.8702399999999999</v>
      </c>
      <c r="ER96">
        <v>1.8694500000000001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-0.16400000000000001</v>
      </c>
      <c r="FG96">
        <v>0.1045</v>
      </c>
      <c r="FH96">
        <v>0.27827353915413472</v>
      </c>
      <c r="FI96">
        <v>-6.1462078757559423E-4</v>
      </c>
      <c r="FJ96">
        <v>-1.8861989874597051E-7</v>
      </c>
      <c r="FK96">
        <v>1.1980462299894961E-10</v>
      </c>
      <c r="FL96">
        <v>-3.2538871274648329E-2</v>
      </c>
      <c r="FM96">
        <v>-1.6848085045870601E-2</v>
      </c>
      <c r="FN96">
        <v>1.9789084769509481E-3</v>
      </c>
      <c r="FO96">
        <v>-2.7142391389806329E-5</v>
      </c>
      <c r="FP96">
        <v>3</v>
      </c>
      <c r="FQ96">
        <v>2158</v>
      </c>
      <c r="FR96">
        <v>1</v>
      </c>
      <c r="FS96">
        <v>19</v>
      </c>
      <c r="FT96">
        <v>23</v>
      </c>
      <c r="FU96">
        <v>22.9</v>
      </c>
      <c r="FV96">
        <v>1.7773399999999999</v>
      </c>
      <c r="FW96">
        <v>2.5878899999999998</v>
      </c>
      <c r="FX96">
        <v>1.5490699999999999</v>
      </c>
      <c r="FY96">
        <v>2.3290999999999999</v>
      </c>
      <c r="FZ96">
        <v>1.50146</v>
      </c>
      <c r="GA96">
        <v>2.3132299999999999</v>
      </c>
      <c r="GB96">
        <v>33.850900000000003</v>
      </c>
      <c r="GC96">
        <v>23.973700000000001</v>
      </c>
      <c r="GD96">
        <v>19</v>
      </c>
      <c r="GE96">
        <v>284.05599999999998</v>
      </c>
      <c r="GF96">
        <v>581.60400000000004</v>
      </c>
      <c r="GG96">
        <v>23.449300000000001</v>
      </c>
      <c r="GH96">
        <v>26.255299999999998</v>
      </c>
      <c r="GI96">
        <v>29.9999</v>
      </c>
      <c r="GJ96">
        <v>26.421299999999999</v>
      </c>
      <c r="GK96">
        <v>26.412299999999998</v>
      </c>
      <c r="GL96">
        <v>35.542200000000001</v>
      </c>
      <c r="GM96">
        <v>-30</v>
      </c>
      <c r="GN96">
        <v>-30</v>
      </c>
      <c r="GO96">
        <v>23.4833</v>
      </c>
      <c r="GP96">
        <v>800</v>
      </c>
      <c r="GQ96">
        <v>12.5298</v>
      </c>
      <c r="GR96">
        <v>99.724100000000007</v>
      </c>
      <c r="GS96">
        <v>99.547300000000007</v>
      </c>
    </row>
    <row r="97" spans="1:201" x14ac:dyDescent="0.25">
      <c r="A97">
        <v>81</v>
      </c>
      <c r="B97">
        <v>1690218975</v>
      </c>
      <c r="C97">
        <v>954.5</v>
      </c>
      <c r="D97" t="s">
        <v>491</v>
      </c>
      <c r="E97" t="s">
        <v>492</v>
      </c>
      <c r="F97" t="s">
        <v>330</v>
      </c>
      <c r="H97">
        <v>1690218975</v>
      </c>
      <c r="I97">
        <f t="shared" si="30"/>
        <v>1.0334530572652504E-3</v>
      </c>
      <c r="J97">
        <f t="shared" si="31"/>
        <v>1.0334530572652505</v>
      </c>
      <c r="K97">
        <f t="shared" si="32"/>
        <v>14.036128701650817</v>
      </c>
      <c r="L97">
        <f t="shared" si="33"/>
        <v>641.24800000000005</v>
      </c>
      <c r="M97">
        <f t="shared" si="34"/>
        <v>165.15561422357658</v>
      </c>
      <c r="N97">
        <f t="shared" si="35"/>
        <v>16.379373458762004</v>
      </c>
      <c r="O97">
        <f t="shared" si="36"/>
        <v>63.596024398332801</v>
      </c>
      <c r="P97">
        <f t="shared" si="37"/>
        <v>4.9103045049646091E-2</v>
      </c>
      <c r="Q97">
        <f t="shared" si="38"/>
        <v>2.1324612204505033</v>
      </c>
      <c r="R97">
        <f t="shared" si="39"/>
        <v>4.8483449749680115E-2</v>
      </c>
      <c r="S97">
        <f t="shared" si="40"/>
        <v>3.0357172838072901E-2</v>
      </c>
      <c r="T97">
        <f t="shared" si="41"/>
        <v>276.11320106524983</v>
      </c>
      <c r="U97">
        <f t="shared" si="42"/>
        <v>27.620300265208169</v>
      </c>
      <c r="V97">
        <f t="shared" si="43"/>
        <v>27.620300265208169</v>
      </c>
      <c r="W97">
        <f t="shared" si="44"/>
        <v>3.7116468842183843</v>
      </c>
      <c r="X97">
        <f t="shared" si="45"/>
        <v>49.635924691898794</v>
      </c>
      <c r="Y97">
        <f t="shared" si="46"/>
        <v>1.6548604944038199</v>
      </c>
      <c r="Z97">
        <f t="shared" si="47"/>
        <v>3.3339975122371679</v>
      </c>
      <c r="AA97">
        <f t="shared" si="48"/>
        <v>2.0567863898145644</v>
      </c>
      <c r="AB97">
        <f t="shared" si="49"/>
        <v>-45.575279825397544</v>
      </c>
      <c r="AC97">
        <f t="shared" si="50"/>
        <v>-209.58167999448213</v>
      </c>
      <c r="AD97">
        <f t="shared" si="51"/>
        <v>-21.148807538024911</v>
      </c>
      <c r="AE97">
        <f t="shared" si="52"/>
        <v>-0.19256629265478864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52668.744999679308</v>
      </c>
      <c r="AK97">
        <f t="shared" si="56"/>
        <v>1799.99</v>
      </c>
      <c r="AL97">
        <f t="shared" si="57"/>
        <v>1499.10537619053</v>
      </c>
      <c r="AM97">
        <f t="shared" si="58"/>
        <v>0.832840947</v>
      </c>
      <c r="AN97">
        <f t="shared" si="59"/>
        <v>0.15339707502000002</v>
      </c>
      <c r="AO97">
        <v>32.4</v>
      </c>
      <c r="AP97">
        <v>0.5</v>
      </c>
      <c r="AQ97" t="s">
        <v>331</v>
      </c>
      <c r="AR97">
        <v>2</v>
      </c>
      <c r="AS97">
        <v>1690218975</v>
      </c>
      <c r="AT97">
        <v>641.24800000000005</v>
      </c>
      <c r="AU97">
        <v>799.92499999999995</v>
      </c>
      <c r="AV97">
        <v>16.686199999999999</v>
      </c>
      <c r="AW97">
        <v>5.7160099999999998</v>
      </c>
      <c r="AX97">
        <v>641.41</v>
      </c>
      <c r="AY97">
        <v>16.5779</v>
      </c>
      <c r="AZ97">
        <v>300.13299999999998</v>
      </c>
      <c r="BA97">
        <v>99.075400000000002</v>
      </c>
      <c r="BB97">
        <v>9.9996100000000004E-2</v>
      </c>
      <c r="BC97">
        <v>25.7973</v>
      </c>
      <c r="BD97">
        <v>26.980599999999999</v>
      </c>
      <c r="BE97">
        <v>27.297999999999998</v>
      </c>
      <c r="BF97">
        <v>0</v>
      </c>
      <c r="BG97">
        <v>0</v>
      </c>
      <c r="BH97">
        <v>10013.799999999999</v>
      </c>
      <c r="BI97">
        <v>1063.08</v>
      </c>
      <c r="BJ97">
        <v>1.7380500000000001</v>
      </c>
      <c r="BK97">
        <v>-158.67699999999999</v>
      </c>
      <c r="BL97">
        <v>652.13</v>
      </c>
      <c r="BM97">
        <v>804.52300000000002</v>
      </c>
      <c r="BN97">
        <v>10.9702</v>
      </c>
      <c r="BO97">
        <v>799.92499999999995</v>
      </c>
      <c r="BP97">
        <v>5.7160099999999998</v>
      </c>
      <c r="BQ97">
        <v>1.6532</v>
      </c>
      <c r="BR97">
        <v>0.56631600000000004</v>
      </c>
      <c r="BS97">
        <v>14.463800000000001</v>
      </c>
      <c r="BT97">
        <v>-1.10015</v>
      </c>
      <c r="BU97">
        <v>1799.99</v>
      </c>
      <c r="BV97">
        <v>0.91001299999999996</v>
      </c>
      <c r="BW97">
        <v>3.3998100000000003E-2</v>
      </c>
      <c r="BX97">
        <v>2.1996100000000001E-2</v>
      </c>
      <c r="BY97">
        <v>3.3993000000000002E-2</v>
      </c>
      <c r="BZ97">
        <v>25.166699999999999</v>
      </c>
      <c r="CA97">
        <v>33528.400000000001</v>
      </c>
      <c r="CB97">
        <v>1690217592</v>
      </c>
      <c r="CC97" t="s">
        <v>332</v>
      </c>
      <c r="CD97">
        <v>1690217586.5</v>
      </c>
      <c r="CE97">
        <v>1690217592</v>
      </c>
      <c r="CF97">
        <v>9</v>
      </c>
      <c r="CG97">
        <v>0.11600000000000001</v>
      </c>
      <c r="CH97">
        <v>-3.0000000000000001E-3</v>
      </c>
      <c r="CI97">
        <v>-0.27300000000000002</v>
      </c>
      <c r="CJ97">
        <v>-6.9000000000000006E-2</v>
      </c>
      <c r="CK97">
        <v>800</v>
      </c>
      <c r="CL97">
        <v>6</v>
      </c>
      <c r="CM97">
        <v>0.01</v>
      </c>
      <c r="CN97">
        <v>0.01</v>
      </c>
      <c r="CO97">
        <v>-155.28570731707319</v>
      </c>
      <c r="CP97">
        <v>-18.502515679442549</v>
      </c>
      <c r="CQ97">
        <v>1.8248102506622641</v>
      </c>
      <c r="CR97">
        <v>-1</v>
      </c>
      <c r="CS97">
        <v>10.79937804878049</v>
      </c>
      <c r="CT97">
        <v>0.89024529616722248</v>
      </c>
      <c r="CU97">
        <v>8.7792322882859972E-2</v>
      </c>
      <c r="CV97">
        <v>-1</v>
      </c>
      <c r="CW97">
        <v>0</v>
      </c>
      <c r="CX97">
        <v>0</v>
      </c>
      <c r="CY97" t="s">
        <v>333</v>
      </c>
      <c r="CZ97">
        <v>2.36435</v>
      </c>
      <c r="DA97">
        <v>2.7138</v>
      </c>
      <c r="DB97">
        <v>0.126108</v>
      </c>
      <c r="DC97">
        <v>0.14604500000000001</v>
      </c>
      <c r="DD97">
        <v>8.7895100000000004E-2</v>
      </c>
      <c r="DE97">
        <v>3.79076E-2</v>
      </c>
      <c r="DF97">
        <v>31905.200000000001</v>
      </c>
      <c r="DG97">
        <v>27516</v>
      </c>
      <c r="DH97">
        <v>31168.3</v>
      </c>
      <c r="DI97">
        <v>28077.1</v>
      </c>
      <c r="DJ97">
        <v>38604.800000000003</v>
      </c>
      <c r="DK97">
        <v>38413.199999999997</v>
      </c>
      <c r="DL97">
        <v>44355.7</v>
      </c>
      <c r="DM97">
        <v>42553.4</v>
      </c>
      <c r="DN97">
        <v>1.4783500000000001</v>
      </c>
      <c r="DO97">
        <v>2.0339800000000001</v>
      </c>
      <c r="DP97">
        <v>0.13480300000000001</v>
      </c>
      <c r="DQ97">
        <v>0.16345799999999999</v>
      </c>
      <c r="DR97">
        <v>24.771899999999999</v>
      </c>
      <c r="DS97">
        <v>24.620200000000001</v>
      </c>
      <c r="DT97">
        <v>16.8</v>
      </c>
      <c r="DU97">
        <v>29.8</v>
      </c>
      <c r="DV97">
        <v>7.1412300000000002</v>
      </c>
      <c r="DW97">
        <v>61.608600000000003</v>
      </c>
      <c r="DX97">
        <v>36.125799999999998</v>
      </c>
      <c r="DY97">
        <v>1</v>
      </c>
      <c r="DZ97">
        <v>-8.8897400000000001E-2</v>
      </c>
      <c r="EA97">
        <v>0.348132</v>
      </c>
      <c r="EB97">
        <v>20.189399999999999</v>
      </c>
      <c r="EC97">
        <v>5.2411000000000003</v>
      </c>
      <c r="ED97">
        <v>12.039899999999999</v>
      </c>
      <c r="EE97">
        <v>5.0171000000000001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1.86894</v>
      </c>
      <c r="EL97">
        <v>1.8646799999999999</v>
      </c>
      <c r="EM97">
        <v>1.8691899999999999</v>
      </c>
      <c r="EN97">
        <v>1.8672800000000001</v>
      </c>
      <c r="EO97">
        <v>1.86341</v>
      </c>
      <c r="EP97">
        <v>1.86456</v>
      </c>
      <c r="EQ97">
        <v>1.8702099999999999</v>
      </c>
      <c r="ER97">
        <v>1.86947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-0.16200000000000001</v>
      </c>
      <c r="FG97">
        <v>0.10829999999999999</v>
      </c>
      <c r="FH97">
        <v>0.27827353915413472</v>
      </c>
      <c r="FI97">
        <v>-6.1462078757559423E-4</v>
      </c>
      <c r="FJ97">
        <v>-1.8861989874597051E-7</v>
      </c>
      <c r="FK97">
        <v>1.1980462299894961E-10</v>
      </c>
      <c r="FL97">
        <v>-3.2538871274648329E-2</v>
      </c>
      <c r="FM97">
        <v>-1.6848085045870601E-2</v>
      </c>
      <c r="FN97">
        <v>1.9789084769509481E-3</v>
      </c>
      <c r="FO97">
        <v>-2.7142391389806329E-5</v>
      </c>
      <c r="FP97">
        <v>3</v>
      </c>
      <c r="FQ97">
        <v>2158</v>
      </c>
      <c r="FR97">
        <v>1</v>
      </c>
      <c r="FS97">
        <v>19</v>
      </c>
      <c r="FT97">
        <v>23.1</v>
      </c>
      <c r="FU97">
        <v>23.1</v>
      </c>
      <c r="FV97">
        <v>1.7773399999999999</v>
      </c>
      <c r="FW97">
        <v>2.5903299999999998</v>
      </c>
      <c r="FX97">
        <v>1.5490699999999999</v>
      </c>
      <c r="FY97">
        <v>2.3290999999999999</v>
      </c>
      <c r="FZ97">
        <v>1.50146</v>
      </c>
      <c r="GA97">
        <v>2.2705099999999998</v>
      </c>
      <c r="GB97">
        <v>33.850900000000003</v>
      </c>
      <c r="GC97">
        <v>23.982399999999998</v>
      </c>
      <c r="GD97">
        <v>19</v>
      </c>
      <c r="GE97">
        <v>284.09199999999998</v>
      </c>
      <c r="GF97">
        <v>581.98400000000004</v>
      </c>
      <c r="GG97">
        <v>23.497199999999999</v>
      </c>
      <c r="GH97">
        <v>26.250800000000002</v>
      </c>
      <c r="GI97">
        <v>30</v>
      </c>
      <c r="GJ97">
        <v>26.417300000000001</v>
      </c>
      <c r="GK97">
        <v>26.409600000000001</v>
      </c>
      <c r="GL97">
        <v>35.546100000000003</v>
      </c>
      <c r="GM97">
        <v>-30</v>
      </c>
      <c r="GN97">
        <v>-30</v>
      </c>
      <c r="GO97">
        <v>23.520299999999999</v>
      </c>
      <c r="GP97">
        <v>800</v>
      </c>
      <c r="GQ97">
        <v>12.5298</v>
      </c>
      <c r="GR97">
        <v>99.7256</v>
      </c>
      <c r="GS97">
        <v>99.548900000000003</v>
      </c>
    </row>
    <row r="98" spans="1:201" x14ac:dyDescent="0.25">
      <c r="A98">
        <v>82</v>
      </c>
      <c r="B98">
        <v>1690218985</v>
      </c>
      <c r="C98">
        <v>964.5</v>
      </c>
      <c r="D98" t="s">
        <v>493</v>
      </c>
      <c r="E98" t="s">
        <v>494</v>
      </c>
      <c r="F98" t="s">
        <v>330</v>
      </c>
      <c r="H98">
        <v>1690218985</v>
      </c>
      <c r="I98">
        <f t="shared" si="30"/>
        <v>1.0476309178886621E-3</v>
      </c>
      <c r="J98">
        <f t="shared" si="31"/>
        <v>1.047630917888662</v>
      </c>
      <c r="K98">
        <f t="shared" si="32"/>
        <v>14.317075667717477</v>
      </c>
      <c r="L98">
        <f t="shared" si="33"/>
        <v>638.26099999999997</v>
      </c>
      <c r="M98">
        <f t="shared" si="34"/>
        <v>162.62743277102285</v>
      </c>
      <c r="N98">
        <f t="shared" si="35"/>
        <v>16.128389257765491</v>
      </c>
      <c r="O98">
        <f t="shared" si="36"/>
        <v>63.298803164067898</v>
      </c>
      <c r="P98">
        <f t="shared" si="37"/>
        <v>5.0127185872663654E-2</v>
      </c>
      <c r="Q98">
        <f t="shared" si="38"/>
        <v>2.1308360583782942</v>
      </c>
      <c r="R98">
        <f t="shared" si="39"/>
        <v>4.9481173015450047E-2</v>
      </c>
      <c r="S98">
        <f t="shared" si="40"/>
        <v>3.0983081147000331E-2</v>
      </c>
      <c r="T98">
        <f t="shared" si="41"/>
        <v>276.11470557000007</v>
      </c>
      <c r="U98">
        <f t="shared" si="42"/>
        <v>27.6232175072929</v>
      </c>
      <c r="V98">
        <f t="shared" si="43"/>
        <v>27.6232175072929</v>
      </c>
      <c r="W98">
        <f t="shared" si="44"/>
        <v>3.7122799392232575</v>
      </c>
      <c r="X98">
        <f t="shared" si="45"/>
        <v>50.055814983986238</v>
      </c>
      <c r="Y98">
        <f t="shared" si="46"/>
        <v>1.6695124913233799</v>
      </c>
      <c r="Z98">
        <f t="shared" si="47"/>
        <v>3.3353017863308936</v>
      </c>
      <c r="AA98">
        <f t="shared" si="48"/>
        <v>2.0427674478998776</v>
      </c>
      <c r="AB98">
        <f t="shared" si="49"/>
        <v>-46.200523478889998</v>
      </c>
      <c r="AC98">
        <f t="shared" si="50"/>
        <v>-208.99888996718224</v>
      </c>
      <c r="AD98">
        <f t="shared" si="51"/>
        <v>-21.107088053048923</v>
      </c>
      <c r="AE98">
        <f t="shared" si="52"/>
        <v>-0.19179592912109911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52597.180882391767</v>
      </c>
      <c r="AK98">
        <f t="shared" si="56"/>
        <v>1800</v>
      </c>
      <c r="AL98">
        <f t="shared" si="57"/>
        <v>1499.114556</v>
      </c>
      <c r="AM98">
        <f t="shared" si="58"/>
        <v>0.83284141999999994</v>
      </c>
      <c r="AN98">
        <f t="shared" si="59"/>
        <v>0.15339705865000003</v>
      </c>
      <c r="AO98">
        <v>32.4</v>
      </c>
      <c r="AP98">
        <v>0.5</v>
      </c>
      <c r="AQ98" t="s">
        <v>331</v>
      </c>
      <c r="AR98">
        <v>2</v>
      </c>
      <c r="AS98">
        <v>1690218985</v>
      </c>
      <c r="AT98">
        <v>638.26099999999997</v>
      </c>
      <c r="AU98">
        <v>800.01800000000003</v>
      </c>
      <c r="AV98">
        <v>16.834199999999999</v>
      </c>
      <c r="AW98">
        <v>5.7163700000000004</v>
      </c>
      <c r="AX98">
        <v>638.42100000000005</v>
      </c>
      <c r="AY98">
        <v>16.722000000000001</v>
      </c>
      <c r="AZ98">
        <v>300.16500000000002</v>
      </c>
      <c r="BA98">
        <v>99.073899999999995</v>
      </c>
      <c r="BB98">
        <v>9.9953899999999998E-2</v>
      </c>
      <c r="BC98">
        <v>25.803899999999999</v>
      </c>
      <c r="BD98">
        <v>27.008299999999998</v>
      </c>
      <c r="BE98">
        <v>27.3019</v>
      </c>
      <c r="BF98">
        <v>0</v>
      </c>
      <c r="BG98">
        <v>0</v>
      </c>
      <c r="BH98">
        <v>10000</v>
      </c>
      <c r="BI98">
        <v>1063.19</v>
      </c>
      <c r="BJ98">
        <v>1.7380500000000001</v>
      </c>
      <c r="BK98">
        <v>-161.75700000000001</v>
      </c>
      <c r="BL98">
        <v>649.19000000000005</v>
      </c>
      <c r="BM98">
        <v>804.61800000000005</v>
      </c>
      <c r="BN98">
        <v>11.117800000000001</v>
      </c>
      <c r="BO98">
        <v>800.01800000000003</v>
      </c>
      <c r="BP98">
        <v>5.7163700000000004</v>
      </c>
      <c r="BQ98">
        <v>1.6678299999999999</v>
      </c>
      <c r="BR98">
        <v>0.56634399999999996</v>
      </c>
      <c r="BS98">
        <v>14.600199999999999</v>
      </c>
      <c r="BT98">
        <v>-1.0994900000000001</v>
      </c>
      <c r="BU98">
        <v>1800</v>
      </c>
      <c r="BV98">
        <v>0.91001600000000005</v>
      </c>
      <c r="BW98">
        <v>3.3997100000000002E-2</v>
      </c>
      <c r="BX98">
        <v>2.1995500000000001E-2</v>
      </c>
      <c r="BY98">
        <v>3.3991899999999999E-2</v>
      </c>
      <c r="BZ98">
        <v>25.333300000000001</v>
      </c>
      <c r="CA98">
        <v>33528.5</v>
      </c>
      <c r="CB98">
        <v>1690217592</v>
      </c>
      <c r="CC98" t="s">
        <v>332</v>
      </c>
      <c r="CD98">
        <v>1690217586.5</v>
      </c>
      <c r="CE98">
        <v>1690217592</v>
      </c>
      <c r="CF98">
        <v>9</v>
      </c>
      <c r="CG98">
        <v>0.11600000000000001</v>
      </c>
      <c r="CH98">
        <v>-3.0000000000000001E-3</v>
      </c>
      <c r="CI98">
        <v>-0.27300000000000002</v>
      </c>
      <c r="CJ98">
        <v>-6.9000000000000006E-2</v>
      </c>
      <c r="CK98">
        <v>800</v>
      </c>
      <c r="CL98">
        <v>6</v>
      </c>
      <c r="CM98">
        <v>0.01</v>
      </c>
      <c r="CN98">
        <v>0.01</v>
      </c>
      <c r="CO98">
        <v>-158.31668292682929</v>
      </c>
      <c r="CP98">
        <v>-18.070473867596188</v>
      </c>
      <c r="CQ98">
        <v>1.7823504136464261</v>
      </c>
      <c r="CR98">
        <v>-1</v>
      </c>
      <c r="CS98">
        <v>10.948175609756101</v>
      </c>
      <c r="CT98">
        <v>0.89964668989546381</v>
      </c>
      <c r="CU98">
        <v>8.8716016593611599E-2</v>
      </c>
      <c r="CV98">
        <v>-1</v>
      </c>
      <c r="CW98">
        <v>0</v>
      </c>
      <c r="CX98">
        <v>0</v>
      </c>
      <c r="CY98" t="s">
        <v>333</v>
      </c>
      <c r="CZ98">
        <v>2.3644699999999998</v>
      </c>
      <c r="DA98">
        <v>2.71374</v>
      </c>
      <c r="DB98">
        <v>0.12570100000000001</v>
      </c>
      <c r="DC98">
        <v>0.14605699999999999</v>
      </c>
      <c r="DD98">
        <v>8.8452100000000006E-2</v>
      </c>
      <c r="DE98">
        <v>3.7909600000000002E-2</v>
      </c>
      <c r="DF98">
        <v>31920.2</v>
      </c>
      <c r="DG98">
        <v>27515.7</v>
      </c>
      <c r="DH98">
        <v>31168.5</v>
      </c>
      <c r="DI98">
        <v>28077.200000000001</v>
      </c>
      <c r="DJ98">
        <v>38581.1</v>
      </c>
      <c r="DK98">
        <v>38413.199999999997</v>
      </c>
      <c r="DL98">
        <v>44355.8</v>
      </c>
      <c r="DM98">
        <v>42553.5</v>
      </c>
      <c r="DN98">
        <v>1.47865</v>
      </c>
      <c r="DO98">
        <v>2.0336500000000002</v>
      </c>
      <c r="DP98">
        <v>0.13650200000000001</v>
      </c>
      <c r="DQ98">
        <v>0.16369700000000001</v>
      </c>
      <c r="DR98">
        <v>24.771899999999999</v>
      </c>
      <c r="DS98">
        <v>24.620200000000001</v>
      </c>
      <c r="DT98">
        <v>16.8</v>
      </c>
      <c r="DU98">
        <v>29.8</v>
      </c>
      <c r="DV98">
        <v>7.1415300000000004</v>
      </c>
      <c r="DW98">
        <v>61.388599999999997</v>
      </c>
      <c r="DX98">
        <v>36.049700000000001</v>
      </c>
      <c r="DY98">
        <v>1</v>
      </c>
      <c r="DZ98">
        <v>-8.9065000000000005E-2</v>
      </c>
      <c r="EA98">
        <v>0.32405499999999998</v>
      </c>
      <c r="EB98">
        <v>20.189499999999999</v>
      </c>
      <c r="EC98">
        <v>5.2411000000000003</v>
      </c>
      <c r="ED98">
        <v>12.039899999999999</v>
      </c>
      <c r="EE98">
        <v>5.0167999999999999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1.86894</v>
      </c>
      <c r="EL98">
        <v>1.8647</v>
      </c>
      <c r="EM98">
        <v>1.8692</v>
      </c>
      <c r="EN98">
        <v>1.8672599999999999</v>
      </c>
      <c r="EO98">
        <v>1.8633999999999999</v>
      </c>
      <c r="EP98">
        <v>1.8646</v>
      </c>
      <c r="EQ98">
        <v>1.87018</v>
      </c>
      <c r="ER98">
        <v>1.8694500000000001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-0.16</v>
      </c>
      <c r="FG98">
        <v>0.11219999999999999</v>
      </c>
      <c r="FH98">
        <v>0.27827353915413472</v>
      </c>
      <c r="FI98">
        <v>-6.1462078757559423E-4</v>
      </c>
      <c r="FJ98">
        <v>-1.8861989874597051E-7</v>
      </c>
      <c r="FK98">
        <v>1.1980462299894961E-10</v>
      </c>
      <c r="FL98">
        <v>-3.2538871274648329E-2</v>
      </c>
      <c r="FM98">
        <v>-1.6848085045870601E-2</v>
      </c>
      <c r="FN98">
        <v>1.9789084769509481E-3</v>
      </c>
      <c r="FO98">
        <v>-2.7142391389806329E-5</v>
      </c>
      <c r="FP98">
        <v>3</v>
      </c>
      <c r="FQ98">
        <v>2158</v>
      </c>
      <c r="FR98">
        <v>1</v>
      </c>
      <c r="FS98">
        <v>19</v>
      </c>
      <c r="FT98">
        <v>23.3</v>
      </c>
      <c r="FU98">
        <v>23.2</v>
      </c>
      <c r="FV98">
        <v>1.7773399999999999</v>
      </c>
      <c r="FW98">
        <v>2.5891099999999998</v>
      </c>
      <c r="FX98">
        <v>1.5490699999999999</v>
      </c>
      <c r="FY98">
        <v>2.3290999999999999</v>
      </c>
      <c r="FZ98">
        <v>1.50146</v>
      </c>
      <c r="GA98">
        <v>2.2997999999999998</v>
      </c>
      <c r="GB98">
        <v>33.850900000000003</v>
      </c>
      <c r="GC98">
        <v>23.982399999999998</v>
      </c>
      <c r="GD98">
        <v>19</v>
      </c>
      <c r="GE98">
        <v>284.20299999999997</v>
      </c>
      <c r="GF98">
        <v>581.66800000000001</v>
      </c>
      <c r="GG98">
        <v>23.540299999999998</v>
      </c>
      <c r="GH98">
        <v>26.246400000000001</v>
      </c>
      <c r="GI98">
        <v>29.9999</v>
      </c>
      <c r="GJ98">
        <v>26.413499999999999</v>
      </c>
      <c r="GK98">
        <v>26.405200000000001</v>
      </c>
      <c r="GL98">
        <v>35.543100000000003</v>
      </c>
      <c r="GM98">
        <v>-30</v>
      </c>
      <c r="GN98">
        <v>-30</v>
      </c>
      <c r="GO98">
        <v>23.554200000000002</v>
      </c>
      <c r="GP98">
        <v>800</v>
      </c>
      <c r="GQ98">
        <v>12.5298</v>
      </c>
      <c r="GR98">
        <v>99.725899999999996</v>
      </c>
      <c r="GS98">
        <v>99.549000000000007</v>
      </c>
    </row>
    <row r="99" spans="1:201" x14ac:dyDescent="0.25">
      <c r="A99">
        <v>83</v>
      </c>
      <c r="B99">
        <v>1690218995</v>
      </c>
      <c r="C99">
        <v>974.5</v>
      </c>
      <c r="D99" t="s">
        <v>495</v>
      </c>
      <c r="E99" t="s">
        <v>496</v>
      </c>
      <c r="F99" t="s">
        <v>330</v>
      </c>
      <c r="H99">
        <v>1690218995</v>
      </c>
      <c r="I99">
        <f t="shared" si="30"/>
        <v>1.0615686028829286E-3</v>
      </c>
      <c r="J99">
        <f t="shared" si="31"/>
        <v>1.0615686028829285</v>
      </c>
      <c r="K99">
        <f t="shared" si="32"/>
        <v>14.583427387611222</v>
      </c>
      <c r="L99">
        <f t="shared" si="33"/>
        <v>635.25</v>
      </c>
      <c r="M99">
        <f t="shared" si="34"/>
        <v>160.49313974671205</v>
      </c>
      <c r="N99">
        <f t="shared" si="35"/>
        <v>15.916604444318605</v>
      </c>
      <c r="O99">
        <f t="shared" si="36"/>
        <v>62.999720668499997</v>
      </c>
      <c r="P99">
        <f t="shared" si="37"/>
        <v>5.11490198354176E-2</v>
      </c>
      <c r="Q99">
        <f t="shared" si="38"/>
        <v>2.1295146665173936</v>
      </c>
      <c r="R99">
        <f t="shared" si="39"/>
        <v>5.0476180002992387E-2</v>
      </c>
      <c r="S99">
        <f t="shared" si="40"/>
        <v>3.1607327056133033E-2</v>
      </c>
      <c r="T99">
        <f t="shared" si="41"/>
        <v>276.11439157800004</v>
      </c>
      <c r="U99">
        <f t="shared" si="42"/>
        <v>27.626462895634326</v>
      </c>
      <c r="V99">
        <f t="shared" si="43"/>
        <v>27.626462895634326</v>
      </c>
      <c r="W99">
        <f t="shared" si="44"/>
        <v>3.7129843141935668</v>
      </c>
      <c r="X99">
        <f t="shared" si="45"/>
        <v>50.469513922771384</v>
      </c>
      <c r="Y99">
        <f t="shared" si="46"/>
        <v>1.6840189795883997</v>
      </c>
      <c r="Z99">
        <f t="shared" si="47"/>
        <v>3.3367053666601407</v>
      </c>
      <c r="AA99">
        <f t="shared" si="48"/>
        <v>2.028965334605167</v>
      </c>
      <c r="AB99">
        <f t="shared" si="49"/>
        <v>-46.815175387137153</v>
      </c>
      <c r="AC99">
        <f t="shared" si="50"/>
        <v>-208.42674976173353</v>
      </c>
      <c r="AD99">
        <f t="shared" si="51"/>
        <v>-21.063457915115222</v>
      </c>
      <c r="AE99">
        <f t="shared" si="52"/>
        <v>-0.1909914859858759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52538.745600258895</v>
      </c>
      <c r="AK99">
        <f t="shared" si="56"/>
        <v>1800</v>
      </c>
      <c r="AL99">
        <f t="shared" si="57"/>
        <v>1499.1138738</v>
      </c>
      <c r="AM99">
        <f t="shared" si="58"/>
        <v>0.832841041</v>
      </c>
      <c r="AN99">
        <f t="shared" si="59"/>
        <v>0.15339688421000003</v>
      </c>
      <c r="AO99">
        <v>32.4</v>
      </c>
      <c r="AP99">
        <v>0.5</v>
      </c>
      <c r="AQ99" t="s">
        <v>331</v>
      </c>
      <c r="AR99">
        <v>2</v>
      </c>
      <c r="AS99">
        <v>1690218995</v>
      </c>
      <c r="AT99">
        <v>635.25</v>
      </c>
      <c r="AU99">
        <v>799.96</v>
      </c>
      <c r="AV99">
        <v>16.980599999999999</v>
      </c>
      <c r="AW99">
        <v>5.7154100000000003</v>
      </c>
      <c r="AX99">
        <v>635.40800000000002</v>
      </c>
      <c r="AY99">
        <v>16.864599999999999</v>
      </c>
      <c r="AZ99">
        <v>300.13499999999999</v>
      </c>
      <c r="BA99">
        <v>99.073099999999997</v>
      </c>
      <c r="BB99">
        <v>0.10001400000000001</v>
      </c>
      <c r="BC99">
        <v>25.811</v>
      </c>
      <c r="BD99">
        <v>26.968599999999999</v>
      </c>
      <c r="BE99">
        <v>27.300899999999999</v>
      </c>
      <c r="BF99">
        <v>0</v>
      </c>
      <c r="BG99">
        <v>0</v>
      </c>
      <c r="BH99">
        <v>9988.75</v>
      </c>
      <c r="BI99">
        <v>1063.17</v>
      </c>
      <c r="BJ99">
        <v>1.7380500000000001</v>
      </c>
      <c r="BK99">
        <v>-164.71</v>
      </c>
      <c r="BL99">
        <v>646.22299999999996</v>
      </c>
      <c r="BM99">
        <v>804.55899999999997</v>
      </c>
      <c r="BN99">
        <v>11.2651</v>
      </c>
      <c r="BO99">
        <v>799.96</v>
      </c>
      <c r="BP99">
        <v>5.7154100000000003</v>
      </c>
      <c r="BQ99">
        <v>1.68232</v>
      </c>
      <c r="BR99">
        <v>0.56624399999999997</v>
      </c>
      <c r="BS99">
        <v>14.7342</v>
      </c>
      <c r="BT99">
        <v>-1.10189</v>
      </c>
      <c r="BU99">
        <v>1800</v>
      </c>
      <c r="BV99">
        <v>0.91001799999999999</v>
      </c>
      <c r="BW99">
        <v>3.3996100000000001E-2</v>
      </c>
      <c r="BX99">
        <v>2.1994799999999998E-2</v>
      </c>
      <c r="BY99">
        <v>3.3990899999999998E-2</v>
      </c>
      <c r="BZ99">
        <v>25.583300000000001</v>
      </c>
      <c r="CA99">
        <v>33528.400000000001</v>
      </c>
      <c r="CB99">
        <v>1690217592</v>
      </c>
      <c r="CC99" t="s">
        <v>332</v>
      </c>
      <c r="CD99">
        <v>1690217586.5</v>
      </c>
      <c r="CE99">
        <v>1690217592</v>
      </c>
      <c r="CF99">
        <v>9</v>
      </c>
      <c r="CG99">
        <v>0.11600000000000001</v>
      </c>
      <c r="CH99">
        <v>-3.0000000000000001E-3</v>
      </c>
      <c r="CI99">
        <v>-0.27300000000000002</v>
      </c>
      <c r="CJ99">
        <v>-6.9000000000000006E-2</v>
      </c>
      <c r="CK99">
        <v>800</v>
      </c>
      <c r="CL99">
        <v>6</v>
      </c>
      <c r="CM99">
        <v>0.01</v>
      </c>
      <c r="CN99">
        <v>0.01</v>
      </c>
      <c r="CO99">
        <v>-161.58221951219511</v>
      </c>
      <c r="CP99">
        <v>-17.751094076655079</v>
      </c>
      <c r="CQ99">
        <v>1.7510687678852519</v>
      </c>
      <c r="CR99">
        <v>-1</v>
      </c>
      <c r="CS99">
        <v>11.11048292682927</v>
      </c>
      <c r="CT99">
        <v>0.87601463414635905</v>
      </c>
      <c r="CU99">
        <v>8.6390189434090492E-2</v>
      </c>
      <c r="CV99">
        <v>-1</v>
      </c>
      <c r="CW99">
        <v>0</v>
      </c>
      <c r="CX99">
        <v>0</v>
      </c>
      <c r="CY99" t="s">
        <v>333</v>
      </c>
      <c r="CZ99">
        <v>2.36436</v>
      </c>
      <c r="DA99">
        <v>2.7137899999999999</v>
      </c>
      <c r="DB99">
        <v>0.12529000000000001</v>
      </c>
      <c r="DC99">
        <v>0.14604900000000001</v>
      </c>
      <c r="DD99">
        <v>8.9001399999999994E-2</v>
      </c>
      <c r="DE99">
        <v>3.7904399999999998E-2</v>
      </c>
      <c r="DF99">
        <v>31935.3</v>
      </c>
      <c r="DG99">
        <v>27516.2</v>
      </c>
      <c r="DH99">
        <v>31168.5</v>
      </c>
      <c r="DI99">
        <v>28077.5</v>
      </c>
      <c r="DJ99">
        <v>38557.9</v>
      </c>
      <c r="DK99">
        <v>38413.699999999997</v>
      </c>
      <c r="DL99">
        <v>44356.1</v>
      </c>
      <c r="DM99">
        <v>42553.8</v>
      </c>
      <c r="DN99">
        <v>1.4782999999999999</v>
      </c>
      <c r="DO99">
        <v>2.0343300000000002</v>
      </c>
      <c r="DP99">
        <v>0.134073</v>
      </c>
      <c r="DQ99">
        <v>0.16350999999999999</v>
      </c>
      <c r="DR99">
        <v>24.771899999999999</v>
      </c>
      <c r="DS99">
        <v>24.622299999999999</v>
      </c>
      <c r="DT99">
        <v>16.8</v>
      </c>
      <c r="DU99">
        <v>29.8</v>
      </c>
      <c r="DV99">
        <v>7.1414400000000002</v>
      </c>
      <c r="DW99">
        <v>61.438600000000001</v>
      </c>
      <c r="DX99">
        <v>36.061700000000002</v>
      </c>
      <c r="DY99">
        <v>1</v>
      </c>
      <c r="DZ99">
        <v>-8.9629100000000003E-2</v>
      </c>
      <c r="EA99">
        <v>0.57882400000000001</v>
      </c>
      <c r="EB99">
        <v>20.188400000000001</v>
      </c>
      <c r="EC99">
        <v>5.2411000000000003</v>
      </c>
      <c r="ED99">
        <v>12.039899999999999</v>
      </c>
      <c r="EE99">
        <v>5.0168999999999997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1.8689199999999999</v>
      </c>
      <c r="EL99">
        <v>1.8647</v>
      </c>
      <c r="EM99">
        <v>1.8691899999999999</v>
      </c>
      <c r="EN99">
        <v>1.8672500000000001</v>
      </c>
      <c r="EO99">
        <v>1.8634200000000001</v>
      </c>
      <c r="EP99">
        <v>1.86459</v>
      </c>
      <c r="EQ99">
        <v>1.8702099999999999</v>
      </c>
      <c r="ER99">
        <v>1.8694599999999999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-0.158</v>
      </c>
      <c r="FG99">
        <v>0.11600000000000001</v>
      </c>
      <c r="FH99">
        <v>0.27827353915413472</v>
      </c>
      <c r="FI99">
        <v>-6.1462078757559423E-4</v>
      </c>
      <c r="FJ99">
        <v>-1.8861989874597051E-7</v>
      </c>
      <c r="FK99">
        <v>1.1980462299894961E-10</v>
      </c>
      <c r="FL99">
        <v>-3.2538871274648329E-2</v>
      </c>
      <c r="FM99">
        <v>-1.6848085045870601E-2</v>
      </c>
      <c r="FN99">
        <v>1.9789084769509481E-3</v>
      </c>
      <c r="FO99">
        <v>-2.7142391389806329E-5</v>
      </c>
      <c r="FP99">
        <v>3</v>
      </c>
      <c r="FQ99">
        <v>2158</v>
      </c>
      <c r="FR99">
        <v>1</v>
      </c>
      <c r="FS99">
        <v>19</v>
      </c>
      <c r="FT99">
        <v>23.5</v>
      </c>
      <c r="FU99">
        <v>23.4</v>
      </c>
      <c r="FV99">
        <v>1.7773399999999999</v>
      </c>
      <c r="FW99">
        <v>2.5891099999999998</v>
      </c>
      <c r="FX99">
        <v>1.5490699999999999</v>
      </c>
      <c r="FY99">
        <v>2.3290999999999999</v>
      </c>
      <c r="FZ99">
        <v>1.50146</v>
      </c>
      <c r="GA99">
        <v>2.33521</v>
      </c>
      <c r="GB99">
        <v>33.850900000000003</v>
      </c>
      <c r="GC99">
        <v>23.982399999999998</v>
      </c>
      <c r="GD99">
        <v>19</v>
      </c>
      <c r="GE99">
        <v>284.03800000000001</v>
      </c>
      <c r="GF99">
        <v>582.18700000000001</v>
      </c>
      <c r="GG99">
        <v>23.5305</v>
      </c>
      <c r="GH99">
        <v>26.242000000000001</v>
      </c>
      <c r="GI99">
        <v>29.9999</v>
      </c>
      <c r="GJ99">
        <v>26.4101</v>
      </c>
      <c r="GK99">
        <v>26.401900000000001</v>
      </c>
      <c r="GL99">
        <v>35.544199999999996</v>
      </c>
      <c r="GM99">
        <v>-30</v>
      </c>
      <c r="GN99">
        <v>-30</v>
      </c>
      <c r="GO99">
        <v>23.517800000000001</v>
      </c>
      <c r="GP99">
        <v>800</v>
      </c>
      <c r="GQ99">
        <v>12.5298</v>
      </c>
      <c r="GR99">
        <v>99.726399999999998</v>
      </c>
      <c r="GS99">
        <v>99.55</v>
      </c>
    </row>
    <row r="100" spans="1:201" x14ac:dyDescent="0.25">
      <c r="A100">
        <v>84</v>
      </c>
      <c r="B100">
        <v>1690219005.0999999</v>
      </c>
      <c r="C100">
        <v>984.59999990463257</v>
      </c>
      <c r="D100" t="s">
        <v>497</v>
      </c>
      <c r="E100" t="s">
        <v>498</v>
      </c>
      <c r="F100" t="s">
        <v>330</v>
      </c>
      <c r="H100">
        <v>1690219005.0999999</v>
      </c>
      <c r="I100">
        <f t="shared" si="30"/>
        <v>1.0745794292097825E-3</v>
      </c>
      <c r="J100">
        <f t="shared" si="31"/>
        <v>1.0745794292097826</v>
      </c>
      <c r="K100">
        <f t="shared" si="32"/>
        <v>14.85672663408079</v>
      </c>
      <c r="L100">
        <f t="shared" si="33"/>
        <v>632.34199999999998</v>
      </c>
      <c r="M100">
        <f t="shared" si="34"/>
        <v>158.16394424705385</v>
      </c>
      <c r="N100">
        <f t="shared" si="35"/>
        <v>15.686187855571328</v>
      </c>
      <c r="O100">
        <f t="shared" si="36"/>
        <v>62.713632036603997</v>
      </c>
      <c r="P100">
        <f t="shared" si="37"/>
        <v>5.2162951357370799E-2</v>
      </c>
      <c r="Q100">
        <f t="shared" si="38"/>
        <v>2.1328373446560969</v>
      </c>
      <c r="R100">
        <f t="shared" si="39"/>
        <v>5.1464442461500226E-2</v>
      </c>
      <c r="S100">
        <f t="shared" si="40"/>
        <v>3.2227255483161008E-2</v>
      </c>
      <c r="T100">
        <f t="shared" si="41"/>
        <v>276.114155778</v>
      </c>
      <c r="U100">
        <f t="shared" si="42"/>
        <v>27.62154981814912</v>
      </c>
      <c r="V100">
        <f t="shared" si="43"/>
        <v>27.62154981814912</v>
      </c>
      <c r="W100">
        <f t="shared" si="44"/>
        <v>3.7119180314426989</v>
      </c>
      <c r="X100">
        <f t="shared" si="45"/>
        <v>50.869267906330464</v>
      </c>
      <c r="Y100">
        <f t="shared" si="46"/>
        <v>1.6975788821254001</v>
      </c>
      <c r="Z100">
        <f t="shared" si="47"/>
        <v>3.3371403835637738</v>
      </c>
      <c r="AA100">
        <f t="shared" si="48"/>
        <v>2.0143391493172986</v>
      </c>
      <c r="AB100">
        <f t="shared" si="49"/>
        <v>-47.38895282815141</v>
      </c>
      <c r="AC100">
        <f t="shared" si="50"/>
        <v>-207.93405670478461</v>
      </c>
      <c r="AD100">
        <f t="shared" si="51"/>
        <v>-20.980643814443521</v>
      </c>
      <c r="AE100">
        <f t="shared" si="52"/>
        <v>-0.18949756937954021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52682.265157451751</v>
      </c>
      <c r="AK100">
        <f t="shared" si="56"/>
        <v>1800</v>
      </c>
      <c r="AL100">
        <f t="shared" si="57"/>
        <v>1499.1141798000001</v>
      </c>
      <c r="AM100">
        <f t="shared" si="58"/>
        <v>0.83284121100000008</v>
      </c>
      <c r="AN100">
        <f t="shared" si="59"/>
        <v>0.15339675320999999</v>
      </c>
      <c r="AO100">
        <v>32.4</v>
      </c>
      <c r="AP100">
        <v>0.5</v>
      </c>
      <c r="AQ100" t="s">
        <v>331</v>
      </c>
      <c r="AR100">
        <v>2</v>
      </c>
      <c r="AS100">
        <v>1690219005.0999999</v>
      </c>
      <c r="AT100">
        <v>632.34199999999998</v>
      </c>
      <c r="AU100">
        <v>800.05499999999995</v>
      </c>
      <c r="AV100">
        <v>17.116700000000002</v>
      </c>
      <c r="AW100">
        <v>5.7152099999999999</v>
      </c>
      <c r="AX100">
        <v>632.49699999999996</v>
      </c>
      <c r="AY100">
        <v>16.997199999999999</v>
      </c>
      <c r="AZ100">
        <v>300.14</v>
      </c>
      <c r="BA100">
        <v>99.076700000000002</v>
      </c>
      <c r="BB100">
        <v>0.100062</v>
      </c>
      <c r="BC100">
        <v>25.813199999999998</v>
      </c>
      <c r="BD100">
        <v>26.990200000000002</v>
      </c>
      <c r="BE100">
        <v>27.293600000000001</v>
      </c>
      <c r="BF100">
        <v>0</v>
      </c>
      <c r="BG100">
        <v>0</v>
      </c>
      <c r="BH100">
        <v>10016.9</v>
      </c>
      <c r="BI100">
        <v>1063.21</v>
      </c>
      <c r="BJ100">
        <v>1.7380500000000001</v>
      </c>
      <c r="BK100">
        <v>-167.71299999999999</v>
      </c>
      <c r="BL100">
        <v>643.35400000000004</v>
      </c>
      <c r="BM100">
        <v>804.65300000000002</v>
      </c>
      <c r="BN100">
        <v>11.4015</v>
      </c>
      <c r="BO100">
        <v>800.05499999999995</v>
      </c>
      <c r="BP100">
        <v>5.7152099999999999</v>
      </c>
      <c r="BQ100">
        <v>1.69587</v>
      </c>
      <c r="BR100">
        <v>0.56624399999999997</v>
      </c>
      <c r="BS100">
        <v>14.858599999999999</v>
      </c>
      <c r="BT100">
        <v>-1.10189</v>
      </c>
      <c r="BU100">
        <v>1800</v>
      </c>
      <c r="BV100">
        <v>0.910022</v>
      </c>
      <c r="BW100">
        <v>3.3994499999999997E-2</v>
      </c>
      <c r="BX100">
        <v>2.1993800000000001E-2</v>
      </c>
      <c r="BY100">
        <v>3.39893E-2</v>
      </c>
      <c r="BZ100">
        <v>25.416699999999999</v>
      </c>
      <c r="CA100">
        <v>33528.5</v>
      </c>
      <c r="CB100">
        <v>1690217592</v>
      </c>
      <c r="CC100" t="s">
        <v>332</v>
      </c>
      <c r="CD100">
        <v>1690217586.5</v>
      </c>
      <c r="CE100">
        <v>1690217592</v>
      </c>
      <c r="CF100">
        <v>9</v>
      </c>
      <c r="CG100">
        <v>0.11600000000000001</v>
      </c>
      <c r="CH100">
        <v>-3.0000000000000001E-3</v>
      </c>
      <c r="CI100">
        <v>-0.27300000000000002</v>
      </c>
      <c r="CJ100">
        <v>-6.9000000000000006E-2</v>
      </c>
      <c r="CK100">
        <v>800</v>
      </c>
      <c r="CL100">
        <v>6</v>
      </c>
      <c r="CM100">
        <v>0.01</v>
      </c>
      <c r="CN100">
        <v>0.01</v>
      </c>
      <c r="CO100">
        <v>-164.34917073170729</v>
      </c>
      <c r="CP100">
        <v>-17.955496408798769</v>
      </c>
      <c r="CQ100">
        <v>1.721794595585453</v>
      </c>
      <c r="CR100">
        <v>-1</v>
      </c>
      <c r="CS100">
        <v>11.24560243902439</v>
      </c>
      <c r="CT100">
        <v>0.86487519960642711</v>
      </c>
      <c r="CU100">
        <v>8.2938018255200141E-2</v>
      </c>
      <c r="CV100">
        <v>-1</v>
      </c>
      <c r="CW100">
        <v>0</v>
      </c>
      <c r="CX100">
        <v>0</v>
      </c>
      <c r="CY100" t="s">
        <v>333</v>
      </c>
      <c r="CZ100">
        <v>2.3643999999999998</v>
      </c>
      <c r="DA100">
        <v>2.71387</v>
      </c>
      <c r="DB100">
        <v>0.124898</v>
      </c>
      <c r="DC100">
        <v>0.146067</v>
      </c>
      <c r="DD100">
        <v>8.9514700000000003E-2</v>
      </c>
      <c r="DE100">
        <v>3.7905000000000001E-2</v>
      </c>
      <c r="DF100">
        <v>31949.8</v>
      </c>
      <c r="DG100">
        <v>27515.9</v>
      </c>
      <c r="DH100">
        <v>31168.7</v>
      </c>
      <c r="DI100">
        <v>28077.7</v>
      </c>
      <c r="DJ100">
        <v>38536.199999999997</v>
      </c>
      <c r="DK100">
        <v>38414.1</v>
      </c>
      <c r="DL100">
        <v>44356.5</v>
      </c>
      <c r="DM100">
        <v>42554.3</v>
      </c>
      <c r="DN100">
        <v>1.47855</v>
      </c>
      <c r="DO100">
        <v>2.0341</v>
      </c>
      <c r="DP100">
        <v>0.135265</v>
      </c>
      <c r="DQ100">
        <v>0.16306300000000001</v>
      </c>
      <c r="DR100">
        <v>24.774000000000001</v>
      </c>
      <c r="DS100">
        <v>24.622299999999999</v>
      </c>
      <c r="DT100">
        <v>16.8</v>
      </c>
      <c r="DU100">
        <v>29.8</v>
      </c>
      <c r="DV100">
        <v>7.1428500000000001</v>
      </c>
      <c r="DW100">
        <v>61.644100000000002</v>
      </c>
      <c r="DX100">
        <v>36.911099999999998</v>
      </c>
      <c r="DY100">
        <v>1</v>
      </c>
      <c r="DZ100">
        <v>-8.9550299999999999E-2</v>
      </c>
      <c r="EA100">
        <v>0.38540600000000003</v>
      </c>
      <c r="EB100">
        <v>20.1892</v>
      </c>
      <c r="EC100">
        <v>5.2406499999999996</v>
      </c>
      <c r="ED100">
        <v>12.039899999999999</v>
      </c>
      <c r="EE100">
        <v>5.0170500000000002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1.8689499999999999</v>
      </c>
      <c r="EL100">
        <v>1.8647199999999999</v>
      </c>
      <c r="EM100">
        <v>1.8692</v>
      </c>
      <c r="EN100">
        <v>1.8672299999999999</v>
      </c>
      <c r="EO100">
        <v>1.8633999999999999</v>
      </c>
      <c r="EP100">
        <v>1.8646</v>
      </c>
      <c r="EQ100">
        <v>1.8702000000000001</v>
      </c>
      <c r="ER100">
        <v>1.86944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-0.155</v>
      </c>
      <c r="FG100">
        <v>0.1195</v>
      </c>
      <c r="FH100">
        <v>0.27827353915413472</v>
      </c>
      <c r="FI100">
        <v>-6.1462078757559423E-4</v>
      </c>
      <c r="FJ100">
        <v>-1.8861989874597051E-7</v>
      </c>
      <c r="FK100">
        <v>1.1980462299894961E-10</v>
      </c>
      <c r="FL100">
        <v>-3.2538871274648329E-2</v>
      </c>
      <c r="FM100">
        <v>-1.6848085045870601E-2</v>
      </c>
      <c r="FN100">
        <v>1.9789084769509481E-3</v>
      </c>
      <c r="FO100">
        <v>-2.7142391389806329E-5</v>
      </c>
      <c r="FP100">
        <v>3</v>
      </c>
      <c r="FQ100">
        <v>2158</v>
      </c>
      <c r="FR100">
        <v>1</v>
      </c>
      <c r="FS100">
        <v>19</v>
      </c>
      <c r="FT100">
        <v>23.6</v>
      </c>
      <c r="FU100">
        <v>23.6</v>
      </c>
      <c r="FV100">
        <v>1.7773399999999999</v>
      </c>
      <c r="FW100">
        <v>2.5878899999999998</v>
      </c>
      <c r="FX100">
        <v>1.5490699999999999</v>
      </c>
      <c r="FY100">
        <v>2.3290999999999999</v>
      </c>
      <c r="FZ100">
        <v>1.50146</v>
      </c>
      <c r="GA100">
        <v>2.34009</v>
      </c>
      <c r="GB100">
        <v>33.850900000000003</v>
      </c>
      <c r="GC100">
        <v>23.973700000000001</v>
      </c>
      <c r="GD100">
        <v>19</v>
      </c>
      <c r="GE100">
        <v>284.12599999999998</v>
      </c>
      <c r="GF100">
        <v>581.96400000000006</v>
      </c>
      <c r="GG100">
        <v>23.525700000000001</v>
      </c>
      <c r="GH100">
        <v>26.2377</v>
      </c>
      <c r="GI100">
        <v>30</v>
      </c>
      <c r="GJ100">
        <v>26.405799999999999</v>
      </c>
      <c r="GK100">
        <v>26.398499999999999</v>
      </c>
      <c r="GL100">
        <v>35.543700000000001</v>
      </c>
      <c r="GM100">
        <v>-30</v>
      </c>
      <c r="GN100">
        <v>-30</v>
      </c>
      <c r="GO100">
        <v>23.545100000000001</v>
      </c>
      <c r="GP100">
        <v>800</v>
      </c>
      <c r="GQ100">
        <v>12.5298</v>
      </c>
      <c r="GR100">
        <v>99.727199999999996</v>
      </c>
      <c r="GS100">
        <v>99.551000000000002</v>
      </c>
    </row>
    <row r="101" spans="1:201" x14ac:dyDescent="0.25">
      <c r="A101">
        <v>85</v>
      </c>
      <c r="B101">
        <v>1690219015.0999999</v>
      </c>
      <c r="C101">
        <v>994.59999990463257</v>
      </c>
      <c r="D101" t="s">
        <v>499</v>
      </c>
      <c r="E101" t="s">
        <v>500</v>
      </c>
      <c r="F101" t="s">
        <v>330</v>
      </c>
      <c r="H101">
        <v>1690219015.0999999</v>
      </c>
      <c r="I101">
        <f t="shared" si="30"/>
        <v>1.0889725939091761E-3</v>
      </c>
      <c r="J101">
        <f t="shared" si="31"/>
        <v>1.0889725939091761</v>
      </c>
      <c r="K101">
        <f t="shared" si="32"/>
        <v>15.130087502406946</v>
      </c>
      <c r="L101">
        <f t="shared" si="33"/>
        <v>629.36400000000003</v>
      </c>
      <c r="M101">
        <f t="shared" si="34"/>
        <v>156.646899157858</v>
      </c>
      <c r="N101">
        <f t="shared" si="35"/>
        <v>15.535080271422586</v>
      </c>
      <c r="O101">
        <f t="shared" si="36"/>
        <v>62.415664226399997</v>
      </c>
      <c r="P101">
        <f t="shared" si="37"/>
        <v>5.3284961433086468E-2</v>
      </c>
      <c r="Q101">
        <f t="shared" si="38"/>
        <v>2.1309606283016929</v>
      </c>
      <c r="R101">
        <f t="shared" si="39"/>
        <v>5.2555674001915874E-2</v>
      </c>
      <c r="S101">
        <f t="shared" si="40"/>
        <v>3.2911988245271404E-2</v>
      </c>
      <c r="T101">
        <f t="shared" si="41"/>
        <v>276.11265928625971</v>
      </c>
      <c r="U101">
        <f t="shared" si="42"/>
        <v>27.617364284331757</v>
      </c>
      <c r="V101">
        <f t="shared" si="43"/>
        <v>27.617364284331757</v>
      </c>
      <c r="W101">
        <f t="shared" si="44"/>
        <v>3.7110098579254034</v>
      </c>
      <c r="X101">
        <f t="shared" si="45"/>
        <v>51.312347624436207</v>
      </c>
      <c r="Y101">
        <f t="shared" si="46"/>
        <v>1.7123041943399997</v>
      </c>
      <c r="Z101">
        <f t="shared" si="47"/>
        <v>3.3370217376773428</v>
      </c>
      <c r="AA101">
        <f t="shared" si="48"/>
        <v>1.9987056635854037</v>
      </c>
      <c r="AB101">
        <f t="shared" si="49"/>
        <v>-48.023691391394664</v>
      </c>
      <c r="AC101">
        <f t="shared" si="50"/>
        <v>-207.33917061317874</v>
      </c>
      <c r="AD101">
        <f t="shared" si="51"/>
        <v>-20.938541872719476</v>
      </c>
      <c r="AE101">
        <f t="shared" si="52"/>
        <v>-0.18874459103315644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52601.012693389639</v>
      </c>
      <c r="AK101">
        <f t="shared" si="56"/>
        <v>1799.99</v>
      </c>
      <c r="AL101">
        <f t="shared" si="57"/>
        <v>1499.10668298327</v>
      </c>
      <c r="AM101">
        <f t="shared" si="58"/>
        <v>0.832841673</v>
      </c>
      <c r="AN101">
        <f t="shared" si="59"/>
        <v>0.15339677403000002</v>
      </c>
      <c r="AO101">
        <v>32.4</v>
      </c>
      <c r="AP101">
        <v>0.5</v>
      </c>
      <c r="AQ101" t="s">
        <v>331</v>
      </c>
      <c r="AR101">
        <v>2</v>
      </c>
      <c r="AS101">
        <v>1690219015.0999999</v>
      </c>
      <c r="AT101">
        <v>629.36400000000003</v>
      </c>
      <c r="AU101">
        <v>800.06500000000005</v>
      </c>
      <c r="AV101">
        <v>17.265899999999998</v>
      </c>
      <c r="AW101">
        <v>5.7152200000000004</v>
      </c>
      <c r="AX101">
        <v>629.51700000000005</v>
      </c>
      <c r="AY101">
        <v>17.142499999999998</v>
      </c>
      <c r="AZ101">
        <v>300.18599999999998</v>
      </c>
      <c r="BA101">
        <v>99.072599999999994</v>
      </c>
      <c r="BB101">
        <v>0.1</v>
      </c>
      <c r="BC101">
        <v>25.8126</v>
      </c>
      <c r="BD101">
        <v>26.976400000000002</v>
      </c>
      <c r="BE101">
        <v>27.2728</v>
      </c>
      <c r="BF101">
        <v>0</v>
      </c>
      <c r="BG101">
        <v>0</v>
      </c>
      <c r="BH101">
        <v>10001.200000000001</v>
      </c>
      <c r="BI101">
        <v>1063.26</v>
      </c>
      <c r="BJ101">
        <v>1.7380500000000001</v>
      </c>
      <c r="BK101">
        <v>-170.70099999999999</v>
      </c>
      <c r="BL101">
        <v>640.42100000000005</v>
      </c>
      <c r="BM101">
        <v>804.66399999999999</v>
      </c>
      <c r="BN101">
        <v>11.550700000000001</v>
      </c>
      <c r="BO101">
        <v>800.06500000000005</v>
      </c>
      <c r="BP101">
        <v>5.7152200000000004</v>
      </c>
      <c r="BQ101">
        <v>1.71058</v>
      </c>
      <c r="BR101">
        <v>0.566222</v>
      </c>
      <c r="BS101">
        <v>14.992800000000001</v>
      </c>
      <c r="BT101">
        <v>-1.10243</v>
      </c>
      <c r="BU101">
        <v>1799.99</v>
      </c>
      <c r="BV101">
        <v>0.91002400000000006</v>
      </c>
      <c r="BW101">
        <v>3.3993900000000001E-2</v>
      </c>
      <c r="BX101">
        <v>2.19934E-2</v>
      </c>
      <c r="BY101">
        <v>3.3988699999999997E-2</v>
      </c>
      <c r="BZ101">
        <v>25.541699999999999</v>
      </c>
      <c r="CA101">
        <v>33528.400000000001</v>
      </c>
      <c r="CB101">
        <v>1690217592</v>
      </c>
      <c r="CC101" t="s">
        <v>332</v>
      </c>
      <c r="CD101">
        <v>1690217586.5</v>
      </c>
      <c r="CE101">
        <v>1690217592</v>
      </c>
      <c r="CF101">
        <v>9</v>
      </c>
      <c r="CG101">
        <v>0.11600000000000001</v>
      </c>
      <c r="CH101">
        <v>-3.0000000000000001E-3</v>
      </c>
      <c r="CI101">
        <v>-0.27300000000000002</v>
      </c>
      <c r="CJ101">
        <v>-6.9000000000000006E-2</v>
      </c>
      <c r="CK101">
        <v>800</v>
      </c>
      <c r="CL101">
        <v>6</v>
      </c>
      <c r="CM101">
        <v>0.01</v>
      </c>
      <c r="CN101">
        <v>0.01</v>
      </c>
      <c r="CO101">
        <v>-167.2626341463415</v>
      </c>
      <c r="CP101">
        <v>-17.749421078821999</v>
      </c>
      <c r="CQ101">
        <v>1.7287004389466989</v>
      </c>
      <c r="CR101">
        <v>-1</v>
      </c>
      <c r="CS101">
        <v>11.385431707317069</v>
      </c>
      <c r="CT101">
        <v>0.84734652565895396</v>
      </c>
      <c r="CU101">
        <v>8.253579693159728E-2</v>
      </c>
      <c r="CV101">
        <v>-1</v>
      </c>
      <c r="CW101">
        <v>0</v>
      </c>
      <c r="CX101">
        <v>0</v>
      </c>
      <c r="CY101" t="s">
        <v>333</v>
      </c>
      <c r="CZ101">
        <v>2.36456</v>
      </c>
      <c r="DA101">
        <v>2.7137899999999999</v>
      </c>
      <c r="DB101">
        <v>0.124485</v>
      </c>
      <c r="DC101">
        <v>0.146064</v>
      </c>
      <c r="DD101">
        <v>9.0067999999999995E-2</v>
      </c>
      <c r="DE101">
        <v>3.7903899999999997E-2</v>
      </c>
      <c r="DF101">
        <v>31964.9</v>
      </c>
      <c r="DG101">
        <v>27516.5</v>
      </c>
      <c r="DH101">
        <v>31168.7</v>
      </c>
      <c r="DI101">
        <v>28078.2</v>
      </c>
      <c r="DJ101">
        <v>38512.699999999997</v>
      </c>
      <c r="DK101">
        <v>38414.699999999997</v>
      </c>
      <c r="DL101">
        <v>44356.6</v>
      </c>
      <c r="DM101">
        <v>42554.9</v>
      </c>
      <c r="DN101">
        <v>1.47865</v>
      </c>
      <c r="DO101">
        <v>2.0341</v>
      </c>
      <c r="DP101">
        <v>0.134293</v>
      </c>
      <c r="DQ101">
        <v>0.16179299999999999</v>
      </c>
      <c r="DR101">
        <v>24.776199999999999</v>
      </c>
      <c r="DS101">
        <v>24.622299999999999</v>
      </c>
      <c r="DT101">
        <v>16.8</v>
      </c>
      <c r="DU101">
        <v>29.8</v>
      </c>
      <c r="DV101">
        <v>7.1411199999999999</v>
      </c>
      <c r="DW101">
        <v>61.694000000000003</v>
      </c>
      <c r="DX101">
        <v>36.502400000000002</v>
      </c>
      <c r="DY101">
        <v>1</v>
      </c>
      <c r="DZ101">
        <v>-9.0180399999999994E-2</v>
      </c>
      <c r="EA101">
        <v>0.37130400000000002</v>
      </c>
      <c r="EB101">
        <v>20.189399999999999</v>
      </c>
      <c r="EC101">
        <v>5.2403500000000003</v>
      </c>
      <c r="ED101">
        <v>12.039899999999999</v>
      </c>
      <c r="EE101">
        <v>5.0167000000000002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1.86896</v>
      </c>
      <c r="EL101">
        <v>1.8647</v>
      </c>
      <c r="EM101">
        <v>1.8692</v>
      </c>
      <c r="EN101">
        <v>1.8672299999999999</v>
      </c>
      <c r="EO101">
        <v>1.86341</v>
      </c>
      <c r="EP101">
        <v>1.86459</v>
      </c>
      <c r="EQ101">
        <v>1.8702000000000001</v>
      </c>
      <c r="ER101">
        <v>1.8694500000000001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-0.153</v>
      </c>
      <c r="FG101">
        <v>0.1234</v>
      </c>
      <c r="FH101">
        <v>0.27827353915413472</v>
      </c>
      <c r="FI101">
        <v>-6.1462078757559423E-4</v>
      </c>
      <c r="FJ101">
        <v>-1.8861989874597051E-7</v>
      </c>
      <c r="FK101">
        <v>1.1980462299894961E-10</v>
      </c>
      <c r="FL101">
        <v>-3.2538871274648329E-2</v>
      </c>
      <c r="FM101">
        <v>-1.6848085045870601E-2</v>
      </c>
      <c r="FN101">
        <v>1.9789084769509481E-3</v>
      </c>
      <c r="FO101">
        <v>-2.7142391389806329E-5</v>
      </c>
      <c r="FP101">
        <v>3</v>
      </c>
      <c r="FQ101">
        <v>2158</v>
      </c>
      <c r="FR101">
        <v>1</v>
      </c>
      <c r="FS101">
        <v>19</v>
      </c>
      <c r="FT101">
        <v>23.8</v>
      </c>
      <c r="FU101">
        <v>23.7</v>
      </c>
      <c r="FV101">
        <v>1.7773399999999999</v>
      </c>
      <c r="FW101">
        <v>2.5854499999999998</v>
      </c>
      <c r="FX101">
        <v>1.5490699999999999</v>
      </c>
      <c r="FY101">
        <v>2.3290999999999999</v>
      </c>
      <c r="FZ101">
        <v>1.50146</v>
      </c>
      <c r="GA101">
        <v>2.3535200000000001</v>
      </c>
      <c r="GB101">
        <v>33.850900000000003</v>
      </c>
      <c r="GC101">
        <v>23.982399999999998</v>
      </c>
      <c r="GD101">
        <v>19</v>
      </c>
      <c r="GE101">
        <v>284.15300000000002</v>
      </c>
      <c r="GF101">
        <v>581.91399999999999</v>
      </c>
      <c r="GG101">
        <v>23.552399999999999</v>
      </c>
      <c r="GH101">
        <v>26.233599999999999</v>
      </c>
      <c r="GI101">
        <v>29.9999</v>
      </c>
      <c r="GJ101">
        <v>26.4023</v>
      </c>
      <c r="GK101">
        <v>26.394100000000002</v>
      </c>
      <c r="GL101">
        <v>35.5411</v>
      </c>
      <c r="GM101">
        <v>-30</v>
      </c>
      <c r="GN101">
        <v>-30</v>
      </c>
      <c r="GO101">
        <v>23.5672</v>
      </c>
      <c r="GP101">
        <v>800</v>
      </c>
      <c r="GQ101">
        <v>12.5298</v>
      </c>
      <c r="GR101">
        <v>99.7273</v>
      </c>
      <c r="GS101">
        <v>99.552499999999995</v>
      </c>
    </row>
    <row r="102" spans="1:201" x14ac:dyDescent="0.25">
      <c r="A102">
        <v>86</v>
      </c>
      <c r="B102">
        <v>1690219025.0999999</v>
      </c>
      <c r="C102">
        <v>1004.599999904633</v>
      </c>
      <c r="D102" t="s">
        <v>501</v>
      </c>
      <c r="E102" t="s">
        <v>502</v>
      </c>
      <c r="F102" t="s">
        <v>330</v>
      </c>
      <c r="H102">
        <v>1690219025.0999999</v>
      </c>
      <c r="I102">
        <f t="shared" si="30"/>
        <v>1.1025849903843188E-3</v>
      </c>
      <c r="J102">
        <f t="shared" si="31"/>
        <v>1.1025849903843188</v>
      </c>
      <c r="K102">
        <f t="shared" si="32"/>
        <v>15.388726098050164</v>
      </c>
      <c r="L102">
        <f t="shared" si="33"/>
        <v>626.46199999999999</v>
      </c>
      <c r="M102">
        <f t="shared" si="34"/>
        <v>154.88007497432244</v>
      </c>
      <c r="N102">
        <f t="shared" si="35"/>
        <v>15.359746939727895</v>
      </c>
      <c r="O102">
        <f t="shared" si="36"/>
        <v>62.127409151571598</v>
      </c>
      <c r="P102">
        <f t="shared" si="37"/>
        <v>5.4323121000086669E-2</v>
      </c>
      <c r="Q102">
        <f t="shared" si="38"/>
        <v>2.1309523926056926</v>
      </c>
      <c r="R102">
        <f t="shared" si="39"/>
        <v>5.3565354107078057E-2</v>
      </c>
      <c r="S102">
        <f t="shared" si="40"/>
        <v>3.3545548038763383E-2</v>
      </c>
      <c r="T102">
        <f t="shared" si="41"/>
        <v>276.11397311399998</v>
      </c>
      <c r="U102">
        <f t="shared" si="42"/>
        <v>27.620018883945839</v>
      </c>
      <c r="V102">
        <f t="shared" si="43"/>
        <v>27.620018883945839</v>
      </c>
      <c r="W102">
        <f t="shared" si="44"/>
        <v>3.711585828166716</v>
      </c>
      <c r="X102">
        <f t="shared" si="45"/>
        <v>51.706246475809273</v>
      </c>
      <c r="Y102">
        <f t="shared" si="46"/>
        <v>1.7262054349251601</v>
      </c>
      <c r="Z102">
        <f t="shared" si="47"/>
        <v>3.3384852944851913</v>
      </c>
      <c r="AA102">
        <f t="shared" si="48"/>
        <v>1.9853803932415559</v>
      </c>
      <c r="AB102">
        <f t="shared" si="49"/>
        <v>-48.623998075948457</v>
      </c>
      <c r="AC102">
        <f t="shared" si="50"/>
        <v>-206.79319916373174</v>
      </c>
      <c r="AD102">
        <f t="shared" si="51"/>
        <v>-20.884536504888192</v>
      </c>
      <c r="AE102">
        <f t="shared" si="52"/>
        <v>-0.18776063056841963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52599.33843352057</v>
      </c>
      <c r="AK102">
        <f t="shared" si="56"/>
        <v>1800</v>
      </c>
      <c r="AL102">
        <f t="shared" si="57"/>
        <v>1499.1135623999996</v>
      </c>
      <c r="AM102">
        <f t="shared" si="58"/>
        <v>0.83284086799999979</v>
      </c>
      <c r="AN102">
        <f t="shared" si="59"/>
        <v>0.15339665173</v>
      </c>
      <c r="AO102">
        <v>32.4</v>
      </c>
      <c r="AP102">
        <v>0.5</v>
      </c>
      <c r="AQ102" t="s">
        <v>331</v>
      </c>
      <c r="AR102">
        <v>2</v>
      </c>
      <c r="AS102">
        <v>1690219025.0999999</v>
      </c>
      <c r="AT102">
        <v>626.46199999999999</v>
      </c>
      <c r="AU102">
        <v>799.99400000000003</v>
      </c>
      <c r="AV102">
        <v>17.406199999999998</v>
      </c>
      <c r="AW102">
        <v>5.7140500000000003</v>
      </c>
      <c r="AX102">
        <v>626.61300000000006</v>
      </c>
      <c r="AY102">
        <v>17.279</v>
      </c>
      <c r="AZ102">
        <v>300.21800000000002</v>
      </c>
      <c r="BA102">
        <v>99.071899999999999</v>
      </c>
      <c r="BB102">
        <v>9.99718E-2</v>
      </c>
      <c r="BC102">
        <v>25.82</v>
      </c>
      <c r="BD102">
        <v>26.959700000000002</v>
      </c>
      <c r="BE102">
        <v>27.307200000000002</v>
      </c>
      <c r="BF102">
        <v>0</v>
      </c>
      <c r="BG102">
        <v>0</v>
      </c>
      <c r="BH102">
        <v>10001.200000000001</v>
      </c>
      <c r="BI102">
        <v>1063.32</v>
      </c>
      <c r="BJ102">
        <v>1.7380500000000001</v>
      </c>
      <c r="BK102">
        <v>-173.53200000000001</v>
      </c>
      <c r="BL102">
        <v>637.55899999999997</v>
      </c>
      <c r="BM102">
        <v>804.59199999999998</v>
      </c>
      <c r="BN102">
        <v>11.6921</v>
      </c>
      <c r="BO102">
        <v>799.99400000000003</v>
      </c>
      <c r="BP102">
        <v>5.7140500000000003</v>
      </c>
      <c r="BQ102">
        <v>1.7244600000000001</v>
      </c>
      <c r="BR102">
        <v>0.56610099999999997</v>
      </c>
      <c r="BS102">
        <v>15.118399999999999</v>
      </c>
      <c r="BT102">
        <v>-1.1053299999999999</v>
      </c>
      <c r="BU102">
        <v>1800</v>
      </c>
      <c r="BV102">
        <v>0.91002099999999997</v>
      </c>
      <c r="BW102">
        <v>3.3996499999999999E-2</v>
      </c>
      <c r="BX102">
        <v>2.1991900000000002E-2</v>
      </c>
      <c r="BY102">
        <v>3.3990300000000001E-2</v>
      </c>
      <c r="BZ102">
        <v>25.625</v>
      </c>
      <c r="CA102">
        <v>33528.5</v>
      </c>
      <c r="CB102">
        <v>1690217592</v>
      </c>
      <c r="CC102" t="s">
        <v>332</v>
      </c>
      <c r="CD102">
        <v>1690217586.5</v>
      </c>
      <c r="CE102">
        <v>1690217592</v>
      </c>
      <c r="CF102">
        <v>9</v>
      </c>
      <c r="CG102">
        <v>0.11600000000000001</v>
      </c>
      <c r="CH102">
        <v>-3.0000000000000001E-3</v>
      </c>
      <c r="CI102">
        <v>-0.27300000000000002</v>
      </c>
      <c r="CJ102">
        <v>-6.9000000000000006E-2</v>
      </c>
      <c r="CK102">
        <v>800</v>
      </c>
      <c r="CL102">
        <v>6</v>
      </c>
      <c r="CM102">
        <v>0.01</v>
      </c>
      <c r="CN102">
        <v>0.01</v>
      </c>
      <c r="CO102">
        <v>-170.18036585365849</v>
      </c>
      <c r="CP102">
        <v>-17.233902439024579</v>
      </c>
      <c r="CQ102">
        <v>1.700170117113788</v>
      </c>
      <c r="CR102">
        <v>-1</v>
      </c>
      <c r="CS102">
        <v>11.52673658536585</v>
      </c>
      <c r="CT102">
        <v>0.85904529616726744</v>
      </c>
      <c r="CU102">
        <v>8.4738069182794626E-2</v>
      </c>
      <c r="CV102">
        <v>-1</v>
      </c>
      <c r="CW102">
        <v>0</v>
      </c>
      <c r="CX102">
        <v>0</v>
      </c>
      <c r="CY102" t="s">
        <v>333</v>
      </c>
      <c r="CZ102">
        <v>2.3646500000000001</v>
      </c>
      <c r="DA102">
        <v>2.7137600000000002</v>
      </c>
      <c r="DB102">
        <v>0.124087</v>
      </c>
      <c r="DC102">
        <v>0.14605499999999999</v>
      </c>
      <c r="DD102">
        <v>9.0589199999999995E-2</v>
      </c>
      <c r="DE102">
        <v>3.7897599999999997E-2</v>
      </c>
      <c r="DF102">
        <v>31979.9</v>
      </c>
      <c r="DG102">
        <v>27517</v>
      </c>
      <c r="DH102">
        <v>31169</v>
      </c>
      <c r="DI102">
        <v>28078.400000000001</v>
      </c>
      <c r="DJ102">
        <v>38490.699999999997</v>
      </c>
      <c r="DK102">
        <v>38415.4</v>
      </c>
      <c r="DL102">
        <v>44356.9</v>
      </c>
      <c r="DM102">
        <v>42555.4</v>
      </c>
      <c r="DN102">
        <v>1.47882</v>
      </c>
      <c r="DO102">
        <v>2.0339499999999999</v>
      </c>
      <c r="DP102">
        <v>0.13339899999999999</v>
      </c>
      <c r="DQ102">
        <v>0.164021</v>
      </c>
      <c r="DR102">
        <v>24.774000000000001</v>
      </c>
      <c r="DS102">
        <v>24.620200000000001</v>
      </c>
      <c r="DT102">
        <v>16.8</v>
      </c>
      <c r="DU102">
        <v>29.8</v>
      </c>
      <c r="DV102">
        <v>7.1415499999999996</v>
      </c>
      <c r="DW102">
        <v>61.293999999999997</v>
      </c>
      <c r="DX102">
        <v>36.326099999999997</v>
      </c>
      <c r="DY102">
        <v>1</v>
      </c>
      <c r="DZ102">
        <v>-9.0218499999999993E-2</v>
      </c>
      <c r="EA102">
        <v>0.31241799999999997</v>
      </c>
      <c r="EB102">
        <v>20.189499999999999</v>
      </c>
      <c r="EC102">
        <v>5.2411000000000003</v>
      </c>
      <c r="ED102">
        <v>12.039899999999999</v>
      </c>
      <c r="EE102">
        <v>5.01715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1.86897</v>
      </c>
      <c r="EL102">
        <v>1.86469</v>
      </c>
      <c r="EM102">
        <v>1.8692</v>
      </c>
      <c r="EN102">
        <v>1.86724</v>
      </c>
      <c r="EO102">
        <v>1.86341</v>
      </c>
      <c r="EP102">
        <v>1.8646100000000001</v>
      </c>
      <c r="EQ102">
        <v>1.87019</v>
      </c>
      <c r="ER102">
        <v>1.8694599999999999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-0.151</v>
      </c>
      <c r="FG102">
        <v>0.12720000000000001</v>
      </c>
      <c r="FH102">
        <v>0.27827353915413472</v>
      </c>
      <c r="FI102">
        <v>-6.1462078757559423E-4</v>
      </c>
      <c r="FJ102">
        <v>-1.8861989874597051E-7</v>
      </c>
      <c r="FK102">
        <v>1.1980462299894961E-10</v>
      </c>
      <c r="FL102">
        <v>-3.2538871274648329E-2</v>
      </c>
      <c r="FM102">
        <v>-1.6848085045870601E-2</v>
      </c>
      <c r="FN102">
        <v>1.9789084769509481E-3</v>
      </c>
      <c r="FO102">
        <v>-2.7142391389806329E-5</v>
      </c>
      <c r="FP102">
        <v>3</v>
      </c>
      <c r="FQ102">
        <v>2158</v>
      </c>
      <c r="FR102">
        <v>1</v>
      </c>
      <c r="FS102">
        <v>19</v>
      </c>
      <c r="FT102">
        <v>24</v>
      </c>
      <c r="FU102">
        <v>23.9</v>
      </c>
      <c r="FV102">
        <v>1.7773399999999999</v>
      </c>
      <c r="FW102">
        <v>2.5842299999999998</v>
      </c>
      <c r="FX102">
        <v>1.5490699999999999</v>
      </c>
      <c r="FY102">
        <v>2.3290999999999999</v>
      </c>
      <c r="FZ102">
        <v>1.50146</v>
      </c>
      <c r="GA102">
        <v>2.3840300000000001</v>
      </c>
      <c r="GB102">
        <v>33.850900000000003</v>
      </c>
      <c r="GC102">
        <v>23.982399999999998</v>
      </c>
      <c r="GD102">
        <v>19</v>
      </c>
      <c r="GE102">
        <v>284.214</v>
      </c>
      <c r="GF102">
        <v>581.75900000000001</v>
      </c>
      <c r="GG102">
        <v>23.5853</v>
      </c>
      <c r="GH102">
        <v>26.229800000000001</v>
      </c>
      <c r="GI102">
        <v>30</v>
      </c>
      <c r="GJ102">
        <v>26.399000000000001</v>
      </c>
      <c r="GK102">
        <v>26.391300000000001</v>
      </c>
      <c r="GL102">
        <v>35.541800000000002</v>
      </c>
      <c r="GM102">
        <v>-30</v>
      </c>
      <c r="GN102">
        <v>-30</v>
      </c>
      <c r="GO102">
        <v>23.6065</v>
      </c>
      <c r="GP102">
        <v>800</v>
      </c>
      <c r="GQ102">
        <v>12.5298</v>
      </c>
      <c r="GR102">
        <v>99.728200000000001</v>
      </c>
      <c r="GS102">
        <v>99.5535</v>
      </c>
    </row>
    <row r="103" spans="1:201" x14ac:dyDescent="0.25">
      <c r="A103">
        <v>87</v>
      </c>
      <c r="B103">
        <v>1690219035.0999999</v>
      </c>
      <c r="C103">
        <v>1014.599999904633</v>
      </c>
      <c r="D103" t="s">
        <v>503</v>
      </c>
      <c r="E103" t="s">
        <v>504</v>
      </c>
      <c r="F103" t="s">
        <v>330</v>
      </c>
      <c r="H103">
        <v>1690219035.0999999</v>
      </c>
      <c r="I103">
        <f t="shared" si="30"/>
        <v>1.1150328182211449E-3</v>
      </c>
      <c r="J103">
        <f t="shared" si="31"/>
        <v>1.1150328182211449</v>
      </c>
      <c r="K103">
        <f t="shared" si="32"/>
        <v>15.631121361245055</v>
      </c>
      <c r="L103">
        <f t="shared" si="33"/>
        <v>623.60500000000002</v>
      </c>
      <c r="M103">
        <f t="shared" si="34"/>
        <v>153.69959197461347</v>
      </c>
      <c r="N103">
        <f t="shared" si="35"/>
        <v>15.243148918743834</v>
      </c>
      <c r="O103">
        <f t="shared" si="36"/>
        <v>61.845992948656004</v>
      </c>
      <c r="P103">
        <f t="shared" si="37"/>
        <v>5.5372999074469159E-2</v>
      </c>
      <c r="Q103">
        <f t="shared" si="38"/>
        <v>2.1343409945828951</v>
      </c>
      <c r="R103">
        <f t="shared" si="39"/>
        <v>5.4587118483324877E-2</v>
      </c>
      <c r="S103">
        <f t="shared" si="40"/>
        <v>3.4186628099585566E-2</v>
      </c>
      <c r="T103">
        <f t="shared" si="41"/>
        <v>276.11390561400003</v>
      </c>
      <c r="U103">
        <f t="shared" si="42"/>
        <v>27.611984660009046</v>
      </c>
      <c r="V103">
        <f t="shared" si="43"/>
        <v>27.611984660009046</v>
      </c>
      <c r="W103">
        <f t="shared" si="44"/>
        <v>3.7098428764463431</v>
      </c>
      <c r="X103">
        <f t="shared" si="45"/>
        <v>52.11347346703937</v>
      </c>
      <c r="Y103">
        <f t="shared" si="46"/>
        <v>1.73968725380352</v>
      </c>
      <c r="Z103">
        <f t="shared" si="47"/>
        <v>3.3382677032722334</v>
      </c>
      <c r="AA103">
        <f t="shared" si="48"/>
        <v>1.9701556226428232</v>
      </c>
      <c r="AB103">
        <f t="shared" si="49"/>
        <v>-49.172947283552489</v>
      </c>
      <c r="AC103">
        <f t="shared" si="50"/>
        <v>-206.32414045671013</v>
      </c>
      <c r="AD103">
        <f t="shared" si="51"/>
        <v>-20.803130419431756</v>
      </c>
      <c r="AE103">
        <f t="shared" si="52"/>
        <v>-0.18631254569433509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52746.394596762788</v>
      </c>
      <c r="AK103">
        <f t="shared" si="56"/>
        <v>1800</v>
      </c>
      <c r="AL103">
        <f t="shared" si="57"/>
        <v>1499.1124554</v>
      </c>
      <c r="AM103">
        <f t="shared" si="58"/>
        <v>0.83284025300000009</v>
      </c>
      <c r="AN103">
        <f t="shared" si="59"/>
        <v>0.15339661423000001</v>
      </c>
      <c r="AO103">
        <v>32.4</v>
      </c>
      <c r="AP103">
        <v>0.5</v>
      </c>
      <c r="AQ103" t="s">
        <v>331</v>
      </c>
      <c r="AR103">
        <v>2</v>
      </c>
      <c r="AS103">
        <v>1690219035.0999999</v>
      </c>
      <c r="AT103">
        <v>623.60500000000002</v>
      </c>
      <c r="AU103">
        <v>799.89200000000005</v>
      </c>
      <c r="AV103">
        <v>17.541599999999999</v>
      </c>
      <c r="AW103">
        <v>5.7130900000000002</v>
      </c>
      <c r="AX103">
        <v>623.75400000000002</v>
      </c>
      <c r="AY103">
        <v>17.410799999999998</v>
      </c>
      <c r="AZ103">
        <v>300.06599999999997</v>
      </c>
      <c r="BA103">
        <v>99.075000000000003</v>
      </c>
      <c r="BB103">
        <v>9.99472E-2</v>
      </c>
      <c r="BC103">
        <v>25.818899999999999</v>
      </c>
      <c r="BD103">
        <v>26.985700000000001</v>
      </c>
      <c r="BE103">
        <v>27.287700000000001</v>
      </c>
      <c r="BF103">
        <v>0</v>
      </c>
      <c r="BG103">
        <v>0</v>
      </c>
      <c r="BH103">
        <v>10030</v>
      </c>
      <c r="BI103">
        <v>1063.45</v>
      </c>
      <c r="BJ103">
        <v>1.7380500000000001</v>
      </c>
      <c r="BK103">
        <v>-176.28800000000001</v>
      </c>
      <c r="BL103">
        <v>634.73900000000003</v>
      </c>
      <c r="BM103">
        <v>804.48900000000003</v>
      </c>
      <c r="BN103">
        <v>11.8285</v>
      </c>
      <c r="BO103">
        <v>799.89200000000005</v>
      </c>
      <c r="BP103">
        <v>5.7130900000000002</v>
      </c>
      <c r="BQ103">
        <v>1.73793</v>
      </c>
      <c r="BR103">
        <v>0.566025</v>
      </c>
      <c r="BS103">
        <v>15.2394</v>
      </c>
      <c r="BT103">
        <v>-1.10717</v>
      </c>
      <c r="BU103">
        <v>1800</v>
      </c>
      <c r="BV103">
        <v>0.91001799999999999</v>
      </c>
      <c r="BW103">
        <v>3.39992E-2</v>
      </c>
      <c r="BX103">
        <v>2.1991400000000001E-2</v>
      </c>
      <c r="BY103">
        <v>3.3990899999999998E-2</v>
      </c>
      <c r="BZ103">
        <v>25.583300000000001</v>
      </c>
      <c r="CA103">
        <v>33528.6</v>
      </c>
      <c r="CB103">
        <v>1690217592</v>
      </c>
      <c r="CC103" t="s">
        <v>332</v>
      </c>
      <c r="CD103">
        <v>1690217586.5</v>
      </c>
      <c r="CE103">
        <v>1690217592</v>
      </c>
      <c r="CF103">
        <v>9</v>
      </c>
      <c r="CG103">
        <v>0.11600000000000001</v>
      </c>
      <c r="CH103">
        <v>-3.0000000000000001E-3</v>
      </c>
      <c r="CI103">
        <v>-0.27300000000000002</v>
      </c>
      <c r="CJ103">
        <v>-6.9000000000000006E-2</v>
      </c>
      <c r="CK103">
        <v>800</v>
      </c>
      <c r="CL103">
        <v>6</v>
      </c>
      <c r="CM103">
        <v>0.01</v>
      </c>
      <c r="CN103">
        <v>0.01</v>
      </c>
      <c r="CO103">
        <v>-173.31232499999999</v>
      </c>
      <c r="CP103">
        <v>-17.278750469043011</v>
      </c>
      <c r="CQ103">
        <v>1.663658820003368</v>
      </c>
      <c r="CR103">
        <v>-1</v>
      </c>
      <c r="CS103">
        <v>11.6806275</v>
      </c>
      <c r="CT103">
        <v>0.84929043151969652</v>
      </c>
      <c r="CU103">
        <v>8.172419772472532E-2</v>
      </c>
      <c r="CV103">
        <v>-1</v>
      </c>
      <c r="CW103">
        <v>0</v>
      </c>
      <c r="CX103">
        <v>0</v>
      </c>
      <c r="CY103" t="s">
        <v>333</v>
      </c>
      <c r="CZ103">
        <v>2.36416</v>
      </c>
      <c r="DA103">
        <v>2.7137600000000002</v>
      </c>
      <c r="DB103">
        <v>0.123698</v>
      </c>
      <c r="DC103">
        <v>0.14604800000000001</v>
      </c>
      <c r="DD103">
        <v>9.1094400000000006E-2</v>
      </c>
      <c r="DE103">
        <v>3.7893999999999997E-2</v>
      </c>
      <c r="DF103">
        <v>31994.5</v>
      </c>
      <c r="DG103">
        <v>27517.3</v>
      </c>
      <c r="DH103">
        <v>31169.5</v>
      </c>
      <c r="DI103">
        <v>28078.5</v>
      </c>
      <c r="DJ103">
        <v>38469.5</v>
      </c>
      <c r="DK103">
        <v>38415.699999999997</v>
      </c>
      <c r="DL103">
        <v>44357.5</v>
      </c>
      <c r="DM103">
        <v>42555.5</v>
      </c>
      <c r="DN103">
        <v>1.4788699999999999</v>
      </c>
      <c r="DO103">
        <v>2.0341</v>
      </c>
      <c r="DP103">
        <v>0.13486300000000001</v>
      </c>
      <c r="DQ103">
        <v>0.162825</v>
      </c>
      <c r="DR103">
        <v>24.776199999999999</v>
      </c>
      <c r="DS103">
        <v>24.620200000000001</v>
      </c>
      <c r="DT103">
        <v>16.8</v>
      </c>
      <c r="DU103">
        <v>29.8</v>
      </c>
      <c r="DV103">
        <v>7.1421099999999997</v>
      </c>
      <c r="DW103">
        <v>61.074100000000001</v>
      </c>
      <c r="DX103">
        <v>36.209899999999998</v>
      </c>
      <c r="DY103">
        <v>1</v>
      </c>
      <c r="DZ103">
        <v>-9.0917200000000004E-2</v>
      </c>
      <c r="EA103">
        <v>0.251106</v>
      </c>
      <c r="EB103">
        <v>20.189499999999999</v>
      </c>
      <c r="EC103">
        <v>5.2409499999999998</v>
      </c>
      <c r="ED103">
        <v>12.039899999999999</v>
      </c>
      <c r="EE103">
        <v>5.01675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1.86896</v>
      </c>
      <c r="EL103">
        <v>1.8646799999999999</v>
      </c>
      <c r="EM103">
        <v>1.8691899999999999</v>
      </c>
      <c r="EN103">
        <v>1.86724</v>
      </c>
      <c r="EO103">
        <v>1.8633999999999999</v>
      </c>
      <c r="EP103">
        <v>1.8646199999999999</v>
      </c>
      <c r="EQ103">
        <v>1.87019</v>
      </c>
      <c r="ER103">
        <v>1.86947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-0.14899999999999999</v>
      </c>
      <c r="FG103">
        <v>0.1308</v>
      </c>
      <c r="FH103">
        <v>0.27827353915413472</v>
      </c>
      <c r="FI103">
        <v>-6.1462078757559423E-4</v>
      </c>
      <c r="FJ103">
        <v>-1.8861989874597051E-7</v>
      </c>
      <c r="FK103">
        <v>1.1980462299894961E-10</v>
      </c>
      <c r="FL103">
        <v>-3.2538871274648329E-2</v>
      </c>
      <c r="FM103">
        <v>-1.6848085045870601E-2</v>
      </c>
      <c r="FN103">
        <v>1.9789084769509481E-3</v>
      </c>
      <c r="FO103">
        <v>-2.7142391389806329E-5</v>
      </c>
      <c r="FP103">
        <v>3</v>
      </c>
      <c r="FQ103">
        <v>2158</v>
      </c>
      <c r="FR103">
        <v>1</v>
      </c>
      <c r="FS103">
        <v>19</v>
      </c>
      <c r="FT103">
        <v>24.1</v>
      </c>
      <c r="FU103">
        <v>24.1</v>
      </c>
      <c r="FV103">
        <v>1.7785599999999999</v>
      </c>
      <c r="FW103">
        <v>2.5842299999999998</v>
      </c>
      <c r="FX103">
        <v>1.5490699999999999</v>
      </c>
      <c r="FY103">
        <v>2.3290999999999999</v>
      </c>
      <c r="FZ103">
        <v>1.50146</v>
      </c>
      <c r="GA103">
        <v>2.3950200000000001</v>
      </c>
      <c r="GB103">
        <v>33.850900000000003</v>
      </c>
      <c r="GC103">
        <v>23.982399999999998</v>
      </c>
      <c r="GD103">
        <v>19</v>
      </c>
      <c r="GE103">
        <v>284.21699999999998</v>
      </c>
      <c r="GF103">
        <v>581.83900000000006</v>
      </c>
      <c r="GG103">
        <v>23.630800000000001</v>
      </c>
      <c r="GH103">
        <v>26.226400000000002</v>
      </c>
      <c r="GI103">
        <v>29.9998</v>
      </c>
      <c r="GJ103">
        <v>26.395099999999999</v>
      </c>
      <c r="GK103">
        <v>26.387499999999999</v>
      </c>
      <c r="GL103">
        <v>35.5458</v>
      </c>
      <c r="GM103">
        <v>-30</v>
      </c>
      <c r="GN103">
        <v>-30</v>
      </c>
      <c r="GO103">
        <v>23.661100000000001</v>
      </c>
      <c r="GP103">
        <v>800</v>
      </c>
      <c r="GQ103">
        <v>12.5298</v>
      </c>
      <c r="GR103">
        <v>99.729500000000002</v>
      </c>
      <c r="GS103">
        <v>99.553799999999995</v>
      </c>
    </row>
    <row r="104" spans="1:201" x14ac:dyDescent="0.25">
      <c r="A104">
        <v>88</v>
      </c>
      <c r="B104">
        <v>1690219045.0999999</v>
      </c>
      <c r="C104">
        <v>1024.599999904633</v>
      </c>
      <c r="D104" t="s">
        <v>505</v>
      </c>
      <c r="E104" t="s">
        <v>506</v>
      </c>
      <c r="F104" t="s">
        <v>330</v>
      </c>
      <c r="H104">
        <v>1690219045.0999999</v>
      </c>
      <c r="I104">
        <f t="shared" si="30"/>
        <v>1.1294101578954614E-3</v>
      </c>
      <c r="J104">
        <f t="shared" si="31"/>
        <v>1.1294101578954614</v>
      </c>
      <c r="K104">
        <f t="shared" si="32"/>
        <v>15.915408552539038</v>
      </c>
      <c r="L104">
        <f t="shared" si="33"/>
        <v>620.67700000000002</v>
      </c>
      <c r="M104">
        <f t="shared" si="34"/>
        <v>151.1202788112416</v>
      </c>
      <c r="N104">
        <f t="shared" si="35"/>
        <v>14.98714329167678</v>
      </c>
      <c r="O104">
        <f t="shared" si="36"/>
        <v>61.554777492616005</v>
      </c>
      <c r="P104">
        <f t="shared" si="37"/>
        <v>5.6418595513463989E-2</v>
      </c>
      <c r="Q104">
        <f t="shared" si="38"/>
        <v>2.1272572591240206</v>
      </c>
      <c r="R104">
        <f t="shared" si="39"/>
        <v>5.5600317709251369E-2</v>
      </c>
      <c r="S104">
        <f t="shared" si="40"/>
        <v>3.4822728880136079E-2</v>
      </c>
      <c r="T104">
        <f t="shared" si="41"/>
        <v>276.114050658</v>
      </c>
      <c r="U104">
        <f t="shared" si="42"/>
        <v>27.625566230295881</v>
      </c>
      <c r="V104">
        <f t="shared" si="43"/>
        <v>27.625566230295881</v>
      </c>
      <c r="W104">
        <f t="shared" si="44"/>
        <v>3.712789691426615</v>
      </c>
      <c r="X104">
        <f t="shared" si="45"/>
        <v>52.495037326394801</v>
      </c>
      <c r="Y104">
        <f t="shared" si="46"/>
        <v>1.7537960012328002</v>
      </c>
      <c r="Z104">
        <f t="shared" si="47"/>
        <v>3.3408796155879323</v>
      </c>
      <c r="AA104">
        <f t="shared" si="48"/>
        <v>1.9589936901938148</v>
      </c>
      <c r="AB104">
        <f t="shared" si="49"/>
        <v>-49.806987963189847</v>
      </c>
      <c r="AC104">
        <f t="shared" si="50"/>
        <v>-205.68312466204767</v>
      </c>
      <c r="AD104">
        <f t="shared" si="51"/>
        <v>-20.810346475194102</v>
      </c>
      <c r="AE104">
        <f t="shared" si="52"/>
        <v>-0.18640844243162746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52437.481318887476</v>
      </c>
      <c r="AK104">
        <f t="shared" si="56"/>
        <v>1800</v>
      </c>
      <c r="AL104">
        <f t="shared" si="57"/>
        <v>1499.1113538000002</v>
      </c>
      <c r="AM104">
        <f t="shared" si="58"/>
        <v>0.83283964100000007</v>
      </c>
      <c r="AN104">
        <f t="shared" si="59"/>
        <v>0.15339669480999998</v>
      </c>
      <c r="AO104">
        <v>32.4</v>
      </c>
      <c r="AP104">
        <v>0.5</v>
      </c>
      <c r="AQ104" t="s">
        <v>331</v>
      </c>
      <c r="AR104">
        <v>2</v>
      </c>
      <c r="AS104">
        <v>1690219045.0999999</v>
      </c>
      <c r="AT104">
        <v>620.67700000000002</v>
      </c>
      <c r="AU104">
        <v>799.98</v>
      </c>
      <c r="AV104">
        <v>17.684100000000001</v>
      </c>
      <c r="AW104">
        <v>5.7124699999999997</v>
      </c>
      <c r="AX104">
        <v>620.82500000000005</v>
      </c>
      <c r="AY104">
        <v>17.549499999999998</v>
      </c>
      <c r="AZ104">
        <v>300.25799999999998</v>
      </c>
      <c r="BA104">
        <v>99.073499999999996</v>
      </c>
      <c r="BB104">
        <v>0.100108</v>
      </c>
      <c r="BC104">
        <v>25.832100000000001</v>
      </c>
      <c r="BD104">
        <v>27.0105</v>
      </c>
      <c r="BE104">
        <v>27.289200000000001</v>
      </c>
      <c r="BF104">
        <v>0</v>
      </c>
      <c r="BG104">
        <v>0</v>
      </c>
      <c r="BH104">
        <v>9969.3799999999992</v>
      </c>
      <c r="BI104">
        <v>1063.5899999999999</v>
      </c>
      <c r="BJ104">
        <v>1.7380500000000001</v>
      </c>
      <c r="BK104">
        <v>-179.303</v>
      </c>
      <c r="BL104">
        <v>631.851</v>
      </c>
      <c r="BM104">
        <v>804.57600000000002</v>
      </c>
      <c r="BN104">
        <v>11.9716</v>
      </c>
      <c r="BO104">
        <v>799.98</v>
      </c>
      <c r="BP104">
        <v>5.7124699999999997</v>
      </c>
      <c r="BQ104">
        <v>1.7520199999999999</v>
      </c>
      <c r="BR104">
        <v>0.56595399999999996</v>
      </c>
      <c r="BS104">
        <v>15.3652</v>
      </c>
      <c r="BT104">
        <v>-1.1088800000000001</v>
      </c>
      <c r="BU104">
        <v>1800</v>
      </c>
      <c r="BV104">
        <v>0.91000899999999996</v>
      </c>
      <c r="BW104">
        <v>3.3999799999999997E-2</v>
      </c>
      <c r="BX104">
        <v>2.1990800000000001E-2</v>
      </c>
      <c r="BY104">
        <v>3.4000299999999997E-2</v>
      </c>
      <c r="BZ104">
        <v>25.625</v>
      </c>
      <c r="CA104">
        <v>33528.5</v>
      </c>
      <c r="CB104">
        <v>1690217592</v>
      </c>
      <c r="CC104" t="s">
        <v>332</v>
      </c>
      <c r="CD104">
        <v>1690217586.5</v>
      </c>
      <c r="CE104">
        <v>1690217592</v>
      </c>
      <c r="CF104">
        <v>9</v>
      </c>
      <c r="CG104">
        <v>0.11600000000000001</v>
      </c>
      <c r="CH104">
        <v>-3.0000000000000001E-3</v>
      </c>
      <c r="CI104">
        <v>-0.27300000000000002</v>
      </c>
      <c r="CJ104">
        <v>-6.9000000000000006E-2</v>
      </c>
      <c r="CK104">
        <v>800</v>
      </c>
      <c r="CL104">
        <v>6</v>
      </c>
      <c r="CM104">
        <v>0.01</v>
      </c>
      <c r="CN104">
        <v>0.01</v>
      </c>
      <c r="CO104">
        <v>-175.9732195121951</v>
      </c>
      <c r="CP104">
        <v>-17.115052264808359</v>
      </c>
      <c r="CQ104">
        <v>1.6883892383295629</v>
      </c>
      <c r="CR104">
        <v>-1</v>
      </c>
      <c r="CS104">
        <v>11.8092243902439</v>
      </c>
      <c r="CT104">
        <v>0.82369547038327207</v>
      </c>
      <c r="CU104">
        <v>8.1243550679836893E-2</v>
      </c>
      <c r="CV104">
        <v>-1</v>
      </c>
      <c r="CW104">
        <v>0</v>
      </c>
      <c r="CX104">
        <v>0</v>
      </c>
      <c r="CY104" t="s">
        <v>333</v>
      </c>
      <c r="CZ104">
        <v>2.3647800000000001</v>
      </c>
      <c r="DA104">
        <v>2.71387</v>
      </c>
      <c r="DB104">
        <v>0.123293</v>
      </c>
      <c r="DC104">
        <v>0.14605799999999999</v>
      </c>
      <c r="DD104">
        <v>9.1619999999999993E-2</v>
      </c>
      <c r="DE104">
        <v>3.7890300000000002E-2</v>
      </c>
      <c r="DF104">
        <v>32009.5</v>
      </c>
      <c r="DG104">
        <v>27517.3</v>
      </c>
      <c r="DH104">
        <v>31169.599999999999</v>
      </c>
      <c r="DI104">
        <v>28078.799999999999</v>
      </c>
      <c r="DJ104">
        <v>38447.300000000003</v>
      </c>
      <c r="DK104">
        <v>38416.1</v>
      </c>
      <c r="DL104">
        <v>44357.8</v>
      </c>
      <c r="DM104">
        <v>42555.8</v>
      </c>
      <c r="DN104">
        <v>1.47898</v>
      </c>
      <c r="DO104">
        <v>2.0339800000000001</v>
      </c>
      <c r="DP104">
        <v>0.136375</v>
      </c>
      <c r="DQ104">
        <v>0.16292200000000001</v>
      </c>
      <c r="DR104">
        <v>24.776199999999999</v>
      </c>
      <c r="DS104">
        <v>24.620200000000001</v>
      </c>
      <c r="DT104">
        <v>16.8</v>
      </c>
      <c r="DU104">
        <v>29.8</v>
      </c>
      <c r="DV104">
        <v>7.1407600000000002</v>
      </c>
      <c r="DW104">
        <v>61.364100000000001</v>
      </c>
      <c r="DX104">
        <v>35.941499999999998</v>
      </c>
      <c r="DY104">
        <v>1</v>
      </c>
      <c r="DZ104">
        <v>-9.1288099999999997E-2</v>
      </c>
      <c r="EA104">
        <v>0.58636200000000005</v>
      </c>
      <c r="EB104">
        <v>20.188199999999998</v>
      </c>
      <c r="EC104">
        <v>5.24125</v>
      </c>
      <c r="ED104">
        <v>12.039899999999999</v>
      </c>
      <c r="EE104">
        <v>5.0169499999999996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1.8689800000000001</v>
      </c>
      <c r="EL104">
        <v>1.8647</v>
      </c>
      <c r="EM104">
        <v>1.8692</v>
      </c>
      <c r="EN104">
        <v>1.8672299999999999</v>
      </c>
      <c r="EO104">
        <v>1.8634200000000001</v>
      </c>
      <c r="EP104">
        <v>1.8646100000000001</v>
      </c>
      <c r="EQ104">
        <v>1.87022</v>
      </c>
      <c r="ER104">
        <v>1.8694599999999999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-0.14799999999999999</v>
      </c>
      <c r="FG104">
        <v>0.1346</v>
      </c>
      <c r="FH104">
        <v>0.27827353915413472</v>
      </c>
      <c r="FI104">
        <v>-6.1462078757559423E-4</v>
      </c>
      <c r="FJ104">
        <v>-1.8861989874597051E-7</v>
      </c>
      <c r="FK104">
        <v>1.1980462299894961E-10</v>
      </c>
      <c r="FL104">
        <v>-3.2538871274648329E-2</v>
      </c>
      <c r="FM104">
        <v>-1.6848085045870601E-2</v>
      </c>
      <c r="FN104">
        <v>1.9789084769509481E-3</v>
      </c>
      <c r="FO104">
        <v>-2.7142391389806329E-5</v>
      </c>
      <c r="FP104">
        <v>3</v>
      </c>
      <c r="FQ104">
        <v>2158</v>
      </c>
      <c r="FR104">
        <v>1</v>
      </c>
      <c r="FS104">
        <v>19</v>
      </c>
      <c r="FT104">
        <v>24.3</v>
      </c>
      <c r="FU104">
        <v>24.2</v>
      </c>
      <c r="FV104">
        <v>1.7773399999999999</v>
      </c>
      <c r="FW104">
        <v>2.5817899999999998</v>
      </c>
      <c r="FX104">
        <v>1.5490699999999999</v>
      </c>
      <c r="FY104">
        <v>2.3290999999999999</v>
      </c>
      <c r="FZ104">
        <v>1.50146</v>
      </c>
      <c r="GA104">
        <v>2.4047900000000002</v>
      </c>
      <c r="GB104">
        <v>33.828299999999999</v>
      </c>
      <c r="GC104">
        <v>23.982399999999998</v>
      </c>
      <c r="GD104">
        <v>19</v>
      </c>
      <c r="GE104">
        <v>284.24299999999999</v>
      </c>
      <c r="GF104">
        <v>581.69899999999996</v>
      </c>
      <c r="GG104">
        <v>23.6251</v>
      </c>
      <c r="GH104">
        <v>26.222200000000001</v>
      </c>
      <c r="GI104">
        <v>30</v>
      </c>
      <c r="GJ104">
        <v>26.391200000000001</v>
      </c>
      <c r="GK104">
        <v>26.3842</v>
      </c>
      <c r="GL104">
        <v>35.545099999999998</v>
      </c>
      <c r="GM104">
        <v>-30</v>
      </c>
      <c r="GN104">
        <v>-30</v>
      </c>
      <c r="GO104">
        <v>23.569800000000001</v>
      </c>
      <c r="GP104">
        <v>800</v>
      </c>
      <c r="GQ104">
        <v>12.5298</v>
      </c>
      <c r="GR104">
        <v>99.730099999999993</v>
      </c>
      <c r="GS104">
        <v>99.554599999999994</v>
      </c>
    </row>
    <row r="105" spans="1:201" x14ac:dyDescent="0.25">
      <c r="A105">
        <v>89</v>
      </c>
      <c r="B105">
        <v>1690219055.0999999</v>
      </c>
      <c r="C105">
        <v>1034.599999904633</v>
      </c>
      <c r="D105" t="s">
        <v>507</v>
      </c>
      <c r="E105" t="s">
        <v>508</v>
      </c>
      <c r="F105" t="s">
        <v>330</v>
      </c>
      <c r="H105">
        <v>1690219055.0999999</v>
      </c>
      <c r="I105">
        <f t="shared" si="30"/>
        <v>1.1410863919655394E-3</v>
      </c>
      <c r="J105">
        <f t="shared" si="31"/>
        <v>1.1410863919655394</v>
      </c>
      <c r="K105">
        <f t="shared" si="32"/>
        <v>16.152073268159384</v>
      </c>
      <c r="L105">
        <f t="shared" si="33"/>
        <v>617.96500000000003</v>
      </c>
      <c r="M105">
        <f t="shared" si="34"/>
        <v>149.66210266204502</v>
      </c>
      <c r="N105">
        <f t="shared" si="35"/>
        <v>14.842093194636696</v>
      </c>
      <c r="O105">
        <f t="shared" si="36"/>
        <v>61.284012170635499</v>
      </c>
      <c r="P105">
        <f t="shared" si="37"/>
        <v>5.740720708518509E-2</v>
      </c>
      <c r="Q105">
        <f t="shared" si="38"/>
        <v>2.1304346906111591</v>
      </c>
      <c r="R105">
        <f t="shared" si="39"/>
        <v>5.6561476261211434E-2</v>
      </c>
      <c r="S105">
        <f t="shared" si="40"/>
        <v>3.5425870271015708E-2</v>
      </c>
      <c r="T105">
        <f t="shared" si="41"/>
        <v>276.11273126785971</v>
      </c>
      <c r="U105">
        <f t="shared" si="42"/>
        <v>27.621345424244527</v>
      </c>
      <c r="V105">
        <f t="shared" si="43"/>
        <v>27.621345424244527</v>
      </c>
      <c r="W105">
        <f t="shared" si="44"/>
        <v>3.7118736777258019</v>
      </c>
      <c r="X105">
        <f t="shared" si="45"/>
        <v>52.866240698722287</v>
      </c>
      <c r="Y105">
        <f t="shared" si="46"/>
        <v>1.7664381529448698</v>
      </c>
      <c r="Z105">
        <f t="shared" si="47"/>
        <v>3.3413349040866498</v>
      </c>
      <c r="AA105">
        <f t="shared" si="48"/>
        <v>1.9454355247809321</v>
      </c>
      <c r="AB105">
        <f t="shared" si="49"/>
        <v>-50.321909885680284</v>
      </c>
      <c r="AC105">
        <f t="shared" si="50"/>
        <v>-205.24139478418917</v>
      </c>
      <c r="AD105">
        <f t="shared" si="51"/>
        <v>-20.73448214531863</v>
      </c>
      <c r="AE105">
        <f t="shared" si="52"/>
        <v>-0.18505554732834639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52574.375787600657</v>
      </c>
      <c r="AK105">
        <f t="shared" si="56"/>
        <v>1799.99</v>
      </c>
      <c r="AL105">
        <f t="shared" si="57"/>
        <v>1499.0991122253299</v>
      </c>
      <c r="AM105">
        <f t="shared" si="58"/>
        <v>0.83283746699999994</v>
      </c>
      <c r="AN105">
        <f t="shared" si="59"/>
        <v>0.15339681401999997</v>
      </c>
      <c r="AO105">
        <v>32.4</v>
      </c>
      <c r="AP105">
        <v>0.5</v>
      </c>
      <c r="AQ105" t="s">
        <v>331</v>
      </c>
      <c r="AR105">
        <v>2</v>
      </c>
      <c r="AS105">
        <v>1690219055.0999999</v>
      </c>
      <c r="AT105">
        <v>617.96500000000003</v>
      </c>
      <c r="AU105">
        <v>799.96600000000001</v>
      </c>
      <c r="AV105">
        <v>17.812100000000001</v>
      </c>
      <c r="AW105">
        <v>5.7116699999999998</v>
      </c>
      <c r="AX105">
        <v>618.11</v>
      </c>
      <c r="AY105">
        <v>17.674099999999999</v>
      </c>
      <c r="AZ105">
        <v>300.09399999999999</v>
      </c>
      <c r="BA105">
        <v>99.070700000000002</v>
      </c>
      <c r="BB105">
        <v>9.9984699999999996E-2</v>
      </c>
      <c r="BC105">
        <v>25.834399999999999</v>
      </c>
      <c r="BD105">
        <v>26.998699999999999</v>
      </c>
      <c r="BE105">
        <v>27.3232</v>
      </c>
      <c r="BF105">
        <v>0</v>
      </c>
      <c r="BG105">
        <v>0</v>
      </c>
      <c r="BH105">
        <v>9996.8799999999992</v>
      </c>
      <c r="BI105">
        <v>1063.6199999999999</v>
      </c>
      <c r="BJ105">
        <v>1.7380500000000001</v>
      </c>
      <c r="BK105">
        <v>-182.001</v>
      </c>
      <c r="BL105">
        <v>629.17200000000003</v>
      </c>
      <c r="BM105">
        <v>804.56200000000001</v>
      </c>
      <c r="BN105">
        <v>12.1004</v>
      </c>
      <c r="BO105">
        <v>799.96600000000001</v>
      </c>
      <c r="BP105">
        <v>5.7116699999999998</v>
      </c>
      <c r="BQ105">
        <v>1.7646599999999999</v>
      </c>
      <c r="BR105">
        <v>0.565859</v>
      </c>
      <c r="BS105">
        <v>15.4772</v>
      </c>
      <c r="BT105">
        <v>-1.1111599999999999</v>
      </c>
      <c r="BU105">
        <v>1799.99</v>
      </c>
      <c r="BV105">
        <v>0.90998999999999997</v>
      </c>
      <c r="BW105">
        <v>3.4008900000000002E-2</v>
      </c>
      <c r="BX105">
        <v>2.1990099999999999E-2</v>
      </c>
      <c r="BY105">
        <v>3.4011E-2</v>
      </c>
      <c r="BZ105">
        <v>25.625</v>
      </c>
      <c r="CA105">
        <v>33528.300000000003</v>
      </c>
      <c r="CB105">
        <v>1690217592</v>
      </c>
      <c r="CC105" t="s">
        <v>332</v>
      </c>
      <c r="CD105">
        <v>1690217586.5</v>
      </c>
      <c r="CE105">
        <v>1690217592</v>
      </c>
      <c r="CF105">
        <v>9</v>
      </c>
      <c r="CG105">
        <v>0.11600000000000001</v>
      </c>
      <c r="CH105">
        <v>-3.0000000000000001E-3</v>
      </c>
      <c r="CI105">
        <v>-0.27300000000000002</v>
      </c>
      <c r="CJ105">
        <v>-6.9000000000000006E-2</v>
      </c>
      <c r="CK105">
        <v>800</v>
      </c>
      <c r="CL105">
        <v>6</v>
      </c>
      <c r="CM105">
        <v>0.01</v>
      </c>
      <c r="CN105">
        <v>0.01</v>
      </c>
      <c r="CO105">
        <v>-179.12412195121951</v>
      </c>
      <c r="CP105">
        <v>-17.300466898954848</v>
      </c>
      <c r="CQ105">
        <v>1.7064450023670581</v>
      </c>
      <c r="CR105">
        <v>-1</v>
      </c>
      <c r="CS105">
        <v>11.960036585365851</v>
      </c>
      <c r="CT105">
        <v>0.82512961672470952</v>
      </c>
      <c r="CU105">
        <v>8.139682607852318E-2</v>
      </c>
      <c r="CV105">
        <v>-1</v>
      </c>
      <c r="CW105">
        <v>0</v>
      </c>
      <c r="CX105">
        <v>0</v>
      </c>
      <c r="CY105" t="s">
        <v>333</v>
      </c>
      <c r="CZ105">
        <v>2.3642599999999998</v>
      </c>
      <c r="DA105">
        <v>2.7137699999999998</v>
      </c>
      <c r="DB105">
        <v>0.122915</v>
      </c>
      <c r="DC105">
        <v>0.14605399999999999</v>
      </c>
      <c r="DD105">
        <v>9.2089500000000005E-2</v>
      </c>
      <c r="DE105">
        <v>3.78854E-2</v>
      </c>
      <c r="DF105">
        <v>32023.4</v>
      </c>
      <c r="DG105">
        <v>27517.5</v>
      </c>
      <c r="DH105">
        <v>31169.8</v>
      </c>
      <c r="DI105">
        <v>28078.799999999999</v>
      </c>
      <c r="DJ105">
        <v>38427.1</v>
      </c>
      <c r="DK105">
        <v>38416.5</v>
      </c>
      <c r="DL105">
        <v>44357.7</v>
      </c>
      <c r="DM105">
        <v>42556.1</v>
      </c>
      <c r="DN105">
        <v>1.47898</v>
      </c>
      <c r="DO105">
        <v>2.0344699999999998</v>
      </c>
      <c r="DP105">
        <v>0.13556000000000001</v>
      </c>
      <c r="DQ105">
        <v>0.164878</v>
      </c>
      <c r="DR105">
        <v>24.777699999999999</v>
      </c>
      <c r="DS105">
        <v>24.622299999999999</v>
      </c>
      <c r="DT105">
        <v>16.8</v>
      </c>
      <c r="DU105">
        <v>29.8</v>
      </c>
      <c r="DV105">
        <v>7.1422600000000003</v>
      </c>
      <c r="DW105">
        <v>61.4741</v>
      </c>
      <c r="DX105">
        <v>36.117800000000003</v>
      </c>
      <c r="DY105">
        <v>1</v>
      </c>
      <c r="DZ105">
        <v>-9.1300800000000001E-2</v>
      </c>
      <c r="EA105">
        <v>0.47954799999999997</v>
      </c>
      <c r="EB105">
        <v>20.188800000000001</v>
      </c>
      <c r="EC105">
        <v>5.2409499999999998</v>
      </c>
      <c r="ED105">
        <v>12.039899999999999</v>
      </c>
      <c r="EE105">
        <v>5.0174000000000003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1.86896</v>
      </c>
      <c r="EL105">
        <v>1.8647199999999999</v>
      </c>
      <c r="EM105">
        <v>1.8692</v>
      </c>
      <c r="EN105">
        <v>1.8672500000000001</v>
      </c>
      <c r="EO105">
        <v>1.86341</v>
      </c>
      <c r="EP105">
        <v>1.8646</v>
      </c>
      <c r="EQ105">
        <v>1.8702000000000001</v>
      </c>
      <c r="ER105">
        <v>1.8694900000000001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-0.14499999999999999</v>
      </c>
      <c r="FG105">
        <v>0.13800000000000001</v>
      </c>
      <c r="FH105">
        <v>0.27827353915413472</v>
      </c>
      <c r="FI105">
        <v>-6.1462078757559423E-4</v>
      </c>
      <c r="FJ105">
        <v>-1.8861989874597051E-7</v>
      </c>
      <c r="FK105">
        <v>1.1980462299894961E-10</v>
      </c>
      <c r="FL105">
        <v>-3.2538871274648329E-2</v>
      </c>
      <c r="FM105">
        <v>-1.6848085045870601E-2</v>
      </c>
      <c r="FN105">
        <v>1.9789084769509481E-3</v>
      </c>
      <c r="FO105">
        <v>-2.7142391389806329E-5</v>
      </c>
      <c r="FP105">
        <v>3</v>
      </c>
      <c r="FQ105">
        <v>2158</v>
      </c>
      <c r="FR105">
        <v>1</v>
      </c>
      <c r="FS105">
        <v>19</v>
      </c>
      <c r="FT105">
        <v>24.5</v>
      </c>
      <c r="FU105">
        <v>24.4</v>
      </c>
      <c r="FV105">
        <v>1.7773399999999999</v>
      </c>
      <c r="FW105">
        <v>2.5781200000000002</v>
      </c>
      <c r="FX105">
        <v>1.5490699999999999</v>
      </c>
      <c r="FY105">
        <v>2.3290999999999999</v>
      </c>
      <c r="FZ105">
        <v>1.50146</v>
      </c>
      <c r="GA105">
        <v>2.4060100000000002</v>
      </c>
      <c r="GB105">
        <v>33.850900000000003</v>
      </c>
      <c r="GC105">
        <v>23.991199999999999</v>
      </c>
      <c r="GD105">
        <v>19</v>
      </c>
      <c r="GE105">
        <v>284.22800000000001</v>
      </c>
      <c r="GF105">
        <v>582.06799999999998</v>
      </c>
      <c r="GG105">
        <v>23.5594</v>
      </c>
      <c r="GH105">
        <v>26.2181</v>
      </c>
      <c r="GI105">
        <v>30</v>
      </c>
      <c r="GJ105">
        <v>26.387899999999998</v>
      </c>
      <c r="GK105">
        <v>26.380299999999998</v>
      </c>
      <c r="GL105">
        <v>35.545400000000001</v>
      </c>
      <c r="GM105">
        <v>-30</v>
      </c>
      <c r="GN105">
        <v>-30</v>
      </c>
      <c r="GO105">
        <v>23.574000000000002</v>
      </c>
      <c r="GP105">
        <v>800</v>
      </c>
      <c r="GQ105">
        <v>12.5298</v>
      </c>
      <c r="GR105">
        <v>99.730199999999996</v>
      </c>
      <c r="GS105">
        <v>99.555000000000007</v>
      </c>
    </row>
    <row r="106" spans="1:201" x14ac:dyDescent="0.25">
      <c r="A106">
        <v>90</v>
      </c>
      <c r="B106">
        <v>1690219065.0999999</v>
      </c>
      <c r="C106">
        <v>1044.599999904633</v>
      </c>
      <c r="D106" t="s">
        <v>509</v>
      </c>
      <c r="E106" t="s">
        <v>510</v>
      </c>
      <c r="F106" t="s">
        <v>330</v>
      </c>
      <c r="H106">
        <v>1690219065.0999999</v>
      </c>
      <c r="I106">
        <f t="shared" si="30"/>
        <v>1.1546386256679345E-3</v>
      </c>
      <c r="J106">
        <f t="shared" si="31"/>
        <v>1.1546386256679344</v>
      </c>
      <c r="K106">
        <f t="shared" si="32"/>
        <v>16.428745283258152</v>
      </c>
      <c r="L106">
        <f t="shared" si="33"/>
        <v>614.99099999999999</v>
      </c>
      <c r="M106">
        <f t="shared" si="34"/>
        <v>147.72047789667477</v>
      </c>
      <c r="N106">
        <f t="shared" si="35"/>
        <v>14.649998619581119</v>
      </c>
      <c r="O106">
        <f t="shared" si="36"/>
        <v>60.990983980953004</v>
      </c>
      <c r="P106">
        <f t="shared" si="37"/>
        <v>5.8516618877488914E-2</v>
      </c>
      <c r="Q106">
        <f t="shared" si="38"/>
        <v>2.1287210521728404</v>
      </c>
      <c r="R106">
        <f t="shared" si="39"/>
        <v>5.7637458153964073E-2</v>
      </c>
      <c r="S106">
        <f t="shared" si="40"/>
        <v>3.6101300106917221E-2</v>
      </c>
      <c r="T106">
        <f t="shared" si="41"/>
        <v>276.11491053600002</v>
      </c>
      <c r="U106">
        <f t="shared" si="42"/>
        <v>27.621131567914183</v>
      </c>
      <c r="V106">
        <f t="shared" si="43"/>
        <v>27.621131567914183</v>
      </c>
      <c r="W106">
        <f t="shared" si="44"/>
        <v>3.7118272711465137</v>
      </c>
      <c r="X106">
        <f t="shared" si="45"/>
        <v>53.265311537612135</v>
      </c>
      <c r="Y106">
        <f t="shared" si="46"/>
        <v>1.7801099005801999</v>
      </c>
      <c r="Z106">
        <f t="shared" si="47"/>
        <v>3.3419684391092206</v>
      </c>
      <c r="AA106">
        <f t="shared" si="48"/>
        <v>1.9317173705663138</v>
      </c>
      <c r="AB106">
        <f t="shared" si="49"/>
        <v>-50.919563391955911</v>
      </c>
      <c r="AC106">
        <f t="shared" si="50"/>
        <v>-204.68452014978968</v>
      </c>
      <c r="AD106">
        <f t="shared" si="51"/>
        <v>-20.695178678743762</v>
      </c>
      <c r="AE106">
        <f t="shared" si="52"/>
        <v>-0.18435168448931449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52499.7719494173</v>
      </c>
      <c r="AK106">
        <f t="shared" si="56"/>
        <v>1800</v>
      </c>
      <c r="AL106">
        <f t="shared" si="57"/>
        <v>1499.1076836</v>
      </c>
      <c r="AM106">
        <f t="shared" si="58"/>
        <v>0.83283760200000001</v>
      </c>
      <c r="AN106">
        <f t="shared" si="59"/>
        <v>0.15339717252000001</v>
      </c>
      <c r="AO106">
        <v>32.4</v>
      </c>
      <c r="AP106">
        <v>0.5</v>
      </c>
      <c r="AQ106" t="s">
        <v>331</v>
      </c>
      <c r="AR106">
        <v>2</v>
      </c>
      <c r="AS106">
        <v>1690219065.0999999</v>
      </c>
      <c r="AT106">
        <v>614.99099999999999</v>
      </c>
      <c r="AU106">
        <v>799.98500000000001</v>
      </c>
      <c r="AV106">
        <v>17.949400000000001</v>
      </c>
      <c r="AW106">
        <v>5.7101100000000002</v>
      </c>
      <c r="AX106">
        <v>615.13400000000001</v>
      </c>
      <c r="AY106">
        <v>17.807700000000001</v>
      </c>
      <c r="AZ106">
        <v>300.17099999999999</v>
      </c>
      <c r="BA106">
        <v>99.073800000000006</v>
      </c>
      <c r="BB106">
        <v>9.9983000000000002E-2</v>
      </c>
      <c r="BC106">
        <v>25.837599999999998</v>
      </c>
      <c r="BD106">
        <v>27.018899999999999</v>
      </c>
      <c r="BE106">
        <v>27.33</v>
      </c>
      <c r="BF106">
        <v>0</v>
      </c>
      <c r="BG106">
        <v>0</v>
      </c>
      <c r="BH106">
        <v>9981.8799999999992</v>
      </c>
      <c r="BI106">
        <v>1063.6099999999999</v>
      </c>
      <c r="BJ106">
        <v>1.73665</v>
      </c>
      <c r="BK106">
        <v>-184.994</v>
      </c>
      <c r="BL106">
        <v>626.23099999999999</v>
      </c>
      <c r="BM106">
        <v>804.57899999999995</v>
      </c>
      <c r="BN106">
        <v>12.2393</v>
      </c>
      <c r="BO106">
        <v>799.98500000000001</v>
      </c>
      <c r="BP106">
        <v>5.7101100000000002</v>
      </c>
      <c r="BQ106">
        <v>1.7783199999999999</v>
      </c>
      <c r="BR106">
        <v>0.56572199999999995</v>
      </c>
      <c r="BS106">
        <v>15.5975</v>
      </c>
      <c r="BT106">
        <v>-1.11446</v>
      </c>
      <c r="BU106">
        <v>1800</v>
      </c>
      <c r="BV106">
        <v>0.90998400000000002</v>
      </c>
      <c r="BW106">
        <v>3.4007700000000002E-2</v>
      </c>
      <c r="BX106">
        <v>2.19946E-2</v>
      </c>
      <c r="BY106">
        <v>3.4013799999999997E-2</v>
      </c>
      <c r="BZ106">
        <v>25.666699999999999</v>
      </c>
      <c r="CA106">
        <v>33528.400000000001</v>
      </c>
      <c r="CB106">
        <v>1690217592</v>
      </c>
      <c r="CC106" t="s">
        <v>332</v>
      </c>
      <c r="CD106">
        <v>1690217586.5</v>
      </c>
      <c r="CE106">
        <v>1690217592</v>
      </c>
      <c r="CF106">
        <v>9</v>
      </c>
      <c r="CG106">
        <v>0.11600000000000001</v>
      </c>
      <c r="CH106">
        <v>-3.0000000000000001E-3</v>
      </c>
      <c r="CI106">
        <v>-0.27300000000000002</v>
      </c>
      <c r="CJ106">
        <v>-6.9000000000000006E-2</v>
      </c>
      <c r="CK106">
        <v>800</v>
      </c>
      <c r="CL106">
        <v>6</v>
      </c>
      <c r="CM106">
        <v>0.01</v>
      </c>
      <c r="CN106">
        <v>0.01</v>
      </c>
      <c r="CO106">
        <v>-181.9880731707317</v>
      </c>
      <c r="CP106">
        <v>-17.119986062717619</v>
      </c>
      <c r="CQ106">
        <v>1.6888957482048981</v>
      </c>
      <c r="CR106">
        <v>-1</v>
      </c>
      <c r="CS106">
        <v>12.09573170731707</v>
      </c>
      <c r="CT106">
        <v>0.80005296167247419</v>
      </c>
      <c r="CU106">
        <v>7.8908352023320569E-2</v>
      </c>
      <c r="CV106">
        <v>-1</v>
      </c>
      <c r="CW106">
        <v>0</v>
      </c>
      <c r="CX106">
        <v>0</v>
      </c>
      <c r="CY106" t="s">
        <v>333</v>
      </c>
      <c r="CZ106">
        <v>2.3645299999999998</v>
      </c>
      <c r="DA106">
        <v>2.7137600000000002</v>
      </c>
      <c r="DB106">
        <v>0.122507</v>
      </c>
      <c r="DC106">
        <v>0.146062</v>
      </c>
      <c r="DD106">
        <v>9.2596899999999996E-2</v>
      </c>
      <c r="DE106">
        <v>3.78784E-2</v>
      </c>
      <c r="DF106">
        <v>32038.400000000001</v>
      </c>
      <c r="DG106">
        <v>27517.599999999999</v>
      </c>
      <c r="DH106">
        <v>31169.8</v>
      </c>
      <c r="DI106">
        <v>28079.1</v>
      </c>
      <c r="DJ106">
        <v>38405.800000000003</v>
      </c>
      <c r="DK106">
        <v>38417.199999999997</v>
      </c>
      <c r="DL106">
        <v>44358.1</v>
      </c>
      <c r="DM106">
        <v>42556.5</v>
      </c>
      <c r="DN106">
        <v>1.4791700000000001</v>
      </c>
      <c r="DO106">
        <v>2.0341</v>
      </c>
      <c r="DP106">
        <v>0.13666600000000001</v>
      </c>
      <c r="DQ106">
        <v>0.16516400000000001</v>
      </c>
      <c r="DR106">
        <v>24.779800000000002</v>
      </c>
      <c r="DS106">
        <v>24.624400000000001</v>
      </c>
      <c r="DT106">
        <v>16.8</v>
      </c>
      <c r="DU106">
        <v>29.8</v>
      </c>
      <c r="DV106">
        <v>7.1413500000000001</v>
      </c>
      <c r="DW106">
        <v>61.704099999999997</v>
      </c>
      <c r="DX106">
        <v>36.241999999999997</v>
      </c>
      <c r="DY106">
        <v>1</v>
      </c>
      <c r="DZ106">
        <v>-9.1349100000000003E-2</v>
      </c>
      <c r="EA106">
        <v>0.37440899999999999</v>
      </c>
      <c r="EB106">
        <v>20.189399999999999</v>
      </c>
      <c r="EC106">
        <v>5.2409499999999998</v>
      </c>
      <c r="ED106">
        <v>12.039899999999999</v>
      </c>
      <c r="EE106">
        <v>5.01715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1.8689800000000001</v>
      </c>
      <c r="EL106">
        <v>1.8647</v>
      </c>
      <c r="EM106">
        <v>1.8692</v>
      </c>
      <c r="EN106">
        <v>1.86724</v>
      </c>
      <c r="EO106">
        <v>1.8634200000000001</v>
      </c>
      <c r="EP106">
        <v>1.8646</v>
      </c>
      <c r="EQ106">
        <v>1.8702300000000001</v>
      </c>
      <c r="ER106">
        <v>1.8694900000000001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-0.14299999999999999</v>
      </c>
      <c r="FG106">
        <v>0.14169999999999999</v>
      </c>
      <c r="FH106">
        <v>0.27827353915413472</v>
      </c>
      <c r="FI106">
        <v>-6.1462078757559423E-4</v>
      </c>
      <c r="FJ106">
        <v>-1.8861989874597051E-7</v>
      </c>
      <c r="FK106">
        <v>1.1980462299894961E-10</v>
      </c>
      <c r="FL106">
        <v>-3.2538871274648329E-2</v>
      </c>
      <c r="FM106">
        <v>-1.6848085045870601E-2</v>
      </c>
      <c r="FN106">
        <v>1.9789084769509481E-3</v>
      </c>
      <c r="FO106">
        <v>-2.7142391389806329E-5</v>
      </c>
      <c r="FP106">
        <v>3</v>
      </c>
      <c r="FQ106">
        <v>2158</v>
      </c>
      <c r="FR106">
        <v>1</v>
      </c>
      <c r="FS106">
        <v>19</v>
      </c>
      <c r="FT106">
        <v>24.6</v>
      </c>
      <c r="FU106">
        <v>24.6</v>
      </c>
      <c r="FV106">
        <v>1.7773399999999999</v>
      </c>
      <c r="FW106">
        <v>2.5805699999999998</v>
      </c>
      <c r="FX106">
        <v>1.5490699999999999</v>
      </c>
      <c r="FY106">
        <v>2.3290999999999999</v>
      </c>
      <c r="FZ106">
        <v>1.50146</v>
      </c>
      <c r="GA106">
        <v>2.3779300000000001</v>
      </c>
      <c r="GB106">
        <v>33.850900000000003</v>
      </c>
      <c r="GC106">
        <v>23.982399999999998</v>
      </c>
      <c r="GD106">
        <v>19</v>
      </c>
      <c r="GE106">
        <v>284.29599999999999</v>
      </c>
      <c r="GF106">
        <v>581.71500000000003</v>
      </c>
      <c r="GG106">
        <v>23.573499999999999</v>
      </c>
      <c r="GH106">
        <v>26.2148</v>
      </c>
      <c r="GI106">
        <v>30</v>
      </c>
      <c r="GJ106">
        <v>26.384</v>
      </c>
      <c r="GK106">
        <v>26.3765</v>
      </c>
      <c r="GL106">
        <v>35.544699999999999</v>
      </c>
      <c r="GM106">
        <v>-30</v>
      </c>
      <c r="GN106">
        <v>-30</v>
      </c>
      <c r="GO106">
        <v>23.573699999999999</v>
      </c>
      <c r="GP106">
        <v>800</v>
      </c>
      <c r="GQ106">
        <v>12.5298</v>
      </c>
      <c r="GR106">
        <v>99.730800000000002</v>
      </c>
      <c r="GS106">
        <v>99.556100000000001</v>
      </c>
    </row>
    <row r="107" spans="1:201" x14ac:dyDescent="0.25">
      <c r="A107">
        <v>91</v>
      </c>
      <c r="B107">
        <v>1690219075.0999999</v>
      </c>
      <c r="C107">
        <v>1054.599999904633</v>
      </c>
      <c r="D107" t="s">
        <v>511</v>
      </c>
      <c r="E107" t="s">
        <v>512</v>
      </c>
      <c r="F107" t="s">
        <v>330</v>
      </c>
      <c r="H107">
        <v>1690219075.0999999</v>
      </c>
      <c r="I107">
        <f t="shared" si="30"/>
        <v>1.1670072700368482E-3</v>
      </c>
      <c r="J107">
        <f t="shared" si="31"/>
        <v>1.1670072700368481</v>
      </c>
      <c r="K107">
        <f t="shared" si="32"/>
        <v>16.677258118099626</v>
      </c>
      <c r="L107">
        <f t="shared" si="33"/>
        <v>612.21</v>
      </c>
      <c r="M107">
        <f t="shared" si="34"/>
        <v>146.87823736634519</v>
      </c>
      <c r="N107">
        <f t="shared" si="35"/>
        <v>14.566067832055966</v>
      </c>
      <c r="O107">
        <f t="shared" si="36"/>
        <v>60.713503561599005</v>
      </c>
      <c r="P107">
        <f t="shared" si="37"/>
        <v>5.9648808872007568E-2</v>
      </c>
      <c r="Q107">
        <f t="shared" si="38"/>
        <v>2.1319681810417519</v>
      </c>
      <c r="R107">
        <f t="shared" si="39"/>
        <v>5.8736952927493119E-2</v>
      </c>
      <c r="S107">
        <f t="shared" si="40"/>
        <v>3.6791361000175174E-2</v>
      </c>
      <c r="T107">
        <f t="shared" si="41"/>
        <v>276.11675818200001</v>
      </c>
      <c r="U107">
        <f t="shared" si="42"/>
        <v>27.606375791103829</v>
      </c>
      <c r="V107">
        <f t="shared" si="43"/>
        <v>27.606375791103829</v>
      </c>
      <c r="W107">
        <f t="shared" si="44"/>
        <v>3.7086265068172093</v>
      </c>
      <c r="X107">
        <f t="shared" si="45"/>
        <v>53.67385420539005</v>
      </c>
      <c r="Y107">
        <f t="shared" si="46"/>
        <v>1.7929132665101002</v>
      </c>
      <c r="Z107">
        <f t="shared" si="47"/>
        <v>3.340384798246987</v>
      </c>
      <c r="AA107">
        <f t="shared" si="48"/>
        <v>1.9157132403071091</v>
      </c>
      <c r="AB107">
        <f t="shared" si="49"/>
        <v>-51.465020608625004</v>
      </c>
      <c r="AC107">
        <f t="shared" si="50"/>
        <v>-204.22024378811713</v>
      </c>
      <c r="AD107">
        <f t="shared" si="51"/>
        <v>-20.614438985558486</v>
      </c>
      <c r="AE107">
        <f t="shared" si="52"/>
        <v>-0.18294520030059402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52641.605315798122</v>
      </c>
      <c r="AK107">
        <f t="shared" si="56"/>
        <v>1800</v>
      </c>
      <c r="AL107">
        <f t="shared" si="57"/>
        <v>1499.1086142000001</v>
      </c>
      <c r="AM107">
        <f t="shared" si="58"/>
        <v>0.83283811900000004</v>
      </c>
      <c r="AN107">
        <f t="shared" si="59"/>
        <v>0.15339819899000001</v>
      </c>
      <c r="AO107">
        <v>32.4</v>
      </c>
      <c r="AP107">
        <v>0.5</v>
      </c>
      <c r="AQ107" t="s">
        <v>331</v>
      </c>
      <c r="AR107">
        <v>2</v>
      </c>
      <c r="AS107">
        <v>1690219075.0999999</v>
      </c>
      <c r="AT107">
        <v>612.21</v>
      </c>
      <c r="AU107">
        <v>799.95600000000002</v>
      </c>
      <c r="AV107">
        <v>18.079000000000001</v>
      </c>
      <c r="AW107">
        <v>5.7087500000000002</v>
      </c>
      <c r="AX107">
        <v>612.351</v>
      </c>
      <c r="AY107">
        <v>17.933800000000002</v>
      </c>
      <c r="AZ107">
        <v>300.13499999999999</v>
      </c>
      <c r="BA107">
        <v>99.071100000000001</v>
      </c>
      <c r="BB107">
        <v>9.99419E-2</v>
      </c>
      <c r="BC107">
        <v>25.829599999999999</v>
      </c>
      <c r="BD107">
        <v>26.979299999999999</v>
      </c>
      <c r="BE107">
        <v>27.298300000000001</v>
      </c>
      <c r="BF107">
        <v>0</v>
      </c>
      <c r="BG107">
        <v>0</v>
      </c>
      <c r="BH107">
        <v>10010</v>
      </c>
      <c r="BI107">
        <v>1063.72</v>
      </c>
      <c r="BJ107">
        <v>1.3974500000000001</v>
      </c>
      <c r="BK107">
        <v>-187.74600000000001</v>
      </c>
      <c r="BL107">
        <v>623.48199999999997</v>
      </c>
      <c r="BM107">
        <v>804.54899999999998</v>
      </c>
      <c r="BN107">
        <v>12.370200000000001</v>
      </c>
      <c r="BO107">
        <v>799.95600000000002</v>
      </c>
      <c r="BP107">
        <v>5.7087500000000002</v>
      </c>
      <c r="BQ107">
        <v>1.79111</v>
      </c>
      <c r="BR107">
        <v>0.56557199999999996</v>
      </c>
      <c r="BS107">
        <v>15.7094</v>
      </c>
      <c r="BT107">
        <v>-1.1181000000000001</v>
      </c>
      <c r="BU107">
        <v>1800</v>
      </c>
      <c r="BV107">
        <v>0.909972</v>
      </c>
      <c r="BW107">
        <v>3.4006300000000003E-2</v>
      </c>
      <c r="BX107">
        <v>2.20092E-2</v>
      </c>
      <c r="BY107">
        <v>3.4012300000000002E-2</v>
      </c>
      <c r="BZ107">
        <v>25.666699999999999</v>
      </c>
      <c r="CA107">
        <v>33528.199999999997</v>
      </c>
      <c r="CB107">
        <v>1690217592</v>
      </c>
      <c r="CC107" t="s">
        <v>332</v>
      </c>
      <c r="CD107">
        <v>1690217586.5</v>
      </c>
      <c r="CE107">
        <v>1690217592</v>
      </c>
      <c r="CF107">
        <v>9</v>
      </c>
      <c r="CG107">
        <v>0.11600000000000001</v>
      </c>
      <c r="CH107">
        <v>-3.0000000000000001E-3</v>
      </c>
      <c r="CI107">
        <v>-0.27300000000000002</v>
      </c>
      <c r="CJ107">
        <v>-6.9000000000000006E-2</v>
      </c>
      <c r="CK107">
        <v>800</v>
      </c>
      <c r="CL107">
        <v>6</v>
      </c>
      <c r="CM107">
        <v>0.01</v>
      </c>
      <c r="CN107">
        <v>0.01</v>
      </c>
      <c r="CO107">
        <v>-184.81665853658541</v>
      </c>
      <c r="CP107">
        <v>-17.141142857143372</v>
      </c>
      <c r="CQ107">
        <v>1.690957278451789</v>
      </c>
      <c r="CR107">
        <v>-1</v>
      </c>
      <c r="CS107">
        <v>12.230268292682929</v>
      </c>
      <c r="CT107">
        <v>0.81414564459929983</v>
      </c>
      <c r="CU107">
        <v>8.0296254625238692E-2</v>
      </c>
      <c r="CV107">
        <v>-1</v>
      </c>
      <c r="CW107">
        <v>0</v>
      </c>
      <c r="CX107">
        <v>0</v>
      </c>
      <c r="CY107" t="s">
        <v>333</v>
      </c>
      <c r="CZ107">
        <v>2.36442</v>
      </c>
      <c r="DA107">
        <v>2.71374</v>
      </c>
      <c r="DB107">
        <v>0.122117</v>
      </c>
      <c r="DC107">
        <v>0.14605499999999999</v>
      </c>
      <c r="DD107">
        <v>9.3069299999999994E-2</v>
      </c>
      <c r="DE107">
        <v>3.7870300000000003E-2</v>
      </c>
      <c r="DF107">
        <v>32052.6</v>
      </c>
      <c r="DG107">
        <v>27517.7</v>
      </c>
      <c r="DH107">
        <v>31169.8</v>
      </c>
      <c r="DI107">
        <v>28079.1</v>
      </c>
      <c r="DJ107">
        <v>38385.699999999997</v>
      </c>
      <c r="DK107">
        <v>38417.599999999999</v>
      </c>
      <c r="DL107">
        <v>44358.2</v>
      </c>
      <c r="DM107">
        <v>42556.6</v>
      </c>
      <c r="DN107">
        <v>1.4794799999999999</v>
      </c>
      <c r="DO107">
        <v>2.0343499999999999</v>
      </c>
      <c r="DP107">
        <v>0.13418099999999999</v>
      </c>
      <c r="DQ107">
        <v>0.16322700000000001</v>
      </c>
      <c r="DR107">
        <v>24.780899999999999</v>
      </c>
      <c r="DS107">
        <v>24.624400000000001</v>
      </c>
      <c r="DT107">
        <v>16.8</v>
      </c>
      <c r="DU107">
        <v>29.8</v>
      </c>
      <c r="DV107">
        <v>7.1414799999999996</v>
      </c>
      <c r="DW107">
        <v>61.214100000000002</v>
      </c>
      <c r="DX107">
        <v>36.370199999999997</v>
      </c>
      <c r="DY107">
        <v>1</v>
      </c>
      <c r="DZ107">
        <v>-9.1986799999999994E-2</v>
      </c>
      <c r="EA107">
        <v>0.43848300000000001</v>
      </c>
      <c r="EB107">
        <v>20.1891</v>
      </c>
      <c r="EC107">
        <v>5.2408000000000001</v>
      </c>
      <c r="ED107">
        <v>12.039899999999999</v>
      </c>
      <c r="EE107">
        <v>5.0170000000000003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1.86896</v>
      </c>
      <c r="EL107">
        <v>1.8647100000000001</v>
      </c>
      <c r="EM107">
        <v>1.8692</v>
      </c>
      <c r="EN107">
        <v>1.8672599999999999</v>
      </c>
      <c r="EO107">
        <v>1.86341</v>
      </c>
      <c r="EP107">
        <v>1.8646199999999999</v>
      </c>
      <c r="EQ107">
        <v>1.87026</v>
      </c>
      <c r="ER107">
        <v>1.86948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-0.14099999999999999</v>
      </c>
      <c r="FG107">
        <v>0.1452</v>
      </c>
      <c r="FH107">
        <v>0.27827353915413472</v>
      </c>
      <c r="FI107">
        <v>-6.1462078757559423E-4</v>
      </c>
      <c r="FJ107">
        <v>-1.8861989874597051E-7</v>
      </c>
      <c r="FK107">
        <v>1.1980462299894961E-10</v>
      </c>
      <c r="FL107">
        <v>-3.2538871274648329E-2</v>
      </c>
      <c r="FM107">
        <v>-1.6848085045870601E-2</v>
      </c>
      <c r="FN107">
        <v>1.9789084769509481E-3</v>
      </c>
      <c r="FO107">
        <v>-2.7142391389806329E-5</v>
      </c>
      <c r="FP107">
        <v>3</v>
      </c>
      <c r="FQ107">
        <v>2158</v>
      </c>
      <c r="FR107">
        <v>1</v>
      </c>
      <c r="FS107">
        <v>19</v>
      </c>
      <c r="FT107">
        <v>24.8</v>
      </c>
      <c r="FU107">
        <v>24.7</v>
      </c>
      <c r="FV107">
        <v>1.7773399999999999</v>
      </c>
      <c r="FW107">
        <v>2.5793499999999998</v>
      </c>
      <c r="FX107">
        <v>1.5490699999999999</v>
      </c>
      <c r="FY107">
        <v>2.3290999999999999</v>
      </c>
      <c r="FZ107">
        <v>1.50146</v>
      </c>
      <c r="GA107">
        <v>2.3803700000000001</v>
      </c>
      <c r="GB107">
        <v>33.850900000000003</v>
      </c>
      <c r="GC107">
        <v>23.982399999999998</v>
      </c>
      <c r="GD107">
        <v>19</v>
      </c>
      <c r="GE107">
        <v>284.411</v>
      </c>
      <c r="GF107">
        <v>581.88400000000001</v>
      </c>
      <c r="GG107">
        <v>23.568899999999999</v>
      </c>
      <c r="GH107">
        <v>26.211099999999998</v>
      </c>
      <c r="GI107">
        <v>29.9999</v>
      </c>
      <c r="GJ107">
        <v>26.380700000000001</v>
      </c>
      <c r="GK107">
        <v>26.373100000000001</v>
      </c>
      <c r="GL107">
        <v>35.5428</v>
      </c>
      <c r="GM107">
        <v>-30</v>
      </c>
      <c r="GN107">
        <v>-30</v>
      </c>
      <c r="GO107">
        <v>23.571300000000001</v>
      </c>
      <c r="GP107">
        <v>800</v>
      </c>
      <c r="GQ107">
        <v>12.5298</v>
      </c>
      <c r="GR107">
        <v>99.730999999999995</v>
      </c>
      <c r="GS107">
        <v>99.556200000000004</v>
      </c>
    </row>
    <row r="108" spans="1:201" x14ac:dyDescent="0.25">
      <c r="A108">
        <v>92</v>
      </c>
      <c r="B108">
        <v>1690219085.0999999</v>
      </c>
      <c r="C108">
        <v>1064.599999904633</v>
      </c>
      <c r="D108" t="s">
        <v>513</v>
      </c>
      <c r="E108" t="s">
        <v>514</v>
      </c>
      <c r="F108" t="s">
        <v>330</v>
      </c>
      <c r="H108">
        <v>1690219085.0999999</v>
      </c>
      <c r="I108">
        <f t="shared" si="30"/>
        <v>1.179358956840614E-3</v>
      </c>
      <c r="J108">
        <f t="shared" si="31"/>
        <v>1.179358956840614</v>
      </c>
      <c r="K108">
        <f t="shared" si="32"/>
        <v>16.941161865248493</v>
      </c>
      <c r="L108">
        <f t="shared" si="33"/>
        <v>609.40899999999999</v>
      </c>
      <c r="M108">
        <f t="shared" si="34"/>
        <v>145.22051619972504</v>
      </c>
      <c r="N108">
        <f t="shared" si="35"/>
        <v>14.401674703581648</v>
      </c>
      <c r="O108">
        <f t="shared" si="36"/>
        <v>60.435745644675002</v>
      </c>
      <c r="P108">
        <f t="shared" si="37"/>
        <v>6.073880478041447E-2</v>
      </c>
      <c r="Q108">
        <f t="shared" si="38"/>
        <v>2.1329913761386652</v>
      </c>
      <c r="R108">
        <f t="shared" si="39"/>
        <v>5.9794049147304282E-2</v>
      </c>
      <c r="S108">
        <f t="shared" si="40"/>
        <v>3.7454939128223619E-2</v>
      </c>
      <c r="T108">
        <f t="shared" si="41"/>
        <v>276.11685511200005</v>
      </c>
      <c r="U108">
        <f t="shared" si="42"/>
        <v>27.599398552838473</v>
      </c>
      <c r="V108">
        <f t="shared" si="43"/>
        <v>27.599398552838473</v>
      </c>
      <c r="W108">
        <f t="shared" si="44"/>
        <v>3.7071138709618832</v>
      </c>
      <c r="X108">
        <f t="shared" si="45"/>
        <v>54.055516763526754</v>
      </c>
      <c r="Y108">
        <f t="shared" si="46"/>
        <v>1.8054590059125</v>
      </c>
      <c r="Z108">
        <f t="shared" si="47"/>
        <v>3.340008779882222</v>
      </c>
      <c r="AA108">
        <f t="shared" si="48"/>
        <v>1.9016548650493832</v>
      </c>
      <c r="AB108">
        <f t="shared" si="49"/>
        <v>-52.009729996671076</v>
      </c>
      <c r="AC108">
        <f t="shared" si="50"/>
        <v>-203.73440409275773</v>
      </c>
      <c r="AD108">
        <f t="shared" si="51"/>
        <v>-20.554617797192162</v>
      </c>
      <c r="AE108">
        <f t="shared" si="52"/>
        <v>-0.18189677462089548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52686.257101186384</v>
      </c>
      <c r="AK108">
        <f t="shared" si="56"/>
        <v>1800</v>
      </c>
      <c r="AL108">
        <f t="shared" si="57"/>
        <v>1499.1100181999998</v>
      </c>
      <c r="AM108">
        <f t="shared" si="58"/>
        <v>0.83283889899999985</v>
      </c>
      <c r="AN108">
        <f t="shared" si="59"/>
        <v>0.15339825284000003</v>
      </c>
      <c r="AO108">
        <v>32.4</v>
      </c>
      <c r="AP108">
        <v>0.5</v>
      </c>
      <c r="AQ108" t="s">
        <v>331</v>
      </c>
      <c r="AR108">
        <v>2</v>
      </c>
      <c r="AS108">
        <v>1690219085.0999999</v>
      </c>
      <c r="AT108">
        <v>609.40899999999999</v>
      </c>
      <c r="AU108">
        <v>800.02</v>
      </c>
      <c r="AV108">
        <v>18.205500000000001</v>
      </c>
      <c r="AW108">
        <v>5.7078899999999999</v>
      </c>
      <c r="AX108">
        <v>609.548</v>
      </c>
      <c r="AY108">
        <v>18.056899999999999</v>
      </c>
      <c r="AZ108">
        <v>300.18200000000002</v>
      </c>
      <c r="BA108">
        <v>99.070999999999998</v>
      </c>
      <c r="BB108">
        <v>0.100075</v>
      </c>
      <c r="BC108">
        <v>25.8277</v>
      </c>
      <c r="BD108">
        <v>27.0275</v>
      </c>
      <c r="BE108">
        <v>27.276399999999999</v>
      </c>
      <c r="BF108">
        <v>0</v>
      </c>
      <c r="BG108">
        <v>0</v>
      </c>
      <c r="BH108">
        <v>10018.799999999999</v>
      </c>
      <c r="BI108">
        <v>1063.78</v>
      </c>
      <c r="BJ108">
        <v>1.3595999999999999</v>
      </c>
      <c r="BK108">
        <v>-190.61099999999999</v>
      </c>
      <c r="BL108">
        <v>620.70899999999995</v>
      </c>
      <c r="BM108">
        <v>804.61199999999997</v>
      </c>
      <c r="BN108">
        <v>12.4976</v>
      </c>
      <c r="BO108">
        <v>800.02</v>
      </c>
      <c r="BP108">
        <v>5.7078899999999999</v>
      </c>
      <c r="BQ108">
        <v>1.8036399999999999</v>
      </c>
      <c r="BR108">
        <v>0.56548600000000004</v>
      </c>
      <c r="BS108">
        <v>15.8184</v>
      </c>
      <c r="BT108">
        <v>-1.12016</v>
      </c>
      <c r="BU108">
        <v>1800</v>
      </c>
      <c r="BV108">
        <v>0.90997499999999998</v>
      </c>
      <c r="BW108">
        <v>3.4005399999999998E-2</v>
      </c>
      <c r="BX108">
        <v>2.2008699999999999E-2</v>
      </c>
      <c r="BY108">
        <v>3.4011399999999997E-2</v>
      </c>
      <c r="BZ108">
        <v>25.666699999999999</v>
      </c>
      <c r="CA108">
        <v>33528.199999999997</v>
      </c>
      <c r="CB108">
        <v>1690217592</v>
      </c>
      <c r="CC108" t="s">
        <v>332</v>
      </c>
      <c r="CD108">
        <v>1690217586.5</v>
      </c>
      <c r="CE108">
        <v>1690217592</v>
      </c>
      <c r="CF108">
        <v>9</v>
      </c>
      <c r="CG108">
        <v>0.11600000000000001</v>
      </c>
      <c r="CH108">
        <v>-3.0000000000000001E-3</v>
      </c>
      <c r="CI108">
        <v>-0.27300000000000002</v>
      </c>
      <c r="CJ108">
        <v>-6.9000000000000006E-2</v>
      </c>
      <c r="CK108">
        <v>800</v>
      </c>
      <c r="CL108">
        <v>6</v>
      </c>
      <c r="CM108">
        <v>0.01</v>
      </c>
      <c r="CN108">
        <v>0.01</v>
      </c>
      <c r="CO108">
        <v>-187.63802439024391</v>
      </c>
      <c r="CP108">
        <v>-16.830982578397371</v>
      </c>
      <c r="CQ108">
        <v>1.659870381184007</v>
      </c>
      <c r="CR108">
        <v>-1</v>
      </c>
      <c r="CS108">
        <v>12.36326097560976</v>
      </c>
      <c r="CT108">
        <v>0.77377630662021912</v>
      </c>
      <c r="CU108">
        <v>7.6306748984028866E-2</v>
      </c>
      <c r="CV108">
        <v>-1</v>
      </c>
      <c r="CW108">
        <v>0</v>
      </c>
      <c r="CX108">
        <v>0</v>
      </c>
      <c r="CY108" t="s">
        <v>333</v>
      </c>
      <c r="CZ108">
        <v>2.3645800000000001</v>
      </c>
      <c r="DA108">
        <v>2.7138800000000001</v>
      </c>
      <c r="DB108">
        <v>0.121728</v>
      </c>
      <c r="DC108">
        <v>0.146064</v>
      </c>
      <c r="DD108">
        <v>9.3531699999999995E-2</v>
      </c>
      <c r="DE108">
        <v>3.7865999999999997E-2</v>
      </c>
      <c r="DF108">
        <v>32067.5</v>
      </c>
      <c r="DG108">
        <v>27517.8</v>
      </c>
      <c r="DH108">
        <v>31170.400000000001</v>
      </c>
      <c r="DI108">
        <v>28079.4</v>
      </c>
      <c r="DJ108">
        <v>38366.6</v>
      </c>
      <c r="DK108">
        <v>38418.1</v>
      </c>
      <c r="DL108">
        <v>44359</v>
      </c>
      <c r="DM108">
        <v>42556.9</v>
      </c>
      <c r="DN108">
        <v>1.4796800000000001</v>
      </c>
      <c r="DO108">
        <v>2.0342799999999999</v>
      </c>
      <c r="DP108">
        <v>0.13703499999999999</v>
      </c>
      <c r="DQ108">
        <v>0.16175999999999999</v>
      </c>
      <c r="DR108">
        <v>24.782399999999999</v>
      </c>
      <c r="DS108">
        <v>24.6264</v>
      </c>
      <c r="DT108">
        <v>16.8</v>
      </c>
      <c r="DU108">
        <v>29.8</v>
      </c>
      <c r="DV108">
        <v>7.1426299999999996</v>
      </c>
      <c r="DW108">
        <v>61.204099999999997</v>
      </c>
      <c r="DX108">
        <v>36.638599999999997</v>
      </c>
      <c r="DY108">
        <v>1</v>
      </c>
      <c r="DZ108">
        <v>-9.2017299999999996E-2</v>
      </c>
      <c r="EA108">
        <v>0.39415800000000001</v>
      </c>
      <c r="EB108">
        <v>20.1892</v>
      </c>
      <c r="EC108">
        <v>5.2406499999999996</v>
      </c>
      <c r="ED108">
        <v>12.039899999999999</v>
      </c>
      <c r="EE108">
        <v>5.0164499999999999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1.86896</v>
      </c>
      <c r="EL108">
        <v>1.8646799999999999</v>
      </c>
      <c r="EM108">
        <v>1.8692</v>
      </c>
      <c r="EN108">
        <v>1.8672500000000001</v>
      </c>
      <c r="EO108">
        <v>1.86341</v>
      </c>
      <c r="EP108">
        <v>1.86459</v>
      </c>
      <c r="EQ108">
        <v>1.87026</v>
      </c>
      <c r="ER108">
        <v>1.8694900000000001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-0.13900000000000001</v>
      </c>
      <c r="FG108">
        <v>0.14860000000000001</v>
      </c>
      <c r="FH108">
        <v>0.27827353915413472</v>
      </c>
      <c r="FI108">
        <v>-6.1462078757559423E-4</v>
      </c>
      <c r="FJ108">
        <v>-1.8861989874597051E-7</v>
      </c>
      <c r="FK108">
        <v>1.1980462299894961E-10</v>
      </c>
      <c r="FL108">
        <v>-3.2538871274648329E-2</v>
      </c>
      <c r="FM108">
        <v>-1.6848085045870601E-2</v>
      </c>
      <c r="FN108">
        <v>1.9789084769509481E-3</v>
      </c>
      <c r="FO108">
        <v>-2.7142391389806329E-5</v>
      </c>
      <c r="FP108">
        <v>3</v>
      </c>
      <c r="FQ108">
        <v>2158</v>
      </c>
      <c r="FR108">
        <v>1</v>
      </c>
      <c r="FS108">
        <v>19</v>
      </c>
      <c r="FT108">
        <v>25</v>
      </c>
      <c r="FU108">
        <v>24.9</v>
      </c>
      <c r="FV108">
        <v>1.7773399999999999</v>
      </c>
      <c r="FW108">
        <v>2.5830099999999998</v>
      </c>
      <c r="FX108">
        <v>1.5490699999999999</v>
      </c>
      <c r="FY108">
        <v>2.3290999999999999</v>
      </c>
      <c r="FZ108">
        <v>1.50146</v>
      </c>
      <c r="GA108">
        <v>2.3925800000000002</v>
      </c>
      <c r="GB108">
        <v>33.850900000000003</v>
      </c>
      <c r="GC108">
        <v>23.982399999999998</v>
      </c>
      <c r="GD108">
        <v>19</v>
      </c>
      <c r="GE108">
        <v>284.48</v>
      </c>
      <c r="GF108">
        <v>581.78399999999999</v>
      </c>
      <c r="GG108">
        <v>23.5733</v>
      </c>
      <c r="GH108">
        <v>26.207100000000001</v>
      </c>
      <c r="GI108">
        <v>30</v>
      </c>
      <c r="GJ108">
        <v>26.376999999999999</v>
      </c>
      <c r="GK108">
        <v>26.369800000000001</v>
      </c>
      <c r="GL108">
        <v>35.542499999999997</v>
      </c>
      <c r="GM108">
        <v>-30</v>
      </c>
      <c r="GN108">
        <v>-30</v>
      </c>
      <c r="GO108">
        <v>23.572299999999998</v>
      </c>
      <c r="GP108">
        <v>800</v>
      </c>
      <c r="GQ108">
        <v>12.5298</v>
      </c>
      <c r="GR108">
        <v>99.732699999999994</v>
      </c>
      <c r="GS108">
        <v>99.557000000000002</v>
      </c>
    </row>
    <row r="109" spans="1:201" x14ac:dyDescent="0.25">
      <c r="A109">
        <v>93</v>
      </c>
      <c r="B109">
        <v>1690219095.0999999</v>
      </c>
      <c r="C109">
        <v>1074.599999904633</v>
      </c>
      <c r="D109" t="s">
        <v>515</v>
      </c>
      <c r="E109" t="s">
        <v>516</v>
      </c>
      <c r="F109" t="s">
        <v>330</v>
      </c>
      <c r="H109">
        <v>1690219095.0999999</v>
      </c>
      <c r="I109">
        <f t="shared" si="30"/>
        <v>1.1918508315603516E-3</v>
      </c>
      <c r="J109">
        <f t="shared" si="31"/>
        <v>1.1918508315603515</v>
      </c>
      <c r="K109">
        <f t="shared" si="32"/>
        <v>17.200420632279407</v>
      </c>
      <c r="L109">
        <f t="shared" si="33"/>
        <v>606.57600000000002</v>
      </c>
      <c r="M109">
        <f t="shared" si="34"/>
        <v>143.65072305914788</v>
      </c>
      <c r="N109">
        <f t="shared" si="35"/>
        <v>14.246713389950761</v>
      </c>
      <c r="O109">
        <f t="shared" si="36"/>
        <v>60.157820560809604</v>
      </c>
      <c r="P109">
        <f t="shared" si="37"/>
        <v>6.1834573456953416E-2</v>
      </c>
      <c r="Q109">
        <f t="shared" si="38"/>
        <v>2.133912152103453</v>
      </c>
      <c r="R109">
        <f t="shared" si="39"/>
        <v>6.0856133613533127E-2</v>
      </c>
      <c r="S109">
        <f t="shared" si="40"/>
        <v>3.8121702752478233E-2</v>
      </c>
      <c r="T109">
        <f t="shared" si="41"/>
        <v>276.11663916599997</v>
      </c>
      <c r="U109">
        <f t="shared" si="42"/>
        <v>27.597643100622946</v>
      </c>
      <c r="V109">
        <f t="shared" si="43"/>
        <v>27.597643100622946</v>
      </c>
      <c r="W109">
        <f t="shared" si="44"/>
        <v>3.7067333810971084</v>
      </c>
      <c r="X109">
        <f t="shared" si="45"/>
        <v>54.435387328655729</v>
      </c>
      <c r="Y109">
        <f t="shared" si="46"/>
        <v>1.8185022381120597</v>
      </c>
      <c r="Z109">
        <f t="shared" si="47"/>
        <v>3.3406618880706827</v>
      </c>
      <c r="AA109">
        <f t="shared" si="48"/>
        <v>1.8882311429850487</v>
      </c>
      <c r="AB109">
        <f t="shared" si="49"/>
        <v>-52.560621671811504</v>
      </c>
      <c r="AC109">
        <f t="shared" si="50"/>
        <v>-203.24075598193286</v>
      </c>
      <c r="AD109">
        <f t="shared" si="51"/>
        <v>-20.496123650276779</v>
      </c>
      <c r="AE109">
        <f t="shared" si="52"/>
        <v>-0.18086213802118323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52725.691458268731</v>
      </c>
      <c r="AK109">
        <f t="shared" si="56"/>
        <v>1800</v>
      </c>
      <c r="AL109">
        <f t="shared" si="57"/>
        <v>1499.1097536</v>
      </c>
      <c r="AM109">
        <f t="shared" si="58"/>
        <v>0.83283875200000002</v>
      </c>
      <c r="AN109">
        <f t="shared" si="59"/>
        <v>0.15339813286999998</v>
      </c>
      <c r="AO109">
        <v>32.4</v>
      </c>
      <c r="AP109">
        <v>0.5</v>
      </c>
      <c r="AQ109" t="s">
        <v>331</v>
      </c>
      <c r="AR109">
        <v>2</v>
      </c>
      <c r="AS109">
        <v>1690219095.0999999</v>
      </c>
      <c r="AT109">
        <v>606.57600000000002</v>
      </c>
      <c r="AU109">
        <v>800.05100000000004</v>
      </c>
      <c r="AV109">
        <v>18.336099999999998</v>
      </c>
      <c r="AW109">
        <v>5.7064899999999996</v>
      </c>
      <c r="AX109">
        <v>606.71299999999997</v>
      </c>
      <c r="AY109">
        <v>18.183900000000001</v>
      </c>
      <c r="AZ109">
        <v>300.15100000000001</v>
      </c>
      <c r="BA109">
        <v>99.076099999999997</v>
      </c>
      <c r="BB109">
        <v>9.9964600000000001E-2</v>
      </c>
      <c r="BC109">
        <v>25.831</v>
      </c>
      <c r="BD109">
        <v>26.974699999999999</v>
      </c>
      <c r="BE109">
        <v>27.265799999999999</v>
      </c>
      <c r="BF109">
        <v>0</v>
      </c>
      <c r="BG109">
        <v>0</v>
      </c>
      <c r="BH109">
        <v>10026.200000000001</v>
      </c>
      <c r="BI109">
        <v>1063.76</v>
      </c>
      <c r="BJ109">
        <v>1.5137799999999999</v>
      </c>
      <c r="BK109">
        <v>-193.47499999999999</v>
      </c>
      <c r="BL109">
        <v>617.90599999999995</v>
      </c>
      <c r="BM109">
        <v>804.64300000000003</v>
      </c>
      <c r="BN109">
        <v>12.6297</v>
      </c>
      <c r="BO109">
        <v>800.05100000000004</v>
      </c>
      <c r="BP109">
        <v>5.7064899999999996</v>
      </c>
      <c r="BQ109">
        <v>1.81667</v>
      </c>
      <c r="BR109">
        <v>0.56537599999999999</v>
      </c>
      <c r="BS109">
        <v>15.930999999999999</v>
      </c>
      <c r="BT109">
        <v>-1.1228100000000001</v>
      </c>
      <c r="BU109">
        <v>1800</v>
      </c>
      <c r="BV109">
        <v>0.90997700000000004</v>
      </c>
      <c r="BW109">
        <v>3.40045E-2</v>
      </c>
      <c r="BX109">
        <v>2.2008099999999999E-2</v>
      </c>
      <c r="BY109">
        <v>3.4010499999999999E-2</v>
      </c>
      <c r="BZ109">
        <v>25.666699999999999</v>
      </c>
      <c r="CA109">
        <v>33528.199999999997</v>
      </c>
      <c r="CB109">
        <v>1690217592</v>
      </c>
      <c r="CC109" t="s">
        <v>332</v>
      </c>
      <c r="CD109">
        <v>1690217586.5</v>
      </c>
      <c r="CE109">
        <v>1690217592</v>
      </c>
      <c r="CF109">
        <v>9</v>
      </c>
      <c r="CG109">
        <v>0.11600000000000001</v>
      </c>
      <c r="CH109">
        <v>-3.0000000000000001E-3</v>
      </c>
      <c r="CI109">
        <v>-0.27300000000000002</v>
      </c>
      <c r="CJ109">
        <v>-6.9000000000000006E-2</v>
      </c>
      <c r="CK109">
        <v>800</v>
      </c>
      <c r="CL109">
        <v>6</v>
      </c>
      <c r="CM109">
        <v>0.01</v>
      </c>
      <c r="CN109">
        <v>0.01</v>
      </c>
      <c r="CO109">
        <v>-190.403975</v>
      </c>
      <c r="CP109">
        <v>-17.101834896809731</v>
      </c>
      <c r="CQ109">
        <v>1.6454433215322259</v>
      </c>
      <c r="CR109">
        <v>-1</v>
      </c>
      <c r="CS109">
        <v>12.4903475</v>
      </c>
      <c r="CT109">
        <v>0.78348630393996399</v>
      </c>
      <c r="CU109">
        <v>7.5387903497510858E-2</v>
      </c>
      <c r="CV109">
        <v>-1</v>
      </c>
      <c r="CW109">
        <v>0</v>
      </c>
      <c r="CX109">
        <v>0</v>
      </c>
      <c r="CY109" t="s">
        <v>333</v>
      </c>
      <c r="CZ109">
        <v>2.3644699999999998</v>
      </c>
      <c r="DA109">
        <v>2.7137799999999999</v>
      </c>
      <c r="DB109">
        <v>0.121339</v>
      </c>
      <c r="DC109">
        <v>0.14607600000000001</v>
      </c>
      <c r="DD109">
        <v>9.4012399999999996E-2</v>
      </c>
      <c r="DE109">
        <v>3.7860699999999997E-2</v>
      </c>
      <c r="DF109">
        <v>32081.9</v>
      </c>
      <c r="DG109">
        <v>27518.1</v>
      </c>
      <c r="DH109">
        <v>31170.6</v>
      </c>
      <c r="DI109">
        <v>28080.2</v>
      </c>
      <c r="DJ109">
        <v>38346.1</v>
      </c>
      <c r="DK109">
        <v>38419.300000000003</v>
      </c>
      <c r="DL109">
        <v>44359.1</v>
      </c>
      <c r="DM109">
        <v>42558</v>
      </c>
      <c r="DN109">
        <v>1.4794</v>
      </c>
      <c r="DO109">
        <v>2.0347</v>
      </c>
      <c r="DP109">
        <v>0.13380900000000001</v>
      </c>
      <c r="DQ109">
        <v>0.16121199999999999</v>
      </c>
      <c r="DR109">
        <v>24.782399999999999</v>
      </c>
      <c r="DS109">
        <v>24.6248</v>
      </c>
      <c r="DT109">
        <v>16.8</v>
      </c>
      <c r="DU109">
        <v>29.8</v>
      </c>
      <c r="DV109">
        <v>7.1416599999999999</v>
      </c>
      <c r="DW109">
        <v>61.314100000000003</v>
      </c>
      <c r="DX109">
        <v>36.971200000000003</v>
      </c>
      <c r="DY109">
        <v>1</v>
      </c>
      <c r="DZ109">
        <v>-9.25203E-2</v>
      </c>
      <c r="EA109">
        <v>0.47541099999999997</v>
      </c>
      <c r="EB109">
        <v>20.189</v>
      </c>
      <c r="EC109">
        <v>5.2411000000000003</v>
      </c>
      <c r="ED109">
        <v>12.039899999999999</v>
      </c>
      <c r="EE109">
        <v>5.0171000000000001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1.86893</v>
      </c>
      <c r="EL109">
        <v>1.8646799999999999</v>
      </c>
      <c r="EM109">
        <v>1.8692</v>
      </c>
      <c r="EN109">
        <v>1.8672800000000001</v>
      </c>
      <c r="EO109">
        <v>1.8634200000000001</v>
      </c>
      <c r="EP109">
        <v>1.8646</v>
      </c>
      <c r="EQ109">
        <v>1.8702399999999999</v>
      </c>
      <c r="ER109">
        <v>1.8694599999999999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-0.13700000000000001</v>
      </c>
      <c r="FG109">
        <v>0.1522</v>
      </c>
      <c r="FH109">
        <v>0.27827353915413472</v>
      </c>
      <c r="FI109">
        <v>-6.1462078757559423E-4</v>
      </c>
      <c r="FJ109">
        <v>-1.8861989874597051E-7</v>
      </c>
      <c r="FK109">
        <v>1.1980462299894961E-10</v>
      </c>
      <c r="FL109">
        <v>-3.2538871274648329E-2</v>
      </c>
      <c r="FM109">
        <v>-1.6848085045870601E-2</v>
      </c>
      <c r="FN109">
        <v>1.9789084769509481E-3</v>
      </c>
      <c r="FO109">
        <v>-2.7142391389806329E-5</v>
      </c>
      <c r="FP109">
        <v>3</v>
      </c>
      <c r="FQ109">
        <v>2158</v>
      </c>
      <c r="FR109">
        <v>1</v>
      </c>
      <c r="FS109">
        <v>19</v>
      </c>
      <c r="FT109">
        <v>25.1</v>
      </c>
      <c r="FU109">
        <v>25.1</v>
      </c>
      <c r="FV109">
        <v>1.7773399999999999</v>
      </c>
      <c r="FW109">
        <v>2.5805699999999998</v>
      </c>
      <c r="FX109">
        <v>1.5490699999999999</v>
      </c>
      <c r="FY109">
        <v>2.3290999999999999</v>
      </c>
      <c r="FZ109">
        <v>1.50146</v>
      </c>
      <c r="GA109">
        <v>2.3327599999999999</v>
      </c>
      <c r="GB109">
        <v>33.850900000000003</v>
      </c>
      <c r="GC109">
        <v>23.982399999999998</v>
      </c>
      <c r="GD109">
        <v>19</v>
      </c>
      <c r="GE109">
        <v>284.34399999999999</v>
      </c>
      <c r="GF109">
        <v>582.08500000000004</v>
      </c>
      <c r="GG109">
        <v>23.561499999999999</v>
      </c>
      <c r="GH109">
        <v>26.203199999999999</v>
      </c>
      <c r="GI109">
        <v>30</v>
      </c>
      <c r="GJ109">
        <v>26.373000000000001</v>
      </c>
      <c r="GK109">
        <v>26.365400000000001</v>
      </c>
      <c r="GL109">
        <v>35.543799999999997</v>
      </c>
      <c r="GM109">
        <v>-30</v>
      </c>
      <c r="GN109">
        <v>-30</v>
      </c>
      <c r="GO109">
        <v>23.5669</v>
      </c>
      <c r="GP109">
        <v>800</v>
      </c>
      <c r="GQ109">
        <v>12.5298</v>
      </c>
      <c r="GR109">
        <v>99.733199999999997</v>
      </c>
      <c r="GS109">
        <v>99.559600000000003</v>
      </c>
    </row>
    <row r="110" spans="1:201" x14ac:dyDescent="0.25">
      <c r="A110">
        <v>94</v>
      </c>
      <c r="B110">
        <v>1690219105.0999999</v>
      </c>
      <c r="C110">
        <v>1084.599999904633</v>
      </c>
      <c r="D110" t="s">
        <v>517</v>
      </c>
      <c r="E110" t="s">
        <v>518</v>
      </c>
      <c r="F110" t="s">
        <v>330</v>
      </c>
      <c r="H110">
        <v>1690219105.0999999</v>
      </c>
      <c r="I110">
        <f t="shared" si="30"/>
        <v>1.2043234170843195E-3</v>
      </c>
      <c r="J110">
        <f t="shared" si="31"/>
        <v>1.2043234170843196</v>
      </c>
      <c r="K110">
        <f t="shared" si="32"/>
        <v>17.463184709274181</v>
      </c>
      <c r="L110">
        <f t="shared" si="33"/>
        <v>603.702</v>
      </c>
      <c r="M110">
        <f t="shared" si="34"/>
        <v>142.1445154278446</v>
      </c>
      <c r="N110">
        <f t="shared" si="35"/>
        <v>14.097167463454626</v>
      </c>
      <c r="O110">
        <f t="shared" si="36"/>
        <v>59.872082763141009</v>
      </c>
      <c r="P110">
        <f t="shared" si="37"/>
        <v>6.296548763690725E-2</v>
      </c>
      <c r="Q110">
        <f t="shared" si="38"/>
        <v>2.1303371861165608</v>
      </c>
      <c r="R110">
        <f t="shared" si="39"/>
        <v>6.1949574498964669E-2</v>
      </c>
      <c r="S110">
        <f t="shared" si="40"/>
        <v>3.8808394447158383E-2</v>
      </c>
      <c r="T110">
        <f t="shared" si="41"/>
        <v>276.11643283199999</v>
      </c>
      <c r="U110">
        <f t="shared" si="42"/>
        <v>27.592189111651063</v>
      </c>
      <c r="V110">
        <f t="shared" si="43"/>
        <v>27.592189111651063</v>
      </c>
      <c r="W110">
        <f t="shared" si="44"/>
        <v>3.7055514600750503</v>
      </c>
      <c r="X110">
        <f t="shared" si="45"/>
        <v>54.83302331232597</v>
      </c>
      <c r="Y110">
        <f t="shared" si="46"/>
        <v>1.8313735377925502</v>
      </c>
      <c r="Z110">
        <f t="shared" si="47"/>
        <v>3.3399098338261317</v>
      </c>
      <c r="AA110">
        <f t="shared" si="48"/>
        <v>1.8741779222825001</v>
      </c>
      <c r="AB110">
        <f t="shared" si="49"/>
        <v>-53.11066269341849</v>
      </c>
      <c r="AC110">
        <f t="shared" si="50"/>
        <v>-202.7103027021065</v>
      </c>
      <c r="AD110">
        <f t="shared" si="51"/>
        <v>-20.475985827409232</v>
      </c>
      <c r="AE110">
        <f t="shared" si="52"/>
        <v>-0.18051839093425315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52571.514779137717</v>
      </c>
      <c r="AK110">
        <f t="shared" si="56"/>
        <v>1800</v>
      </c>
      <c r="AL110">
        <f t="shared" si="57"/>
        <v>1499.1092081999998</v>
      </c>
      <c r="AM110">
        <f t="shared" si="58"/>
        <v>0.83283844899999993</v>
      </c>
      <c r="AN110">
        <f t="shared" si="59"/>
        <v>0.15339801823999999</v>
      </c>
      <c r="AO110">
        <v>32.4</v>
      </c>
      <c r="AP110">
        <v>0.5</v>
      </c>
      <c r="AQ110" t="s">
        <v>331</v>
      </c>
      <c r="AR110">
        <v>2</v>
      </c>
      <c r="AS110">
        <v>1690219105.0999999</v>
      </c>
      <c r="AT110">
        <v>603.702</v>
      </c>
      <c r="AU110">
        <v>800.06100000000004</v>
      </c>
      <c r="AV110">
        <v>18.466100000000001</v>
      </c>
      <c r="AW110">
        <v>5.7058</v>
      </c>
      <c r="AX110">
        <v>603.83699999999999</v>
      </c>
      <c r="AY110">
        <v>18.310300000000002</v>
      </c>
      <c r="AZ110">
        <v>300.14600000000002</v>
      </c>
      <c r="BA110">
        <v>99.0749</v>
      </c>
      <c r="BB110">
        <v>9.9995500000000001E-2</v>
      </c>
      <c r="BC110">
        <v>25.827200000000001</v>
      </c>
      <c r="BD110">
        <v>27.009799999999998</v>
      </c>
      <c r="BE110">
        <v>27.251200000000001</v>
      </c>
      <c r="BF110">
        <v>0</v>
      </c>
      <c r="BG110">
        <v>0</v>
      </c>
      <c r="BH110">
        <v>9995.6200000000008</v>
      </c>
      <c r="BI110">
        <v>1063.9100000000001</v>
      </c>
      <c r="BJ110">
        <v>1.49977</v>
      </c>
      <c r="BK110">
        <v>-196.36</v>
      </c>
      <c r="BL110">
        <v>615.05899999999997</v>
      </c>
      <c r="BM110">
        <v>804.65200000000004</v>
      </c>
      <c r="BN110">
        <v>12.760300000000001</v>
      </c>
      <c r="BO110">
        <v>800.06100000000004</v>
      </c>
      <c r="BP110">
        <v>5.7058</v>
      </c>
      <c r="BQ110">
        <v>1.8295300000000001</v>
      </c>
      <c r="BR110">
        <v>0.56530199999999997</v>
      </c>
      <c r="BS110">
        <v>16.041399999999999</v>
      </c>
      <c r="BT110">
        <v>-1.1246</v>
      </c>
      <c r="BU110">
        <v>1800</v>
      </c>
      <c r="BV110">
        <v>0.90997799999999995</v>
      </c>
      <c r="BW110">
        <v>3.4003899999999997E-2</v>
      </c>
      <c r="BX110">
        <v>2.2007700000000002E-2</v>
      </c>
      <c r="BY110">
        <v>3.4009999999999999E-2</v>
      </c>
      <c r="BZ110">
        <v>25.666699999999999</v>
      </c>
      <c r="CA110">
        <v>33528.199999999997</v>
      </c>
      <c r="CB110">
        <v>1690217592</v>
      </c>
      <c r="CC110" t="s">
        <v>332</v>
      </c>
      <c r="CD110">
        <v>1690217586.5</v>
      </c>
      <c r="CE110">
        <v>1690217592</v>
      </c>
      <c r="CF110">
        <v>9</v>
      </c>
      <c r="CG110">
        <v>0.11600000000000001</v>
      </c>
      <c r="CH110">
        <v>-3.0000000000000001E-3</v>
      </c>
      <c r="CI110">
        <v>-0.27300000000000002</v>
      </c>
      <c r="CJ110">
        <v>-6.9000000000000006E-2</v>
      </c>
      <c r="CK110">
        <v>800</v>
      </c>
      <c r="CL110">
        <v>6</v>
      </c>
      <c r="CM110">
        <v>0.01</v>
      </c>
      <c r="CN110">
        <v>0.01</v>
      </c>
      <c r="CO110">
        <v>-193.03243902439019</v>
      </c>
      <c r="CP110">
        <v>-17.002118466898992</v>
      </c>
      <c r="CQ110">
        <v>1.6768409329971219</v>
      </c>
      <c r="CR110">
        <v>-1</v>
      </c>
      <c r="CS110">
        <v>12.60996585365854</v>
      </c>
      <c r="CT110">
        <v>0.77868083623693196</v>
      </c>
      <c r="CU110">
        <v>7.679894120762816E-2</v>
      </c>
      <c r="CV110">
        <v>-1</v>
      </c>
      <c r="CW110">
        <v>0</v>
      </c>
      <c r="CX110">
        <v>0</v>
      </c>
      <c r="CY110" t="s">
        <v>333</v>
      </c>
      <c r="CZ110">
        <v>2.3644400000000001</v>
      </c>
      <c r="DA110">
        <v>2.7137799999999999</v>
      </c>
      <c r="DB110">
        <v>0.120935</v>
      </c>
      <c r="DC110">
        <v>0.14607700000000001</v>
      </c>
      <c r="DD110">
        <v>9.4483600000000001E-2</v>
      </c>
      <c r="DE110">
        <v>3.7856800000000003E-2</v>
      </c>
      <c r="DF110">
        <v>32096.6</v>
      </c>
      <c r="DG110">
        <v>27518.2</v>
      </c>
      <c r="DH110">
        <v>31170.6</v>
      </c>
      <c r="DI110">
        <v>28080.3</v>
      </c>
      <c r="DJ110">
        <v>38325.9</v>
      </c>
      <c r="DK110">
        <v>38419.599999999999</v>
      </c>
      <c r="DL110">
        <v>44359.1</v>
      </c>
      <c r="DM110">
        <v>42558.2</v>
      </c>
      <c r="DN110">
        <v>1.4796499999999999</v>
      </c>
      <c r="DO110">
        <v>2.0346500000000001</v>
      </c>
      <c r="DP110">
        <v>0.13605500000000001</v>
      </c>
      <c r="DQ110">
        <v>0.16034799999999999</v>
      </c>
      <c r="DR110">
        <v>24.780799999999999</v>
      </c>
      <c r="DS110">
        <v>24.624300000000002</v>
      </c>
      <c r="DT110">
        <v>16.8</v>
      </c>
      <c r="DU110">
        <v>29.8</v>
      </c>
      <c r="DV110">
        <v>7.1418400000000002</v>
      </c>
      <c r="DW110">
        <v>61.574100000000001</v>
      </c>
      <c r="DX110">
        <v>37.291699999999999</v>
      </c>
      <c r="DY110">
        <v>1</v>
      </c>
      <c r="DZ110">
        <v>-9.2759099999999997E-2</v>
      </c>
      <c r="EA110">
        <v>0.37857299999999999</v>
      </c>
      <c r="EB110">
        <v>20.189299999999999</v>
      </c>
      <c r="EC110">
        <v>5.2411000000000003</v>
      </c>
      <c r="ED110">
        <v>12.039899999999999</v>
      </c>
      <c r="EE110">
        <v>5.0170500000000002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1.86893</v>
      </c>
      <c r="EL110">
        <v>1.86467</v>
      </c>
      <c r="EM110">
        <v>1.8692</v>
      </c>
      <c r="EN110">
        <v>1.8672299999999999</v>
      </c>
      <c r="EO110">
        <v>1.8633999999999999</v>
      </c>
      <c r="EP110">
        <v>1.86456</v>
      </c>
      <c r="EQ110">
        <v>1.8702300000000001</v>
      </c>
      <c r="ER110">
        <v>1.86947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-0.13500000000000001</v>
      </c>
      <c r="FG110">
        <v>0.15579999999999999</v>
      </c>
      <c r="FH110">
        <v>0.27827353915413472</v>
      </c>
      <c r="FI110">
        <v>-6.1462078757559423E-4</v>
      </c>
      <c r="FJ110">
        <v>-1.8861989874597051E-7</v>
      </c>
      <c r="FK110">
        <v>1.1980462299894961E-10</v>
      </c>
      <c r="FL110">
        <v>-3.2538871274648329E-2</v>
      </c>
      <c r="FM110">
        <v>-1.6848085045870601E-2</v>
      </c>
      <c r="FN110">
        <v>1.9789084769509481E-3</v>
      </c>
      <c r="FO110">
        <v>-2.7142391389806329E-5</v>
      </c>
      <c r="FP110">
        <v>3</v>
      </c>
      <c r="FQ110">
        <v>2158</v>
      </c>
      <c r="FR110">
        <v>1</v>
      </c>
      <c r="FS110">
        <v>19</v>
      </c>
      <c r="FT110">
        <v>25.3</v>
      </c>
      <c r="FU110">
        <v>25.2</v>
      </c>
      <c r="FV110">
        <v>1.7773399999999999</v>
      </c>
      <c r="FW110">
        <v>2.5817899999999998</v>
      </c>
      <c r="FX110">
        <v>1.5490699999999999</v>
      </c>
      <c r="FY110">
        <v>2.3290999999999999</v>
      </c>
      <c r="FZ110">
        <v>1.50146</v>
      </c>
      <c r="GA110">
        <v>2.33521</v>
      </c>
      <c r="GB110">
        <v>33.850900000000003</v>
      </c>
      <c r="GC110">
        <v>23.982399999999998</v>
      </c>
      <c r="GD110">
        <v>19</v>
      </c>
      <c r="GE110">
        <v>284.43900000000002</v>
      </c>
      <c r="GF110">
        <v>582.01300000000003</v>
      </c>
      <c r="GG110">
        <v>23.571300000000001</v>
      </c>
      <c r="GH110">
        <v>26.2</v>
      </c>
      <c r="GI110">
        <v>29.9999</v>
      </c>
      <c r="GJ110">
        <v>26.370200000000001</v>
      </c>
      <c r="GK110">
        <v>26.3627</v>
      </c>
      <c r="GL110">
        <v>35.5411</v>
      </c>
      <c r="GM110">
        <v>-30</v>
      </c>
      <c r="GN110">
        <v>-30</v>
      </c>
      <c r="GO110">
        <v>23.569099999999999</v>
      </c>
      <c r="GP110">
        <v>800</v>
      </c>
      <c r="GQ110">
        <v>12.5298</v>
      </c>
      <c r="GR110">
        <v>99.733099999999993</v>
      </c>
      <c r="GS110">
        <v>99.560100000000006</v>
      </c>
    </row>
    <row r="111" spans="1:201" x14ac:dyDescent="0.25">
      <c r="A111">
        <v>95</v>
      </c>
      <c r="B111">
        <v>1690219115.0999999</v>
      </c>
      <c r="C111">
        <v>1094.599999904633</v>
      </c>
      <c r="D111" t="s">
        <v>519</v>
      </c>
      <c r="E111" t="s">
        <v>520</v>
      </c>
      <c r="F111" t="s">
        <v>330</v>
      </c>
      <c r="H111">
        <v>1690219115.0999999</v>
      </c>
      <c r="I111">
        <f t="shared" si="30"/>
        <v>1.216506711528184E-3</v>
      </c>
      <c r="J111">
        <f t="shared" si="31"/>
        <v>1.216506711528184</v>
      </c>
      <c r="K111">
        <f t="shared" si="32"/>
        <v>17.717070662622508</v>
      </c>
      <c r="L111">
        <f t="shared" si="33"/>
        <v>600.85500000000002</v>
      </c>
      <c r="M111">
        <f t="shared" si="34"/>
        <v>141.05031049731883</v>
      </c>
      <c r="N111">
        <f t="shared" si="35"/>
        <v>13.98820883822844</v>
      </c>
      <c r="O111">
        <f t="shared" si="36"/>
        <v>59.587853382665998</v>
      </c>
      <c r="P111">
        <f t="shared" si="37"/>
        <v>6.4124274113228602E-2</v>
      </c>
      <c r="Q111">
        <f t="shared" si="38"/>
        <v>2.1326982205604263</v>
      </c>
      <c r="R111">
        <f t="shared" si="39"/>
        <v>6.3072106797319769E-2</v>
      </c>
      <c r="S111">
        <f t="shared" si="40"/>
        <v>3.9513161723170646E-2</v>
      </c>
      <c r="T111">
        <f t="shared" si="41"/>
        <v>276.11643171599997</v>
      </c>
      <c r="U111">
        <f t="shared" si="42"/>
        <v>27.581272588040193</v>
      </c>
      <c r="V111">
        <f t="shared" si="43"/>
        <v>27.581272588040193</v>
      </c>
      <c r="W111">
        <f t="shared" si="44"/>
        <v>3.703186753975821</v>
      </c>
      <c r="X111">
        <f t="shared" si="45"/>
        <v>55.224129220297854</v>
      </c>
      <c r="Y111">
        <f t="shared" si="46"/>
        <v>1.8439007047356</v>
      </c>
      <c r="Z111">
        <f t="shared" si="47"/>
        <v>3.3389402979628451</v>
      </c>
      <c r="AA111">
        <f t="shared" si="48"/>
        <v>1.859286049240221</v>
      </c>
      <c r="AB111">
        <f t="shared" si="49"/>
        <v>-53.647945978392919</v>
      </c>
      <c r="AC111">
        <f t="shared" si="50"/>
        <v>-202.24319678215562</v>
      </c>
      <c r="AD111">
        <f t="shared" si="51"/>
        <v>-20.404570463686213</v>
      </c>
      <c r="AE111">
        <f t="shared" si="52"/>
        <v>-0.17928150823479427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52674.526102757787</v>
      </c>
      <c r="AK111">
        <f t="shared" si="56"/>
        <v>1800</v>
      </c>
      <c r="AL111">
        <f t="shared" si="57"/>
        <v>1499.1101946000001</v>
      </c>
      <c r="AM111">
        <f t="shared" si="58"/>
        <v>0.83283899700000008</v>
      </c>
      <c r="AN111">
        <f t="shared" si="59"/>
        <v>0.15339801761999999</v>
      </c>
      <c r="AO111">
        <v>32.4</v>
      </c>
      <c r="AP111">
        <v>0.5</v>
      </c>
      <c r="AQ111" t="s">
        <v>331</v>
      </c>
      <c r="AR111">
        <v>2</v>
      </c>
      <c r="AS111">
        <v>1690219115.0999999</v>
      </c>
      <c r="AT111">
        <v>600.85500000000002</v>
      </c>
      <c r="AU111">
        <v>799.99199999999996</v>
      </c>
      <c r="AV111">
        <v>18.593</v>
      </c>
      <c r="AW111">
        <v>5.7055800000000003</v>
      </c>
      <c r="AX111">
        <v>600.98800000000006</v>
      </c>
      <c r="AY111">
        <v>18.433700000000002</v>
      </c>
      <c r="AZ111">
        <v>300.15300000000002</v>
      </c>
      <c r="BA111">
        <v>99.071799999999996</v>
      </c>
      <c r="BB111">
        <v>9.9969199999999994E-2</v>
      </c>
      <c r="BC111">
        <v>25.822299999999998</v>
      </c>
      <c r="BD111">
        <v>27.009899999999998</v>
      </c>
      <c r="BE111">
        <v>27.2697</v>
      </c>
      <c r="BF111">
        <v>0</v>
      </c>
      <c r="BG111">
        <v>0</v>
      </c>
      <c r="BH111">
        <v>10016.200000000001</v>
      </c>
      <c r="BI111">
        <v>1063.92</v>
      </c>
      <c r="BJ111">
        <v>1.64134</v>
      </c>
      <c r="BK111">
        <v>-199.13800000000001</v>
      </c>
      <c r="BL111">
        <v>612.23800000000006</v>
      </c>
      <c r="BM111">
        <v>804.58299999999997</v>
      </c>
      <c r="BN111">
        <v>12.8874</v>
      </c>
      <c r="BO111">
        <v>799.99199999999996</v>
      </c>
      <c r="BP111">
        <v>5.7055800000000003</v>
      </c>
      <c r="BQ111">
        <v>1.8420399999999999</v>
      </c>
      <c r="BR111">
        <v>0.56526200000000004</v>
      </c>
      <c r="BS111">
        <v>16.148199999999999</v>
      </c>
      <c r="BT111">
        <v>-1.12557</v>
      </c>
      <c r="BU111">
        <v>1800</v>
      </c>
      <c r="BV111">
        <v>0.90998100000000004</v>
      </c>
      <c r="BW111">
        <v>3.4002900000000003E-2</v>
      </c>
      <c r="BX111">
        <v>2.2007100000000002E-2</v>
      </c>
      <c r="BY111">
        <v>3.4008999999999998E-2</v>
      </c>
      <c r="BZ111">
        <v>25.666699999999999</v>
      </c>
      <c r="CA111">
        <v>33528.199999999997</v>
      </c>
      <c r="CB111">
        <v>1690217592</v>
      </c>
      <c r="CC111" t="s">
        <v>332</v>
      </c>
      <c r="CD111">
        <v>1690217586.5</v>
      </c>
      <c r="CE111">
        <v>1690217592</v>
      </c>
      <c r="CF111">
        <v>9</v>
      </c>
      <c r="CG111">
        <v>0.11600000000000001</v>
      </c>
      <c r="CH111">
        <v>-3.0000000000000001E-3</v>
      </c>
      <c r="CI111">
        <v>-0.27300000000000002</v>
      </c>
      <c r="CJ111">
        <v>-6.9000000000000006E-2</v>
      </c>
      <c r="CK111">
        <v>800</v>
      </c>
      <c r="CL111">
        <v>6</v>
      </c>
      <c r="CM111">
        <v>0.01</v>
      </c>
      <c r="CN111">
        <v>0.01</v>
      </c>
      <c r="CO111">
        <v>-196.084125</v>
      </c>
      <c r="CP111">
        <v>-17.074908067541781</v>
      </c>
      <c r="CQ111">
        <v>1.6429336290230969</v>
      </c>
      <c r="CR111">
        <v>-1</v>
      </c>
      <c r="CS111">
        <v>12.74948</v>
      </c>
      <c r="CT111">
        <v>0.78308442776734777</v>
      </c>
      <c r="CU111">
        <v>7.5336339836761398E-2</v>
      </c>
      <c r="CV111">
        <v>-1</v>
      </c>
      <c r="CW111">
        <v>0</v>
      </c>
      <c r="CX111">
        <v>0</v>
      </c>
      <c r="CY111" t="s">
        <v>333</v>
      </c>
      <c r="CZ111">
        <v>2.3644799999999999</v>
      </c>
      <c r="DA111">
        <v>2.7137699999999998</v>
      </c>
      <c r="DB111">
        <v>0.120533</v>
      </c>
      <c r="DC111">
        <v>0.146065</v>
      </c>
      <c r="DD111">
        <v>9.4940399999999994E-2</v>
      </c>
      <c r="DE111">
        <v>3.7854800000000001E-2</v>
      </c>
      <c r="DF111">
        <v>32111.3</v>
      </c>
      <c r="DG111">
        <v>27518.6</v>
      </c>
      <c r="DH111">
        <v>31170.6</v>
      </c>
      <c r="DI111">
        <v>28080.2</v>
      </c>
      <c r="DJ111">
        <v>38306.300000000003</v>
      </c>
      <c r="DK111">
        <v>38419.699999999997</v>
      </c>
      <c r="DL111">
        <v>44359</v>
      </c>
      <c r="DM111">
        <v>42558.2</v>
      </c>
      <c r="DN111">
        <v>1.4801200000000001</v>
      </c>
      <c r="DO111">
        <v>2.0348000000000002</v>
      </c>
      <c r="DP111">
        <v>0.13608500000000001</v>
      </c>
      <c r="DQ111">
        <v>0.161603</v>
      </c>
      <c r="DR111">
        <v>24.7803</v>
      </c>
      <c r="DS111">
        <v>24.622299999999999</v>
      </c>
      <c r="DT111">
        <v>16.8</v>
      </c>
      <c r="DU111">
        <v>29.8</v>
      </c>
      <c r="DV111">
        <v>7.1424399999999997</v>
      </c>
      <c r="DW111">
        <v>61.594099999999997</v>
      </c>
      <c r="DX111">
        <v>37.203499999999998</v>
      </c>
      <c r="DY111">
        <v>1</v>
      </c>
      <c r="DZ111">
        <v>-9.3246999999999997E-2</v>
      </c>
      <c r="EA111">
        <v>0.41094799999999998</v>
      </c>
      <c r="EB111">
        <v>20.189399999999999</v>
      </c>
      <c r="EC111">
        <v>5.2411000000000003</v>
      </c>
      <c r="ED111">
        <v>12.039899999999999</v>
      </c>
      <c r="EE111">
        <v>5.0167999999999999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1.86897</v>
      </c>
      <c r="EL111">
        <v>1.86469</v>
      </c>
      <c r="EM111">
        <v>1.8692</v>
      </c>
      <c r="EN111">
        <v>1.8672599999999999</v>
      </c>
      <c r="EO111">
        <v>1.8633999999999999</v>
      </c>
      <c r="EP111">
        <v>1.86459</v>
      </c>
      <c r="EQ111">
        <v>1.8702399999999999</v>
      </c>
      <c r="ER111">
        <v>1.86947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-0.13300000000000001</v>
      </c>
      <c r="FG111">
        <v>0.1593</v>
      </c>
      <c r="FH111">
        <v>0.27827353915413472</v>
      </c>
      <c r="FI111">
        <v>-6.1462078757559423E-4</v>
      </c>
      <c r="FJ111">
        <v>-1.8861989874597051E-7</v>
      </c>
      <c r="FK111">
        <v>1.1980462299894961E-10</v>
      </c>
      <c r="FL111">
        <v>-3.2538871274648329E-2</v>
      </c>
      <c r="FM111">
        <v>-1.6848085045870601E-2</v>
      </c>
      <c r="FN111">
        <v>1.9789084769509481E-3</v>
      </c>
      <c r="FO111">
        <v>-2.7142391389806329E-5</v>
      </c>
      <c r="FP111">
        <v>3</v>
      </c>
      <c r="FQ111">
        <v>2158</v>
      </c>
      <c r="FR111">
        <v>1</v>
      </c>
      <c r="FS111">
        <v>19</v>
      </c>
      <c r="FT111">
        <v>25.5</v>
      </c>
      <c r="FU111">
        <v>25.4</v>
      </c>
      <c r="FV111">
        <v>1.7773399999999999</v>
      </c>
      <c r="FW111">
        <v>2.5878899999999998</v>
      </c>
      <c r="FX111">
        <v>1.5490699999999999</v>
      </c>
      <c r="FY111">
        <v>2.3290999999999999</v>
      </c>
      <c r="FZ111">
        <v>1.50146</v>
      </c>
      <c r="GA111">
        <v>2.2729499999999998</v>
      </c>
      <c r="GB111">
        <v>33.850900000000003</v>
      </c>
      <c r="GC111">
        <v>23.973700000000001</v>
      </c>
      <c r="GD111">
        <v>19</v>
      </c>
      <c r="GE111">
        <v>284.625</v>
      </c>
      <c r="GF111">
        <v>582.09299999999996</v>
      </c>
      <c r="GG111">
        <v>23.570699999999999</v>
      </c>
      <c r="GH111">
        <v>26.1966</v>
      </c>
      <c r="GI111">
        <v>29.9999</v>
      </c>
      <c r="GJ111">
        <v>26.366299999999999</v>
      </c>
      <c r="GK111">
        <v>26.358899999999998</v>
      </c>
      <c r="GL111">
        <v>35.541600000000003</v>
      </c>
      <c r="GM111">
        <v>-30</v>
      </c>
      <c r="GN111">
        <v>-30</v>
      </c>
      <c r="GO111">
        <v>23.5822</v>
      </c>
      <c r="GP111">
        <v>800</v>
      </c>
      <c r="GQ111">
        <v>12.5298</v>
      </c>
      <c r="GR111">
        <v>99.733000000000004</v>
      </c>
      <c r="GS111">
        <v>99.56</v>
      </c>
    </row>
    <row r="112" spans="1:201" x14ac:dyDescent="0.25">
      <c r="A112">
        <v>96</v>
      </c>
      <c r="B112">
        <v>1690219125.0999999</v>
      </c>
      <c r="C112">
        <v>1104.599999904633</v>
      </c>
      <c r="D112" t="s">
        <v>521</v>
      </c>
      <c r="E112" t="s">
        <v>522</v>
      </c>
      <c r="F112" t="s">
        <v>330</v>
      </c>
      <c r="H112">
        <v>1690219125.0999999</v>
      </c>
      <c r="I112">
        <f t="shared" si="30"/>
        <v>1.2286305354072269E-3</v>
      </c>
      <c r="J112">
        <f t="shared" si="31"/>
        <v>1.2286305354072269</v>
      </c>
      <c r="K112">
        <f t="shared" si="32"/>
        <v>17.969632554200842</v>
      </c>
      <c r="L112">
        <f t="shared" si="33"/>
        <v>598.09100000000001</v>
      </c>
      <c r="M112">
        <f t="shared" si="34"/>
        <v>139.03035687175506</v>
      </c>
      <c r="N112">
        <f t="shared" si="35"/>
        <v>13.78715081215201</v>
      </c>
      <c r="O112">
        <f t="shared" si="36"/>
        <v>59.310577933688904</v>
      </c>
      <c r="P112">
        <f t="shared" si="37"/>
        <v>6.5143255747289588E-2</v>
      </c>
      <c r="Q112">
        <f t="shared" si="38"/>
        <v>2.1278316602231357</v>
      </c>
      <c r="R112">
        <f t="shared" si="39"/>
        <v>6.4055250386269497E-2</v>
      </c>
      <c r="S112">
        <f t="shared" si="40"/>
        <v>4.0130770811321756E-2</v>
      </c>
      <c r="T112">
        <f t="shared" si="41"/>
        <v>276.11482755421372</v>
      </c>
      <c r="U112">
        <f t="shared" si="42"/>
        <v>27.5905642581486</v>
      </c>
      <c r="V112">
        <f t="shared" si="43"/>
        <v>27.5905642581486</v>
      </c>
      <c r="W112">
        <f t="shared" si="44"/>
        <v>3.7051994055129693</v>
      </c>
      <c r="X112">
        <f t="shared" si="45"/>
        <v>55.567253661847957</v>
      </c>
      <c r="Y112">
        <f t="shared" si="46"/>
        <v>1.8564460495269501</v>
      </c>
      <c r="Z112">
        <f t="shared" si="47"/>
        <v>3.3408994096132045</v>
      </c>
      <c r="AA112">
        <f t="shared" si="48"/>
        <v>1.8487533559860192</v>
      </c>
      <c r="AB112">
        <f t="shared" si="49"/>
        <v>-54.182606611458709</v>
      </c>
      <c r="AC112">
        <f t="shared" si="50"/>
        <v>-201.71191721323629</v>
      </c>
      <c r="AD112">
        <f t="shared" si="51"/>
        <v>-20.399472857384097</v>
      </c>
      <c r="AE112">
        <f t="shared" si="52"/>
        <v>-0.17916912786537864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52462.128480140083</v>
      </c>
      <c r="AK112">
        <f t="shared" si="56"/>
        <v>1799.99</v>
      </c>
      <c r="AL112">
        <f t="shared" si="57"/>
        <v>1499.1025610061699</v>
      </c>
      <c r="AM112">
        <f t="shared" si="58"/>
        <v>0.83283938299999993</v>
      </c>
      <c r="AN112">
        <f t="shared" si="59"/>
        <v>0.15339797863000001</v>
      </c>
      <c r="AO112">
        <v>32.4</v>
      </c>
      <c r="AP112">
        <v>0.5</v>
      </c>
      <c r="AQ112" t="s">
        <v>331</v>
      </c>
      <c r="AR112">
        <v>2</v>
      </c>
      <c r="AS112">
        <v>1690219125.0999999</v>
      </c>
      <c r="AT112">
        <v>598.09100000000001</v>
      </c>
      <c r="AU112">
        <v>800.005</v>
      </c>
      <c r="AV112">
        <v>18.720500000000001</v>
      </c>
      <c r="AW112">
        <v>5.7057700000000002</v>
      </c>
      <c r="AX112">
        <v>598.22199999999998</v>
      </c>
      <c r="AY112">
        <v>18.557700000000001</v>
      </c>
      <c r="AZ112">
        <v>300.14</v>
      </c>
      <c r="BA112">
        <v>99.066500000000005</v>
      </c>
      <c r="BB112">
        <v>9.9977899999999995E-2</v>
      </c>
      <c r="BC112">
        <v>25.8322</v>
      </c>
      <c r="BD112">
        <v>26.989699999999999</v>
      </c>
      <c r="BE112">
        <v>27.270800000000001</v>
      </c>
      <c r="BF112">
        <v>0</v>
      </c>
      <c r="BG112">
        <v>0</v>
      </c>
      <c r="BH112">
        <v>9975</v>
      </c>
      <c r="BI112">
        <v>1063.8399999999999</v>
      </c>
      <c r="BJ112">
        <v>1.6665700000000001</v>
      </c>
      <c r="BK112">
        <v>-201.91399999999999</v>
      </c>
      <c r="BL112">
        <v>609.50099999999998</v>
      </c>
      <c r="BM112">
        <v>804.596</v>
      </c>
      <c r="BN112">
        <v>13.014799999999999</v>
      </c>
      <c r="BO112">
        <v>800.005</v>
      </c>
      <c r="BP112">
        <v>5.7057700000000002</v>
      </c>
      <c r="BQ112">
        <v>1.8545799999999999</v>
      </c>
      <c r="BR112">
        <v>0.56525000000000003</v>
      </c>
      <c r="BS112">
        <v>16.2546</v>
      </c>
      <c r="BT112">
        <v>-1.1258600000000001</v>
      </c>
      <c r="BU112">
        <v>1799.99</v>
      </c>
      <c r="BV112">
        <v>0.90998400000000002</v>
      </c>
      <c r="BW112">
        <v>3.4001900000000002E-2</v>
      </c>
      <c r="BX112">
        <v>2.2006399999999999E-2</v>
      </c>
      <c r="BY112">
        <v>3.4007900000000001E-2</v>
      </c>
      <c r="BZ112">
        <v>25.666699999999999</v>
      </c>
      <c r="CA112">
        <v>33528.199999999997</v>
      </c>
      <c r="CB112">
        <v>1690217592</v>
      </c>
      <c r="CC112" t="s">
        <v>332</v>
      </c>
      <c r="CD112">
        <v>1690217586.5</v>
      </c>
      <c r="CE112">
        <v>1690217592</v>
      </c>
      <c r="CF112">
        <v>9</v>
      </c>
      <c r="CG112">
        <v>0.11600000000000001</v>
      </c>
      <c r="CH112">
        <v>-3.0000000000000001E-3</v>
      </c>
      <c r="CI112">
        <v>-0.27300000000000002</v>
      </c>
      <c r="CJ112">
        <v>-6.9000000000000006E-2</v>
      </c>
      <c r="CK112">
        <v>800</v>
      </c>
      <c r="CL112">
        <v>6</v>
      </c>
      <c r="CM112">
        <v>0.01</v>
      </c>
      <c r="CN112">
        <v>0.01</v>
      </c>
      <c r="CO112">
        <v>-198.9708292682927</v>
      </c>
      <c r="CP112">
        <v>-16.677993031359009</v>
      </c>
      <c r="CQ112">
        <v>1.644673262864814</v>
      </c>
      <c r="CR112">
        <v>-1</v>
      </c>
      <c r="CS112">
        <v>12.88159512195122</v>
      </c>
      <c r="CT112">
        <v>0.76305993031358543</v>
      </c>
      <c r="CU112">
        <v>7.5242012625989063E-2</v>
      </c>
      <c r="CV112">
        <v>-1</v>
      </c>
      <c r="CW112">
        <v>0</v>
      </c>
      <c r="CX112">
        <v>0</v>
      </c>
      <c r="CY112" t="s">
        <v>333</v>
      </c>
      <c r="CZ112">
        <v>2.36442</v>
      </c>
      <c r="DA112">
        <v>2.7137500000000001</v>
      </c>
      <c r="DB112">
        <v>0.12013799999999999</v>
      </c>
      <c r="DC112">
        <v>0.14606</v>
      </c>
      <c r="DD112">
        <v>9.53962E-2</v>
      </c>
      <c r="DE112">
        <v>3.7854199999999998E-2</v>
      </c>
      <c r="DF112">
        <v>32125.8</v>
      </c>
      <c r="DG112">
        <v>27519.200000000001</v>
      </c>
      <c r="DH112">
        <v>31170.6</v>
      </c>
      <c r="DI112">
        <v>28080.7</v>
      </c>
      <c r="DJ112">
        <v>38286.800000000003</v>
      </c>
      <c r="DK112">
        <v>38420.300000000003</v>
      </c>
      <c r="DL112">
        <v>44359</v>
      </c>
      <c r="DM112">
        <v>42558.8</v>
      </c>
      <c r="DN112">
        <v>1.4797499999999999</v>
      </c>
      <c r="DO112">
        <v>2.03457</v>
      </c>
      <c r="DP112">
        <v>0.13497799999999999</v>
      </c>
      <c r="DQ112">
        <v>0.161797</v>
      </c>
      <c r="DR112">
        <v>24.778199999999998</v>
      </c>
      <c r="DS112">
        <v>24.620200000000001</v>
      </c>
      <c r="DT112">
        <v>16.8</v>
      </c>
      <c r="DU112">
        <v>29.8</v>
      </c>
      <c r="DV112">
        <v>7.1432599999999997</v>
      </c>
      <c r="DW112">
        <v>61.884099999999997</v>
      </c>
      <c r="DX112">
        <v>37.395800000000001</v>
      </c>
      <c r="DY112">
        <v>1</v>
      </c>
      <c r="DZ112">
        <v>-9.3186000000000005E-2</v>
      </c>
      <c r="EA112">
        <v>0.42091800000000001</v>
      </c>
      <c r="EB112">
        <v>20.1891</v>
      </c>
      <c r="EC112">
        <v>5.2411000000000003</v>
      </c>
      <c r="ED112">
        <v>12.039899999999999</v>
      </c>
      <c r="EE112">
        <v>5.0167999999999999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1.86896</v>
      </c>
      <c r="EL112">
        <v>1.86466</v>
      </c>
      <c r="EM112">
        <v>1.8691899999999999</v>
      </c>
      <c r="EN112">
        <v>1.8672299999999999</v>
      </c>
      <c r="EO112">
        <v>1.8633999999999999</v>
      </c>
      <c r="EP112">
        <v>1.8646</v>
      </c>
      <c r="EQ112">
        <v>1.87022</v>
      </c>
      <c r="ER112">
        <v>1.8694900000000001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-0.13100000000000001</v>
      </c>
      <c r="FG112">
        <v>0.1628</v>
      </c>
      <c r="FH112">
        <v>0.27827353915413472</v>
      </c>
      <c r="FI112">
        <v>-6.1462078757559423E-4</v>
      </c>
      <c r="FJ112">
        <v>-1.8861989874597051E-7</v>
      </c>
      <c r="FK112">
        <v>1.1980462299894961E-10</v>
      </c>
      <c r="FL112">
        <v>-3.2538871274648329E-2</v>
      </c>
      <c r="FM112">
        <v>-1.6848085045870601E-2</v>
      </c>
      <c r="FN112">
        <v>1.9789084769509481E-3</v>
      </c>
      <c r="FO112">
        <v>-2.7142391389806329E-5</v>
      </c>
      <c r="FP112">
        <v>3</v>
      </c>
      <c r="FQ112">
        <v>2158</v>
      </c>
      <c r="FR112">
        <v>1</v>
      </c>
      <c r="FS112">
        <v>19</v>
      </c>
      <c r="FT112">
        <v>25.6</v>
      </c>
      <c r="FU112">
        <v>25.6</v>
      </c>
      <c r="FV112">
        <v>1.7773399999999999</v>
      </c>
      <c r="FW112">
        <v>2.5915499999999998</v>
      </c>
      <c r="FX112">
        <v>1.5490699999999999</v>
      </c>
      <c r="FY112">
        <v>2.3290999999999999</v>
      </c>
      <c r="FZ112">
        <v>1.50146</v>
      </c>
      <c r="GA112">
        <v>2.2900399999999999</v>
      </c>
      <c r="GB112">
        <v>33.850900000000003</v>
      </c>
      <c r="GC112">
        <v>23.973700000000001</v>
      </c>
      <c r="GD112">
        <v>19</v>
      </c>
      <c r="GE112">
        <v>284.452</v>
      </c>
      <c r="GF112">
        <v>581.87</v>
      </c>
      <c r="GG112">
        <v>23.578399999999998</v>
      </c>
      <c r="GH112">
        <v>26.193300000000001</v>
      </c>
      <c r="GI112">
        <v>30</v>
      </c>
      <c r="GJ112">
        <v>26.363499999999998</v>
      </c>
      <c r="GK112">
        <v>26.355499999999999</v>
      </c>
      <c r="GL112">
        <v>35.540599999999998</v>
      </c>
      <c r="GM112">
        <v>-30</v>
      </c>
      <c r="GN112">
        <v>-30</v>
      </c>
      <c r="GO112">
        <v>23.5764</v>
      </c>
      <c r="GP112">
        <v>800</v>
      </c>
      <c r="GQ112">
        <v>12.5298</v>
      </c>
      <c r="GR112">
        <v>99.733000000000004</v>
      </c>
      <c r="GS112">
        <v>99.561499999999995</v>
      </c>
    </row>
    <row r="113" spans="1:201" x14ac:dyDescent="0.25">
      <c r="A113">
        <v>97</v>
      </c>
      <c r="B113">
        <v>1690219135.0999999</v>
      </c>
      <c r="C113">
        <v>1114.599999904633</v>
      </c>
      <c r="D113" t="s">
        <v>523</v>
      </c>
      <c r="E113" t="s">
        <v>524</v>
      </c>
      <c r="F113" t="s">
        <v>330</v>
      </c>
      <c r="H113">
        <v>1690219135.0999999</v>
      </c>
      <c r="I113">
        <f t="shared" si="30"/>
        <v>1.2410682790936697E-3</v>
      </c>
      <c r="J113">
        <f t="shared" si="31"/>
        <v>1.2410682790936698</v>
      </c>
      <c r="K113">
        <f t="shared" si="32"/>
        <v>18.231549259804734</v>
      </c>
      <c r="L113">
        <f t="shared" si="33"/>
        <v>595.25800000000004</v>
      </c>
      <c r="M113">
        <f t="shared" si="34"/>
        <v>137.56685067710976</v>
      </c>
      <c r="N113">
        <f t="shared" si="35"/>
        <v>13.642272781505582</v>
      </c>
      <c r="O113">
        <f t="shared" si="36"/>
        <v>59.030732850269999</v>
      </c>
      <c r="P113">
        <f t="shared" si="37"/>
        <v>6.6291321806962386E-2</v>
      </c>
      <c r="Q113">
        <f t="shared" si="38"/>
        <v>2.1263191380752029</v>
      </c>
      <c r="R113">
        <f t="shared" si="39"/>
        <v>6.5164200025328731E-2</v>
      </c>
      <c r="S113">
        <f t="shared" si="40"/>
        <v>4.0827296148511397E-2</v>
      </c>
      <c r="T113">
        <f t="shared" si="41"/>
        <v>276.11475674260714</v>
      </c>
      <c r="U113">
        <f t="shared" si="42"/>
        <v>27.589348635602011</v>
      </c>
      <c r="V113">
        <f t="shared" si="43"/>
        <v>27.589348635602011</v>
      </c>
      <c r="W113">
        <f t="shared" si="44"/>
        <v>3.7049360374932219</v>
      </c>
      <c r="X113">
        <f t="shared" si="45"/>
        <v>55.94634655830405</v>
      </c>
      <c r="Y113">
        <f t="shared" si="46"/>
        <v>1.8693326545815001</v>
      </c>
      <c r="Z113">
        <f t="shared" si="47"/>
        <v>3.3412953116310993</v>
      </c>
      <c r="AA113">
        <f t="shared" si="48"/>
        <v>1.8356033829117218</v>
      </c>
      <c r="AB113">
        <f t="shared" si="49"/>
        <v>-54.731111108030838</v>
      </c>
      <c r="AC113">
        <f t="shared" si="50"/>
        <v>-201.19991469874932</v>
      </c>
      <c r="AD113">
        <f t="shared" si="51"/>
        <v>-20.362246454431375</v>
      </c>
      <c r="AE113">
        <f t="shared" si="52"/>
        <v>-0.1785155186043994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52396.493043438684</v>
      </c>
      <c r="AK113">
        <f t="shared" si="56"/>
        <v>1799.99</v>
      </c>
      <c r="AL113">
        <f t="shared" si="57"/>
        <v>1499.1032648022599</v>
      </c>
      <c r="AM113">
        <f t="shared" si="58"/>
        <v>0.83283977399999998</v>
      </c>
      <c r="AN113">
        <f t="shared" si="59"/>
        <v>0.15339793929000001</v>
      </c>
      <c r="AO113">
        <v>32.4</v>
      </c>
      <c r="AP113">
        <v>0.5</v>
      </c>
      <c r="AQ113" t="s">
        <v>331</v>
      </c>
      <c r="AR113">
        <v>2</v>
      </c>
      <c r="AS113">
        <v>1690219135.0999999</v>
      </c>
      <c r="AT113">
        <v>595.25800000000004</v>
      </c>
      <c r="AU113">
        <v>800.03899999999999</v>
      </c>
      <c r="AV113">
        <v>18.850100000000001</v>
      </c>
      <c r="AW113">
        <v>5.7055300000000004</v>
      </c>
      <c r="AX113">
        <v>595.38699999999994</v>
      </c>
      <c r="AY113">
        <v>18.683599999999998</v>
      </c>
      <c r="AZ113">
        <v>300.14400000000001</v>
      </c>
      <c r="BA113">
        <v>99.068299999999994</v>
      </c>
      <c r="BB113">
        <v>0.10001500000000001</v>
      </c>
      <c r="BC113">
        <v>25.834199999999999</v>
      </c>
      <c r="BD113">
        <v>26.956600000000002</v>
      </c>
      <c r="BE113">
        <v>27.242100000000001</v>
      </c>
      <c r="BF113">
        <v>0</v>
      </c>
      <c r="BG113">
        <v>0</v>
      </c>
      <c r="BH113">
        <v>9961.8799999999992</v>
      </c>
      <c r="BI113">
        <v>1063.9100000000001</v>
      </c>
      <c r="BJ113">
        <v>1.68479</v>
      </c>
      <c r="BK113">
        <v>-204.78100000000001</v>
      </c>
      <c r="BL113">
        <v>606.69399999999996</v>
      </c>
      <c r="BM113">
        <v>804.62900000000002</v>
      </c>
      <c r="BN113">
        <v>13.144600000000001</v>
      </c>
      <c r="BO113">
        <v>800.03899999999999</v>
      </c>
      <c r="BP113">
        <v>5.7055300000000004</v>
      </c>
      <c r="BQ113">
        <v>1.86744</v>
      </c>
      <c r="BR113">
        <v>0.56523699999999999</v>
      </c>
      <c r="BS113">
        <v>16.363099999999999</v>
      </c>
      <c r="BT113">
        <v>-1.1261699999999999</v>
      </c>
      <c r="BU113">
        <v>1799.99</v>
      </c>
      <c r="BV113">
        <v>0.90998699999999999</v>
      </c>
      <c r="BW113">
        <v>3.4000799999999998E-2</v>
      </c>
      <c r="BX113">
        <v>2.20057E-2</v>
      </c>
      <c r="BY113">
        <v>3.40069E-2</v>
      </c>
      <c r="BZ113">
        <v>25.666699999999999</v>
      </c>
      <c r="CA113">
        <v>33528.199999999997</v>
      </c>
      <c r="CB113">
        <v>1690217592</v>
      </c>
      <c r="CC113" t="s">
        <v>332</v>
      </c>
      <c r="CD113">
        <v>1690217586.5</v>
      </c>
      <c r="CE113">
        <v>1690217592</v>
      </c>
      <c r="CF113">
        <v>9</v>
      </c>
      <c r="CG113">
        <v>0.11600000000000001</v>
      </c>
      <c r="CH113">
        <v>-3.0000000000000001E-3</v>
      </c>
      <c r="CI113">
        <v>-0.27300000000000002</v>
      </c>
      <c r="CJ113">
        <v>-6.9000000000000006E-2</v>
      </c>
      <c r="CK113">
        <v>800</v>
      </c>
      <c r="CL113">
        <v>6</v>
      </c>
      <c r="CM113">
        <v>0.01</v>
      </c>
      <c r="CN113">
        <v>0.01</v>
      </c>
      <c r="CO113">
        <v>-201.49182926829269</v>
      </c>
      <c r="CP113">
        <v>-16.82857839721262</v>
      </c>
      <c r="CQ113">
        <v>1.6596319883348669</v>
      </c>
      <c r="CR113">
        <v>-1</v>
      </c>
      <c r="CS113">
        <v>12.996390243902439</v>
      </c>
      <c r="CT113">
        <v>0.77023066202095003</v>
      </c>
      <c r="CU113">
        <v>7.5949135112460417E-2</v>
      </c>
      <c r="CV113">
        <v>-1</v>
      </c>
      <c r="CW113">
        <v>0</v>
      </c>
      <c r="CX113">
        <v>0</v>
      </c>
      <c r="CY113" t="s">
        <v>333</v>
      </c>
      <c r="CZ113">
        <v>2.3644400000000001</v>
      </c>
      <c r="DA113">
        <v>2.7137699999999998</v>
      </c>
      <c r="DB113">
        <v>0.119741</v>
      </c>
      <c r="DC113">
        <v>0.146068</v>
      </c>
      <c r="DD113">
        <v>9.58648E-2</v>
      </c>
      <c r="DE113">
        <v>3.7853900000000003E-2</v>
      </c>
      <c r="DF113">
        <v>32140.7</v>
      </c>
      <c r="DG113">
        <v>27519.3</v>
      </c>
      <c r="DH113">
        <v>31171</v>
      </c>
      <c r="DI113">
        <v>28081</v>
      </c>
      <c r="DJ113">
        <v>38267.300000000003</v>
      </c>
      <c r="DK113">
        <v>38420.699999999997</v>
      </c>
      <c r="DL113">
        <v>44359.6</v>
      </c>
      <c r="DM113">
        <v>42559.3</v>
      </c>
      <c r="DN113">
        <v>1.4797</v>
      </c>
      <c r="DO113">
        <v>2.0347200000000001</v>
      </c>
      <c r="DP113">
        <v>0.13301499999999999</v>
      </c>
      <c r="DQ113">
        <v>0.16016900000000001</v>
      </c>
      <c r="DR113">
        <v>24.777200000000001</v>
      </c>
      <c r="DS113">
        <v>24.618099999999998</v>
      </c>
      <c r="DT113">
        <v>16.8</v>
      </c>
      <c r="DU113">
        <v>29.8</v>
      </c>
      <c r="DV113">
        <v>7.1418900000000001</v>
      </c>
      <c r="DW113">
        <v>61.814100000000003</v>
      </c>
      <c r="DX113">
        <v>37.331699999999998</v>
      </c>
      <c r="DY113">
        <v>1</v>
      </c>
      <c r="DZ113">
        <v>-9.36636E-2</v>
      </c>
      <c r="EA113">
        <v>0.35306599999999999</v>
      </c>
      <c r="EB113">
        <v>20.1892</v>
      </c>
      <c r="EC113">
        <v>5.2413999999999996</v>
      </c>
      <c r="ED113">
        <v>12.039899999999999</v>
      </c>
      <c r="EE113">
        <v>5.0170500000000002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1.86893</v>
      </c>
      <c r="EL113">
        <v>1.86467</v>
      </c>
      <c r="EM113">
        <v>1.8692</v>
      </c>
      <c r="EN113">
        <v>1.8672299999999999</v>
      </c>
      <c r="EO113">
        <v>1.8633999999999999</v>
      </c>
      <c r="EP113">
        <v>1.86459</v>
      </c>
      <c r="EQ113">
        <v>1.8702000000000001</v>
      </c>
      <c r="ER113">
        <v>1.8694200000000001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-0.129</v>
      </c>
      <c r="FG113">
        <v>0.16650000000000001</v>
      </c>
      <c r="FH113">
        <v>0.27827353915413472</v>
      </c>
      <c r="FI113">
        <v>-6.1462078757559423E-4</v>
      </c>
      <c r="FJ113">
        <v>-1.8861989874597051E-7</v>
      </c>
      <c r="FK113">
        <v>1.1980462299894961E-10</v>
      </c>
      <c r="FL113">
        <v>-3.2538871274648329E-2</v>
      </c>
      <c r="FM113">
        <v>-1.6848085045870601E-2</v>
      </c>
      <c r="FN113">
        <v>1.9789084769509481E-3</v>
      </c>
      <c r="FO113">
        <v>-2.7142391389806329E-5</v>
      </c>
      <c r="FP113">
        <v>3</v>
      </c>
      <c r="FQ113">
        <v>2158</v>
      </c>
      <c r="FR113">
        <v>1</v>
      </c>
      <c r="FS113">
        <v>19</v>
      </c>
      <c r="FT113">
        <v>25.8</v>
      </c>
      <c r="FU113">
        <v>25.7</v>
      </c>
      <c r="FV113">
        <v>1.7773399999999999</v>
      </c>
      <c r="FW113">
        <v>2.5878899999999998</v>
      </c>
      <c r="FX113">
        <v>1.5490699999999999</v>
      </c>
      <c r="FY113">
        <v>2.3290999999999999</v>
      </c>
      <c r="FZ113">
        <v>1.50146</v>
      </c>
      <c r="GA113">
        <v>2.3010299999999999</v>
      </c>
      <c r="GB113">
        <v>33.850900000000003</v>
      </c>
      <c r="GC113">
        <v>23.973700000000001</v>
      </c>
      <c r="GD113">
        <v>19</v>
      </c>
      <c r="GE113">
        <v>284.411</v>
      </c>
      <c r="GF113">
        <v>581.95699999999999</v>
      </c>
      <c r="GG113">
        <v>23.5869</v>
      </c>
      <c r="GH113">
        <v>26.189399999999999</v>
      </c>
      <c r="GI113">
        <v>29.9998</v>
      </c>
      <c r="GJ113">
        <v>26.359300000000001</v>
      </c>
      <c r="GK113">
        <v>26.3522</v>
      </c>
      <c r="GL113">
        <v>35.540999999999997</v>
      </c>
      <c r="GM113">
        <v>-30</v>
      </c>
      <c r="GN113">
        <v>-30</v>
      </c>
      <c r="GO113">
        <v>23.6129</v>
      </c>
      <c r="GP113">
        <v>800</v>
      </c>
      <c r="GQ113">
        <v>12.5298</v>
      </c>
      <c r="GR113">
        <v>99.734399999999994</v>
      </c>
      <c r="GS113">
        <v>99.562700000000007</v>
      </c>
    </row>
    <row r="114" spans="1:201" x14ac:dyDescent="0.25">
      <c r="A114">
        <v>98</v>
      </c>
      <c r="B114">
        <v>1690219145.0999999</v>
      </c>
      <c r="C114">
        <v>1124.599999904633</v>
      </c>
      <c r="D114" t="s">
        <v>525</v>
      </c>
      <c r="E114" t="s">
        <v>526</v>
      </c>
      <c r="F114" t="s">
        <v>330</v>
      </c>
      <c r="H114">
        <v>1690219145.0999999</v>
      </c>
      <c r="I114">
        <f t="shared" si="30"/>
        <v>1.2535040045963419E-3</v>
      </c>
      <c r="J114">
        <f t="shared" si="31"/>
        <v>1.2535040045963419</v>
      </c>
      <c r="K114">
        <f t="shared" si="32"/>
        <v>18.488333466910142</v>
      </c>
      <c r="L114">
        <f t="shared" si="33"/>
        <v>592.47900000000004</v>
      </c>
      <c r="M114">
        <f t="shared" si="34"/>
        <v>136.55817557874758</v>
      </c>
      <c r="N114">
        <f t="shared" si="35"/>
        <v>13.541833950859109</v>
      </c>
      <c r="O114">
        <f t="shared" si="36"/>
        <v>58.753364295969007</v>
      </c>
      <c r="P114">
        <f t="shared" si="37"/>
        <v>6.7488058470111523E-2</v>
      </c>
      <c r="Q114">
        <f t="shared" si="38"/>
        <v>2.1278163678157656</v>
      </c>
      <c r="R114">
        <f t="shared" si="39"/>
        <v>6.6321067012836771E-2</v>
      </c>
      <c r="S114">
        <f t="shared" si="40"/>
        <v>4.1553835582094988E-2</v>
      </c>
      <c r="T114">
        <f t="shared" si="41"/>
        <v>276.11618306399998</v>
      </c>
      <c r="U114">
        <f t="shared" si="42"/>
        <v>27.58169587328841</v>
      </c>
      <c r="V114">
        <f t="shared" si="43"/>
        <v>27.58169587328841</v>
      </c>
      <c r="W114">
        <f t="shared" si="44"/>
        <v>3.7032784202682136</v>
      </c>
      <c r="X114">
        <f t="shared" si="45"/>
        <v>56.326241597898409</v>
      </c>
      <c r="Y114">
        <f t="shared" si="46"/>
        <v>1.8817807745982</v>
      </c>
      <c r="Z114">
        <f t="shared" si="47"/>
        <v>3.340859821665096</v>
      </c>
      <c r="AA114">
        <f t="shared" si="48"/>
        <v>1.8214976456700136</v>
      </c>
      <c r="AB114">
        <f t="shared" si="49"/>
        <v>-55.279526602698674</v>
      </c>
      <c r="AC114">
        <f t="shared" si="50"/>
        <v>-200.71607519209633</v>
      </c>
      <c r="AD114">
        <f t="shared" si="51"/>
        <v>-20.297984550959075</v>
      </c>
      <c r="AE114">
        <f t="shared" si="52"/>
        <v>-0.17740328175409559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52461.475156928718</v>
      </c>
      <c r="AK114">
        <f t="shared" si="56"/>
        <v>1800</v>
      </c>
      <c r="AL114">
        <f t="shared" si="57"/>
        <v>1499.1114563999997</v>
      </c>
      <c r="AM114">
        <f t="shared" si="58"/>
        <v>0.83283969799999991</v>
      </c>
      <c r="AN114">
        <f t="shared" si="59"/>
        <v>0.15339787948</v>
      </c>
      <c r="AO114">
        <v>32.4</v>
      </c>
      <c r="AP114">
        <v>0.5</v>
      </c>
      <c r="AQ114" t="s">
        <v>331</v>
      </c>
      <c r="AR114">
        <v>2</v>
      </c>
      <c r="AS114">
        <v>1690219145.0999999</v>
      </c>
      <c r="AT114">
        <v>592.47900000000004</v>
      </c>
      <c r="AU114">
        <v>800.02099999999996</v>
      </c>
      <c r="AV114">
        <v>18.976199999999999</v>
      </c>
      <c r="AW114">
        <v>5.7050299999999998</v>
      </c>
      <c r="AX114">
        <v>592.60599999999999</v>
      </c>
      <c r="AY114">
        <v>18.8062</v>
      </c>
      <c r="AZ114">
        <v>300.221</v>
      </c>
      <c r="BA114">
        <v>99.065200000000004</v>
      </c>
      <c r="BB114">
        <v>0.10011100000000001</v>
      </c>
      <c r="BC114">
        <v>25.832000000000001</v>
      </c>
      <c r="BD114">
        <v>26.948499999999999</v>
      </c>
      <c r="BE114">
        <v>27.273199999999999</v>
      </c>
      <c r="BF114">
        <v>0</v>
      </c>
      <c r="BG114">
        <v>0</v>
      </c>
      <c r="BH114">
        <v>9975</v>
      </c>
      <c r="BI114">
        <v>1064.01</v>
      </c>
      <c r="BJ114">
        <v>1.7380500000000001</v>
      </c>
      <c r="BK114">
        <v>-207.54300000000001</v>
      </c>
      <c r="BL114">
        <v>603.93899999999996</v>
      </c>
      <c r="BM114">
        <v>804.61199999999997</v>
      </c>
      <c r="BN114">
        <v>13.2712</v>
      </c>
      <c r="BO114">
        <v>800.02099999999996</v>
      </c>
      <c r="BP114">
        <v>5.7050299999999998</v>
      </c>
      <c r="BQ114">
        <v>1.87988</v>
      </c>
      <c r="BR114">
        <v>0.56516999999999995</v>
      </c>
      <c r="BS114">
        <v>16.467300000000002</v>
      </c>
      <c r="BT114">
        <v>-1.1277900000000001</v>
      </c>
      <c r="BU114">
        <v>1800</v>
      </c>
      <c r="BV114">
        <v>0.90998800000000002</v>
      </c>
      <c r="BW114">
        <v>3.40004E-2</v>
      </c>
      <c r="BX114">
        <v>2.2005400000000001E-2</v>
      </c>
      <c r="BY114">
        <v>3.4006399999999999E-2</v>
      </c>
      <c r="BZ114">
        <v>25.666699999999999</v>
      </c>
      <c r="CA114">
        <v>33528.199999999997</v>
      </c>
      <c r="CB114">
        <v>1690217592</v>
      </c>
      <c r="CC114" t="s">
        <v>332</v>
      </c>
      <c r="CD114">
        <v>1690217586.5</v>
      </c>
      <c r="CE114">
        <v>1690217592</v>
      </c>
      <c r="CF114">
        <v>9</v>
      </c>
      <c r="CG114">
        <v>0.11600000000000001</v>
      </c>
      <c r="CH114">
        <v>-3.0000000000000001E-3</v>
      </c>
      <c r="CI114">
        <v>-0.27300000000000002</v>
      </c>
      <c r="CJ114">
        <v>-6.9000000000000006E-2</v>
      </c>
      <c r="CK114">
        <v>800</v>
      </c>
      <c r="CL114">
        <v>6</v>
      </c>
      <c r="CM114">
        <v>0.01</v>
      </c>
      <c r="CN114">
        <v>0.01</v>
      </c>
      <c r="CO114">
        <v>-204.2958536585366</v>
      </c>
      <c r="CP114">
        <v>-16.872878048780329</v>
      </c>
      <c r="CQ114">
        <v>1.664154228326612</v>
      </c>
      <c r="CR114">
        <v>-1</v>
      </c>
      <c r="CS114">
        <v>13.12371219512195</v>
      </c>
      <c r="CT114">
        <v>0.76247874564459395</v>
      </c>
      <c r="CU114">
        <v>7.5193348159106332E-2</v>
      </c>
      <c r="CV114">
        <v>-1</v>
      </c>
      <c r="CW114">
        <v>0</v>
      </c>
      <c r="CX114">
        <v>0</v>
      </c>
      <c r="CY114" t="s">
        <v>333</v>
      </c>
      <c r="CZ114">
        <v>2.3647200000000002</v>
      </c>
      <c r="DA114">
        <v>2.7138800000000001</v>
      </c>
      <c r="DB114">
        <v>0.11934500000000001</v>
      </c>
      <c r="DC114">
        <v>0.146063</v>
      </c>
      <c r="DD114">
        <v>9.6314999999999998E-2</v>
      </c>
      <c r="DE114">
        <v>3.7850399999999999E-2</v>
      </c>
      <c r="DF114">
        <v>32154.9</v>
      </c>
      <c r="DG114">
        <v>27519.1</v>
      </c>
      <c r="DH114">
        <v>31170.7</v>
      </c>
      <c r="DI114">
        <v>28080.7</v>
      </c>
      <c r="DJ114">
        <v>38247.800000000003</v>
      </c>
      <c r="DK114">
        <v>38420.300000000003</v>
      </c>
      <c r="DL114">
        <v>44359.4</v>
      </c>
      <c r="DM114">
        <v>42558.6</v>
      </c>
      <c r="DN114">
        <v>1.4804299999999999</v>
      </c>
      <c r="DO114">
        <v>2.0347</v>
      </c>
      <c r="DP114">
        <v>0.132464</v>
      </c>
      <c r="DQ114">
        <v>0.16207199999999999</v>
      </c>
      <c r="DR114">
        <v>24.778199999999998</v>
      </c>
      <c r="DS114">
        <v>24.618099999999998</v>
      </c>
      <c r="DT114">
        <v>16.8</v>
      </c>
      <c r="DU114">
        <v>29.8</v>
      </c>
      <c r="DV114">
        <v>7.1421799999999998</v>
      </c>
      <c r="DW114">
        <v>61.894100000000002</v>
      </c>
      <c r="DX114">
        <v>36.859000000000002</v>
      </c>
      <c r="DY114">
        <v>1</v>
      </c>
      <c r="DZ114">
        <v>-9.4057399999999999E-2</v>
      </c>
      <c r="EA114">
        <v>0.20050699999999999</v>
      </c>
      <c r="EB114">
        <v>20.190200000000001</v>
      </c>
      <c r="EC114">
        <v>5.24125</v>
      </c>
      <c r="ED114">
        <v>12.039899999999999</v>
      </c>
      <c r="EE114">
        <v>5.0167999999999999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1.86896</v>
      </c>
      <c r="EL114">
        <v>1.8646799999999999</v>
      </c>
      <c r="EM114">
        <v>1.8691899999999999</v>
      </c>
      <c r="EN114">
        <v>1.8672599999999999</v>
      </c>
      <c r="EO114">
        <v>1.86341</v>
      </c>
      <c r="EP114">
        <v>1.8645799999999999</v>
      </c>
      <c r="EQ114">
        <v>1.8702000000000001</v>
      </c>
      <c r="ER114">
        <v>1.8694500000000001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-0.127</v>
      </c>
      <c r="FG114">
        <v>0.17</v>
      </c>
      <c r="FH114">
        <v>0.27827353915413472</v>
      </c>
      <c r="FI114">
        <v>-6.1462078757559423E-4</v>
      </c>
      <c r="FJ114">
        <v>-1.8861989874597051E-7</v>
      </c>
      <c r="FK114">
        <v>1.1980462299894961E-10</v>
      </c>
      <c r="FL114">
        <v>-3.2538871274648329E-2</v>
      </c>
      <c r="FM114">
        <v>-1.6848085045870601E-2</v>
      </c>
      <c r="FN114">
        <v>1.9789084769509481E-3</v>
      </c>
      <c r="FO114">
        <v>-2.7142391389806329E-5</v>
      </c>
      <c r="FP114">
        <v>3</v>
      </c>
      <c r="FQ114">
        <v>2158</v>
      </c>
      <c r="FR114">
        <v>1</v>
      </c>
      <c r="FS114">
        <v>19</v>
      </c>
      <c r="FT114">
        <v>26</v>
      </c>
      <c r="FU114">
        <v>25.9</v>
      </c>
      <c r="FV114">
        <v>1.7773399999999999</v>
      </c>
      <c r="FW114">
        <v>2.5891099999999998</v>
      </c>
      <c r="FX114">
        <v>1.5490699999999999</v>
      </c>
      <c r="FY114">
        <v>2.3290999999999999</v>
      </c>
      <c r="FZ114">
        <v>1.50146</v>
      </c>
      <c r="GA114">
        <v>2.31934</v>
      </c>
      <c r="GB114">
        <v>33.850900000000003</v>
      </c>
      <c r="GC114">
        <v>23.982399999999998</v>
      </c>
      <c r="GD114">
        <v>19</v>
      </c>
      <c r="GE114">
        <v>284.71100000000001</v>
      </c>
      <c r="GF114">
        <v>581.899</v>
      </c>
      <c r="GG114">
        <v>23.6433</v>
      </c>
      <c r="GH114">
        <v>26.186699999999998</v>
      </c>
      <c r="GI114">
        <v>29.9998</v>
      </c>
      <c r="GJ114">
        <v>26.3569</v>
      </c>
      <c r="GK114">
        <v>26.3489</v>
      </c>
      <c r="GL114">
        <v>35.540199999999999</v>
      </c>
      <c r="GM114">
        <v>-30</v>
      </c>
      <c r="GN114">
        <v>-30</v>
      </c>
      <c r="GO114">
        <v>23.6965</v>
      </c>
      <c r="GP114">
        <v>800</v>
      </c>
      <c r="GQ114">
        <v>12.5298</v>
      </c>
      <c r="GR114">
        <v>99.733800000000002</v>
      </c>
      <c r="GS114">
        <v>99.561199999999999</v>
      </c>
    </row>
    <row r="115" spans="1:201" x14ac:dyDescent="0.25">
      <c r="A115">
        <v>99</v>
      </c>
      <c r="B115">
        <v>1690219155.0999999</v>
      </c>
      <c r="C115">
        <v>1134.599999904633</v>
      </c>
      <c r="D115" t="s">
        <v>527</v>
      </c>
      <c r="E115" t="s">
        <v>528</v>
      </c>
      <c r="F115" t="s">
        <v>330</v>
      </c>
      <c r="H115">
        <v>1690219155.0999999</v>
      </c>
      <c r="I115">
        <f t="shared" si="30"/>
        <v>1.2658118593936181E-3</v>
      </c>
      <c r="J115">
        <f t="shared" si="31"/>
        <v>1.2658118593936181</v>
      </c>
      <c r="K115">
        <f t="shared" si="32"/>
        <v>18.741000179413902</v>
      </c>
      <c r="L115">
        <f t="shared" si="33"/>
        <v>589.62800000000004</v>
      </c>
      <c r="M115">
        <f t="shared" si="34"/>
        <v>135.22353650796811</v>
      </c>
      <c r="N115">
        <f t="shared" si="35"/>
        <v>13.409791496565116</v>
      </c>
      <c r="O115">
        <f t="shared" si="36"/>
        <v>58.471984572528804</v>
      </c>
      <c r="P115">
        <f t="shared" si="37"/>
        <v>6.8638646760279212E-2</v>
      </c>
      <c r="Q115">
        <f t="shared" si="38"/>
        <v>2.1311232204146373</v>
      </c>
      <c r="R115">
        <f t="shared" si="39"/>
        <v>6.7433745124139119E-2</v>
      </c>
      <c r="S115">
        <f t="shared" si="40"/>
        <v>4.2252584553136352E-2</v>
      </c>
      <c r="T115">
        <f t="shared" si="41"/>
        <v>276.11595687600004</v>
      </c>
      <c r="U115">
        <f t="shared" si="42"/>
        <v>27.584516453984147</v>
      </c>
      <c r="V115">
        <f t="shared" si="43"/>
        <v>27.584516453984147</v>
      </c>
      <c r="W115">
        <f t="shared" si="44"/>
        <v>3.7038892933777339</v>
      </c>
      <c r="X115">
        <f t="shared" si="45"/>
        <v>56.68799147437413</v>
      </c>
      <c r="Y115">
        <f t="shared" si="46"/>
        <v>1.8949437903290998</v>
      </c>
      <c r="Z115">
        <f t="shared" si="47"/>
        <v>3.3427605054338732</v>
      </c>
      <c r="AA115">
        <f t="shared" si="48"/>
        <v>1.8089455030486341</v>
      </c>
      <c r="AB115">
        <f t="shared" si="49"/>
        <v>-55.822302999258554</v>
      </c>
      <c r="AC115">
        <f t="shared" si="50"/>
        <v>-200.24910068581434</v>
      </c>
      <c r="AD115">
        <f t="shared" si="51"/>
        <v>-20.220593021161726</v>
      </c>
      <c r="AE115">
        <f t="shared" si="52"/>
        <v>-0.17603983023460046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52602.836390601391</v>
      </c>
      <c r="AK115">
        <f t="shared" si="56"/>
        <v>1800</v>
      </c>
      <c r="AL115">
        <f t="shared" si="57"/>
        <v>1499.1114815999999</v>
      </c>
      <c r="AM115">
        <f t="shared" si="58"/>
        <v>0.83283971199999995</v>
      </c>
      <c r="AN115">
        <f t="shared" si="59"/>
        <v>0.15339775382000001</v>
      </c>
      <c r="AO115">
        <v>32.4</v>
      </c>
      <c r="AP115">
        <v>0.5</v>
      </c>
      <c r="AQ115" t="s">
        <v>331</v>
      </c>
      <c r="AR115">
        <v>2</v>
      </c>
      <c r="AS115">
        <v>1690219155.0999999</v>
      </c>
      <c r="AT115">
        <v>589.62800000000004</v>
      </c>
      <c r="AU115">
        <v>799.99400000000003</v>
      </c>
      <c r="AV115">
        <v>19.108499999999999</v>
      </c>
      <c r="AW115">
        <v>5.7051699999999999</v>
      </c>
      <c r="AX115">
        <v>589.75300000000004</v>
      </c>
      <c r="AY115">
        <v>18.934799999999999</v>
      </c>
      <c r="AZ115">
        <v>300.13900000000001</v>
      </c>
      <c r="BA115">
        <v>99.067599999999999</v>
      </c>
      <c r="BB115">
        <v>9.9984600000000007E-2</v>
      </c>
      <c r="BC115">
        <v>25.8416</v>
      </c>
      <c r="BD115">
        <v>26.981100000000001</v>
      </c>
      <c r="BE115">
        <v>27.270700000000001</v>
      </c>
      <c r="BF115">
        <v>0</v>
      </c>
      <c r="BG115">
        <v>0</v>
      </c>
      <c r="BH115">
        <v>10003.1</v>
      </c>
      <c r="BI115">
        <v>1063.99</v>
      </c>
      <c r="BJ115">
        <v>1.63853</v>
      </c>
      <c r="BK115">
        <v>-210.36699999999999</v>
      </c>
      <c r="BL115">
        <v>601.11400000000003</v>
      </c>
      <c r="BM115">
        <v>804.58500000000004</v>
      </c>
      <c r="BN115">
        <v>13.4033</v>
      </c>
      <c r="BO115">
        <v>799.99400000000003</v>
      </c>
      <c r="BP115">
        <v>5.7051699999999999</v>
      </c>
      <c r="BQ115">
        <v>1.89303</v>
      </c>
      <c r="BR115">
        <v>0.56519699999999995</v>
      </c>
      <c r="BS115">
        <v>16.576899999999998</v>
      </c>
      <c r="BT115">
        <v>-1.12714</v>
      </c>
      <c r="BU115">
        <v>1800</v>
      </c>
      <c r="BV115">
        <v>0.90999099999999999</v>
      </c>
      <c r="BW115">
        <v>3.3999099999999997E-2</v>
      </c>
      <c r="BX115">
        <v>2.2004599999999999E-2</v>
      </c>
      <c r="BY115">
        <v>3.4005199999999999E-2</v>
      </c>
      <c r="BZ115">
        <v>25.666699999999999</v>
      </c>
      <c r="CA115">
        <v>33528.300000000003</v>
      </c>
      <c r="CB115">
        <v>1690217592</v>
      </c>
      <c r="CC115" t="s">
        <v>332</v>
      </c>
      <c r="CD115">
        <v>1690217586.5</v>
      </c>
      <c r="CE115">
        <v>1690217592</v>
      </c>
      <c r="CF115">
        <v>9</v>
      </c>
      <c r="CG115">
        <v>0.11600000000000001</v>
      </c>
      <c r="CH115">
        <v>-3.0000000000000001E-3</v>
      </c>
      <c r="CI115">
        <v>-0.27300000000000002</v>
      </c>
      <c r="CJ115">
        <v>-6.9000000000000006E-2</v>
      </c>
      <c r="CK115">
        <v>800</v>
      </c>
      <c r="CL115">
        <v>6</v>
      </c>
      <c r="CM115">
        <v>0.01</v>
      </c>
      <c r="CN115">
        <v>0.01</v>
      </c>
      <c r="CO115">
        <v>-207.38539024390249</v>
      </c>
      <c r="CP115">
        <v>-16.880320557491451</v>
      </c>
      <c r="CQ115">
        <v>1.664715428373809</v>
      </c>
      <c r="CR115">
        <v>-1</v>
      </c>
      <c r="CS115">
        <v>13.264770731707319</v>
      </c>
      <c r="CT115">
        <v>0.78035331010450548</v>
      </c>
      <c r="CU115">
        <v>7.6957768729071646E-2</v>
      </c>
      <c r="CV115">
        <v>-1</v>
      </c>
      <c r="CW115">
        <v>0</v>
      </c>
      <c r="CX115">
        <v>0</v>
      </c>
      <c r="CY115" t="s">
        <v>333</v>
      </c>
      <c r="CZ115">
        <v>2.3644400000000001</v>
      </c>
      <c r="DA115">
        <v>2.7137799999999999</v>
      </c>
      <c r="DB115">
        <v>0.118945</v>
      </c>
      <c r="DC115">
        <v>0.146064</v>
      </c>
      <c r="DD115">
        <v>9.67914E-2</v>
      </c>
      <c r="DE115">
        <v>3.7852299999999998E-2</v>
      </c>
      <c r="DF115">
        <v>32170.2</v>
      </c>
      <c r="DG115">
        <v>27519.8</v>
      </c>
      <c r="DH115">
        <v>31171.3</v>
      </c>
      <c r="DI115">
        <v>28081.4</v>
      </c>
      <c r="DJ115">
        <v>38228</v>
      </c>
      <c r="DK115">
        <v>38421.300000000003</v>
      </c>
      <c r="DL115">
        <v>44360.1</v>
      </c>
      <c r="DM115">
        <v>42559.8</v>
      </c>
      <c r="DN115">
        <v>1.4803500000000001</v>
      </c>
      <c r="DO115">
        <v>2.03485</v>
      </c>
      <c r="DP115">
        <v>0.13445299999999999</v>
      </c>
      <c r="DQ115">
        <v>0.161916</v>
      </c>
      <c r="DR115">
        <v>24.778199999999998</v>
      </c>
      <c r="DS115">
        <v>24.618099999999998</v>
      </c>
      <c r="DT115">
        <v>16.8</v>
      </c>
      <c r="DU115">
        <v>29.8</v>
      </c>
      <c r="DV115">
        <v>7.1425299999999998</v>
      </c>
      <c r="DW115">
        <v>61.674100000000003</v>
      </c>
      <c r="DX115">
        <v>36.6907</v>
      </c>
      <c r="DY115">
        <v>1</v>
      </c>
      <c r="DZ115">
        <v>-9.4761200000000004E-2</v>
      </c>
      <c r="EA115">
        <v>0.164965</v>
      </c>
      <c r="EB115">
        <v>20.190300000000001</v>
      </c>
      <c r="EC115">
        <v>5.2409499999999998</v>
      </c>
      <c r="ED115">
        <v>12.039899999999999</v>
      </c>
      <c r="EE115">
        <v>5.0167999999999999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1.86894</v>
      </c>
      <c r="EL115">
        <v>1.86469</v>
      </c>
      <c r="EM115">
        <v>1.8692</v>
      </c>
      <c r="EN115">
        <v>1.8672500000000001</v>
      </c>
      <c r="EO115">
        <v>1.8633999999999999</v>
      </c>
      <c r="EP115">
        <v>1.8646100000000001</v>
      </c>
      <c r="EQ115">
        <v>1.8702099999999999</v>
      </c>
      <c r="ER115">
        <v>1.8694500000000001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-0.125</v>
      </c>
      <c r="FG115">
        <v>0.17369999999999999</v>
      </c>
      <c r="FH115">
        <v>0.27827353915413472</v>
      </c>
      <c r="FI115">
        <v>-6.1462078757559423E-4</v>
      </c>
      <c r="FJ115">
        <v>-1.8861989874597051E-7</v>
      </c>
      <c r="FK115">
        <v>1.1980462299894961E-10</v>
      </c>
      <c r="FL115">
        <v>-3.2538871274648329E-2</v>
      </c>
      <c r="FM115">
        <v>-1.6848085045870601E-2</v>
      </c>
      <c r="FN115">
        <v>1.9789084769509481E-3</v>
      </c>
      <c r="FO115">
        <v>-2.7142391389806329E-5</v>
      </c>
      <c r="FP115">
        <v>3</v>
      </c>
      <c r="FQ115">
        <v>2158</v>
      </c>
      <c r="FR115">
        <v>1</v>
      </c>
      <c r="FS115">
        <v>19</v>
      </c>
      <c r="FT115">
        <v>26.1</v>
      </c>
      <c r="FU115">
        <v>26.1</v>
      </c>
      <c r="FV115">
        <v>1.7773399999999999</v>
      </c>
      <c r="FW115">
        <v>2.5830099999999998</v>
      </c>
      <c r="FX115">
        <v>1.5490699999999999</v>
      </c>
      <c r="FY115">
        <v>2.3290999999999999</v>
      </c>
      <c r="FZ115">
        <v>1.50146</v>
      </c>
      <c r="GA115">
        <v>2.33765</v>
      </c>
      <c r="GB115">
        <v>33.850900000000003</v>
      </c>
      <c r="GC115">
        <v>23.982399999999998</v>
      </c>
      <c r="GD115">
        <v>19</v>
      </c>
      <c r="GE115">
        <v>284.66199999999998</v>
      </c>
      <c r="GF115">
        <v>581.98500000000001</v>
      </c>
      <c r="GG115">
        <v>23.726500000000001</v>
      </c>
      <c r="GH115">
        <v>26.183299999999999</v>
      </c>
      <c r="GI115">
        <v>29.999700000000001</v>
      </c>
      <c r="GJ115">
        <v>26.353000000000002</v>
      </c>
      <c r="GK115">
        <v>26.345600000000001</v>
      </c>
      <c r="GL115">
        <v>35.541800000000002</v>
      </c>
      <c r="GM115">
        <v>-30</v>
      </c>
      <c r="GN115">
        <v>-30</v>
      </c>
      <c r="GO115">
        <v>23.744700000000002</v>
      </c>
      <c r="GP115">
        <v>800</v>
      </c>
      <c r="GQ115">
        <v>12.5298</v>
      </c>
      <c r="GR115">
        <v>99.735399999999998</v>
      </c>
      <c r="GS115">
        <v>99.563999999999993</v>
      </c>
    </row>
    <row r="116" spans="1:201" x14ac:dyDescent="0.25">
      <c r="A116">
        <v>100</v>
      </c>
      <c r="B116">
        <v>1690219165.0999999</v>
      </c>
      <c r="C116">
        <v>1144.599999904633</v>
      </c>
      <c r="D116" t="s">
        <v>529</v>
      </c>
      <c r="E116" t="s">
        <v>530</v>
      </c>
      <c r="F116" t="s">
        <v>330</v>
      </c>
      <c r="H116">
        <v>1690219165.0999999</v>
      </c>
      <c r="I116">
        <f t="shared" si="30"/>
        <v>1.2787763137381575E-3</v>
      </c>
      <c r="J116">
        <f t="shared" si="31"/>
        <v>1.2787763137381576</v>
      </c>
      <c r="K116">
        <f t="shared" si="32"/>
        <v>18.997684278143829</v>
      </c>
      <c r="L116">
        <f t="shared" si="33"/>
        <v>586.83100000000002</v>
      </c>
      <c r="M116">
        <f t="shared" si="34"/>
        <v>133.87630104761806</v>
      </c>
      <c r="N116">
        <f t="shared" si="35"/>
        <v>13.275783671169147</v>
      </c>
      <c r="O116">
        <f t="shared" si="36"/>
        <v>58.192834329690903</v>
      </c>
      <c r="P116">
        <f t="shared" si="37"/>
        <v>6.9803707792528577E-2</v>
      </c>
      <c r="Q116">
        <f t="shared" si="38"/>
        <v>2.1318916981709393</v>
      </c>
      <c r="R116">
        <f t="shared" si="39"/>
        <v>6.8558395953294771E-2</v>
      </c>
      <c r="S116">
        <f t="shared" si="40"/>
        <v>4.2959033289658791E-2</v>
      </c>
      <c r="T116">
        <f t="shared" si="41"/>
        <v>276.11419734171494</v>
      </c>
      <c r="U116">
        <f t="shared" si="42"/>
        <v>27.592189164619519</v>
      </c>
      <c r="V116">
        <f t="shared" si="43"/>
        <v>27.592189164619519</v>
      </c>
      <c r="W116">
        <f t="shared" si="44"/>
        <v>3.7055514715521212</v>
      </c>
      <c r="X116">
        <f t="shared" si="45"/>
        <v>57.042878560089704</v>
      </c>
      <c r="Y116">
        <f t="shared" si="46"/>
        <v>1.9082532600638702</v>
      </c>
      <c r="Z116">
        <f t="shared" si="47"/>
        <v>3.3452962196739278</v>
      </c>
      <c r="AA116">
        <f t="shared" si="48"/>
        <v>1.797298211488251</v>
      </c>
      <c r="AB116">
        <f t="shared" si="49"/>
        <v>-56.39403543585275</v>
      </c>
      <c r="AC116">
        <f t="shared" si="50"/>
        <v>-199.73200734427982</v>
      </c>
      <c r="AD116">
        <f t="shared" si="51"/>
        <v>-20.163173134873997</v>
      </c>
      <c r="AE116">
        <f t="shared" si="52"/>
        <v>-0.17501857329162362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52633.783428381641</v>
      </c>
      <c r="AK116">
        <f t="shared" si="56"/>
        <v>1799.99</v>
      </c>
      <c r="AL116">
        <f t="shared" si="57"/>
        <v>1499.1031694027899</v>
      </c>
      <c r="AM116">
        <f t="shared" si="58"/>
        <v>0.83283972099999992</v>
      </c>
      <c r="AN116">
        <f t="shared" si="59"/>
        <v>0.15339762851000002</v>
      </c>
      <c r="AO116">
        <v>32.4</v>
      </c>
      <c r="AP116">
        <v>0.5</v>
      </c>
      <c r="AQ116" t="s">
        <v>331</v>
      </c>
      <c r="AR116">
        <v>2</v>
      </c>
      <c r="AS116">
        <v>1690219165.0999999</v>
      </c>
      <c r="AT116">
        <v>586.83100000000002</v>
      </c>
      <c r="AU116">
        <v>800.00400000000002</v>
      </c>
      <c r="AV116">
        <v>19.243300000000001</v>
      </c>
      <c r="AW116">
        <v>5.70505</v>
      </c>
      <c r="AX116">
        <v>586.95399999999995</v>
      </c>
      <c r="AY116">
        <v>19.065799999999999</v>
      </c>
      <c r="AZ116">
        <v>300.14999999999998</v>
      </c>
      <c r="BA116">
        <v>99.064599999999999</v>
      </c>
      <c r="BB116">
        <v>9.9953899999999998E-2</v>
      </c>
      <c r="BC116">
        <v>25.854399999999998</v>
      </c>
      <c r="BD116">
        <v>26.954499999999999</v>
      </c>
      <c r="BE116">
        <v>27.299199999999999</v>
      </c>
      <c r="BF116">
        <v>0</v>
      </c>
      <c r="BG116">
        <v>0</v>
      </c>
      <c r="BH116">
        <v>10010</v>
      </c>
      <c r="BI116">
        <v>1064.06</v>
      </c>
      <c r="BJ116">
        <v>1.58247</v>
      </c>
      <c r="BK116">
        <v>-213.173</v>
      </c>
      <c r="BL116">
        <v>598.34500000000003</v>
      </c>
      <c r="BM116">
        <v>804.59400000000005</v>
      </c>
      <c r="BN116">
        <v>13.5382</v>
      </c>
      <c r="BO116">
        <v>800.00400000000002</v>
      </c>
      <c r="BP116">
        <v>5.70505</v>
      </c>
      <c r="BQ116">
        <v>1.9063300000000001</v>
      </c>
      <c r="BR116">
        <v>0.56516900000000003</v>
      </c>
      <c r="BS116">
        <v>16.687000000000001</v>
      </c>
      <c r="BT116">
        <v>-1.12782</v>
      </c>
      <c r="BU116">
        <v>1799.99</v>
      </c>
      <c r="BV116">
        <v>0.90999399999999997</v>
      </c>
      <c r="BW116">
        <v>3.3997899999999998E-2</v>
      </c>
      <c r="BX116">
        <v>2.20038E-2</v>
      </c>
      <c r="BY116">
        <v>3.4003899999999997E-2</v>
      </c>
      <c r="BZ116">
        <v>25.666699999999999</v>
      </c>
      <c r="CA116">
        <v>33528.199999999997</v>
      </c>
      <c r="CB116">
        <v>1690217592</v>
      </c>
      <c r="CC116" t="s">
        <v>332</v>
      </c>
      <c r="CD116">
        <v>1690217586.5</v>
      </c>
      <c r="CE116">
        <v>1690217592</v>
      </c>
      <c r="CF116">
        <v>9</v>
      </c>
      <c r="CG116">
        <v>0.11600000000000001</v>
      </c>
      <c r="CH116">
        <v>-3.0000000000000001E-3</v>
      </c>
      <c r="CI116">
        <v>-0.27300000000000002</v>
      </c>
      <c r="CJ116">
        <v>-6.9000000000000006E-2</v>
      </c>
      <c r="CK116">
        <v>800</v>
      </c>
      <c r="CL116">
        <v>6</v>
      </c>
      <c r="CM116">
        <v>0.01</v>
      </c>
      <c r="CN116">
        <v>0.01</v>
      </c>
      <c r="CO116">
        <v>-210.23221951219509</v>
      </c>
      <c r="CP116">
        <v>-17.15172125435593</v>
      </c>
      <c r="CQ116">
        <v>1.691494382047223</v>
      </c>
      <c r="CR116">
        <v>-1</v>
      </c>
      <c r="CS116">
        <v>13.39808536585366</v>
      </c>
      <c r="CT116">
        <v>0.81519094076656262</v>
      </c>
      <c r="CU116">
        <v>8.03898111520438E-2</v>
      </c>
      <c r="CV116">
        <v>-1</v>
      </c>
      <c r="CW116">
        <v>0</v>
      </c>
      <c r="CX116">
        <v>0</v>
      </c>
      <c r="CY116" t="s">
        <v>333</v>
      </c>
      <c r="CZ116">
        <v>2.3644799999999999</v>
      </c>
      <c r="DA116">
        <v>2.7137500000000001</v>
      </c>
      <c r="DB116">
        <v>0.118545</v>
      </c>
      <c r="DC116">
        <v>0.146062</v>
      </c>
      <c r="DD116">
        <v>9.7269999999999995E-2</v>
      </c>
      <c r="DE116">
        <v>3.7851000000000003E-2</v>
      </c>
      <c r="DF116">
        <v>32185.4</v>
      </c>
      <c r="DG116">
        <v>27520.2</v>
      </c>
      <c r="DH116">
        <v>31171.9</v>
      </c>
      <c r="DI116">
        <v>28081.7</v>
      </c>
      <c r="DJ116">
        <v>38208.300000000003</v>
      </c>
      <c r="DK116">
        <v>38421.800000000003</v>
      </c>
      <c r="DL116">
        <v>44361</v>
      </c>
      <c r="DM116">
        <v>42560.3</v>
      </c>
      <c r="DN116">
        <v>1.48062</v>
      </c>
      <c r="DO116">
        <v>2.0347499999999998</v>
      </c>
      <c r="DP116">
        <v>0.13269900000000001</v>
      </c>
      <c r="DQ116">
        <v>0.163663</v>
      </c>
      <c r="DR116">
        <v>24.7803</v>
      </c>
      <c r="DS116">
        <v>24.618099999999998</v>
      </c>
      <c r="DT116">
        <v>16.8</v>
      </c>
      <c r="DU116">
        <v>29.8</v>
      </c>
      <c r="DV116">
        <v>7.1428500000000001</v>
      </c>
      <c r="DW116">
        <v>61.844099999999997</v>
      </c>
      <c r="DX116">
        <v>36.490400000000001</v>
      </c>
      <c r="DY116">
        <v>1</v>
      </c>
      <c r="DZ116">
        <v>-9.4928899999999997E-2</v>
      </c>
      <c r="EA116">
        <v>0.224935</v>
      </c>
      <c r="EB116">
        <v>20.190100000000001</v>
      </c>
      <c r="EC116">
        <v>5.2418500000000003</v>
      </c>
      <c r="ED116">
        <v>12.039899999999999</v>
      </c>
      <c r="EE116">
        <v>5.0168999999999997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1.86894</v>
      </c>
      <c r="EL116">
        <v>1.8646799999999999</v>
      </c>
      <c r="EM116">
        <v>1.8692</v>
      </c>
      <c r="EN116">
        <v>1.8672500000000001</v>
      </c>
      <c r="EO116">
        <v>1.8633999999999999</v>
      </c>
      <c r="EP116">
        <v>1.86459</v>
      </c>
      <c r="EQ116">
        <v>1.87019</v>
      </c>
      <c r="ER116">
        <v>1.8694599999999999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-0.123</v>
      </c>
      <c r="FG116">
        <v>0.17749999999999999</v>
      </c>
      <c r="FH116">
        <v>0.27827353915413472</v>
      </c>
      <c r="FI116">
        <v>-6.1462078757559423E-4</v>
      </c>
      <c r="FJ116">
        <v>-1.8861989874597051E-7</v>
      </c>
      <c r="FK116">
        <v>1.1980462299894961E-10</v>
      </c>
      <c r="FL116">
        <v>-3.2538871274648329E-2</v>
      </c>
      <c r="FM116">
        <v>-1.6848085045870601E-2</v>
      </c>
      <c r="FN116">
        <v>1.9789084769509481E-3</v>
      </c>
      <c r="FO116">
        <v>-2.7142391389806329E-5</v>
      </c>
      <c r="FP116">
        <v>3</v>
      </c>
      <c r="FQ116">
        <v>2158</v>
      </c>
      <c r="FR116">
        <v>1</v>
      </c>
      <c r="FS116">
        <v>19</v>
      </c>
      <c r="FT116">
        <v>26.3</v>
      </c>
      <c r="FU116">
        <v>26.2</v>
      </c>
      <c r="FV116">
        <v>1.7773399999999999</v>
      </c>
      <c r="FW116">
        <v>2.5866699999999998</v>
      </c>
      <c r="FX116">
        <v>1.5490699999999999</v>
      </c>
      <c r="FY116">
        <v>2.3290999999999999</v>
      </c>
      <c r="FZ116">
        <v>1.50146</v>
      </c>
      <c r="GA116">
        <v>2.3571800000000001</v>
      </c>
      <c r="GB116">
        <v>33.850900000000003</v>
      </c>
      <c r="GC116">
        <v>23.982399999999998</v>
      </c>
      <c r="GD116">
        <v>19</v>
      </c>
      <c r="GE116">
        <v>284.76799999999997</v>
      </c>
      <c r="GF116">
        <v>581.86500000000001</v>
      </c>
      <c r="GG116">
        <v>23.766999999999999</v>
      </c>
      <c r="GH116">
        <v>26.180199999999999</v>
      </c>
      <c r="GI116">
        <v>30.0001</v>
      </c>
      <c r="GJ116">
        <v>26.3504</v>
      </c>
      <c r="GK116">
        <v>26.342300000000002</v>
      </c>
      <c r="GL116">
        <v>35.540999999999997</v>
      </c>
      <c r="GM116">
        <v>-30</v>
      </c>
      <c r="GN116">
        <v>-30</v>
      </c>
      <c r="GO116">
        <v>23.783100000000001</v>
      </c>
      <c r="GP116">
        <v>800</v>
      </c>
      <c r="GQ116">
        <v>12.5298</v>
      </c>
      <c r="GR116">
        <v>99.737399999999994</v>
      </c>
      <c r="GS116">
        <v>99.565100000000001</v>
      </c>
    </row>
    <row r="117" spans="1:201" x14ac:dyDescent="0.25">
      <c r="A117">
        <v>101</v>
      </c>
      <c r="B117">
        <v>1690219175.0999999</v>
      </c>
      <c r="C117">
        <v>1154.599999904633</v>
      </c>
      <c r="D117" t="s">
        <v>531</v>
      </c>
      <c r="E117" t="s">
        <v>532</v>
      </c>
      <c r="F117" t="s">
        <v>330</v>
      </c>
      <c r="H117">
        <v>1690219175.0999999</v>
      </c>
      <c r="I117">
        <f t="shared" si="30"/>
        <v>1.2916677174446794E-3</v>
      </c>
      <c r="J117">
        <f t="shared" si="31"/>
        <v>1.2916677174446793</v>
      </c>
      <c r="K117">
        <f t="shared" si="32"/>
        <v>19.260432703085879</v>
      </c>
      <c r="L117">
        <f t="shared" si="33"/>
        <v>583.92999999999995</v>
      </c>
      <c r="M117">
        <f t="shared" si="34"/>
        <v>132.78938226896832</v>
      </c>
      <c r="N117">
        <f t="shared" si="35"/>
        <v>13.168702151843759</v>
      </c>
      <c r="O117">
        <f t="shared" si="36"/>
        <v>57.908246247810993</v>
      </c>
      <c r="P117">
        <f t="shared" si="37"/>
        <v>7.1056657743705232E-2</v>
      </c>
      <c r="Q117">
        <f t="shared" si="38"/>
        <v>2.1339205864532884</v>
      </c>
      <c r="R117">
        <f t="shared" si="39"/>
        <v>6.9767886707212082E-2</v>
      </c>
      <c r="S117">
        <f t="shared" si="40"/>
        <v>4.3718773198818263E-2</v>
      </c>
      <c r="T117">
        <f t="shared" si="41"/>
        <v>276.11425355540263</v>
      </c>
      <c r="U117">
        <f t="shared" si="42"/>
        <v>27.592285368567868</v>
      </c>
      <c r="V117">
        <f t="shared" si="43"/>
        <v>27.592285368567868</v>
      </c>
      <c r="W117">
        <f t="shared" si="44"/>
        <v>3.7055723168321189</v>
      </c>
      <c r="X117">
        <f t="shared" si="45"/>
        <v>57.422701410540952</v>
      </c>
      <c r="Y117">
        <f t="shared" si="46"/>
        <v>1.9216537099349802</v>
      </c>
      <c r="Z117">
        <f t="shared" si="47"/>
        <v>3.346505237007583</v>
      </c>
      <c r="AA117">
        <f t="shared" si="48"/>
        <v>1.7839186068971387</v>
      </c>
      <c r="AB117">
        <f t="shared" si="49"/>
        <v>-56.962546339310364</v>
      </c>
      <c r="AC117">
        <f t="shared" si="50"/>
        <v>-199.23138892696207</v>
      </c>
      <c r="AD117">
        <f t="shared" si="51"/>
        <v>-20.094134382717488</v>
      </c>
      <c r="AE117">
        <f t="shared" si="52"/>
        <v>-0.17381609358727701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52720.715617348345</v>
      </c>
      <c r="AK117">
        <f t="shared" si="56"/>
        <v>1799.99</v>
      </c>
      <c r="AL117">
        <f t="shared" si="57"/>
        <v>1499.1044167958601</v>
      </c>
      <c r="AM117">
        <f t="shared" si="58"/>
        <v>0.83284041399999997</v>
      </c>
      <c r="AN117">
        <f t="shared" si="59"/>
        <v>0.15339765974000003</v>
      </c>
      <c r="AO117">
        <v>32.4</v>
      </c>
      <c r="AP117">
        <v>0.5</v>
      </c>
      <c r="AQ117" t="s">
        <v>331</v>
      </c>
      <c r="AR117">
        <v>2</v>
      </c>
      <c r="AS117">
        <v>1690219175.0999999</v>
      </c>
      <c r="AT117">
        <v>583.92999999999995</v>
      </c>
      <c r="AU117">
        <v>799.97400000000005</v>
      </c>
      <c r="AV117">
        <v>19.377400000000002</v>
      </c>
      <c r="AW117">
        <v>5.7049500000000002</v>
      </c>
      <c r="AX117">
        <v>584.05100000000004</v>
      </c>
      <c r="AY117">
        <v>19.196200000000001</v>
      </c>
      <c r="AZ117">
        <v>300.15899999999999</v>
      </c>
      <c r="BA117">
        <v>99.069900000000004</v>
      </c>
      <c r="BB117">
        <v>9.9942699999999995E-2</v>
      </c>
      <c r="BC117">
        <v>25.860499999999998</v>
      </c>
      <c r="BD117">
        <v>26.988800000000001</v>
      </c>
      <c r="BE117">
        <v>27.266300000000001</v>
      </c>
      <c r="BF117">
        <v>0</v>
      </c>
      <c r="BG117">
        <v>0</v>
      </c>
      <c r="BH117">
        <v>10026.9</v>
      </c>
      <c r="BI117">
        <v>1064.1099999999999</v>
      </c>
      <c r="BJ117">
        <v>1.47454</v>
      </c>
      <c r="BK117">
        <v>-216.04400000000001</v>
      </c>
      <c r="BL117">
        <v>595.46900000000005</v>
      </c>
      <c r="BM117">
        <v>804.56399999999996</v>
      </c>
      <c r="BN117">
        <v>13.672499999999999</v>
      </c>
      <c r="BO117">
        <v>799.97400000000005</v>
      </c>
      <c r="BP117">
        <v>5.7049500000000002</v>
      </c>
      <c r="BQ117">
        <v>1.9197200000000001</v>
      </c>
      <c r="BR117">
        <v>0.56518900000000005</v>
      </c>
      <c r="BS117">
        <v>16.7973</v>
      </c>
      <c r="BT117">
        <v>-1.1273200000000001</v>
      </c>
      <c r="BU117">
        <v>1799.99</v>
      </c>
      <c r="BV117">
        <v>0.90999699999999994</v>
      </c>
      <c r="BW117">
        <v>3.3996999999999999E-2</v>
      </c>
      <c r="BX117">
        <v>2.2003200000000001E-2</v>
      </c>
      <c r="BY117">
        <v>3.4002999999999999E-2</v>
      </c>
      <c r="BZ117">
        <v>25.666699999999999</v>
      </c>
      <c r="CA117">
        <v>33528.199999999997</v>
      </c>
      <c r="CB117">
        <v>1690217592</v>
      </c>
      <c r="CC117" t="s">
        <v>332</v>
      </c>
      <c r="CD117">
        <v>1690217586.5</v>
      </c>
      <c r="CE117">
        <v>1690217592</v>
      </c>
      <c r="CF117">
        <v>9</v>
      </c>
      <c r="CG117">
        <v>0.11600000000000001</v>
      </c>
      <c r="CH117">
        <v>-3.0000000000000001E-3</v>
      </c>
      <c r="CI117">
        <v>-0.27300000000000002</v>
      </c>
      <c r="CJ117">
        <v>-6.9000000000000006E-2</v>
      </c>
      <c r="CK117">
        <v>800</v>
      </c>
      <c r="CL117">
        <v>6</v>
      </c>
      <c r="CM117">
        <v>0.01</v>
      </c>
      <c r="CN117">
        <v>0.01</v>
      </c>
      <c r="CO117">
        <v>-212.78570731707319</v>
      </c>
      <c r="CP117">
        <v>-16.869240418118441</v>
      </c>
      <c r="CQ117">
        <v>1.663595829842216</v>
      </c>
      <c r="CR117">
        <v>-1</v>
      </c>
      <c r="CS117">
        <v>13.51918048780488</v>
      </c>
      <c r="CT117">
        <v>0.80253031358883231</v>
      </c>
      <c r="CU117">
        <v>7.914115891183561E-2</v>
      </c>
      <c r="CV117">
        <v>-1</v>
      </c>
      <c r="CW117">
        <v>0</v>
      </c>
      <c r="CX117">
        <v>0</v>
      </c>
      <c r="CY117" t="s">
        <v>333</v>
      </c>
      <c r="CZ117">
        <v>2.3645100000000001</v>
      </c>
      <c r="DA117">
        <v>2.7137600000000002</v>
      </c>
      <c r="DB117">
        <v>0.11813899999999999</v>
      </c>
      <c r="DC117">
        <v>0.146067</v>
      </c>
      <c r="DD117">
        <v>9.7753300000000001E-2</v>
      </c>
      <c r="DE117">
        <v>3.7852700000000003E-2</v>
      </c>
      <c r="DF117">
        <v>32199.9</v>
      </c>
      <c r="DG117">
        <v>27520</v>
      </c>
      <c r="DH117">
        <v>31171.599999999999</v>
      </c>
      <c r="DI117">
        <v>28081.7</v>
      </c>
      <c r="DJ117">
        <v>38187.199999999997</v>
      </c>
      <c r="DK117">
        <v>38421.699999999997</v>
      </c>
      <c r="DL117">
        <v>44360.6</v>
      </c>
      <c r="DM117">
        <v>42560.3</v>
      </c>
      <c r="DN117">
        <v>1.48038</v>
      </c>
      <c r="DO117">
        <v>2.0347499999999998</v>
      </c>
      <c r="DP117">
        <v>0.134792</v>
      </c>
      <c r="DQ117">
        <v>0.161521</v>
      </c>
      <c r="DR117">
        <v>24.7804</v>
      </c>
      <c r="DS117">
        <v>24.620200000000001</v>
      </c>
      <c r="DT117">
        <v>16.8</v>
      </c>
      <c r="DU117">
        <v>29.8</v>
      </c>
      <c r="DV117">
        <v>7.1419699999999997</v>
      </c>
      <c r="DW117">
        <v>61.444099999999999</v>
      </c>
      <c r="DX117">
        <v>36.197899999999997</v>
      </c>
      <c r="DY117">
        <v>1</v>
      </c>
      <c r="DZ117">
        <v>-9.5093999999999998E-2</v>
      </c>
      <c r="EA117">
        <v>0.19017200000000001</v>
      </c>
      <c r="EB117">
        <v>20.190100000000001</v>
      </c>
      <c r="EC117">
        <v>5.24125</v>
      </c>
      <c r="ED117">
        <v>12.039899999999999</v>
      </c>
      <c r="EE117">
        <v>5.0168999999999997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1.86893</v>
      </c>
      <c r="EL117">
        <v>1.86467</v>
      </c>
      <c r="EM117">
        <v>1.8691899999999999</v>
      </c>
      <c r="EN117">
        <v>1.8672500000000001</v>
      </c>
      <c r="EO117">
        <v>1.8633999999999999</v>
      </c>
      <c r="EP117">
        <v>1.8645799999999999</v>
      </c>
      <c r="EQ117">
        <v>1.87022</v>
      </c>
      <c r="ER117">
        <v>1.8694599999999999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-0.121</v>
      </c>
      <c r="FG117">
        <v>0.1812</v>
      </c>
      <c r="FH117">
        <v>0.27827353915413472</v>
      </c>
      <c r="FI117">
        <v>-6.1462078757559423E-4</v>
      </c>
      <c r="FJ117">
        <v>-1.8861989874597051E-7</v>
      </c>
      <c r="FK117">
        <v>1.1980462299894961E-10</v>
      </c>
      <c r="FL117">
        <v>-3.2538871274648329E-2</v>
      </c>
      <c r="FM117">
        <v>-1.6848085045870601E-2</v>
      </c>
      <c r="FN117">
        <v>1.9789084769509481E-3</v>
      </c>
      <c r="FO117">
        <v>-2.7142391389806329E-5</v>
      </c>
      <c r="FP117">
        <v>3</v>
      </c>
      <c r="FQ117">
        <v>2158</v>
      </c>
      <c r="FR117">
        <v>1</v>
      </c>
      <c r="FS117">
        <v>19</v>
      </c>
      <c r="FT117">
        <v>26.5</v>
      </c>
      <c r="FU117">
        <v>26.4</v>
      </c>
      <c r="FV117">
        <v>1.7773399999999999</v>
      </c>
      <c r="FW117">
        <v>2.5842299999999998</v>
      </c>
      <c r="FX117">
        <v>1.5490699999999999</v>
      </c>
      <c r="FY117">
        <v>2.3290999999999999</v>
      </c>
      <c r="FZ117">
        <v>1.50146</v>
      </c>
      <c r="GA117">
        <v>2.3584000000000001</v>
      </c>
      <c r="GB117">
        <v>33.850900000000003</v>
      </c>
      <c r="GC117">
        <v>23.982399999999998</v>
      </c>
      <c r="GD117">
        <v>19</v>
      </c>
      <c r="GE117">
        <v>284.64299999999997</v>
      </c>
      <c r="GF117">
        <v>581.82799999999997</v>
      </c>
      <c r="GG117">
        <v>23.802700000000002</v>
      </c>
      <c r="GH117">
        <v>26.177199999999999</v>
      </c>
      <c r="GI117">
        <v>29.9999</v>
      </c>
      <c r="GJ117">
        <v>26.346399999999999</v>
      </c>
      <c r="GK117">
        <v>26.338999999999999</v>
      </c>
      <c r="GL117">
        <v>35.541800000000002</v>
      </c>
      <c r="GM117">
        <v>-30</v>
      </c>
      <c r="GN117">
        <v>-30</v>
      </c>
      <c r="GO117">
        <v>23.689499999999999</v>
      </c>
      <c r="GP117">
        <v>800</v>
      </c>
      <c r="GQ117">
        <v>12.5298</v>
      </c>
      <c r="GR117">
        <v>99.736400000000003</v>
      </c>
      <c r="GS117">
        <v>99.565100000000001</v>
      </c>
    </row>
    <row r="118" spans="1:201" x14ac:dyDescent="0.25">
      <c r="A118">
        <v>102</v>
      </c>
      <c r="B118">
        <v>1690219185.0999999</v>
      </c>
      <c r="C118">
        <v>1164.599999904633</v>
      </c>
      <c r="D118" t="s">
        <v>533</v>
      </c>
      <c r="E118" t="s">
        <v>534</v>
      </c>
      <c r="F118" t="s">
        <v>330</v>
      </c>
      <c r="H118">
        <v>1690219185.0999999</v>
      </c>
      <c r="I118">
        <f t="shared" si="30"/>
        <v>1.3037154438097478E-3</v>
      </c>
      <c r="J118">
        <f t="shared" si="31"/>
        <v>1.3037154438097478</v>
      </c>
      <c r="K118">
        <f t="shared" si="32"/>
        <v>19.523087672750165</v>
      </c>
      <c r="L118">
        <f t="shared" si="33"/>
        <v>581.05899999999997</v>
      </c>
      <c r="M118">
        <f t="shared" si="34"/>
        <v>131.26076986334419</v>
      </c>
      <c r="N118">
        <f t="shared" si="35"/>
        <v>13.017479280961217</v>
      </c>
      <c r="O118">
        <f t="shared" si="36"/>
        <v>57.625164787551199</v>
      </c>
      <c r="P118">
        <f t="shared" si="37"/>
        <v>7.2243585769089236E-2</v>
      </c>
      <c r="Q118">
        <f t="shared" si="38"/>
        <v>2.1306027882647385</v>
      </c>
      <c r="R118">
        <f t="shared" si="39"/>
        <v>7.0909802312196568E-2</v>
      </c>
      <c r="S118">
        <f t="shared" si="40"/>
        <v>4.443641054151902E-2</v>
      </c>
      <c r="T118">
        <f t="shared" si="41"/>
        <v>276.11565089400005</v>
      </c>
      <c r="U118">
        <f t="shared" si="42"/>
        <v>27.592340430565336</v>
      </c>
      <c r="V118">
        <f t="shared" si="43"/>
        <v>27.592340430565336</v>
      </c>
      <c r="W118">
        <f t="shared" si="44"/>
        <v>3.705584247602153</v>
      </c>
      <c r="X118">
        <f t="shared" si="45"/>
        <v>57.788010007304976</v>
      </c>
      <c r="Y118">
        <f t="shared" si="46"/>
        <v>1.9340849874449597</v>
      </c>
      <c r="Z118">
        <f t="shared" si="47"/>
        <v>3.3468620691393807</v>
      </c>
      <c r="AA118">
        <f t="shared" si="48"/>
        <v>1.7714992601571933</v>
      </c>
      <c r="AB118">
        <f t="shared" si="49"/>
        <v>-57.493851072009882</v>
      </c>
      <c r="AC118">
        <f t="shared" si="50"/>
        <v>-198.72119357041927</v>
      </c>
      <c r="AD118">
        <f t="shared" si="51"/>
        <v>-20.074073660176069</v>
      </c>
      <c r="AE118">
        <f t="shared" si="52"/>
        <v>-0.17346740860514842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52576.783644153162</v>
      </c>
      <c r="AK118">
        <f t="shared" si="56"/>
        <v>1800</v>
      </c>
      <c r="AL118">
        <f t="shared" si="57"/>
        <v>1499.1124823999999</v>
      </c>
      <c r="AM118">
        <f t="shared" si="58"/>
        <v>0.83284026799999988</v>
      </c>
      <c r="AN118">
        <f t="shared" si="59"/>
        <v>0.15339758383000002</v>
      </c>
      <c r="AO118">
        <v>32.4</v>
      </c>
      <c r="AP118">
        <v>0.5</v>
      </c>
      <c r="AQ118" t="s">
        <v>331</v>
      </c>
      <c r="AR118">
        <v>2</v>
      </c>
      <c r="AS118">
        <v>1690219185.0999999</v>
      </c>
      <c r="AT118">
        <v>581.05899999999997</v>
      </c>
      <c r="AU118">
        <v>799.98099999999999</v>
      </c>
      <c r="AV118">
        <v>19.502199999999998</v>
      </c>
      <c r="AW118">
        <v>5.7035200000000001</v>
      </c>
      <c r="AX118">
        <v>581.178</v>
      </c>
      <c r="AY118">
        <v>19.317399999999999</v>
      </c>
      <c r="AZ118">
        <v>300.149</v>
      </c>
      <c r="BA118">
        <v>99.072699999999998</v>
      </c>
      <c r="BB118">
        <v>9.9956799999999998E-2</v>
      </c>
      <c r="BC118">
        <v>25.862300000000001</v>
      </c>
      <c r="BD118">
        <v>26.9757</v>
      </c>
      <c r="BE118">
        <v>27.277699999999999</v>
      </c>
      <c r="BF118">
        <v>0</v>
      </c>
      <c r="BG118">
        <v>0</v>
      </c>
      <c r="BH118">
        <v>9998.1200000000008</v>
      </c>
      <c r="BI118">
        <v>1064.1199999999999</v>
      </c>
      <c r="BJ118">
        <v>1.5614399999999999</v>
      </c>
      <c r="BK118">
        <v>-218.922</v>
      </c>
      <c r="BL118">
        <v>592.61599999999999</v>
      </c>
      <c r="BM118">
        <v>804.57</v>
      </c>
      <c r="BN118">
        <v>13.7987</v>
      </c>
      <c r="BO118">
        <v>799.98099999999999</v>
      </c>
      <c r="BP118">
        <v>5.7035200000000001</v>
      </c>
      <c r="BQ118">
        <v>1.9321299999999999</v>
      </c>
      <c r="BR118">
        <v>0.56506299999999998</v>
      </c>
      <c r="BS118">
        <v>16.898900000000001</v>
      </c>
      <c r="BT118">
        <v>-1.1303700000000001</v>
      </c>
      <c r="BU118">
        <v>1800</v>
      </c>
      <c r="BV118">
        <v>0.90999799999999997</v>
      </c>
      <c r="BW118">
        <v>3.3996499999999999E-2</v>
      </c>
      <c r="BX118">
        <v>2.2002899999999999E-2</v>
      </c>
      <c r="BY118">
        <v>3.4002499999999998E-2</v>
      </c>
      <c r="BZ118">
        <v>25.666699999999999</v>
      </c>
      <c r="CA118">
        <v>33528.400000000001</v>
      </c>
      <c r="CB118">
        <v>1690217592</v>
      </c>
      <c r="CC118" t="s">
        <v>332</v>
      </c>
      <c r="CD118">
        <v>1690217586.5</v>
      </c>
      <c r="CE118">
        <v>1690217592</v>
      </c>
      <c r="CF118">
        <v>9</v>
      </c>
      <c r="CG118">
        <v>0.11600000000000001</v>
      </c>
      <c r="CH118">
        <v>-3.0000000000000001E-3</v>
      </c>
      <c r="CI118">
        <v>-0.27300000000000002</v>
      </c>
      <c r="CJ118">
        <v>-6.9000000000000006E-2</v>
      </c>
      <c r="CK118">
        <v>800</v>
      </c>
      <c r="CL118">
        <v>6</v>
      </c>
      <c r="CM118">
        <v>0.01</v>
      </c>
      <c r="CN118">
        <v>0.01</v>
      </c>
      <c r="CO118">
        <v>-215.8389</v>
      </c>
      <c r="CP118">
        <v>-17.378859287053999</v>
      </c>
      <c r="CQ118">
        <v>1.6719498018780361</v>
      </c>
      <c r="CR118">
        <v>-1</v>
      </c>
      <c r="CS118">
        <v>13.6617975</v>
      </c>
      <c r="CT118">
        <v>0.79155534709191022</v>
      </c>
      <c r="CU118">
        <v>7.6155638292578029E-2</v>
      </c>
      <c r="CV118">
        <v>-1</v>
      </c>
      <c r="CW118">
        <v>0</v>
      </c>
      <c r="CX118">
        <v>0</v>
      </c>
      <c r="CY118" t="s">
        <v>333</v>
      </c>
      <c r="CZ118">
        <v>2.36449</v>
      </c>
      <c r="DA118">
        <v>2.7137500000000001</v>
      </c>
      <c r="DB118">
        <v>0.117732</v>
      </c>
      <c r="DC118">
        <v>0.14607300000000001</v>
      </c>
      <c r="DD118">
        <v>9.81992E-2</v>
      </c>
      <c r="DE118">
        <v>3.7846299999999999E-2</v>
      </c>
      <c r="DF118">
        <v>32215.7</v>
      </c>
      <c r="DG118">
        <v>27519.8</v>
      </c>
      <c r="DH118">
        <v>31172.5</v>
      </c>
      <c r="DI118">
        <v>28081.7</v>
      </c>
      <c r="DJ118">
        <v>38169.199999999997</v>
      </c>
      <c r="DK118">
        <v>38422</v>
      </c>
      <c r="DL118">
        <v>44361.8</v>
      </c>
      <c r="DM118">
        <v>42560.3</v>
      </c>
      <c r="DN118">
        <v>1.4805999999999999</v>
      </c>
      <c r="DO118">
        <v>2.03498</v>
      </c>
      <c r="DP118">
        <v>0.13386799999999999</v>
      </c>
      <c r="DQ118">
        <v>0.162024</v>
      </c>
      <c r="DR118">
        <v>24.782399999999999</v>
      </c>
      <c r="DS118">
        <v>24.6234</v>
      </c>
      <c r="DT118">
        <v>16.8</v>
      </c>
      <c r="DU118">
        <v>29.8</v>
      </c>
      <c r="DV118">
        <v>7.1421700000000001</v>
      </c>
      <c r="DW118">
        <v>61.254100000000001</v>
      </c>
      <c r="DX118">
        <v>36.197899999999997</v>
      </c>
      <c r="DY118">
        <v>1</v>
      </c>
      <c r="DZ118">
        <v>-9.4880599999999995E-2</v>
      </c>
      <c r="EA118">
        <v>0.39177000000000001</v>
      </c>
      <c r="EB118">
        <v>20.189399999999999</v>
      </c>
      <c r="EC118">
        <v>5.2416999999999998</v>
      </c>
      <c r="ED118">
        <v>12.039899999999999</v>
      </c>
      <c r="EE118">
        <v>5.0167000000000002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1.86894</v>
      </c>
      <c r="EL118">
        <v>1.8646400000000001</v>
      </c>
      <c r="EM118">
        <v>1.8692</v>
      </c>
      <c r="EN118">
        <v>1.8672500000000001</v>
      </c>
      <c r="EO118">
        <v>1.8633999999999999</v>
      </c>
      <c r="EP118">
        <v>1.8646</v>
      </c>
      <c r="EQ118">
        <v>1.87019</v>
      </c>
      <c r="ER118">
        <v>1.8694500000000001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-0.11899999999999999</v>
      </c>
      <c r="FG118">
        <v>0.18479999999999999</v>
      </c>
      <c r="FH118">
        <v>0.27827353915413472</v>
      </c>
      <c r="FI118">
        <v>-6.1462078757559423E-4</v>
      </c>
      <c r="FJ118">
        <v>-1.8861989874597051E-7</v>
      </c>
      <c r="FK118">
        <v>1.1980462299894961E-10</v>
      </c>
      <c r="FL118">
        <v>-3.2538871274648329E-2</v>
      </c>
      <c r="FM118">
        <v>-1.6848085045870601E-2</v>
      </c>
      <c r="FN118">
        <v>1.9789084769509481E-3</v>
      </c>
      <c r="FO118">
        <v>-2.7142391389806329E-5</v>
      </c>
      <c r="FP118">
        <v>3</v>
      </c>
      <c r="FQ118">
        <v>2158</v>
      </c>
      <c r="FR118">
        <v>1</v>
      </c>
      <c r="FS118">
        <v>19</v>
      </c>
      <c r="FT118">
        <v>26.6</v>
      </c>
      <c r="FU118">
        <v>26.6</v>
      </c>
      <c r="FV118">
        <v>1.7773399999999999</v>
      </c>
      <c r="FW118">
        <v>2.5805699999999998</v>
      </c>
      <c r="FX118">
        <v>1.5490699999999999</v>
      </c>
      <c r="FY118">
        <v>2.3290999999999999</v>
      </c>
      <c r="FZ118">
        <v>1.50146</v>
      </c>
      <c r="GA118">
        <v>2.3962400000000001</v>
      </c>
      <c r="GB118">
        <v>33.850900000000003</v>
      </c>
      <c r="GC118">
        <v>23.982399999999998</v>
      </c>
      <c r="GD118">
        <v>19</v>
      </c>
      <c r="GE118">
        <v>284.72800000000001</v>
      </c>
      <c r="GF118">
        <v>581.97699999999998</v>
      </c>
      <c r="GG118">
        <v>23.701699999999999</v>
      </c>
      <c r="GH118">
        <v>26.1736</v>
      </c>
      <c r="GI118">
        <v>30.0002</v>
      </c>
      <c r="GJ118">
        <v>26.343800000000002</v>
      </c>
      <c r="GK118">
        <v>26.335699999999999</v>
      </c>
      <c r="GL118">
        <v>35.5428</v>
      </c>
      <c r="GM118">
        <v>-30</v>
      </c>
      <c r="GN118">
        <v>-30</v>
      </c>
      <c r="GO118">
        <v>23.7364</v>
      </c>
      <c r="GP118">
        <v>800</v>
      </c>
      <c r="GQ118">
        <v>12.5298</v>
      </c>
      <c r="GR118">
        <v>99.7393</v>
      </c>
      <c r="GS118">
        <v>99.564999999999998</v>
      </c>
    </row>
    <row r="119" spans="1:201" x14ac:dyDescent="0.25">
      <c r="A119">
        <v>103</v>
      </c>
      <c r="B119">
        <v>1690219195.0999999</v>
      </c>
      <c r="C119">
        <v>1174.599999904633</v>
      </c>
      <c r="D119" t="s">
        <v>535</v>
      </c>
      <c r="E119" t="s">
        <v>536</v>
      </c>
      <c r="F119" t="s">
        <v>330</v>
      </c>
      <c r="H119">
        <v>1690219195.0999999</v>
      </c>
      <c r="I119">
        <f t="shared" si="30"/>
        <v>1.3159288063270486E-3</v>
      </c>
      <c r="J119">
        <f t="shared" si="31"/>
        <v>1.3159288063270487</v>
      </c>
      <c r="K119">
        <f t="shared" si="32"/>
        <v>19.79230737073603</v>
      </c>
      <c r="L119">
        <f t="shared" si="33"/>
        <v>578.23900000000003</v>
      </c>
      <c r="M119">
        <f t="shared" si="34"/>
        <v>129.71778579892481</v>
      </c>
      <c r="N119">
        <f t="shared" si="35"/>
        <v>12.863470325486311</v>
      </c>
      <c r="O119">
        <f t="shared" si="36"/>
        <v>57.341097612233</v>
      </c>
      <c r="P119">
        <f t="shared" si="37"/>
        <v>7.3453050792075245E-2</v>
      </c>
      <c r="Q119">
        <f t="shared" si="38"/>
        <v>2.1250363551957046</v>
      </c>
      <c r="R119">
        <f t="shared" si="39"/>
        <v>7.2071156342220166E-2</v>
      </c>
      <c r="S119">
        <f t="shared" si="40"/>
        <v>4.516646502630739E-2</v>
      </c>
      <c r="T119">
        <f t="shared" si="41"/>
        <v>276.11573545799996</v>
      </c>
      <c r="U119">
        <f t="shared" si="42"/>
        <v>27.590789208896474</v>
      </c>
      <c r="V119">
        <f t="shared" si="43"/>
        <v>27.590789208896474</v>
      </c>
      <c r="W119">
        <f t="shared" si="44"/>
        <v>3.705248143512041</v>
      </c>
      <c r="X119">
        <f t="shared" si="45"/>
        <v>58.15520853812275</v>
      </c>
      <c r="Y119">
        <f t="shared" si="46"/>
        <v>1.9462132124220002</v>
      </c>
      <c r="Z119">
        <f t="shared" si="47"/>
        <v>3.3465845301649808</v>
      </c>
      <c r="AA119">
        <f t="shared" si="48"/>
        <v>1.7590349310900408</v>
      </c>
      <c r="AB119">
        <f t="shared" si="49"/>
        <v>-58.032460359022842</v>
      </c>
      <c r="AC119">
        <f t="shared" si="50"/>
        <v>-198.18468798932594</v>
      </c>
      <c r="AD119">
        <f t="shared" si="51"/>
        <v>-20.072022514022482</v>
      </c>
      <c r="AE119">
        <f t="shared" si="52"/>
        <v>-0.173435404371304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52336.388220233144</v>
      </c>
      <c r="AK119">
        <f t="shared" si="56"/>
        <v>1800</v>
      </c>
      <c r="AL119">
        <f t="shared" si="57"/>
        <v>1499.1138647999999</v>
      </c>
      <c r="AM119">
        <f t="shared" si="58"/>
        <v>0.83284103599999992</v>
      </c>
      <c r="AN119">
        <f t="shared" si="59"/>
        <v>0.15339763080999999</v>
      </c>
      <c r="AO119">
        <v>32.4</v>
      </c>
      <c r="AP119">
        <v>0.5</v>
      </c>
      <c r="AQ119" t="s">
        <v>331</v>
      </c>
      <c r="AR119">
        <v>2</v>
      </c>
      <c r="AS119">
        <v>1690219195.0999999</v>
      </c>
      <c r="AT119">
        <v>578.23900000000003</v>
      </c>
      <c r="AU119">
        <v>800.03200000000004</v>
      </c>
      <c r="AV119">
        <v>19.626000000000001</v>
      </c>
      <c r="AW119">
        <v>5.7043100000000004</v>
      </c>
      <c r="AX119">
        <v>578.35599999999999</v>
      </c>
      <c r="AY119">
        <v>19.4377</v>
      </c>
      <c r="AZ119">
        <v>300.24599999999998</v>
      </c>
      <c r="BA119">
        <v>99.064999999999998</v>
      </c>
      <c r="BB119">
        <v>0.100047</v>
      </c>
      <c r="BC119">
        <v>25.860900000000001</v>
      </c>
      <c r="BD119">
        <v>27.0197</v>
      </c>
      <c r="BE119">
        <v>27.2896</v>
      </c>
      <c r="BF119">
        <v>0</v>
      </c>
      <c r="BG119">
        <v>0</v>
      </c>
      <c r="BH119">
        <v>9951.25</v>
      </c>
      <c r="BI119">
        <v>1064.29</v>
      </c>
      <c r="BJ119">
        <v>1.58667</v>
      </c>
      <c r="BK119">
        <v>-221.79300000000001</v>
      </c>
      <c r="BL119">
        <v>589.81500000000005</v>
      </c>
      <c r="BM119">
        <v>804.62099999999998</v>
      </c>
      <c r="BN119">
        <v>13.9217</v>
      </c>
      <c r="BO119">
        <v>800.03200000000004</v>
      </c>
      <c r="BP119">
        <v>5.7043100000000004</v>
      </c>
      <c r="BQ119">
        <v>1.94425</v>
      </c>
      <c r="BR119">
        <v>0.56509699999999996</v>
      </c>
      <c r="BS119">
        <v>16.997499999999999</v>
      </c>
      <c r="BT119">
        <v>-1.12954</v>
      </c>
      <c r="BU119">
        <v>1800</v>
      </c>
      <c r="BV119">
        <v>0.91000099999999995</v>
      </c>
      <c r="BW119">
        <v>3.3995600000000001E-2</v>
      </c>
      <c r="BX119">
        <v>2.2002299999999999E-2</v>
      </c>
      <c r="BY119">
        <v>3.4001700000000003E-2</v>
      </c>
      <c r="BZ119">
        <v>25.666699999999999</v>
      </c>
      <c r="CA119">
        <v>33528.300000000003</v>
      </c>
      <c r="CB119">
        <v>1690217592</v>
      </c>
      <c r="CC119" t="s">
        <v>332</v>
      </c>
      <c r="CD119">
        <v>1690217586.5</v>
      </c>
      <c r="CE119">
        <v>1690217592</v>
      </c>
      <c r="CF119">
        <v>9</v>
      </c>
      <c r="CG119">
        <v>0.11600000000000001</v>
      </c>
      <c r="CH119">
        <v>-3.0000000000000001E-3</v>
      </c>
      <c r="CI119">
        <v>-0.27300000000000002</v>
      </c>
      <c r="CJ119">
        <v>-6.9000000000000006E-2</v>
      </c>
      <c r="CK119">
        <v>800</v>
      </c>
      <c r="CL119">
        <v>6</v>
      </c>
      <c r="CM119">
        <v>0.01</v>
      </c>
      <c r="CN119">
        <v>0.01</v>
      </c>
      <c r="CO119">
        <v>-218.49997560975609</v>
      </c>
      <c r="CP119">
        <v>-17.34211149825753</v>
      </c>
      <c r="CQ119">
        <v>1.7102276055600769</v>
      </c>
      <c r="CR119">
        <v>-1</v>
      </c>
      <c r="CS119">
        <v>13.780073170731709</v>
      </c>
      <c r="CT119">
        <v>0.74618048780488189</v>
      </c>
      <c r="CU119">
        <v>7.3588476776848016E-2</v>
      </c>
      <c r="CV119">
        <v>-1</v>
      </c>
      <c r="CW119">
        <v>0</v>
      </c>
      <c r="CX119">
        <v>0</v>
      </c>
      <c r="CY119" t="s">
        <v>333</v>
      </c>
      <c r="CZ119">
        <v>2.3648199999999999</v>
      </c>
      <c r="DA119">
        <v>2.7138</v>
      </c>
      <c r="DB119">
        <v>0.11731999999999999</v>
      </c>
      <c r="DC119">
        <v>0.146069</v>
      </c>
      <c r="DD119">
        <v>9.8630700000000002E-2</v>
      </c>
      <c r="DE119">
        <v>3.7848100000000003E-2</v>
      </c>
      <c r="DF119">
        <v>32230.1</v>
      </c>
      <c r="DG119">
        <v>27520</v>
      </c>
      <c r="DH119">
        <v>31171.9</v>
      </c>
      <c r="DI119">
        <v>28081.7</v>
      </c>
      <c r="DJ119">
        <v>38150</v>
      </c>
      <c r="DK119">
        <v>38422</v>
      </c>
      <c r="DL119">
        <v>44361</v>
      </c>
      <c r="DM119">
        <v>42560.4</v>
      </c>
      <c r="DN119">
        <v>1.48115</v>
      </c>
      <c r="DO119">
        <v>2.0348999999999999</v>
      </c>
      <c r="DP119">
        <v>0.136435</v>
      </c>
      <c r="DQ119">
        <v>0.16257199999999999</v>
      </c>
      <c r="DR119">
        <v>24.784500000000001</v>
      </c>
      <c r="DS119">
        <v>24.6264</v>
      </c>
      <c r="DT119">
        <v>16.8</v>
      </c>
      <c r="DU119">
        <v>29.8</v>
      </c>
      <c r="DV119">
        <v>7.1427399999999999</v>
      </c>
      <c r="DW119">
        <v>62.144100000000002</v>
      </c>
      <c r="DX119">
        <v>36.0777</v>
      </c>
      <c r="DY119">
        <v>1</v>
      </c>
      <c r="DZ119">
        <v>-9.5144800000000002E-2</v>
      </c>
      <c r="EA119">
        <v>0.258521</v>
      </c>
      <c r="EB119">
        <v>20.189399999999999</v>
      </c>
      <c r="EC119">
        <v>5.2416999999999998</v>
      </c>
      <c r="ED119">
        <v>12.039899999999999</v>
      </c>
      <c r="EE119">
        <v>5.0170500000000002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1.86896</v>
      </c>
      <c r="EL119">
        <v>1.8646499999999999</v>
      </c>
      <c r="EM119">
        <v>1.8691899999999999</v>
      </c>
      <c r="EN119">
        <v>1.8672500000000001</v>
      </c>
      <c r="EO119">
        <v>1.8634200000000001</v>
      </c>
      <c r="EP119">
        <v>1.8646</v>
      </c>
      <c r="EQ119">
        <v>1.8702099999999999</v>
      </c>
      <c r="ER119">
        <v>1.86944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-0.11700000000000001</v>
      </c>
      <c r="FG119">
        <v>0.1883</v>
      </c>
      <c r="FH119">
        <v>0.27827353915413472</v>
      </c>
      <c r="FI119">
        <v>-6.1462078757559423E-4</v>
      </c>
      <c r="FJ119">
        <v>-1.8861989874597051E-7</v>
      </c>
      <c r="FK119">
        <v>1.1980462299894961E-10</v>
      </c>
      <c r="FL119">
        <v>-3.2538871274648329E-2</v>
      </c>
      <c r="FM119">
        <v>-1.6848085045870601E-2</v>
      </c>
      <c r="FN119">
        <v>1.9789084769509481E-3</v>
      </c>
      <c r="FO119">
        <v>-2.7142391389806329E-5</v>
      </c>
      <c r="FP119">
        <v>3</v>
      </c>
      <c r="FQ119">
        <v>2158</v>
      </c>
      <c r="FR119">
        <v>1</v>
      </c>
      <c r="FS119">
        <v>19</v>
      </c>
      <c r="FT119">
        <v>26.8</v>
      </c>
      <c r="FU119">
        <v>26.7</v>
      </c>
      <c r="FV119">
        <v>1.7773399999999999</v>
      </c>
      <c r="FW119">
        <v>2.5781200000000002</v>
      </c>
      <c r="FX119">
        <v>1.5490699999999999</v>
      </c>
      <c r="FY119">
        <v>2.3290999999999999</v>
      </c>
      <c r="FZ119">
        <v>1.50146</v>
      </c>
      <c r="GA119">
        <v>2.3938000000000001</v>
      </c>
      <c r="GB119">
        <v>33.850900000000003</v>
      </c>
      <c r="GC119">
        <v>23.991199999999999</v>
      </c>
      <c r="GD119">
        <v>19</v>
      </c>
      <c r="GE119">
        <v>284.95</v>
      </c>
      <c r="GF119">
        <v>581.87800000000004</v>
      </c>
      <c r="GG119">
        <v>23.7392</v>
      </c>
      <c r="GH119">
        <v>26.171399999999998</v>
      </c>
      <c r="GI119">
        <v>29.9999</v>
      </c>
      <c r="GJ119">
        <v>26.340800000000002</v>
      </c>
      <c r="GK119">
        <v>26.3324</v>
      </c>
      <c r="GL119">
        <v>35.539900000000003</v>
      </c>
      <c r="GM119">
        <v>-30</v>
      </c>
      <c r="GN119">
        <v>-30</v>
      </c>
      <c r="GO119">
        <v>23.750900000000001</v>
      </c>
      <c r="GP119">
        <v>800</v>
      </c>
      <c r="GQ119">
        <v>12.5298</v>
      </c>
      <c r="GR119">
        <v>99.737399999999994</v>
      </c>
      <c r="GS119">
        <v>99.565200000000004</v>
      </c>
    </row>
    <row r="120" spans="1:201" x14ac:dyDescent="0.25">
      <c r="A120">
        <v>104</v>
      </c>
      <c r="B120">
        <v>1690219205.0999999</v>
      </c>
      <c r="C120">
        <v>1184.599999904633</v>
      </c>
      <c r="D120" t="s">
        <v>537</v>
      </c>
      <c r="E120" t="s">
        <v>538</v>
      </c>
      <c r="F120" t="s">
        <v>330</v>
      </c>
      <c r="H120">
        <v>1690219205.0999999</v>
      </c>
      <c r="I120">
        <f t="shared" si="30"/>
        <v>1.3289925051542771E-3</v>
      </c>
      <c r="J120">
        <f t="shared" si="31"/>
        <v>1.328992505154277</v>
      </c>
      <c r="K120">
        <f t="shared" si="32"/>
        <v>20.060166675431198</v>
      </c>
      <c r="L120">
        <f t="shared" si="33"/>
        <v>575.21</v>
      </c>
      <c r="M120">
        <f t="shared" si="34"/>
        <v>129.20860254770437</v>
      </c>
      <c r="N120">
        <f t="shared" si="35"/>
        <v>12.813134714338229</v>
      </c>
      <c r="O120">
        <f t="shared" si="36"/>
        <v>57.041428153464999</v>
      </c>
      <c r="P120">
        <f t="shared" si="37"/>
        <v>7.4871048506899643E-2</v>
      </c>
      <c r="Q120">
        <f t="shared" si="38"/>
        <v>2.1342386118950354</v>
      </c>
      <c r="R120">
        <f t="shared" si="39"/>
        <v>7.3441907316816532E-2</v>
      </c>
      <c r="S120">
        <f t="shared" si="40"/>
        <v>4.6027322592112452E-2</v>
      </c>
      <c r="T120">
        <f t="shared" si="41"/>
        <v>276.11557047000008</v>
      </c>
      <c r="U120">
        <f t="shared" si="42"/>
        <v>27.581551774369199</v>
      </c>
      <c r="V120">
        <f t="shared" si="43"/>
        <v>27.581551774369199</v>
      </c>
      <c r="W120">
        <f t="shared" si="44"/>
        <v>3.7032472141068524</v>
      </c>
      <c r="X120">
        <f t="shared" si="45"/>
        <v>58.559635852437289</v>
      </c>
      <c r="Y120">
        <f t="shared" si="46"/>
        <v>1.95999150749255</v>
      </c>
      <c r="Z120">
        <f t="shared" si="47"/>
        <v>3.347000846165566</v>
      </c>
      <c r="AA120">
        <f t="shared" si="48"/>
        <v>1.7432557066143024</v>
      </c>
      <c r="AB120">
        <f t="shared" si="49"/>
        <v>-58.608569477303618</v>
      </c>
      <c r="AC120">
        <f t="shared" si="50"/>
        <v>-197.73840952287227</v>
      </c>
      <c r="AD120">
        <f t="shared" si="51"/>
        <v>-19.939759060621427</v>
      </c>
      <c r="AE120">
        <f t="shared" si="52"/>
        <v>-0.1711675907972392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52733.980281523669</v>
      </c>
      <c r="AK120">
        <f t="shared" si="56"/>
        <v>1800</v>
      </c>
      <c r="AL120">
        <f t="shared" si="57"/>
        <v>1499.1134669999999</v>
      </c>
      <c r="AM120">
        <f t="shared" si="58"/>
        <v>0.83284081499999996</v>
      </c>
      <c r="AN120">
        <f t="shared" si="59"/>
        <v>0.15339753915000004</v>
      </c>
      <c r="AO120">
        <v>32.4</v>
      </c>
      <c r="AP120">
        <v>0.5</v>
      </c>
      <c r="AQ120" t="s">
        <v>331</v>
      </c>
      <c r="AR120">
        <v>2</v>
      </c>
      <c r="AS120">
        <v>1690219205.0999999</v>
      </c>
      <c r="AT120">
        <v>575.21</v>
      </c>
      <c r="AU120">
        <v>799.97799999999995</v>
      </c>
      <c r="AV120">
        <v>19.764700000000001</v>
      </c>
      <c r="AW120">
        <v>5.7038900000000003</v>
      </c>
      <c r="AX120">
        <v>575.32500000000005</v>
      </c>
      <c r="AY120">
        <v>19.572399999999998</v>
      </c>
      <c r="AZ120">
        <v>300.18400000000003</v>
      </c>
      <c r="BA120">
        <v>99.066299999999998</v>
      </c>
      <c r="BB120">
        <v>9.99665E-2</v>
      </c>
      <c r="BC120">
        <v>25.863</v>
      </c>
      <c r="BD120">
        <v>27.003699999999998</v>
      </c>
      <c r="BE120">
        <v>27.274899999999999</v>
      </c>
      <c r="BF120">
        <v>0</v>
      </c>
      <c r="BG120">
        <v>0</v>
      </c>
      <c r="BH120">
        <v>10030</v>
      </c>
      <c r="BI120">
        <v>1064.33</v>
      </c>
      <c r="BJ120">
        <v>1.56985</v>
      </c>
      <c r="BK120">
        <v>-224.768</v>
      </c>
      <c r="BL120">
        <v>586.80799999999999</v>
      </c>
      <c r="BM120">
        <v>804.56700000000001</v>
      </c>
      <c r="BN120">
        <v>14.0608</v>
      </c>
      <c r="BO120">
        <v>799.97799999999995</v>
      </c>
      <c r="BP120">
        <v>5.7038900000000003</v>
      </c>
      <c r="BQ120">
        <v>1.95801</v>
      </c>
      <c r="BR120">
        <v>0.56506299999999998</v>
      </c>
      <c r="BS120">
        <v>17.108799999999999</v>
      </c>
      <c r="BT120">
        <v>-1.1303700000000001</v>
      </c>
      <c r="BU120">
        <v>1800</v>
      </c>
      <c r="BV120">
        <v>0.91000199999999998</v>
      </c>
      <c r="BW120">
        <v>3.39951E-2</v>
      </c>
      <c r="BX120">
        <v>2.2002000000000001E-2</v>
      </c>
      <c r="BY120">
        <v>3.4001099999999999E-2</v>
      </c>
      <c r="BZ120">
        <v>25.666699999999999</v>
      </c>
      <c r="CA120">
        <v>33528.400000000001</v>
      </c>
      <c r="CB120">
        <v>1690217592</v>
      </c>
      <c r="CC120" t="s">
        <v>332</v>
      </c>
      <c r="CD120">
        <v>1690217586.5</v>
      </c>
      <c r="CE120">
        <v>1690217592</v>
      </c>
      <c r="CF120">
        <v>9</v>
      </c>
      <c r="CG120">
        <v>0.11600000000000001</v>
      </c>
      <c r="CH120">
        <v>-3.0000000000000001E-3</v>
      </c>
      <c r="CI120">
        <v>-0.27300000000000002</v>
      </c>
      <c r="CJ120">
        <v>-6.9000000000000006E-2</v>
      </c>
      <c r="CK120">
        <v>800</v>
      </c>
      <c r="CL120">
        <v>6</v>
      </c>
      <c r="CM120">
        <v>0.01</v>
      </c>
      <c r="CN120">
        <v>0.01</v>
      </c>
      <c r="CO120">
        <v>-221.60387499999999</v>
      </c>
      <c r="CP120">
        <v>-17.457894934332991</v>
      </c>
      <c r="CQ120">
        <v>1.679573505201543</v>
      </c>
      <c r="CR120">
        <v>-1</v>
      </c>
      <c r="CS120">
        <v>13.916370000000001</v>
      </c>
      <c r="CT120">
        <v>0.78450281425893487</v>
      </c>
      <c r="CU120">
        <v>7.5493344739784835E-2</v>
      </c>
      <c r="CV120">
        <v>-1</v>
      </c>
      <c r="CW120">
        <v>0</v>
      </c>
      <c r="CX120">
        <v>0</v>
      </c>
      <c r="CY120" t="s">
        <v>333</v>
      </c>
      <c r="CZ120">
        <v>2.36463</v>
      </c>
      <c r="DA120">
        <v>2.7137799999999999</v>
      </c>
      <c r="DB120">
        <v>0.11688800000000001</v>
      </c>
      <c r="DC120">
        <v>0.146065</v>
      </c>
      <c r="DD120">
        <v>9.9122100000000005E-2</v>
      </c>
      <c r="DE120">
        <v>3.7846499999999998E-2</v>
      </c>
      <c r="DF120">
        <v>32245.599999999999</v>
      </c>
      <c r="DG120">
        <v>27520.3</v>
      </c>
      <c r="DH120">
        <v>31171.599999999999</v>
      </c>
      <c r="DI120">
        <v>28081.9</v>
      </c>
      <c r="DJ120">
        <v>38128.800000000003</v>
      </c>
      <c r="DK120">
        <v>38422.199999999997</v>
      </c>
      <c r="DL120">
        <v>44360.800000000003</v>
      </c>
      <c r="DM120">
        <v>42560.5</v>
      </c>
      <c r="DN120">
        <v>1.4805699999999999</v>
      </c>
      <c r="DO120">
        <v>2.0346299999999999</v>
      </c>
      <c r="DP120">
        <v>0.13545499999999999</v>
      </c>
      <c r="DQ120">
        <v>0.16154299999999999</v>
      </c>
      <c r="DR120">
        <v>24.784500000000001</v>
      </c>
      <c r="DS120">
        <v>24.628499999999999</v>
      </c>
      <c r="DT120">
        <v>16.8</v>
      </c>
      <c r="DU120">
        <v>29.7</v>
      </c>
      <c r="DV120">
        <v>7.1010600000000004</v>
      </c>
      <c r="DW120">
        <v>61.564100000000003</v>
      </c>
      <c r="DX120">
        <v>36.157899999999998</v>
      </c>
      <c r="DY120">
        <v>1</v>
      </c>
      <c r="DZ120">
        <v>-9.5083799999999996E-2</v>
      </c>
      <c r="EA120">
        <v>0.37342599999999998</v>
      </c>
      <c r="EB120">
        <v>20.189599999999999</v>
      </c>
      <c r="EC120">
        <v>5.24125</v>
      </c>
      <c r="ED120">
        <v>12.039899999999999</v>
      </c>
      <c r="EE120">
        <v>5.0170000000000003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1.8689100000000001</v>
      </c>
      <c r="EL120">
        <v>1.8646499999999999</v>
      </c>
      <c r="EM120">
        <v>1.8692</v>
      </c>
      <c r="EN120">
        <v>1.8672500000000001</v>
      </c>
      <c r="EO120">
        <v>1.8633999999999999</v>
      </c>
      <c r="EP120">
        <v>1.86456</v>
      </c>
      <c r="EQ120">
        <v>1.87018</v>
      </c>
      <c r="ER120">
        <v>1.8694299999999999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-0.115</v>
      </c>
      <c r="FG120">
        <v>0.1923</v>
      </c>
      <c r="FH120">
        <v>0.27827353915413472</v>
      </c>
      <c r="FI120">
        <v>-6.1462078757559423E-4</v>
      </c>
      <c r="FJ120">
        <v>-1.8861989874597051E-7</v>
      </c>
      <c r="FK120">
        <v>1.1980462299894961E-10</v>
      </c>
      <c r="FL120">
        <v>-3.2538871274648329E-2</v>
      </c>
      <c r="FM120">
        <v>-1.6848085045870601E-2</v>
      </c>
      <c r="FN120">
        <v>1.9789084769509481E-3</v>
      </c>
      <c r="FO120">
        <v>-2.7142391389806329E-5</v>
      </c>
      <c r="FP120">
        <v>3</v>
      </c>
      <c r="FQ120">
        <v>2158</v>
      </c>
      <c r="FR120">
        <v>1</v>
      </c>
      <c r="FS120">
        <v>19</v>
      </c>
      <c r="FT120">
        <v>27</v>
      </c>
      <c r="FU120">
        <v>26.9</v>
      </c>
      <c r="FV120">
        <v>1.7773399999999999</v>
      </c>
      <c r="FW120">
        <v>2.5830099999999998</v>
      </c>
      <c r="FX120">
        <v>1.5490699999999999</v>
      </c>
      <c r="FY120">
        <v>2.3290999999999999</v>
      </c>
      <c r="FZ120">
        <v>1.50146</v>
      </c>
      <c r="GA120">
        <v>2.3913600000000002</v>
      </c>
      <c r="GB120">
        <v>33.850900000000003</v>
      </c>
      <c r="GC120">
        <v>23.982399999999998</v>
      </c>
      <c r="GD120">
        <v>19</v>
      </c>
      <c r="GE120">
        <v>284.69099999999997</v>
      </c>
      <c r="GF120">
        <v>581.62599999999998</v>
      </c>
      <c r="GG120">
        <v>23.743200000000002</v>
      </c>
      <c r="GH120">
        <v>26.168399999999998</v>
      </c>
      <c r="GI120">
        <v>30.000299999999999</v>
      </c>
      <c r="GJ120">
        <v>26.337499999999999</v>
      </c>
      <c r="GK120">
        <v>26.330200000000001</v>
      </c>
      <c r="GL120">
        <v>35.5398</v>
      </c>
      <c r="GM120">
        <v>-30</v>
      </c>
      <c r="GN120">
        <v>-30</v>
      </c>
      <c r="GO120">
        <v>23.721299999999999</v>
      </c>
      <c r="GP120">
        <v>800</v>
      </c>
      <c r="GQ120">
        <v>12.5298</v>
      </c>
      <c r="GR120">
        <v>99.736699999999999</v>
      </c>
      <c r="GS120">
        <v>99.565600000000003</v>
      </c>
    </row>
    <row r="121" spans="1:201" x14ac:dyDescent="0.25">
      <c r="A121">
        <v>105</v>
      </c>
      <c r="B121">
        <v>1690219215.0999999</v>
      </c>
      <c r="C121">
        <v>1194.599999904633</v>
      </c>
      <c r="D121" t="s">
        <v>539</v>
      </c>
      <c r="E121" t="s">
        <v>540</v>
      </c>
      <c r="F121" t="s">
        <v>330</v>
      </c>
      <c r="H121">
        <v>1690219215.0999999</v>
      </c>
      <c r="I121">
        <f t="shared" si="30"/>
        <v>1.340270655348412E-3</v>
      </c>
      <c r="J121">
        <f t="shared" si="31"/>
        <v>1.3402706553484121</v>
      </c>
      <c r="K121">
        <f t="shared" si="32"/>
        <v>20.314315186921316</v>
      </c>
      <c r="L121">
        <f t="shared" si="33"/>
        <v>572.38</v>
      </c>
      <c r="M121">
        <f t="shared" si="34"/>
        <v>127.58419753558454</v>
      </c>
      <c r="N121">
        <f t="shared" si="35"/>
        <v>12.652219764753932</v>
      </c>
      <c r="O121">
        <f t="shared" si="36"/>
        <v>56.761555810468003</v>
      </c>
      <c r="P121">
        <f t="shared" si="37"/>
        <v>7.6027322720945659E-2</v>
      </c>
      <c r="Q121">
        <f t="shared" si="38"/>
        <v>2.1324404633112533</v>
      </c>
      <c r="R121">
        <f t="shared" si="39"/>
        <v>7.4552950464023521E-2</v>
      </c>
      <c r="S121">
        <f t="shared" si="40"/>
        <v>4.6725679083852743E-2</v>
      </c>
      <c r="T121">
        <f t="shared" si="41"/>
        <v>276.11551839600003</v>
      </c>
      <c r="U121">
        <f t="shared" si="42"/>
        <v>27.583329032101727</v>
      </c>
      <c r="V121">
        <f t="shared" si="43"/>
        <v>27.583329032101727</v>
      </c>
      <c r="W121">
        <f t="shared" si="44"/>
        <v>3.7036321143064161</v>
      </c>
      <c r="X121">
        <f t="shared" si="45"/>
        <v>58.899139887982678</v>
      </c>
      <c r="Y121">
        <f t="shared" si="46"/>
        <v>1.9718685629241202</v>
      </c>
      <c r="Z121">
        <f t="shared" si="47"/>
        <v>3.34787327399741</v>
      </c>
      <c r="AA121">
        <f t="shared" si="48"/>
        <v>1.731763551382296</v>
      </c>
      <c r="AB121">
        <f t="shared" si="49"/>
        <v>-59.105935900864971</v>
      </c>
      <c r="AC121">
        <f t="shared" si="50"/>
        <v>-197.27028876008904</v>
      </c>
      <c r="AD121">
        <f t="shared" si="51"/>
        <v>-19.909943292402456</v>
      </c>
      <c r="AE121">
        <f t="shared" si="52"/>
        <v>-0.17064955735642684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52655.323816337201</v>
      </c>
      <c r="AK121">
        <f t="shared" si="56"/>
        <v>1800</v>
      </c>
      <c r="AL121">
        <f t="shared" si="57"/>
        <v>1499.1145865999999</v>
      </c>
      <c r="AM121">
        <f t="shared" si="58"/>
        <v>0.83284143699999991</v>
      </c>
      <c r="AN121">
        <f t="shared" si="59"/>
        <v>0.15339751022000001</v>
      </c>
      <c r="AO121">
        <v>32.4</v>
      </c>
      <c r="AP121">
        <v>0.5</v>
      </c>
      <c r="AQ121" t="s">
        <v>331</v>
      </c>
      <c r="AR121">
        <v>2</v>
      </c>
      <c r="AS121">
        <v>1690219215.0999999</v>
      </c>
      <c r="AT121">
        <v>572.38</v>
      </c>
      <c r="AU121">
        <v>799.971</v>
      </c>
      <c r="AV121">
        <v>19.8842</v>
      </c>
      <c r="AW121">
        <v>5.7026300000000001</v>
      </c>
      <c r="AX121">
        <v>572.49300000000005</v>
      </c>
      <c r="AY121">
        <v>19.688500000000001</v>
      </c>
      <c r="AZ121">
        <v>300.11700000000002</v>
      </c>
      <c r="BA121">
        <v>99.067700000000002</v>
      </c>
      <c r="BB121">
        <v>9.99086E-2</v>
      </c>
      <c r="BC121">
        <v>25.8674</v>
      </c>
      <c r="BD121">
        <v>26.9511</v>
      </c>
      <c r="BE121">
        <v>27.270900000000001</v>
      </c>
      <c r="BF121">
        <v>0</v>
      </c>
      <c r="BG121">
        <v>0</v>
      </c>
      <c r="BH121">
        <v>10014.4</v>
      </c>
      <c r="BI121">
        <v>1064.31</v>
      </c>
      <c r="BJ121">
        <v>1.5516300000000001</v>
      </c>
      <c r="BK121">
        <v>-227.59100000000001</v>
      </c>
      <c r="BL121">
        <v>583.99199999999996</v>
      </c>
      <c r="BM121">
        <v>804.55899999999997</v>
      </c>
      <c r="BN121">
        <v>14.1816</v>
      </c>
      <c r="BO121">
        <v>799.971</v>
      </c>
      <c r="BP121">
        <v>5.7026300000000001</v>
      </c>
      <c r="BQ121">
        <v>1.9698800000000001</v>
      </c>
      <c r="BR121">
        <v>0.56494599999999995</v>
      </c>
      <c r="BS121">
        <v>17.2043</v>
      </c>
      <c r="BT121">
        <v>-1.1331899999999999</v>
      </c>
      <c r="BU121">
        <v>1800</v>
      </c>
      <c r="BV121">
        <v>0.91000599999999998</v>
      </c>
      <c r="BW121">
        <v>3.3993700000000002E-2</v>
      </c>
      <c r="BX121">
        <v>2.2001099999999999E-2</v>
      </c>
      <c r="BY121">
        <v>3.3999799999999997E-2</v>
      </c>
      <c r="BZ121">
        <v>25.666699999999999</v>
      </c>
      <c r="CA121">
        <v>33528.5</v>
      </c>
      <c r="CB121">
        <v>1690217592</v>
      </c>
      <c r="CC121" t="s">
        <v>332</v>
      </c>
      <c r="CD121">
        <v>1690217586.5</v>
      </c>
      <c r="CE121">
        <v>1690217592</v>
      </c>
      <c r="CF121">
        <v>9</v>
      </c>
      <c r="CG121">
        <v>0.11600000000000001</v>
      </c>
      <c r="CH121">
        <v>-3.0000000000000001E-3</v>
      </c>
      <c r="CI121">
        <v>-0.27300000000000002</v>
      </c>
      <c r="CJ121">
        <v>-6.9000000000000006E-2</v>
      </c>
      <c r="CK121">
        <v>800</v>
      </c>
      <c r="CL121">
        <v>6</v>
      </c>
      <c r="CM121">
        <v>0.01</v>
      </c>
      <c r="CN121">
        <v>0.01</v>
      </c>
      <c r="CO121">
        <v>-224.511875</v>
      </c>
      <c r="CP121">
        <v>-17.388709193244981</v>
      </c>
      <c r="CQ121">
        <v>1.673026063567155</v>
      </c>
      <c r="CR121">
        <v>-1</v>
      </c>
      <c r="CS121">
        <v>14.0473</v>
      </c>
      <c r="CT121">
        <v>0.78257110694182463</v>
      </c>
      <c r="CU121">
        <v>7.5336335854619227E-2</v>
      </c>
      <c r="CV121">
        <v>-1</v>
      </c>
      <c r="CW121">
        <v>0</v>
      </c>
      <c r="CX121">
        <v>0</v>
      </c>
      <c r="CY121" t="s">
        <v>333</v>
      </c>
      <c r="CZ121">
        <v>2.3643999999999998</v>
      </c>
      <c r="DA121">
        <v>2.7137099999999998</v>
      </c>
      <c r="DB121">
        <v>0.116482</v>
      </c>
      <c r="DC121">
        <v>0.146067</v>
      </c>
      <c r="DD121">
        <v>9.9544900000000006E-2</v>
      </c>
      <c r="DE121">
        <v>3.7840600000000002E-2</v>
      </c>
      <c r="DF121">
        <v>32260.799999999999</v>
      </c>
      <c r="DG121">
        <v>27520.1</v>
      </c>
      <c r="DH121">
        <v>31171.9</v>
      </c>
      <c r="DI121">
        <v>28081.8</v>
      </c>
      <c r="DJ121">
        <v>38111</v>
      </c>
      <c r="DK121">
        <v>38422.300000000003</v>
      </c>
      <c r="DL121">
        <v>44361.2</v>
      </c>
      <c r="DM121">
        <v>42560.4</v>
      </c>
      <c r="DN121">
        <v>1.4807999999999999</v>
      </c>
      <c r="DO121">
        <v>2.03498</v>
      </c>
      <c r="DP121">
        <v>0.13211000000000001</v>
      </c>
      <c r="DQ121">
        <v>0.16119700000000001</v>
      </c>
      <c r="DR121">
        <v>24.7866</v>
      </c>
      <c r="DS121">
        <v>24.630099999999999</v>
      </c>
      <c r="DT121">
        <v>16.8</v>
      </c>
      <c r="DU121">
        <v>29.8</v>
      </c>
      <c r="DV121">
        <v>7.1421799999999998</v>
      </c>
      <c r="DW121">
        <v>61.314100000000003</v>
      </c>
      <c r="DX121">
        <v>36.470399999999998</v>
      </c>
      <c r="DY121">
        <v>1</v>
      </c>
      <c r="DZ121">
        <v>-9.5604700000000001E-2</v>
      </c>
      <c r="EA121">
        <v>0.33102700000000002</v>
      </c>
      <c r="EB121">
        <v>20.189699999999998</v>
      </c>
      <c r="EC121">
        <v>5.2413999999999996</v>
      </c>
      <c r="ED121">
        <v>12.039899999999999</v>
      </c>
      <c r="EE121">
        <v>5.0166500000000003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1.8689199999999999</v>
      </c>
      <c r="EL121">
        <v>1.8646799999999999</v>
      </c>
      <c r="EM121">
        <v>1.8691899999999999</v>
      </c>
      <c r="EN121">
        <v>1.8672599999999999</v>
      </c>
      <c r="EO121">
        <v>1.86341</v>
      </c>
      <c r="EP121">
        <v>1.8646</v>
      </c>
      <c r="EQ121">
        <v>1.8702000000000001</v>
      </c>
      <c r="ER121">
        <v>1.8694200000000001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-0.113</v>
      </c>
      <c r="FG121">
        <v>0.19570000000000001</v>
      </c>
      <c r="FH121">
        <v>0.27827353915413472</v>
      </c>
      <c r="FI121">
        <v>-6.1462078757559423E-4</v>
      </c>
      <c r="FJ121">
        <v>-1.8861989874597051E-7</v>
      </c>
      <c r="FK121">
        <v>1.1980462299894961E-10</v>
      </c>
      <c r="FL121">
        <v>-3.2538871274648329E-2</v>
      </c>
      <c r="FM121">
        <v>-1.6848085045870601E-2</v>
      </c>
      <c r="FN121">
        <v>1.9789084769509481E-3</v>
      </c>
      <c r="FO121">
        <v>-2.7142391389806329E-5</v>
      </c>
      <c r="FP121">
        <v>3</v>
      </c>
      <c r="FQ121">
        <v>2158</v>
      </c>
      <c r="FR121">
        <v>1</v>
      </c>
      <c r="FS121">
        <v>19</v>
      </c>
      <c r="FT121">
        <v>27.1</v>
      </c>
      <c r="FU121">
        <v>27.1</v>
      </c>
      <c r="FV121">
        <v>1.7773399999999999</v>
      </c>
      <c r="FW121">
        <v>2.5842299999999998</v>
      </c>
      <c r="FX121">
        <v>1.5490699999999999</v>
      </c>
      <c r="FY121">
        <v>2.3290999999999999</v>
      </c>
      <c r="FZ121">
        <v>1.50146</v>
      </c>
      <c r="GA121">
        <v>2.3828100000000001</v>
      </c>
      <c r="GB121">
        <v>33.850900000000003</v>
      </c>
      <c r="GC121">
        <v>23.982399999999998</v>
      </c>
      <c r="GD121">
        <v>19</v>
      </c>
      <c r="GE121">
        <v>284.774</v>
      </c>
      <c r="GF121">
        <v>581.87099999999998</v>
      </c>
      <c r="GG121">
        <v>23.724900000000002</v>
      </c>
      <c r="GH121">
        <v>26.165700000000001</v>
      </c>
      <c r="GI121">
        <v>30</v>
      </c>
      <c r="GJ121">
        <v>26.334900000000001</v>
      </c>
      <c r="GK121">
        <v>26.3264</v>
      </c>
      <c r="GL121">
        <v>35.540700000000001</v>
      </c>
      <c r="GM121">
        <v>-30</v>
      </c>
      <c r="GN121">
        <v>-30</v>
      </c>
      <c r="GO121">
        <v>23.7624</v>
      </c>
      <c r="GP121">
        <v>800</v>
      </c>
      <c r="GQ121">
        <v>12.5298</v>
      </c>
      <c r="GR121">
        <v>99.7376</v>
      </c>
      <c r="GS121">
        <v>99.565299999999993</v>
      </c>
    </row>
    <row r="122" spans="1:201" x14ac:dyDescent="0.25">
      <c r="A122">
        <v>106</v>
      </c>
      <c r="B122">
        <v>1690219225.0999999</v>
      </c>
      <c r="C122">
        <v>1204.599999904633</v>
      </c>
      <c r="D122" t="s">
        <v>541</v>
      </c>
      <c r="E122" t="s">
        <v>542</v>
      </c>
      <c r="F122" t="s">
        <v>330</v>
      </c>
      <c r="H122">
        <v>1690219225.0999999</v>
      </c>
      <c r="I122">
        <f t="shared" si="30"/>
        <v>1.3526370763856019E-3</v>
      </c>
      <c r="J122">
        <f t="shared" si="31"/>
        <v>1.3526370763856019</v>
      </c>
      <c r="K122">
        <f t="shared" si="32"/>
        <v>20.581319916384651</v>
      </c>
      <c r="L122">
        <f t="shared" si="33"/>
        <v>569.47299999999996</v>
      </c>
      <c r="M122">
        <f t="shared" si="34"/>
        <v>126.2842968664434</v>
      </c>
      <c r="N122">
        <f t="shared" si="35"/>
        <v>12.522683939481084</v>
      </c>
      <c r="O122">
        <f t="shared" si="36"/>
        <v>56.470444608090197</v>
      </c>
      <c r="P122">
        <f t="shared" si="37"/>
        <v>7.731191352939526E-2</v>
      </c>
      <c r="Q122">
        <f t="shared" si="38"/>
        <v>2.1300490518939457</v>
      </c>
      <c r="R122">
        <f t="shared" si="39"/>
        <v>7.5786160604029276E-2</v>
      </c>
      <c r="S122">
        <f t="shared" si="40"/>
        <v>4.7500925284176918E-2</v>
      </c>
      <c r="T122">
        <f t="shared" si="41"/>
        <v>276.11534316600006</v>
      </c>
      <c r="U122">
        <f t="shared" si="42"/>
        <v>27.584456275013974</v>
      </c>
      <c r="V122">
        <f t="shared" si="43"/>
        <v>27.584456275013974</v>
      </c>
      <c r="W122">
        <f t="shared" si="44"/>
        <v>3.7038762590745664</v>
      </c>
      <c r="X122">
        <f t="shared" si="45"/>
        <v>59.271805169038153</v>
      </c>
      <c r="Y122">
        <f t="shared" si="46"/>
        <v>1.9847798526159601</v>
      </c>
      <c r="Z122">
        <f t="shared" si="47"/>
        <v>3.3486070602296265</v>
      </c>
      <c r="AA122">
        <f t="shared" si="48"/>
        <v>1.7190964064586063</v>
      </c>
      <c r="AB122">
        <f t="shared" si="49"/>
        <v>-59.651295068605044</v>
      </c>
      <c r="AC122">
        <f t="shared" si="50"/>
        <v>-196.75361819809808</v>
      </c>
      <c r="AD122">
        <f t="shared" si="51"/>
        <v>-19.880571346783306</v>
      </c>
      <c r="AE122">
        <f t="shared" si="52"/>
        <v>-0.1701414474863725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52551.065819071562</v>
      </c>
      <c r="AK122">
        <f t="shared" si="56"/>
        <v>1800</v>
      </c>
      <c r="AL122">
        <f t="shared" si="57"/>
        <v>1499.1144786</v>
      </c>
      <c r="AM122">
        <f t="shared" si="58"/>
        <v>0.83284137700000005</v>
      </c>
      <c r="AN122">
        <f t="shared" si="59"/>
        <v>0.15339741287000003</v>
      </c>
      <c r="AO122">
        <v>32.4</v>
      </c>
      <c r="AP122">
        <v>0.5</v>
      </c>
      <c r="AQ122" t="s">
        <v>331</v>
      </c>
      <c r="AR122">
        <v>2</v>
      </c>
      <c r="AS122">
        <v>1690219225.0999999</v>
      </c>
      <c r="AT122">
        <v>569.47299999999996</v>
      </c>
      <c r="AU122">
        <v>800.00199999999995</v>
      </c>
      <c r="AV122">
        <v>20.0154</v>
      </c>
      <c r="AW122">
        <v>5.7035600000000004</v>
      </c>
      <c r="AX122">
        <v>569.58399999999995</v>
      </c>
      <c r="AY122">
        <v>19.815899999999999</v>
      </c>
      <c r="AZ122">
        <v>300.089</v>
      </c>
      <c r="BA122">
        <v>99.062700000000007</v>
      </c>
      <c r="BB122">
        <v>9.9937399999999996E-2</v>
      </c>
      <c r="BC122">
        <v>25.871099999999998</v>
      </c>
      <c r="BD122">
        <v>26.962800000000001</v>
      </c>
      <c r="BE122">
        <v>27.265699999999999</v>
      </c>
      <c r="BF122">
        <v>0</v>
      </c>
      <c r="BG122">
        <v>0</v>
      </c>
      <c r="BH122">
        <v>9994.3799999999992</v>
      </c>
      <c r="BI122">
        <v>1064.4000000000001</v>
      </c>
      <c r="BJ122">
        <v>1.56985</v>
      </c>
      <c r="BK122">
        <v>-230.529</v>
      </c>
      <c r="BL122">
        <v>581.10400000000004</v>
      </c>
      <c r="BM122">
        <v>804.59100000000001</v>
      </c>
      <c r="BN122">
        <v>14.3118</v>
      </c>
      <c r="BO122">
        <v>800.00199999999995</v>
      </c>
      <c r="BP122">
        <v>5.7035600000000004</v>
      </c>
      <c r="BQ122">
        <v>1.98278</v>
      </c>
      <c r="BR122">
        <v>0.56501100000000004</v>
      </c>
      <c r="BS122">
        <v>17.307500000000001</v>
      </c>
      <c r="BT122">
        <v>-1.13164</v>
      </c>
      <c r="BU122">
        <v>1800</v>
      </c>
      <c r="BV122">
        <v>0.91000800000000004</v>
      </c>
      <c r="BW122">
        <v>3.3992799999999997E-2</v>
      </c>
      <c r="BX122">
        <v>2.2000599999999999E-2</v>
      </c>
      <c r="BY122">
        <v>3.3998899999999999E-2</v>
      </c>
      <c r="BZ122">
        <v>25.666699999999999</v>
      </c>
      <c r="CA122">
        <v>33528.400000000001</v>
      </c>
      <c r="CB122">
        <v>1690217592</v>
      </c>
      <c r="CC122" t="s">
        <v>332</v>
      </c>
      <c r="CD122">
        <v>1690217586.5</v>
      </c>
      <c r="CE122">
        <v>1690217592</v>
      </c>
      <c r="CF122">
        <v>9</v>
      </c>
      <c r="CG122">
        <v>0.11600000000000001</v>
      </c>
      <c r="CH122">
        <v>-3.0000000000000001E-3</v>
      </c>
      <c r="CI122">
        <v>-0.27300000000000002</v>
      </c>
      <c r="CJ122">
        <v>-6.9000000000000006E-2</v>
      </c>
      <c r="CK122">
        <v>800</v>
      </c>
      <c r="CL122">
        <v>6</v>
      </c>
      <c r="CM122">
        <v>0.01</v>
      </c>
      <c r="CN122">
        <v>0.01</v>
      </c>
      <c r="CO122">
        <v>-227.4709024390244</v>
      </c>
      <c r="CP122">
        <v>-17.10909407665482</v>
      </c>
      <c r="CQ122">
        <v>1.6872481102682571</v>
      </c>
      <c r="CR122">
        <v>-1</v>
      </c>
      <c r="CS122">
        <v>14.17729756097561</v>
      </c>
      <c r="CT122">
        <v>0.7376905923345094</v>
      </c>
      <c r="CU122">
        <v>7.2757560960892587E-2</v>
      </c>
      <c r="CV122">
        <v>-1</v>
      </c>
      <c r="CW122">
        <v>0</v>
      </c>
      <c r="CX122">
        <v>0</v>
      </c>
      <c r="CY122" t="s">
        <v>333</v>
      </c>
      <c r="CZ122">
        <v>2.3643100000000001</v>
      </c>
      <c r="DA122">
        <v>2.7137199999999999</v>
      </c>
      <c r="DB122">
        <v>0.11605799999999999</v>
      </c>
      <c r="DC122">
        <v>0.146065</v>
      </c>
      <c r="DD122">
        <v>0.10000100000000001</v>
      </c>
      <c r="DE122">
        <v>3.7844099999999999E-2</v>
      </c>
      <c r="DF122">
        <v>32276.7</v>
      </c>
      <c r="DG122">
        <v>27520.3</v>
      </c>
      <c r="DH122">
        <v>31172.400000000001</v>
      </c>
      <c r="DI122">
        <v>28081.8</v>
      </c>
      <c r="DJ122">
        <v>38092.1</v>
      </c>
      <c r="DK122">
        <v>38422.199999999997</v>
      </c>
      <c r="DL122">
        <v>44361.9</v>
      </c>
      <c r="DM122">
        <v>42560.5</v>
      </c>
      <c r="DN122">
        <v>1.48095</v>
      </c>
      <c r="DO122">
        <v>2.0353300000000001</v>
      </c>
      <c r="DP122">
        <v>0.13279199999999999</v>
      </c>
      <c r="DQ122">
        <v>0.160854</v>
      </c>
      <c r="DR122">
        <v>24.787199999999999</v>
      </c>
      <c r="DS122">
        <v>24.630600000000001</v>
      </c>
      <c r="DT122">
        <v>16.8</v>
      </c>
      <c r="DU122">
        <v>29.8</v>
      </c>
      <c r="DV122">
        <v>7.14337</v>
      </c>
      <c r="DW122">
        <v>61.484099999999998</v>
      </c>
      <c r="DX122">
        <v>36.726799999999997</v>
      </c>
      <c r="DY122">
        <v>1</v>
      </c>
      <c r="DZ122">
        <v>-9.5983200000000005E-2</v>
      </c>
      <c r="EA122">
        <v>0.18276400000000001</v>
      </c>
      <c r="EB122">
        <v>20.190000000000001</v>
      </c>
      <c r="EC122">
        <v>5.2415500000000002</v>
      </c>
      <c r="ED122">
        <v>12.039899999999999</v>
      </c>
      <c r="EE122">
        <v>5.0170500000000002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1.86893</v>
      </c>
      <c r="EL122">
        <v>1.86466</v>
      </c>
      <c r="EM122">
        <v>1.8691800000000001</v>
      </c>
      <c r="EN122">
        <v>1.8672500000000001</v>
      </c>
      <c r="EO122">
        <v>1.86341</v>
      </c>
      <c r="EP122">
        <v>1.8646100000000001</v>
      </c>
      <c r="EQ122">
        <v>1.8702099999999999</v>
      </c>
      <c r="ER122">
        <v>1.8694500000000001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-0.111</v>
      </c>
      <c r="FG122">
        <v>0.19950000000000001</v>
      </c>
      <c r="FH122">
        <v>0.27827353915413472</v>
      </c>
      <c r="FI122">
        <v>-6.1462078757559423E-4</v>
      </c>
      <c r="FJ122">
        <v>-1.8861989874597051E-7</v>
      </c>
      <c r="FK122">
        <v>1.1980462299894961E-10</v>
      </c>
      <c r="FL122">
        <v>-3.2538871274648329E-2</v>
      </c>
      <c r="FM122">
        <v>-1.6848085045870601E-2</v>
      </c>
      <c r="FN122">
        <v>1.9789084769509481E-3</v>
      </c>
      <c r="FO122">
        <v>-2.7142391389806329E-5</v>
      </c>
      <c r="FP122">
        <v>3</v>
      </c>
      <c r="FQ122">
        <v>2158</v>
      </c>
      <c r="FR122">
        <v>1</v>
      </c>
      <c r="FS122">
        <v>19</v>
      </c>
      <c r="FT122">
        <v>27.3</v>
      </c>
      <c r="FU122">
        <v>27.2</v>
      </c>
      <c r="FV122">
        <v>1.7773399999999999</v>
      </c>
      <c r="FW122">
        <v>2.5781200000000002</v>
      </c>
      <c r="FX122">
        <v>1.5490699999999999</v>
      </c>
      <c r="FY122">
        <v>2.3290999999999999</v>
      </c>
      <c r="FZ122">
        <v>1.50024</v>
      </c>
      <c r="GA122">
        <v>2.36206</v>
      </c>
      <c r="GB122">
        <v>33.850900000000003</v>
      </c>
      <c r="GC122">
        <v>23.982399999999998</v>
      </c>
      <c r="GD122">
        <v>19</v>
      </c>
      <c r="GE122">
        <v>284.82799999999997</v>
      </c>
      <c r="GF122">
        <v>582.12900000000002</v>
      </c>
      <c r="GG122">
        <v>23.7807</v>
      </c>
      <c r="GH122">
        <v>26.162500000000001</v>
      </c>
      <c r="GI122">
        <v>29.999700000000001</v>
      </c>
      <c r="GJ122">
        <v>26.3325</v>
      </c>
      <c r="GK122">
        <v>26.323599999999999</v>
      </c>
      <c r="GL122">
        <v>35.54</v>
      </c>
      <c r="GM122">
        <v>-30</v>
      </c>
      <c r="GN122">
        <v>-30</v>
      </c>
      <c r="GO122">
        <v>23.809200000000001</v>
      </c>
      <c r="GP122">
        <v>800</v>
      </c>
      <c r="GQ122">
        <v>12.5298</v>
      </c>
      <c r="GR122">
        <v>99.739199999999997</v>
      </c>
      <c r="GS122">
        <v>99.5655</v>
      </c>
    </row>
    <row r="123" spans="1:201" x14ac:dyDescent="0.25">
      <c r="A123">
        <v>107</v>
      </c>
      <c r="B123">
        <v>1690219235.0999999</v>
      </c>
      <c r="C123">
        <v>1214.599999904633</v>
      </c>
      <c r="D123" t="s">
        <v>543</v>
      </c>
      <c r="E123" t="s">
        <v>544</v>
      </c>
      <c r="F123" t="s">
        <v>330</v>
      </c>
      <c r="H123">
        <v>1690219235.0999999</v>
      </c>
      <c r="I123">
        <f t="shared" si="30"/>
        <v>1.3660811123309133E-3</v>
      </c>
      <c r="J123">
        <f t="shared" si="31"/>
        <v>1.3660811123309133</v>
      </c>
      <c r="K123">
        <f t="shared" si="32"/>
        <v>20.861405591790813</v>
      </c>
      <c r="L123">
        <f t="shared" si="33"/>
        <v>566.52099999999996</v>
      </c>
      <c r="M123">
        <f t="shared" si="34"/>
        <v>125.18419518999721</v>
      </c>
      <c r="N123">
        <f t="shared" si="35"/>
        <v>12.413220842869194</v>
      </c>
      <c r="O123">
        <f t="shared" si="36"/>
        <v>56.176023454476898</v>
      </c>
      <c r="P123">
        <f t="shared" si="37"/>
        <v>7.8698241472957189E-2</v>
      </c>
      <c r="Q123">
        <f t="shared" si="38"/>
        <v>2.1330678278569266</v>
      </c>
      <c r="R123">
        <f t="shared" si="39"/>
        <v>7.7120070455347328E-2</v>
      </c>
      <c r="S123">
        <f t="shared" si="40"/>
        <v>4.8339200493827478E-2</v>
      </c>
      <c r="T123">
        <f t="shared" si="41"/>
        <v>276.11526385799993</v>
      </c>
      <c r="U123">
        <f t="shared" si="42"/>
        <v>27.58565200789964</v>
      </c>
      <c r="V123">
        <f t="shared" si="43"/>
        <v>27.58565200789964</v>
      </c>
      <c r="W123">
        <f t="shared" si="44"/>
        <v>3.7041352531462493</v>
      </c>
      <c r="X123">
        <f t="shared" si="45"/>
        <v>59.642643733025366</v>
      </c>
      <c r="Y123">
        <f t="shared" si="46"/>
        <v>1.9981561690190102</v>
      </c>
      <c r="Z123">
        <f t="shared" si="47"/>
        <v>3.3502139475292734</v>
      </c>
      <c r="AA123">
        <f t="shared" si="48"/>
        <v>1.7059790841272391</v>
      </c>
      <c r="AB123">
        <f t="shared" si="49"/>
        <v>-60.24417705379328</v>
      </c>
      <c r="AC123">
        <f t="shared" si="50"/>
        <v>-196.23848734970974</v>
      </c>
      <c r="AD123">
        <f t="shared" si="51"/>
        <v>-19.801378969698547</v>
      </c>
      <c r="AE123">
        <f t="shared" si="52"/>
        <v>-0.16877951520163492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52680.242095402733</v>
      </c>
      <c r="AK123">
        <f t="shared" si="56"/>
        <v>1800</v>
      </c>
      <c r="AL123">
        <f t="shared" si="57"/>
        <v>1499.1144767999999</v>
      </c>
      <c r="AM123">
        <f t="shared" si="58"/>
        <v>0.83284137599999997</v>
      </c>
      <c r="AN123">
        <f t="shared" si="59"/>
        <v>0.15339736880999996</v>
      </c>
      <c r="AO123">
        <v>32.4</v>
      </c>
      <c r="AP123">
        <v>0.5</v>
      </c>
      <c r="AQ123" t="s">
        <v>331</v>
      </c>
      <c r="AR123">
        <v>2</v>
      </c>
      <c r="AS123">
        <v>1690219235.0999999</v>
      </c>
      <c r="AT123">
        <v>566.52099999999996</v>
      </c>
      <c r="AU123">
        <v>800.03300000000002</v>
      </c>
      <c r="AV123">
        <v>20.1509</v>
      </c>
      <c r="AW123">
        <v>5.7037699999999996</v>
      </c>
      <c r="AX123">
        <v>566.63</v>
      </c>
      <c r="AY123">
        <v>19.947500000000002</v>
      </c>
      <c r="AZ123">
        <v>300.19200000000001</v>
      </c>
      <c r="BA123">
        <v>99.059700000000007</v>
      </c>
      <c r="BB123">
        <v>9.9948899999999993E-2</v>
      </c>
      <c r="BC123">
        <v>25.879200000000001</v>
      </c>
      <c r="BD123">
        <v>27.0136</v>
      </c>
      <c r="BE123">
        <v>27.268000000000001</v>
      </c>
      <c r="BF123">
        <v>0</v>
      </c>
      <c r="BG123">
        <v>0</v>
      </c>
      <c r="BH123">
        <v>10020.6</v>
      </c>
      <c r="BI123">
        <v>1064.51</v>
      </c>
      <c r="BJ123">
        <v>1.62592</v>
      </c>
      <c r="BK123">
        <v>-233.512</v>
      </c>
      <c r="BL123">
        <v>578.17200000000003</v>
      </c>
      <c r="BM123">
        <v>804.62199999999996</v>
      </c>
      <c r="BN123">
        <v>14.447100000000001</v>
      </c>
      <c r="BO123">
        <v>800.03300000000002</v>
      </c>
      <c r="BP123">
        <v>5.7037699999999996</v>
      </c>
      <c r="BQ123">
        <v>1.99614</v>
      </c>
      <c r="BR123">
        <v>0.56501299999999999</v>
      </c>
      <c r="BS123">
        <v>17.413799999999998</v>
      </c>
      <c r="BT123">
        <v>-1.13157</v>
      </c>
      <c r="BU123">
        <v>1800</v>
      </c>
      <c r="BV123">
        <v>0.91000899999999996</v>
      </c>
      <c r="BW123">
        <v>3.3992399999999999E-2</v>
      </c>
      <c r="BX123">
        <v>2.20003E-2</v>
      </c>
      <c r="BY123">
        <v>3.3998500000000001E-2</v>
      </c>
      <c r="BZ123">
        <v>25.666699999999999</v>
      </c>
      <c r="CA123">
        <v>33528.400000000001</v>
      </c>
      <c r="CB123">
        <v>1690217592</v>
      </c>
      <c r="CC123" t="s">
        <v>332</v>
      </c>
      <c r="CD123">
        <v>1690217586.5</v>
      </c>
      <c r="CE123">
        <v>1690217592</v>
      </c>
      <c r="CF123">
        <v>9</v>
      </c>
      <c r="CG123">
        <v>0.11600000000000001</v>
      </c>
      <c r="CH123">
        <v>-3.0000000000000001E-3</v>
      </c>
      <c r="CI123">
        <v>-0.27300000000000002</v>
      </c>
      <c r="CJ123">
        <v>-6.9000000000000006E-2</v>
      </c>
      <c r="CK123">
        <v>800</v>
      </c>
      <c r="CL123">
        <v>6</v>
      </c>
      <c r="CM123">
        <v>0.01</v>
      </c>
      <c r="CN123">
        <v>0.01</v>
      </c>
      <c r="CO123">
        <v>-230.085487804878</v>
      </c>
      <c r="CP123">
        <v>-17.569965156794751</v>
      </c>
      <c r="CQ123">
        <v>1.733115482084653</v>
      </c>
      <c r="CR123">
        <v>-1</v>
      </c>
      <c r="CS123">
        <v>14.29295609756098</v>
      </c>
      <c r="CT123">
        <v>0.80297770034844729</v>
      </c>
      <c r="CU123">
        <v>7.9197037542465529E-2</v>
      </c>
      <c r="CV123">
        <v>-1</v>
      </c>
      <c r="CW123">
        <v>0</v>
      </c>
      <c r="CX123">
        <v>0</v>
      </c>
      <c r="CY123" t="s">
        <v>333</v>
      </c>
      <c r="CZ123">
        <v>2.36463</v>
      </c>
      <c r="DA123">
        <v>2.7137600000000002</v>
      </c>
      <c r="DB123">
        <v>0.11562799999999999</v>
      </c>
      <c r="DC123">
        <v>0.146065</v>
      </c>
      <c r="DD123">
        <v>0.10047300000000001</v>
      </c>
      <c r="DE123">
        <v>3.78444E-2</v>
      </c>
      <c r="DF123">
        <v>32292.400000000001</v>
      </c>
      <c r="DG123">
        <v>27520.9</v>
      </c>
      <c r="DH123">
        <v>31172.400000000001</v>
      </c>
      <c r="DI123">
        <v>28082.5</v>
      </c>
      <c r="DJ123">
        <v>38071.800000000003</v>
      </c>
      <c r="DK123">
        <v>38423.1</v>
      </c>
      <c r="DL123">
        <v>44361.8</v>
      </c>
      <c r="DM123">
        <v>42561.5</v>
      </c>
      <c r="DN123">
        <v>1.48115</v>
      </c>
      <c r="DO123">
        <v>2.03505</v>
      </c>
      <c r="DP123">
        <v>0.135772</v>
      </c>
      <c r="DQ123">
        <v>0.16086500000000001</v>
      </c>
      <c r="DR123">
        <v>24.789200000000001</v>
      </c>
      <c r="DS123">
        <v>24.6327</v>
      </c>
      <c r="DT123">
        <v>16.8</v>
      </c>
      <c r="DU123">
        <v>29.8</v>
      </c>
      <c r="DV123">
        <v>7.1429400000000003</v>
      </c>
      <c r="DW123">
        <v>61.624099999999999</v>
      </c>
      <c r="DX123">
        <v>36.999200000000002</v>
      </c>
      <c r="DY123">
        <v>1</v>
      </c>
      <c r="DZ123">
        <v>-9.6465999999999996E-2</v>
      </c>
      <c r="EA123">
        <v>0.19837399999999999</v>
      </c>
      <c r="EB123">
        <v>20.189800000000002</v>
      </c>
      <c r="EC123">
        <v>5.2416999999999998</v>
      </c>
      <c r="ED123">
        <v>12.039899999999999</v>
      </c>
      <c r="EE123">
        <v>5.0170000000000003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1.86893</v>
      </c>
      <c r="EL123">
        <v>1.8646499999999999</v>
      </c>
      <c r="EM123">
        <v>1.8691800000000001</v>
      </c>
      <c r="EN123">
        <v>1.8672500000000001</v>
      </c>
      <c r="EO123">
        <v>1.8633999999999999</v>
      </c>
      <c r="EP123">
        <v>1.86459</v>
      </c>
      <c r="EQ123">
        <v>1.8701700000000001</v>
      </c>
      <c r="ER123">
        <v>1.8694299999999999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-0.109</v>
      </c>
      <c r="FG123">
        <v>0.2034</v>
      </c>
      <c r="FH123">
        <v>0.27827353915413472</v>
      </c>
      <c r="FI123">
        <v>-6.1462078757559423E-4</v>
      </c>
      <c r="FJ123">
        <v>-1.8861989874597051E-7</v>
      </c>
      <c r="FK123">
        <v>1.1980462299894961E-10</v>
      </c>
      <c r="FL123">
        <v>-3.2538871274648329E-2</v>
      </c>
      <c r="FM123">
        <v>-1.6848085045870601E-2</v>
      </c>
      <c r="FN123">
        <v>1.9789084769509481E-3</v>
      </c>
      <c r="FO123">
        <v>-2.7142391389806329E-5</v>
      </c>
      <c r="FP123">
        <v>3</v>
      </c>
      <c r="FQ123">
        <v>2158</v>
      </c>
      <c r="FR123">
        <v>1</v>
      </c>
      <c r="FS123">
        <v>19</v>
      </c>
      <c r="FT123">
        <v>27.5</v>
      </c>
      <c r="FU123">
        <v>27.4</v>
      </c>
      <c r="FV123">
        <v>1.7773399999999999</v>
      </c>
      <c r="FW123">
        <v>2.5842299999999998</v>
      </c>
      <c r="FX123">
        <v>1.5490699999999999</v>
      </c>
      <c r="FY123">
        <v>2.3290999999999999</v>
      </c>
      <c r="FZ123">
        <v>1.50146</v>
      </c>
      <c r="GA123">
        <v>2.34131</v>
      </c>
      <c r="GB123">
        <v>33.850900000000003</v>
      </c>
      <c r="GC123">
        <v>23.982399999999998</v>
      </c>
      <c r="GD123">
        <v>19</v>
      </c>
      <c r="GE123">
        <v>284.899</v>
      </c>
      <c r="GF123">
        <v>581.87099999999998</v>
      </c>
      <c r="GG123">
        <v>23.827500000000001</v>
      </c>
      <c r="GH123">
        <v>26.160299999999999</v>
      </c>
      <c r="GI123">
        <v>29.9998</v>
      </c>
      <c r="GJ123">
        <v>26.3292</v>
      </c>
      <c r="GK123">
        <v>26.320799999999998</v>
      </c>
      <c r="GL123">
        <v>35.542099999999998</v>
      </c>
      <c r="GM123">
        <v>-30</v>
      </c>
      <c r="GN123">
        <v>-30</v>
      </c>
      <c r="GO123">
        <v>23.778600000000001</v>
      </c>
      <c r="GP123">
        <v>800</v>
      </c>
      <c r="GQ123">
        <v>12.5298</v>
      </c>
      <c r="GR123">
        <v>99.739000000000004</v>
      </c>
      <c r="GS123">
        <v>99.567899999999995</v>
      </c>
    </row>
    <row r="124" spans="1:201" x14ac:dyDescent="0.25">
      <c r="A124">
        <v>108</v>
      </c>
      <c r="B124">
        <v>1690219245.0999999</v>
      </c>
      <c r="C124">
        <v>1224.599999904633</v>
      </c>
      <c r="D124" t="s">
        <v>545</v>
      </c>
      <c r="E124" t="s">
        <v>546</v>
      </c>
      <c r="F124" t="s">
        <v>330</v>
      </c>
      <c r="H124">
        <v>1690219245.0999999</v>
      </c>
      <c r="I124">
        <f t="shared" si="30"/>
        <v>1.3777599001896287E-3</v>
      </c>
      <c r="J124">
        <f t="shared" si="31"/>
        <v>1.3777599001896286</v>
      </c>
      <c r="K124">
        <f t="shared" si="32"/>
        <v>21.119682819223655</v>
      </c>
      <c r="L124">
        <f t="shared" si="33"/>
        <v>563.64599999999996</v>
      </c>
      <c r="M124">
        <f t="shared" si="34"/>
        <v>124.35855491552709</v>
      </c>
      <c r="N124">
        <f t="shared" si="35"/>
        <v>12.331405298719922</v>
      </c>
      <c r="O124">
        <f t="shared" si="36"/>
        <v>55.891187186306404</v>
      </c>
      <c r="P124">
        <f t="shared" si="37"/>
        <v>8.0054358634606304E-2</v>
      </c>
      <c r="Q124">
        <f t="shared" si="38"/>
        <v>2.1292158680468392</v>
      </c>
      <c r="R124">
        <f t="shared" si="39"/>
        <v>7.8419049063523885E-2</v>
      </c>
      <c r="S124">
        <f t="shared" si="40"/>
        <v>4.9156049425738799E-2</v>
      </c>
      <c r="T124">
        <f t="shared" si="41"/>
        <v>276.11503941599995</v>
      </c>
      <c r="U124">
        <f t="shared" si="42"/>
        <v>27.578087946373913</v>
      </c>
      <c r="V124">
        <f t="shared" si="43"/>
        <v>27.578087946373913</v>
      </c>
      <c r="W124">
        <f t="shared" si="44"/>
        <v>3.7024971541783374</v>
      </c>
      <c r="X124">
        <f t="shared" si="45"/>
        <v>60.034097692897689</v>
      </c>
      <c r="Y124">
        <f t="shared" si="46"/>
        <v>2.0105203723542</v>
      </c>
      <c r="Z124">
        <f t="shared" si="47"/>
        <v>3.3489640881069724</v>
      </c>
      <c r="AA124">
        <f t="shared" si="48"/>
        <v>1.6919767818241374</v>
      </c>
      <c r="AB124">
        <f t="shared" si="49"/>
        <v>-60.759211598362626</v>
      </c>
      <c r="AC124">
        <f t="shared" si="50"/>
        <v>-195.73901184022179</v>
      </c>
      <c r="AD124">
        <f t="shared" si="51"/>
        <v>-19.785337971036125</v>
      </c>
      <c r="AE124">
        <f t="shared" si="52"/>
        <v>-0.16852199362062947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52514.665939816841</v>
      </c>
      <c r="AK124">
        <f t="shared" si="56"/>
        <v>1800</v>
      </c>
      <c r="AL124">
        <f t="shared" si="57"/>
        <v>1499.1135065999999</v>
      </c>
      <c r="AM124">
        <f t="shared" si="58"/>
        <v>0.832840837</v>
      </c>
      <c r="AN124">
        <f t="shared" si="59"/>
        <v>0.15339724411999997</v>
      </c>
      <c r="AO124">
        <v>32.4</v>
      </c>
      <c r="AP124">
        <v>0.5</v>
      </c>
      <c r="AQ124" t="s">
        <v>331</v>
      </c>
      <c r="AR124">
        <v>2</v>
      </c>
      <c r="AS124">
        <v>1690219245.0999999</v>
      </c>
      <c r="AT124">
        <v>563.64599999999996</v>
      </c>
      <c r="AU124">
        <v>800.01599999999996</v>
      </c>
      <c r="AV124">
        <v>20.275500000000001</v>
      </c>
      <c r="AW124">
        <v>5.7041399999999998</v>
      </c>
      <c r="AX124">
        <v>563.75300000000004</v>
      </c>
      <c r="AY124">
        <v>20.0686</v>
      </c>
      <c r="AZ124">
        <v>300.13900000000001</v>
      </c>
      <c r="BA124">
        <v>99.060100000000006</v>
      </c>
      <c r="BB124">
        <v>9.9988400000000005E-2</v>
      </c>
      <c r="BC124">
        <v>25.872900000000001</v>
      </c>
      <c r="BD124">
        <v>26.995799999999999</v>
      </c>
      <c r="BE124">
        <v>27.270299999999999</v>
      </c>
      <c r="BF124">
        <v>0</v>
      </c>
      <c r="BG124">
        <v>0</v>
      </c>
      <c r="BH124">
        <v>9987.5</v>
      </c>
      <c r="BI124">
        <v>1064.6099999999999</v>
      </c>
      <c r="BJ124">
        <v>1.56985</v>
      </c>
      <c r="BK124">
        <v>-236.37</v>
      </c>
      <c r="BL124">
        <v>575.31100000000004</v>
      </c>
      <c r="BM124">
        <v>804.60599999999999</v>
      </c>
      <c r="BN124">
        <v>14.571400000000001</v>
      </c>
      <c r="BO124">
        <v>800.01599999999996</v>
      </c>
      <c r="BP124">
        <v>5.7041399999999998</v>
      </c>
      <c r="BQ124">
        <v>2.0085000000000002</v>
      </c>
      <c r="BR124">
        <v>0.565052</v>
      </c>
      <c r="BS124">
        <v>17.511500000000002</v>
      </c>
      <c r="BT124">
        <v>-1.13063</v>
      </c>
      <c r="BU124">
        <v>1800</v>
      </c>
      <c r="BV124">
        <v>0.91000899999999996</v>
      </c>
      <c r="BW124">
        <v>3.39922E-2</v>
      </c>
      <c r="BX124">
        <v>2.2000100000000002E-2</v>
      </c>
      <c r="BY124">
        <v>3.3998199999999999E-2</v>
      </c>
      <c r="BZ124">
        <v>25.666699999999999</v>
      </c>
      <c r="CA124">
        <v>33528.400000000001</v>
      </c>
      <c r="CB124">
        <v>1690217592</v>
      </c>
      <c r="CC124" t="s">
        <v>332</v>
      </c>
      <c r="CD124">
        <v>1690217586.5</v>
      </c>
      <c r="CE124">
        <v>1690217592</v>
      </c>
      <c r="CF124">
        <v>9</v>
      </c>
      <c r="CG124">
        <v>0.11600000000000001</v>
      </c>
      <c r="CH124">
        <v>-3.0000000000000001E-3</v>
      </c>
      <c r="CI124">
        <v>-0.27300000000000002</v>
      </c>
      <c r="CJ124">
        <v>-6.9000000000000006E-2</v>
      </c>
      <c r="CK124">
        <v>800</v>
      </c>
      <c r="CL124">
        <v>6</v>
      </c>
      <c r="CM124">
        <v>0.01</v>
      </c>
      <c r="CN124">
        <v>0.01</v>
      </c>
      <c r="CO124">
        <v>-233.01317073170731</v>
      </c>
      <c r="CP124">
        <v>-17.402780487804701</v>
      </c>
      <c r="CQ124">
        <v>1.7165220495118729</v>
      </c>
      <c r="CR124">
        <v>-1</v>
      </c>
      <c r="CS124">
        <v>14.4258243902439</v>
      </c>
      <c r="CT124">
        <v>0.79055331010452812</v>
      </c>
      <c r="CU124">
        <v>7.7968107239944018E-2</v>
      </c>
      <c r="CV124">
        <v>-1</v>
      </c>
      <c r="CW124">
        <v>0</v>
      </c>
      <c r="CX124">
        <v>0</v>
      </c>
      <c r="CY124" t="s">
        <v>333</v>
      </c>
      <c r="CZ124">
        <v>2.36449</v>
      </c>
      <c r="DA124">
        <v>2.7137699999999998</v>
      </c>
      <c r="DB124">
        <v>0.115213</v>
      </c>
      <c r="DC124">
        <v>0.146065</v>
      </c>
      <c r="DD124">
        <v>0.10091</v>
      </c>
      <c r="DE124">
        <v>3.7846900000000003E-2</v>
      </c>
      <c r="DF124">
        <v>32307.8</v>
      </c>
      <c r="DG124">
        <v>27521.1</v>
      </c>
      <c r="DH124">
        <v>31172.5</v>
      </c>
      <c r="DI124">
        <v>28082.7</v>
      </c>
      <c r="DJ124">
        <v>38053.199999999997</v>
      </c>
      <c r="DK124">
        <v>38423.4</v>
      </c>
      <c r="DL124">
        <v>44361.9</v>
      </c>
      <c r="DM124">
        <v>42561.9</v>
      </c>
      <c r="DN124">
        <v>1.4812700000000001</v>
      </c>
      <c r="DO124">
        <v>2.0348999999999999</v>
      </c>
      <c r="DP124">
        <v>0.13449</v>
      </c>
      <c r="DQ124">
        <v>0.16088</v>
      </c>
      <c r="DR124">
        <v>24.792300000000001</v>
      </c>
      <c r="DS124">
        <v>24.634699999999999</v>
      </c>
      <c r="DT124">
        <v>16.8</v>
      </c>
      <c r="DU124">
        <v>29.8</v>
      </c>
      <c r="DV124">
        <v>7.1419300000000003</v>
      </c>
      <c r="DW124">
        <v>61.734099999999998</v>
      </c>
      <c r="DX124">
        <v>37.347799999999999</v>
      </c>
      <c r="DY124">
        <v>1</v>
      </c>
      <c r="DZ124">
        <v>-9.6097600000000005E-2</v>
      </c>
      <c r="EA124">
        <v>0.368894</v>
      </c>
      <c r="EB124">
        <v>20.189699999999998</v>
      </c>
      <c r="EC124">
        <v>5.24125</v>
      </c>
      <c r="ED124">
        <v>12.039899999999999</v>
      </c>
      <c r="EE124">
        <v>5.0170500000000002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1.86893</v>
      </c>
      <c r="EL124">
        <v>1.86467</v>
      </c>
      <c r="EM124">
        <v>1.8691800000000001</v>
      </c>
      <c r="EN124">
        <v>1.8672599999999999</v>
      </c>
      <c r="EO124">
        <v>1.86341</v>
      </c>
      <c r="EP124">
        <v>1.86459</v>
      </c>
      <c r="EQ124">
        <v>1.8702099999999999</v>
      </c>
      <c r="ER124">
        <v>1.8694900000000001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-0.107</v>
      </c>
      <c r="FG124">
        <v>0.2069</v>
      </c>
      <c r="FH124">
        <v>0.27827353915413472</v>
      </c>
      <c r="FI124">
        <v>-6.1462078757559423E-4</v>
      </c>
      <c r="FJ124">
        <v>-1.8861989874597051E-7</v>
      </c>
      <c r="FK124">
        <v>1.1980462299894961E-10</v>
      </c>
      <c r="FL124">
        <v>-3.2538871274648329E-2</v>
      </c>
      <c r="FM124">
        <v>-1.6848085045870601E-2</v>
      </c>
      <c r="FN124">
        <v>1.9789084769509481E-3</v>
      </c>
      <c r="FO124">
        <v>-2.7142391389806329E-5</v>
      </c>
      <c r="FP124">
        <v>3</v>
      </c>
      <c r="FQ124">
        <v>2158</v>
      </c>
      <c r="FR124">
        <v>1</v>
      </c>
      <c r="FS124">
        <v>19</v>
      </c>
      <c r="FT124">
        <v>27.6</v>
      </c>
      <c r="FU124">
        <v>27.6</v>
      </c>
      <c r="FV124">
        <v>1.7773399999999999</v>
      </c>
      <c r="FW124">
        <v>2.5817899999999998</v>
      </c>
      <c r="FX124">
        <v>1.5490699999999999</v>
      </c>
      <c r="FY124">
        <v>2.3290999999999999</v>
      </c>
      <c r="FZ124">
        <v>1.50146</v>
      </c>
      <c r="GA124">
        <v>2.32422</v>
      </c>
      <c r="GB124">
        <v>33.850900000000003</v>
      </c>
      <c r="GC124">
        <v>23.982399999999998</v>
      </c>
      <c r="GD124">
        <v>19</v>
      </c>
      <c r="GE124">
        <v>284.93799999999999</v>
      </c>
      <c r="GF124">
        <v>581.71100000000001</v>
      </c>
      <c r="GG124">
        <v>23.7789</v>
      </c>
      <c r="GH124">
        <v>26.158100000000001</v>
      </c>
      <c r="GI124">
        <v>30.0002</v>
      </c>
      <c r="GJ124">
        <v>26.3261</v>
      </c>
      <c r="GK124">
        <v>26.317599999999999</v>
      </c>
      <c r="GL124">
        <v>35.542000000000002</v>
      </c>
      <c r="GM124">
        <v>-30</v>
      </c>
      <c r="GN124">
        <v>-30</v>
      </c>
      <c r="GO124">
        <v>23.7788</v>
      </c>
      <c r="GP124">
        <v>800</v>
      </c>
      <c r="GQ124">
        <v>12.5298</v>
      </c>
      <c r="GR124">
        <v>99.739400000000003</v>
      </c>
      <c r="GS124">
        <v>99.568700000000007</v>
      </c>
    </row>
    <row r="125" spans="1:201" x14ac:dyDescent="0.25">
      <c r="A125">
        <v>109</v>
      </c>
      <c r="B125">
        <v>1690219255.0999999</v>
      </c>
      <c r="C125">
        <v>1234.599999904633</v>
      </c>
      <c r="D125" t="s">
        <v>547</v>
      </c>
      <c r="E125" t="s">
        <v>548</v>
      </c>
      <c r="F125" t="s">
        <v>330</v>
      </c>
      <c r="H125">
        <v>1690219255.0999999</v>
      </c>
      <c r="I125">
        <f t="shared" si="30"/>
        <v>1.389663797892587E-3</v>
      </c>
      <c r="J125">
        <f t="shared" si="31"/>
        <v>1.389663797892587</v>
      </c>
      <c r="K125">
        <f t="shared" si="32"/>
        <v>21.38977403911586</v>
      </c>
      <c r="L125">
        <f t="shared" si="33"/>
        <v>560.73500000000001</v>
      </c>
      <c r="M125">
        <f t="shared" si="34"/>
        <v>122.58423935514163</v>
      </c>
      <c r="N125">
        <f t="shared" si="35"/>
        <v>12.155784519654823</v>
      </c>
      <c r="O125">
        <f t="shared" si="36"/>
        <v>55.603998266705005</v>
      </c>
      <c r="P125">
        <f t="shared" si="37"/>
        <v>8.1288836873247283E-2</v>
      </c>
      <c r="Q125">
        <f t="shared" si="38"/>
        <v>2.1324514679636359</v>
      </c>
      <c r="R125">
        <f t="shared" si="39"/>
        <v>7.9605776492808644E-2</v>
      </c>
      <c r="S125">
        <f t="shared" si="40"/>
        <v>4.9901924195233295E-2</v>
      </c>
      <c r="T125">
        <f t="shared" si="41"/>
        <v>276.11506665000002</v>
      </c>
      <c r="U125">
        <f t="shared" si="42"/>
        <v>27.58276792012769</v>
      </c>
      <c r="V125">
        <f t="shared" si="43"/>
        <v>27.58276792012769</v>
      </c>
      <c r="W125">
        <f t="shared" si="44"/>
        <v>3.7035105906756258</v>
      </c>
      <c r="X125">
        <f t="shared" si="45"/>
        <v>60.34947392491059</v>
      </c>
      <c r="Y125">
        <f t="shared" si="46"/>
        <v>2.0224233276849999</v>
      </c>
      <c r="Z125">
        <f t="shared" si="47"/>
        <v>3.3511863420738117</v>
      </c>
      <c r="AA125">
        <f t="shared" si="48"/>
        <v>1.6810872629906259</v>
      </c>
      <c r="AB125">
        <f t="shared" si="49"/>
        <v>-61.284173487063086</v>
      </c>
      <c r="AC125">
        <f t="shared" si="50"/>
        <v>-195.28688782519998</v>
      </c>
      <c r="AD125">
        <f t="shared" si="51"/>
        <v>-19.7112511405149</v>
      </c>
      <c r="AE125">
        <f t="shared" si="52"/>
        <v>-0.16724580277792711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52652.748723661134</v>
      </c>
      <c r="AK125">
        <f t="shared" si="56"/>
        <v>1800</v>
      </c>
      <c r="AL125">
        <f t="shared" si="57"/>
        <v>1499.1146279999998</v>
      </c>
      <c r="AM125">
        <f t="shared" si="58"/>
        <v>0.83284145999999992</v>
      </c>
      <c r="AN125">
        <f t="shared" si="59"/>
        <v>0.15339725925</v>
      </c>
      <c r="AO125">
        <v>32.4</v>
      </c>
      <c r="AP125">
        <v>0.5</v>
      </c>
      <c r="AQ125" t="s">
        <v>331</v>
      </c>
      <c r="AR125">
        <v>2</v>
      </c>
      <c r="AS125">
        <v>1690219255.0999999</v>
      </c>
      <c r="AT125">
        <v>560.73500000000001</v>
      </c>
      <c r="AU125">
        <v>799.99199999999996</v>
      </c>
      <c r="AV125">
        <v>20.395</v>
      </c>
      <c r="AW125">
        <v>5.7030599999999998</v>
      </c>
      <c r="AX125">
        <v>560.83900000000006</v>
      </c>
      <c r="AY125">
        <v>20.1845</v>
      </c>
      <c r="AZ125">
        <v>300.21100000000001</v>
      </c>
      <c r="BA125">
        <v>99.062700000000007</v>
      </c>
      <c r="BB125">
        <v>0.10000299999999999</v>
      </c>
      <c r="BC125">
        <v>25.8841</v>
      </c>
      <c r="BD125">
        <v>26.9908</v>
      </c>
      <c r="BE125">
        <v>27.2776</v>
      </c>
      <c r="BF125">
        <v>0</v>
      </c>
      <c r="BG125">
        <v>0</v>
      </c>
      <c r="BH125">
        <v>10015</v>
      </c>
      <c r="BI125">
        <v>1064.56</v>
      </c>
      <c r="BJ125">
        <v>1.57125</v>
      </c>
      <c r="BK125">
        <v>-239.25700000000001</v>
      </c>
      <c r="BL125">
        <v>572.40899999999999</v>
      </c>
      <c r="BM125">
        <v>804.58100000000002</v>
      </c>
      <c r="BN125">
        <v>14.6919</v>
      </c>
      <c r="BO125">
        <v>799.99199999999996</v>
      </c>
      <c r="BP125">
        <v>5.7030599999999998</v>
      </c>
      <c r="BQ125">
        <v>2.0203799999999998</v>
      </c>
      <c r="BR125">
        <v>0.56496000000000002</v>
      </c>
      <c r="BS125">
        <v>17.605</v>
      </c>
      <c r="BT125">
        <v>-1.1328499999999999</v>
      </c>
      <c r="BU125">
        <v>1800</v>
      </c>
      <c r="BV125">
        <v>0.91001200000000004</v>
      </c>
      <c r="BW125">
        <v>3.3991199999999999E-2</v>
      </c>
      <c r="BX125">
        <v>2.1999500000000002E-2</v>
      </c>
      <c r="BY125">
        <v>3.3997300000000001E-2</v>
      </c>
      <c r="BZ125">
        <v>25.708300000000001</v>
      </c>
      <c r="CA125">
        <v>33528.5</v>
      </c>
      <c r="CB125">
        <v>1690217592</v>
      </c>
      <c r="CC125" t="s">
        <v>332</v>
      </c>
      <c r="CD125">
        <v>1690217586.5</v>
      </c>
      <c r="CE125">
        <v>1690217592</v>
      </c>
      <c r="CF125">
        <v>9</v>
      </c>
      <c r="CG125">
        <v>0.11600000000000001</v>
      </c>
      <c r="CH125">
        <v>-3.0000000000000001E-3</v>
      </c>
      <c r="CI125">
        <v>-0.27300000000000002</v>
      </c>
      <c r="CJ125">
        <v>-6.9000000000000006E-2</v>
      </c>
      <c r="CK125">
        <v>800</v>
      </c>
      <c r="CL125">
        <v>6</v>
      </c>
      <c r="CM125">
        <v>0.01</v>
      </c>
      <c r="CN125">
        <v>0.01</v>
      </c>
      <c r="CO125">
        <v>-236.135875</v>
      </c>
      <c r="CP125">
        <v>-17.506412757973361</v>
      </c>
      <c r="CQ125">
        <v>1.6848048579509129</v>
      </c>
      <c r="CR125">
        <v>-1</v>
      </c>
      <c r="CS125">
        <v>14.561377500000001</v>
      </c>
      <c r="CT125">
        <v>0.72918911819883814</v>
      </c>
      <c r="CU125">
        <v>7.0161333679955168E-2</v>
      </c>
      <c r="CV125">
        <v>-1</v>
      </c>
      <c r="CW125">
        <v>0</v>
      </c>
      <c r="CX125">
        <v>0</v>
      </c>
      <c r="CY125" t="s">
        <v>333</v>
      </c>
      <c r="CZ125">
        <v>2.3647</v>
      </c>
      <c r="DA125">
        <v>2.7138100000000001</v>
      </c>
      <c r="DB125">
        <v>0.11479300000000001</v>
      </c>
      <c r="DC125">
        <v>0.146066</v>
      </c>
      <c r="DD125">
        <v>0.101329</v>
      </c>
      <c r="DE125">
        <v>3.7842199999999999E-2</v>
      </c>
      <c r="DF125">
        <v>32322.799999999999</v>
      </c>
      <c r="DG125">
        <v>27521.5</v>
      </c>
      <c r="DH125">
        <v>31172.2</v>
      </c>
      <c r="DI125">
        <v>28083.1</v>
      </c>
      <c r="DJ125">
        <v>38035</v>
      </c>
      <c r="DK125">
        <v>38424</v>
      </c>
      <c r="DL125">
        <v>44361.599999999999</v>
      </c>
      <c r="DM125">
        <v>42562.400000000001</v>
      </c>
      <c r="DN125">
        <v>1.4817199999999999</v>
      </c>
      <c r="DO125">
        <v>2.0350700000000002</v>
      </c>
      <c r="DP125">
        <v>0.13402800000000001</v>
      </c>
      <c r="DQ125">
        <v>0.161134</v>
      </c>
      <c r="DR125">
        <v>24.794899999999998</v>
      </c>
      <c r="DS125">
        <v>24.637899999999998</v>
      </c>
      <c r="DT125">
        <v>16.8</v>
      </c>
      <c r="DU125">
        <v>29.8</v>
      </c>
      <c r="DV125">
        <v>7.14269</v>
      </c>
      <c r="DW125">
        <v>61.514099999999999</v>
      </c>
      <c r="DX125">
        <v>37.343800000000002</v>
      </c>
      <c r="DY125">
        <v>1</v>
      </c>
      <c r="DZ125">
        <v>-9.6328800000000006E-2</v>
      </c>
      <c r="EA125">
        <v>0.28159000000000001</v>
      </c>
      <c r="EB125">
        <v>20.189900000000002</v>
      </c>
      <c r="EC125">
        <v>5.2408000000000001</v>
      </c>
      <c r="ED125">
        <v>12.039899999999999</v>
      </c>
      <c r="EE125">
        <v>5.0172999999999996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1.86894</v>
      </c>
      <c r="EL125">
        <v>1.8646799999999999</v>
      </c>
      <c r="EM125">
        <v>1.8691899999999999</v>
      </c>
      <c r="EN125">
        <v>1.8672500000000001</v>
      </c>
      <c r="EO125">
        <v>1.8633999999999999</v>
      </c>
      <c r="EP125">
        <v>1.8646100000000001</v>
      </c>
      <c r="EQ125">
        <v>1.8702000000000001</v>
      </c>
      <c r="ER125">
        <v>1.86948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-0.104</v>
      </c>
      <c r="FG125">
        <v>0.21049999999999999</v>
      </c>
      <c r="FH125">
        <v>0.27827353915413472</v>
      </c>
      <c r="FI125">
        <v>-6.1462078757559423E-4</v>
      </c>
      <c r="FJ125">
        <v>-1.8861989874597051E-7</v>
      </c>
      <c r="FK125">
        <v>1.1980462299894961E-10</v>
      </c>
      <c r="FL125">
        <v>-3.2538871274648329E-2</v>
      </c>
      <c r="FM125">
        <v>-1.6848085045870601E-2</v>
      </c>
      <c r="FN125">
        <v>1.9789084769509481E-3</v>
      </c>
      <c r="FO125">
        <v>-2.7142391389806329E-5</v>
      </c>
      <c r="FP125">
        <v>3</v>
      </c>
      <c r="FQ125">
        <v>2158</v>
      </c>
      <c r="FR125">
        <v>1</v>
      </c>
      <c r="FS125">
        <v>19</v>
      </c>
      <c r="FT125">
        <v>27.8</v>
      </c>
      <c r="FU125">
        <v>27.7</v>
      </c>
      <c r="FV125">
        <v>1.7773399999999999</v>
      </c>
      <c r="FW125">
        <v>2.5830099999999998</v>
      </c>
      <c r="FX125">
        <v>1.5490699999999999</v>
      </c>
      <c r="FY125">
        <v>2.3290999999999999</v>
      </c>
      <c r="FZ125">
        <v>1.50146</v>
      </c>
      <c r="GA125">
        <v>2.3315399999999999</v>
      </c>
      <c r="GB125">
        <v>33.850900000000003</v>
      </c>
      <c r="GC125">
        <v>23.973700000000001</v>
      </c>
      <c r="GD125">
        <v>19</v>
      </c>
      <c r="GE125">
        <v>285.12099999999998</v>
      </c>
      <c r="GF125">
        <v>581.82299999999998</v>
      </c>
      <c r="GG125">
        <v>23.7805</v>
      </c>
      <c r="GH125">
        <v>26.155200000000001</v>
      </c>
      <c r="GI125">
        <v>29.9999</v>
      </c>
      <c r="GJ125">
        <v>26.323899999999998</v>
      </c>
      <c r="GK125">
        <v>26.314800000000002</v>
      </c>
      <c r="GL125">
        <v>35.542000000000002</v>
      </c>
      <c r="GM125">
        <v>-30</v>
      </c>
      <c r="GN125">
        <v>-30</v>
      </c>
      <c r="GO125">
        <v>23.801500000000001</v>
      </c>
      <c r="GP125">
        <v>800</v>
      </c>
      <c r="GQ125">
        <v>12.5298</v>
      </c>
      <c r="GR125">
        <v>99.738600000000005</v>
      </c>
      <c r="GS125">
        <v>99.57</v>
      </c>
    </row>
    <row r="126" spans="1:201" x14ac:dyDescent="0.25">
      <c r="A126">
        <v>110</v>
      </c>
      <c r="B126">
        <v>1690219265.0999999</v>
      </c>
      <c r="C126">
        <v>1244.599999904633</v>
      </c>
      <c r="D126" t="s">
        <v>549</v>
      </c>
      <c r="E126" t="s">
        <v>550</v>
      </c>
      <c r="F126" t="s">
        <v>330</v>
      </c>
      <c r="H126">
        <v>1690219265.0999999</v>
      </c>
      <c r="I126">
        <f t="shared" si="30"/>
        <v>1.401907014560269E-3</v>
      </c>
      <c r="J126">
        <f t="shared" si="31"/>
        <v>1.401907014560269</v>
      </c>
      <c r="K126">
        <f t="shared" si="32"/>
        <v>21.665635585954487</v>
      </c>
      <c r="L126">
        <f t="shared" si="33"/>
        <v>557.73</v>
      </c>
      <c r="M126">
        <f t="shared" si="34"/>
        <v>121.60415344895546</v>
      </c>
      <c r="N126">
        <f t="shared" si="35"/>
        <v>12.058200244089104</v>
      </c>
      <c r="O126">
        <f t="shared" si="36"/>
        <v>55.304196702119995</v>
      </c>
      <c r="P126">
        <f t="shared" si="37"/>
        <v>8.2731182841413564E-2</v>
      </c>
      <c r="Q126">
        <f t="shared" si="38"/>
        <v>2.127748137917838</v>
      </c>
      <c r="R126">
        <f t="shared" si="39"/>
        <v>8.0984791382493648E-2</v>
      </c>
      <c r="S126">
        <f t="shared" si="40"/>
        <v>5.0769330500659085E-2</v>
      </c>
      <c r="T126">
        <f t="shared" si="41"/>
        <v>276.11498734200001</v>
      </c>
      <c r="U126">
        <f t="shared" si="42"/>
        <v>27.576310799611512</v>
      </c>
      <c r="V126">
        <f t="shared" si="43"/>
        <v>27.576310799611512</v>
      </c>
      <c r="W126">
        <f t="shared" si="44"/>
        <v>3.7021123809363035</v>
      </c>
      <c r="X126">
        <f t="shared" si="45"/>
        <v>60.752298238301726</v>
      </c>
      <c r="Y126">
        <f t="shared" si="46"/>
        <v>2.0352475880999998</v>
      </c>
      <c r="Z126">
        <f t="shared" si="47"/>
        <v>3.3500750541431588</v>
      </c>
      <c r="AA126">
        <f t="shared" si="48"/>
        <v>1.6668647928363036</v>
      </c>
      <c r="AB126">
        <f t="shared" si="49"/>
        <v>-61.824099342107864</v>
      </c>
      <c r="AC126">
        <f t="shared" si="50"/>
        <v>-194.75784222861836</v>
      </c>
      <c r="AD126">
        <f t="shared" si="51"/>
        <v>-19.700116269511703</v>
      </c>
      <c r="AE126">
        <f t="shared" si="52"/>
        <v>-0.16707049823790499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52450.24211598168</v>
      </c>
      <c r="AK126">
        <f t="shared" si="56"/>
        <v>1800</v>
      </c>
      <c r="AL126">
        <f t="shared" si="57"/>
        <v>1499.1146262</v>
      </c>
      <c r="AM126">
        <f t="shared" si="58"/>
        <v>0.83284145899999995</v>
      </c>
      <c r="AN126">
        <f t="shared" si="59"/>
        <v>0.15339721519000002</v>
      </c>
      <c r="AO126">
        <v>32.4</v>
      </c>
      <c r="AP126">
        <v>0.5</v>
      </c>
      <c r="AQ126" t="s">
        <v>331</v>
      </c>
      <c r="AR126">
        <v>2</v>
      </c>
      <c r="AS126">
        <v>1690219265.0999999</v>
      </c>
      <c r="AT126">
        <v>557.73</v>
      </c>
      <c r="AU126">
        <v>800.03399999999999</v>
      </c>
      <c r="AV126">
        <v>20.524999999999999</v>
      </c>
      <c r="AW126">
        <v>5.7030700000000003</v>
      </c>
      <c r="AX126">
        <v>557.83199999999999</v>
      </c>
      <c r="AY126">
        <v>20.3108</v>
      </c>
      <c r="AZ126">
        <v>300.16000000000003</v>
      </c>
      <c r="BA126">
        <v>99.059399999999997</v>
      </c>
      <c r="BB126">
        <v>0.10004399999999999</v>
      </c>
      <c r="BC126">
        <v>25.878499999999999</v>
      </c>
      <c r="BD126">
        <v>27.001799999999999</v>
      </c>
      <c r="BE126">
        <v>27.2852</v>
      </c>
      <c r="BF126">
        <v>0</v>
      </c>
      <c r="BG126">
        <v>0</v>
      </c>
      <c r="BH126">
        <v>9975</v>
      </c>
      <c r="BI126">
        <v>1064.54</v>
      </c>
      <c r="BJ126">
        <v>1.7380500000000001</v>
      </c>
      <c r="BK126">
        <v>-242.304</v>
      </c>
      <c r="BL126">
        <v>569.41700000000003</v>
      </c>
      <c r="BM126">
        <v>804.62199999999996</v>
      </c>
      <c r="BN126">
        <v>14.821899999999999</v>
      </c>
      <c r="BO126">
        <v>800.03399999999999</v>
      </c>
      <c r="BP126">
        <v>5.7030700000000003</v>
      </c>
      <c r="BQ126">
        <v>2.0331999999999999</v>
      </c>
      <c r="BR126">
        <v>0.56494299999999997</v>
      </c>
      <c r="BS126">
        <v>17.705200000000001</v>
      </c>
      <c r="BT126">
        <v>-1.1332599999999999</v>
      </c>
      <c r="BU126">
        <v>1800</v>
      </c>
      <c r="BV126">
        <v>0.91001299999999996</v>
      </c>
      <c r="BW126">
        <v>3.3990800000000002E-2</v>
      </c>
      <c r="BX126">
        <v>2.19992E-2</v>
      </c>
      <c r="BY126">
        <v>3.3996899999999997E-2</v>
      </c>
      <c r="BZ126">
        <v>25.791699999999999</v>
      </c>
      <c r="CA126">
        <v>33528.5</v>
      </c>
      <c r="CB126">
        <v>1690217592</v>
      </c>
      <c r="CC126" t="s">
        <v>332</v>
      </c>
      <c r="CD126">
        <v>1690217586.5</v>
      </c>
      <c r="CE126">
        <v>1690217592</v>
      </c>
      <c r="CF126">
        <v>9</v>
      </c>
      <c r="CG126">
        <v>0.11600000000000001</v>
      </c>
      <c r="CH126">
        <v>-3.0000000000000001E-3</v>
      </c>
      <c r="CI126">
        <v>-0.27300000000000002</v>
      </c>
      <c r="CJ126">
        <v>-6.9000000000000006E-2</v>
      </c>
      <c r="CK126">
        <v>800</v>
      </c>
      <c r="CL126">
        <v>6</v>
      </c>
      <c r="CM126">
        <v>0.01</v>
      </c>
      <c r="CN126">
        <v>0.01</v>
      </c>
      <c r="CO126">
        <v>-239.05702500000001</v>
      </c>
      <c r="CP126">
        <v>-17.704626641650322</v>
      </c>
      <c r="CQ126">
        <v>1.7036941698482739</v>
      </c>
      <c r="CR126">
        <v>-1</v>
      </c>
      <c r="CS126">
        <v>14.68384</v>
      </c>
      <c r="CT126">
        <v>0.74683001876166633</v>
      </c>
      <c r="CU126">
        <v>7.1861696333999775E-2</v>
      </c>
      <c r="CV126">
        <v>-1</v>
      </c>
      <c r="CW126">
        <v>0</v>
      </c>
      <c r="CX126">
        <v>0</v>
      </c>
      <c r="CY126" t="s">
        <v>333</v>
      </c>
      <c r="CZ126">
        <v>2.3645399999999999</v>
      </c>
      <c r="DA126">
        <v>2.7138100000000001</v>
      </c>
      <c r="DB126">
        <v>0.114352</v>
      </c>
      <c r="DC126">
        <v>0.146068</v>
      </c>
      <c r="DD126">
        <v>0.10177799999999999</v>
      </c>
      <c r="DE126">
        <v>3.78415E-2</v>
      </c>
      <c r="DF126">
        <v>32339.1</v>
      </c>
      <c r="DG126">
        <v>27521.9</v>
      </c>
      <c r="DH126">
        <v>31172.400000000001</v>
      </c>
      <c r="DI126">
        <v>28083.599999999999</v>
      </c>
      <c r="DJ126">
        <v>38015.800000000003</v>
      </c>
      <c r="DK126">
        <v>38424.800000000003</v>
      </c>
      <c r="DL126">
        <v>44361.7</v>
      </c>
      <c r="DM126">
        <v>42563.199999999997</v>
      </c>
      <c r="DN126">
        <v>1.48132</v>
      </c>
      <c r="DO126">
        <v>2.03525</v>
      </c>
      <c r="DP126">
        <v>0.134576</v>
      </c>
      <c r="DQ126">
        <v>0.161443</v>
      </c>
      <c r="DR126">
        <v>24.797000000000001</v>
      </c>
      <c r="DS126">
        <v>24.640499999999999</v>
      </c>
      <c r="DT126">
        <v>16.8</v>
      </c>
      <c r="DU126">
        <v>29.8</v>
      </c>
      <c r="DV126">
        <v>7.1427399999999999</v>
      </c>
      <c r="DW126">
        <v>61.684100000000001</v>
      </c>
      <c r="DX126">
        <v>37.335700000000003</v>
      </c>
      <c r="DY126">
        <v>1</v>
      </c>
      <c r="DZ126">
        <v>-9.6857200000000004E-2</v>
      </c>
      <c r="EA126">
        <v>0.26238</v>
      </c>
      <c r="EB126">
        <v>20.189699999999998</v>
      </c>
      <c r="EC126">
        <v>5.2409499999999998</v>
      </c>
      <c r="ED126">
        <v>12.039899999999999</v>
      </c>
      <c r="EE126">
        <v>5.0173500000000004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1.86893</v>
      </c>
      <c r="EL126">
        <v>1.8646499999999999</v>
      </c>
      <c r="EM126">
        <v>1.8691899999999999</v>
      </c>
      <c r="EN126">
        <v>1.8672299999999999</v>
      </c>
      <c r="EO126">
        <v>1.8633999999999999</v>
      </c>
      <c r="EP126">
        <v>1.86459</v>
      </c>
      <c r="EQ126">
        <v>1.87019</v>
      </c>
      <c r="ER126">
        <v>1.86947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-0.10199999999999999</v>
      </c>
      <c r="FG126">
        <v>0.2142</v>
      </c>
      <c r="FH126">
        <v>0.27827353915413472</v>
      </c>
      <c r="FI126">
        <v>-6.1462078757559423E-4</v>
      </c>
      <c r="FJ126">
        <v>-1.8861989874597051E-7</v>
      </c>
      <c r="FK126">
        <v>1.1980462299894961E-10</v>
      </c>
      <c r="FL126">
        <v>-3.2538871274648329E-2</v>
      </c>
      <c r="FM126">
        <v>-1.6848085045870601E-2</v>
      </c>
      <c r="FN126">
        <v>1.9789084769509481E-3</v>
      </c>
      <c r="FO126">
        <v>-2.7142391389806329E-5</v>
      </c>
      <c r="FP126">
        <v>3</v>
      </c>
      <c r="FQ126">
        <v>2158</v>
      </c>
      <c r="FR126">
        <v>1</v>
      </c>
      <c r="FS126">
        <v>19</v>
      </c>
      <c r="FT126">
        <v>28</v>
      </c>
      <c r="FU126">
        <v>27.9</v>
      </c>
      <c r="FV126">
        <v>1.7773399999999999</v>
      </c>
      <c r="FW126">
        <v>2.5891099999999998</v>
      </c>
      <c r="FX126">
        <v>1.5490699999999999</v>
      </c>
      <c r="FY126">
        <v>2.3290999999999999</v>
      </c>
      <c r="FZ126">
        <v>1.50146</v>
      </c>
      <c r="GA126">
        <v>2.2839399999999999</v>
      </c>
      <c r="GB126">
        <v>33.850900000000003</v>
      </c>
      <c r="GC126">
        <v>23.973700000000001</v>
      </c>
      <c r="GD126">
        <v>19</v>
      </c>
      <c r="GE126">
        <v>284.935</v>
      </c>
      <c r="GF126">
        <v>581.93100000000004</v>
      </c>
      <c r="GG126">
        <v>23.804099999999998</v>
      </c>
      <c r="GH126">
        <v>26.151900000000001</v>
      </c>
      <c r="GI126">
        <v>30</v>
      </c>
      <c r="GJ126">
        <v>26.320399999999999</v>
      </c>
      <c r="GK126">
        <v>26.311499999999999</v>
      </c>
      <c r="GL126">
        <v>35.5413</v>
      </c>
      <c r="GM126">
        <v>-30</v>
      </c>
      <c r="GN126">
        <v>-30</v>
      </c>
      <c r="GO126">
        <v>23.8157</v>
      </c>
      <c r="GP126">
        <v>800</v>
      </c>
      <c r="GQ126">
        <v>12.5298</v>
      </c>
      <c r="GR126">
        <v>99.739000000000004</v>
      </c>
      <c r="GS126">
        <v>99.571799999999996</v>
      </c>
    </row>
    <row r="127" spans="1:201" x14ac:dyDescent="0.25">
      <c r="A127">
        <v>111</v>
      </c>
      <c r="B127">
        <v>1690219275.0999999</v>
      </c>
      <c r="C127">
        <v>1254.599999904633</v>
      </c>
      <c r="D127" t="s">
        <v>551</v>
      </c>
      <c r="E127" t="s">
        <v>552</v>
      </c>
      <c r="F127" t="s">
        <v>330</v>
      </c>
      <c r="H127">
        <v>1690219275.0999999</v>
      </c>
      <c r="I127">
        <f t="shared" si="30"/>
        <v>1.4135378402978123E-3</v>
      </c>
      <c r="J127">
        <f t="shared" si="31"/>
        <v>1.4135378402978123</v>
      </c>
      <c r="K127">
        <f t="shared" si="32"/>
        <v>21.930840509637711</v>
      </c>
      <c r="L127">
        <f t="shared" si="33"/>
        <v>554.88099999999997</v>
      </c>
      <c r="M127">
        <f t="shared" si="34"/>
        <v>120.19476132524383</v>
      </c>
      <c r="N127">
        <f t="shared" si="35"/>
        <v>11.918537653716296</v>
      </c>
      <c r="O127">
        <f t="shared" si="36"/>
        <v>55.022115930129004</v>
      </c>
      <c r="P127">
        <f t="shared" si="37"/>
        <v>8.4024345196398398E-2</v>
      </c>
      <c r="Q127">
        <f t="shared" si="38"/>
        <v>2.1309650551761905</v>
      </c>
      <c r="R127">
        <f t="shared" si="39"/>
        <v>8.2226227757642295E-2</v>
      </c>
      <c r="S127">
        <f t="shared" si="40"/>
        <v>5.1549741130071727E-2</v>
      </c>
      <c r="T127">
        <f t="shared" si="41"/>
        <v>276.115139946</v>
      </c>
      <c r="U127">
        <f t="shared" si="42"/>
        <v>27.577412449227644</v>
      </c>
      <c r="V127">
        <f t="shared" si="43"/>
        <v>27.577412449227644</v>
      </c>
      <c r="W127">
        <f t="shared" si="44"/>
        <v>3.7023508969649934</v>
      </c>
      <c r="X127">
        <f t="shared" si="45"/>
        <v>61.07963866880052</v>
      </c>
      <c r="Y127">
        <f t="shared" si="46"/>
        <v>2.0471228507214003</v>
      </c>
      <c r="Z127">
        <f t="shared" si="47"/>
        <v>3.3515634593415999</v>
      </c>
      <c r="AA127">
        <f t="shared" si="48"/>
        <v>1.6552280462435931</v>
      </c>
      <c r="AB127">
        <f t="shared" si="49"/>
        <v>-62.337018757133521</v>
      </c>
      <c r="AC127">
        <f t="shared" si="50"/>
        <v>-194.31722246003949</v>
      </c>
      <c r="AD127">
        <f t="shared" si="51"/>
        <v>-19.626718301774691</v>
      </c>
      <c r="AE127">
        <f t="shared" si="52"/>
        <v>-0.16581957294772565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52588.015058170829</v>
      </c>
      <c r="AK127">
        <f t="shared" si="56"/>
        <v>1800</v>
      </c>
      <c r="AL127">
        <f t="shared" si="57"/>
        <v>1499.1123365999999</v>
      </c>
      <c r="AM127">
        <f t="shared" si="58"/>
        <v>0.83284018699999995</v>
      </c>
      <c r="AN127">
        <f t="shared" si="59"/>
        <v>0.15339729997000001</v>
      </c>
      <c r="AO127">
        <v>32.4</v>
      </c>
      <c r="AP127">
        <v>0.5</v>
      </c>
      <c r="AQ127" t="s">
        <v>331</v>
      </c>
      <c r="AR127">
        <v>2</v>
      </c>
      <c r="AS127">
        <v>1690219275.0999999</v>
      </c>
      <c r="AT127">
        <v>554.88099999999997</v>
      </c>
      <c r="AU127">
        <v>800.053</v>
      </c>
      <c r="AV127">
        <v>20.644600000000001</v>
      </c>
      <c r="AW127">
        <v>5.70282</v>
      </c>
      <c r="AX127">
        <v>554.98099999999999</v>
      </c>
      <c r="AY127">
        <v>20.4269</v>
      </c>
      <c r="AZ127">
        <v>300.18599999999998</v>
      </c>
      <c r="BA127">
        <v>99.060100000000006</v>
      </c>
      <c r="BB127">
        <v>0.100109</v>
      </c>
      <c r="BC127">
        <v>25.885999999999999</v>
      </c>
      <c r="BD127">
        <v>26.988900000000001</v>
      </c>
      <c r="BE127">
        <v>27.2682</v>
      </c>
      <c r="BF127">
        <v>0</v>
      </c>
      <c r="BG127">
        <v>0</v>
      </c>
      <c r="BH127">
        <v>10002.5</v>
      </c>
      <c r="BI127">
        <v>1064.55</v>
      </c>
      <c r="BJ127">
        <v>1.7380500000000001</v>
      </c>
      <c r="BK127">
        <v>-245.172</v>
      </c>
      <c r="BL127">
        <v>566.57799999999997</v>
      </c>
      <c r="BM127">
        <v>804.64099999999996</v>
      </c>
      <c r="BN127">
        <v>14.941800000000001</v>
      </c>
      <c r="BO127">
        <v>800.053</v>
      </c>
      <c r="BP127">
        <v>5.70282</v>
      </c>
      <c r="BQ127">
        <v>2.0450599999999999</v>
      </c>
      <c r="BR127">
        <v>0.56492200000000004</v>
      </c>
      <c r="BS127">
        <v>17.797599999999999</v>
      </c>
      <c r="BT127">
        <v>-1.1337699999999999</v>
      </c>
      <c r="BU127">
        <v>1800</v>
      </c>
      <c r="BV127">
        <v>0.91000400000000004</v>
      </c>
      <c r="BW127">
        <v>3.40016E-2</v>
      </c>
      <c r="BX127">
        <v>2.19986E-2</v>
      </c>
      <c r="BY127">
        <v>3.3995900000000003E-2</v>
      </c>
      <c r="BZ127">
        <v>25.833300000000001</v>
      </c>
      <c r="CA127">
        <v>33528.400000000001</v>
      </c>
      <c r="CB127">
        <v>1690217592</v>
      </c>
      <c r="CC127" t="s">
        <v>332</v>
      </c>
      <c r="CD127">
        <v>1690217586.5</v>
      </c>
      <c r="CE127">
        <v>1690217592</v>
      </c>
      <c r="CF127">
        <v>9</v>
      </c>
      <c r="CG127">
        <v>0.11600000000000001</v>
      </c>
      <c r="CH127">
        <v>-3.0000000000000001E-3</v>
      </c>
      <c r="CI127">
        <v>-0.27300000000000002</v>
      </c>
      <c r="CJ127">
        <v>-6.9000000000000006E-2</v>
      </c>
      <c r="CK127">
        <v>800</v>
      </c>
      <c r="CL127">
        <v>6</v>
      </c>
      <c r="CM127">
        <v>0.01</v>
      </c>
      <c r="CN127">
        <v>0.01</v>
      </c>
      <c r="CO127">
        <v>-242.0891707317073</v>
      </c>
      <c r="CP127">
        <v>-17.79447386759594</v>
      </c>
      <c r="CQ127">
        <v>1.754855909621529</v>
      </c>
      <c r="CR127">
        <v>-1</v>
      </c>
      <c r="CS127">
        <v>14.813073170731711</v>
      </c>
      <c r="CT127">
        <v>0.76357212543558095</v>
      </c>
      <c r="CU127">
        <v>7.5307661724001926E-2</v>
      </c>
      <c r="CV127">
        <v>-1</v>
      </c>
      <c r="CW127">
        <v>0</v>
      </c>
      <c r="CX127">
        <v>0</v>
      </c>
      <c r="CY127" t="s">
        <v>333</v>
      </c>
      <c r="CZ127">
        <v>2.3646400000000001</v>
      </c>
      <c r="DA127">
        <v>2.7139000000000002</v>
      </c>
      <c r="DB127">
        <v>0.113937</v>
      </c>
      <c r="DC127">
        <v>0.14607200000000001</v>
      </c>
      <c r="DD127">
        <v>0.10219399999999999</v>
      </c>
      <c r="DE127">
        <v>3.7840699999999998E-2</v>
      </c>
      <c r="DF127">
        <v>32354.5</v>
      </c>
      <c r="DG127">
        <v>27521.9</v>
      </c>
      <c r="DH127">
        <v>31172.6</v>
      </c>
      <c r="DI127">
        <v>28083.7</v>
      </c>
      <c r="DJ127">
        <v>37998.1</v>
      </c>
      <c r="DK127">
        <v>38424.9</v>
      </c>
      <c r="DL127">
        <v>44361.8</v>
      </c>
      <c r="DM127">
        <v>42563.3</v>
      </c>
      <c r="DN127">
        <v>1.48153</v>
      </c>
      <c r="DO127">
        <v>2.0350999999999999</v>
      </c>
      <c r="DP127">
        <v>0.133883</v>
      </c>
      <c r="DQ127">
        <v>0.160247</v>
      </c>
      <c r="DR127">
        <v>24.795400000000001</v>
      </c>
      <c r="DS127">
        <v>24.643000000000001</v>
      </c>
      <c r="DT127">
        <v>16.8</v>
      </c>
      <c r="DU127">
        <v>29.8</v>
      </c>
      <c r="DV127">
        <v>7.1431699999999996</v>
      </c>
      <c r="DW127">
        <v>61.4041</v>
      </c>
      <c r="DX127">
        <v>37.171500000000002</v>
      </c>
      <c r="DY127">
        <v>1</v>
      </c>
      <c r="DZ127">
        <v>-9.7017300000000001E-2</v>
      </c>
      <c r="EA127">
        <v>0.34010099999999999</v>
      </c>
      <c r="EB127">
        <v>20.189499999999999</v>
      </c>
      <c r="EC127">
        <v>5.2409499999999998</v>
      </c>
      <c r="ED127">
        <v>12.039899999999999</v>
      </c>
      <c r="EE127">
        <v>5.0171999999999999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1.86893</v>
      </c>
      <c r="EL127">
        <v>1.8646400000000001</v>
      </c>
      <c r="EM127">
        <v>1.8691899999999999</v>
      </c>
      <c r="EN127">
        <v>1.8672299999999999</v>
      </c>
      <c r="EO127">
        <v>1.8633999999999999</v>
      </c>
      <c r="EP127">
        <v>1.8645799999999999</v>
      </c>
      <c r="EQ127">
        <v>1.8702099999999999</v>
      </c>
      <c r="ER127">
        <v>1.86947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-0.1</v>
      </c>
      <c r="FG127">
        <v>0.2177</v>
      </c>
      <c r="FH127">
        <v>0.27827353915413472</v>
      </c>
      <c r="FI127">
        <v>-6.1462078757559423E-4</v>
      </c>
      <c r="FJ127">
        <v>-1.8861989874597051E-7</v>
      </c>
      <c r="FK127">
        <v>1.1980462299894961E-10</v>
      </c>
      <c r="FL127">
        <v>-3.2538871274648329E-2</v>
      </c>
      <c r="FM127">
        <v>-1.6848085045870601E-2</v>
      </c>
      <c r="FN127">
        <v>1.9789084769509481E-3</v>
      </c>
      <c r="FO127">
        <v>-2.7142391389806329E-5</v>
      </c>
      <c r="FP127">
        <v>3</v>
      </c>
      <c r="FQ127">
        <v>2158</v>
      </c>
      <c r="FR127">
        <v>1</v>
      </c>
      <c r="FS127">
        <v>19</v>
      </c>
      <c r="FT127">
        <v>28.1</v>
      </c>
      <c r="FU127">
        <v>28.1</v>
      </c>
      <c r="FV127">
        <v>1.7773399999999999</v>
      </c>
      <c r="FW127">
        <v>2.5891099999999998</v>
      </c>
      <c r="FX127">
        <v>1.5490699999999999</v>
      </c>
      <c r="FY127">
        <v>2.3290999999999999</v>
      </c>
      <c r="FZ127">
        <v>1.50146</v>
      </c>
      <c r="GA127">
        <v>2.2912599999999999</v>
      </c>
      <c r="GB127">
        <v>33.850900000000003</v>
      </c>
      <c r="GC127">
        <v>23.973700000000001</v>
      </c>
      <c r="GD127">
        <v>19</v>
      </c>
      <c r="GE127">
        <v>285.00799999999998</v>
      </c>
      <c r="GF127">
        <v>581.76900000000001</v>
      </c>
      <c r="GG127">
        <v>23.806699999999999</v>
      </c>
      <c r="GH127">
        <v>26.1493</v>
      </c>
      <c r="GI127">
        <v>30.0002</v>
      </c>
      <c r="GJ127">
        <v>26.317599999999999</v>
      </c>
      <c r="GK127">
        <v>26.308199999999999</v>
      </c>
      <c r="GL127">
        <v>35.539499999999997</v>
      </c>
      <c r="GM127">
        <v>-30</v>
      </c>
      <c r="GN127">
        <v>-30</v>
      </c>
      <c r="GO127">
        <v>23.801600000000001</v>
      </c>
      <c r="GP127">
        <v>800</v>
      </c>
      <c r="GQ127">
        <v>12.5298</v>
      </c>
      <c r="GR127">
        <v>99.739400000000003</v>
      </c>
      <c r="GS127">
        <v>99.572199999999995</v>
      </c>
    </row>
    <row r="128" spans="1:201" x14ac:dyDescent="0.25">
      <c r="A128">
        <v>112</v>
      </c>
      <c r="B128">
        <v>1690219285.0999999</v>
      </c>
      <c r="C128">
        <v>1264.599999904633</v>
      </c>
      <c r="D128" t="s">
        <v>553</v>
      </c>
      <c r="E128" t="s">
        <v>554</v>
      </c>
      <c r="F128" t="s">
        <v>330</v>
      </c>
      <c r="H128">
        <v>1690219285.0999999</v>
      </c>
      <c r="I128">
        <f t="shared" si="30"/>
        <v>1.4257480497813209E-3</v>
      </c>
      <c r="J128">
        <f t="shared" si="31"/>
        <v>1.4257480497813209</v>
      </c>
      <c r="K128">
        <f t="shared" si="32"/>
        <v>22.20204412712086</v>
      </c>
      <c r="L128">
        <f t="shared" si="33"/>
        <v>551.90099999999995</v>
      </c>
      <c r="M128">
        <f t="shared" si="34"/>
        <v>119.25947233713731</v>
      </c>
      <c r="N128">
        <f t="shared" si="35"/>
        <v>11.825703922759697</v>
      </c>
      <c r="O128">
        <f t="shared" si="36"/>
        <v>54.726200718251995</v>
      </c>
      <c r="P128">
        <f t="shared" si="37"/>
        <v>8.5470888312639035E-2</v>
      </c>
      <c r="Q128">
        <f t="shared" si="38"/>
        <v>2.1367700488084371</v>
      </c>
      <c r="R128">
        <f t="shared" si="39"/>
        <v>8.3615998783075587E-2</v>
      </c>
      <c r="S128">
        <f t="shared" si="40"/>
        <v>5.2423300918207752E-2</v>
      </c>
      <c r="T128">
        <f t="shared" si="41"/>
        <v>276.115202388</v>
      </c>
      <c r="U128">
        <f t="shared" si="42"/>
        <v>27.571780981181309</v>
      </c>
      <c r="V128">
        <f t="shared" si="43"/>
        <v>27.571780981181309</v>
      </c>
      <c r="W128">
        <f t="shared" si="44"/>
        <v>3.7011317796226186</v>
      </c>
      <c r="X128">
        <f t="shared" si="45"/>
        <v>61.437625551818932</v>
      </c>
      <c r="Y128">
        <f t="shared" si="46"/>
        <v>2.0594624904784</v>
      </c>
      <c r="Z128">
        <f t="shared" si="47"/>
        <v>3.3521192786680332</v>
      </c>
      <c r="AA128">
        <f t="shared" si="48"/>
        <v>1.6416692891442186</v>
      </c>
      <c r="AB128">
        <f t="shared" si="49"/>
        <v>-62.87548899535625</v>
      </c>
      <c r="AC128">
        <f t="shared" si="50"/>
        <v>-193.87528046324212</v>
      </c>
      <c r="AD128">
        <f t="shared" si="51"/>
        <v>-19.528603430973963</v>
      </c>
      <c r="AE128">
        <f t="shared" si="52"/>
        <v>-0.16417050157235735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52839.076964987551</v>
      </c>
      <c r="AK128">
        <f t="shared" si="56"/>
        <v>1800</v>
      </c>
      <c r="AL128">
        <f t="shared" si="57"/>
        <v>1499.1103097999999</v>
      </c>
      <c r="AM128">
        <f t="shared" si="58"/>
        <v>0.83283906099999994</v>
      </c>
      <c r="AN128">
        <f t="shared" si="59"/>
        <v>0.15339733466</v>
      </c>
      <c r="AO128">
        <v>32.4</v>
      </c>
      <c r="AP128">
        <v>0.5</v>
      </c>
      <c r="AQ128" t="s">
        <v>331</v>
      </c>
      <c r="AR128">
        <v>2</v>
      </c>
      <c r="AS128">
        <v>1690219285.0999999</v>
      </c>
      <c r="AT128">
        <v>551.90099999999995</v>
      </c>
      <c r="AU128">
        <v>799.98199999999997</v>
      </c>
      <c r="AV128">
        <v>20.769200000000001</v>
      </c>
      <c r="AW128">
        <v>5.70303</v>
      </c>
      <c r="AX128">
        <v>551.99900000000002</v>
      </c>
      <c r="AY128">
        <v>20.547899999999998</v>
      </c>
      <c r="AZ128">
        <v>300.24099999999999</v>
      </c>
      <c r="BA128">
        <v>99.059399999999997</v>
      </c>
      <c r="BB128">
        <v>0.100052</v>
      </c>
      <c r="BC128">
        <v>25.8888</v>
      </c>
      <c r="BD128">
        <v>26.9193</v>
      </c>
      <c r="BE128">
        <v>27.2834</v>
      </c>
      <c r="BF128">
        <v>0</v>
      </c>
      <c r="BG128">
        <v>0</v>
      </c>
      <c r="BH128">
        <v>10052.5</v>
      </c>
      <c r="BI128">
        <v>1064.6500000000001</v>
      </c>
      <c r="BJ128">
        <v>1.7380500000000001</v>
      </c>
      <c r="BK128">
        <v>-248.08099999999999</v>
      </c>
      <c r="BL128">
        <v>563.60699999999997</v>
      </c>
      <c r="BM128">
        <v>804.57</v>
      </c>
      <c r="BN128">
        <v>15.0662</v>
      </c>
      <c r="BO128">
        <v>799.98199999999997</v>
      </c>
      <c r="BP128">
        <v>5.70303</v>
      </c>
      <c r="BQ128">
        <v>2.0573800000000002</v>
      </c>
      <c r="BR128">
        <v>0.56493800000000005</v>
      </c>
      <c r="BS128">
        <v>17.893000000000001</v>
      </c>
      <c r="BT128">
        <v>-1.1333800000000001</v>
      </c>
      <c r="BU128">
        <v>1800</v>
      </c>
      <c r="BV128">
        <v>0.90999699999999994</v>
      </c>
      <c r="BW128">
        <v>3.4009299999999999E-2</v>
      </c>
      <c r="BX128">
        <v>2.1998299999999998E-2</v>
      </c>
      <c r="BY128">
        <v>3.3995400000000002E-2</v>
      </c>
      <c r="BZ128">
        <v>25.833300000000001</v>
      </c>
      <c r="CA128">
        <v>33528.300000000003</v>
      </c>
      <c r="CB128">
        <v>1690217592</v>
      </c>
      <c r="CC128" t="s">
        <v>332</v>
      </c>
      <c r="CD128">
        <v>1690217586.5</v>
      </c>
      <c r="CE128">
        <v>1690217592</v>
      </c>
      <c r="CF128">
        <v>9</v>
      </c>
      <c r="CG128">
        <v>0.11600000000000001</v>
      </c>
      <c r="CH128">
        <v>-3.0000000000000001E-3</v>
      </c>
      <c r="CI128">
        <v>-0.27300000000000002</v>
      </c>
      <c r="CJ128">
        <v>-6.9000000000000006E-2</v>
      </c>
      <c r="CK128">
        <v>800</v>
      </c>
      <c r="CL128">
        <v>6</v>
      </c>
      <c r="CM128">
        <v>0.01</v>
      </c>
      <c r="CN128">
        <v>0.01</v>
      </c>
      <c r="CO128">
        <v>-244.75178048780489</v>
      </c>
      <c r="CP128">
        <v>-17.611358885017999</v>
      </c>
      <c r="CQ128">
        <v>1.7368291336856589</v>
      </c>
      <c r="CR128">
        <v>-1</v>
      </c>
      <c r="CS128">
        <v>14.925873170731711</v>
      </c>
      <c r="CT128">
        <v>0.7350794425087176</v>
      </c>
      <c r="CU128">
        <v>7.2489942193484799E-2</v>
      </c>
      <c r="CV128">
        <v>-1</v>
      </c>
      <c r="CW128">
        <v>0</v>
      </c>
      <c r="CX128">
        <v>0</v>
      </c>
      <c r="CY128" t="s">
        <v>333</v>
      </c>
      <c r="CZ128">
        <v>2.3648099999999999</v>
      </c>
      <c r="DA128">
        <v>2.7138900000000001</v>
      </c>
      <c r="DB128">
        <v>0.1135</v>
      </c>
      <c r="DC128">
        <v>0.146063</v>
      </c>
      <c r="DD128">
        <v>0.10262499999999999</v>
      </c>
      <c r="DE128">
        <v>3.7841800000000002E-2</v>
      </c>
      <c r="DF128">
        <v>32371</v>
      </c>
      <c r="DG128">
        <v>27521.9</v>
      </c>
      <c r="DH128">
        <v>31173.1</v>
      </c>
      <c r="DI128">
        <v>28083.4</v>
      </c>
      <c r="DJ128">
        <v>37980.400000000001</v>
      </c>
      <c r="DK128">
        <v>38424.699999999997</v>
      </c>
      <c r="DL128">
        <v>44362.8</v>
      </c>
      <c r="DM128">
        <v>42563.1</v>
      </c>
      <c r="DN128">
        <v>1.4817499999999999</v>
      </c>
      <c r="DO128">
        <v>2.0350299999999999</v>
      </c>
      <c r="DP128">
        <v>0.129659</v>
      </c>
      <c r="DQ128">
        <v>0.16117799999999999</v>
      </c>
      <c r="DR128">
        <v>24.794899999999998</v>
      </c>
      <c r="DS128">
        <v>24.643000000000001</v>
      </c>
      <c r="DT128">
        <v>16.8</v>
      </c>
      <c r="DU128">
        <v>29.8</v>
      </c>
      <c r="DV128">
        <v>7.1429200000000002</v>
      </c>
      <c r="DW128">
        <v>61.454099999999997</v>
      </c>
      <c r="DX128">
        <v>37.103400000000001</v>
      </c>
      <c r="DY128">
        <v>1</v>
      </c>
      <c r="DZ128">
        <v>-9.7172300000000003E-2</v>
      </c>
      <c r="EA128">
        <v>0.22715399999999999</v>
      </c>
      <c r="EB128">
        <v>20.189699999999998</v>
      </c>
      <c r="EC128">
        <v>5.24125</v>
      </c>
      <c r="ED128">
        <v>12.039899999999999</v>
      </c>
      <c r="EE128">
        <v>5.0171999999999999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1.86893</v>
      </c>
      <c r="EL128">
        <v>1.86466</v>
      </c>
      <c r="EM128">
        <v>1.8692</v>
      </c>
      <c r="EN128">
        <v>1.8672500000000001</v>
      </c>
      <c r="EO128">
        <v>1.86341</v>
      </c>
      <c r="EP128">
        <v>1.8645799999999999</v>
      </c>
      <c r="EQ128">
        <v>1.87018</v>
      </c>
      <c r="ER128">
        <v>1.8694599999999999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-9.8000000000000004E-2</v>
      </c>
      <c r="FG128">
        <v>0.2213</v>
      </c>
      <c r="FH128">
        <v>0.27827353915413472</v>
      </c>
      <c r="FI128">
        <v>-6.1462078757559423E-4</v>
      </c>
      <c r="FJ128">
        <v>-1.8861989874597051E-7</v>
      </c>
      <c r="FK128">
        <v>1.1980462299894961E-10</v>
      </c>
      <c r="FL128">
        <v>-3.2538871274648329E-2</v>
      </c>
      <c r="FM128">
        <v>-1.6848085045870601E-2</v>
      </c>
      <c r="FN128">
        <v>1.9789084769509481E-3</v>
      </c>
      <c r="FO128">
        <v>-2.7142391389806329E-5</v>
      </c>
      <c r="FP128">
        <v>3</v>
      </c>
      <c r="FQ128">
        <v>2158</v>
      </c>
      <c r="FR128">
        <v>1</v>
      </c>
      <c r="FS128">
        <v>19</v>
      </c>
      <c r="FT128">
        <v>28.3</v>
      </c>
      <c r="FU128">
        <v>28.2</v>
      </c>
      <c r="FV128">
        <v>1.7773399999999999</v>
      </c>
      <c r="FW128">
        <v>2.5915499999999998</v>
      </c>
      <c r="FX128">
        <v>1.5490699999999999</v>
      </c>
      <c r="FY128">
        <v>2.3290999999999999</v>
      </c>
      <c r="FZ128">
        <v>1.50146</v>
      </c>
      <c r="GA128">
        <v>2.2802699999999998</v>
      </c>
      <c r="GB128">
        <v>33.850900000000003</v>
      </c>
      <c r="GC128">
        <v>23.973700000000001</v>
      </c>
      <c r="GD128">
        <v>19</v>
      </c>
      <c r="GE128">
        <v>285.09300000000002</v>
      </c>
      <c r="GF128">
        <v>581.68299999999999</v>
      </c>
      <c r="GG128">
        <v>23.813700000000001</v>
      </c>
      <c r="GH128">
        <v>26.147099999999998</v>
      </c>
      <c r="GI128">
        <v>29.9999</v>
      </c>
      <c r="GJ128">
        <v>26.315100000000001</v>
      </c>
      <c r="GK128">
        <v>26.306000000000001</v>
      </c>
      <c r="GL128">
        <v>35.5426</v>
      </c>
      <c r="GM128">
        <v>-30</v>
      </c>
      <c r="GN128">
        <v>-30</v>
      </c>
      <c r="GO128">
        <v>23.863099999999999</v>
      </c>
      <c r="GP128">
        <v>800</v>
      </c>
      <c r="GQ128">
        <v>12.5298</v>
      </c>
      <c r="GR128">
        <v>99.741200000000006</v>
      </c>
      <c r="GS128">
        <v>99.5715</v>
      </c>
    </row>
    <row r="129" spans="1:201" x14ac:dyDescent="0.25">
      <c r="A129">
        <v>113</v>
      </c>
      <c r="B129">
        <v>1690219295.0999999</v>
      </c>
      <c r="C129">
        <v>1274.599999904633</v>
      </c>
      <c r="D129" t="s">
        <v>555</v>
      </c>
      <c r="E129" t="s">
        <v>556</v>
      </c>
      <c r="F129" t="s">
        <v>330</v>
      </c>
      <c r="H129">
        <v>1690219295.0999999</v>
      </c>
      <c r="I129">
        <f t="shared" si="30"/>
        <v>1.4375291532835403E-3</v>
      </c>
      <c r="J129">
        <f t="shared" si="31"/>
        <v>1.4375291532835404</v>
      </c>
      <c r="K129">
        <f t="shared" si="32"/>
        <v>22.468876809545549</v>
      </c>
      <c r="L129">
        <f t="shared" si="33"/>
        <v>549.00400000000002</v>
      </c>
      <c r="M129">
        <f t="shared" si="34"/>
        <v>117.6108458475682</v>
      </c>
      <c r="N129">
        <f t="shared" si="35"/>
        <v>11.662553581775917</v>
      </c>
      <c r="O129">
        <f t="shared" si="36"/>
        <v>54.440460150314401</v>
      </c>
      <c r="P129">
        <f t="shared" si="37"/>
        <v>8.6758215938849123E-2</v>
      </c>
      <c r="Q129">
        <f t="shared" si="38"/>
        <v>2.1307695107965094</v>
      </c>
      <c r="R129">
        <f t="shared" si="39"/>
        <v>8.4842451059349386E-2</v>
      </c>
      <c r="S129">
        <f t="shared" si="40"/>
        <v>5.3195132389364866E-2</v>
      </c>
      <c r="T129">
        <f t="shared" si="41"/>
        <v>276.11515206000001</v>
      </c>
      <c r="U129">
        <f t="shared" si="42"/>
        <v>27.580863913221375</v>
      </c>
      <c r="V129">
        <f t="shared" si="43"/>
        <v>27.580863913221375</v>
      </c>
      <c r="W129">
        <f t="shared" si="44"/>
        <v>3.7030982535842609</v>
      </c>
      <c r="X129">
        <f t="shared" si="45"/>
        <v>61.775073198663307</v>
      </c>
      <c r="Y129">
        <f t="shared" si="46"/>
        <v>2.0718658556998197</v>
      </c>
      <c r="Z129">
        <f t="shared" si="47"/>
        <v>3.3538865248073084</v>
      </c>
      <c r="AA129">
        <f t="shared" si="48"/>
        <v>1.6312323978844412</v>
      </c>
      <c r="AB129">
        <f t="shared" si="49"/>
        <v>-63.395035659804122</v>
      </c>
      <c r="AC129">
        <f t="shared" si="50"/>
        <v>-193.35184856749163</v>
      </c>
      <c r="AD129">
        <f t="shared" si="51"/>
        <v>-19.53248385319387</v>
      </c>
      <c r="AE129">
        <f t="shared" si="52"/>
        <v>-0.16421602048961859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52577.543988854151</v>
      </c>
      <c r="AK129">
        <f t="shared" si="56"/>
        <v>1800</v>
      </c>
      <c r="AL129">
        <f t="shared" si="57"/>
        <v>1499.1104339999997</v>
      </c>
      <c r="AM129">
        <f t="shared" si="58"/>
        <v>0.83283912999999987</v>
      </c>
      <c r="AN129">
        <f t="shared" si="59"/>
        <v>0.15339730670000001</v>
      </c>
      <c r="AO129">
        <v>32.4</v>
      </c>
      <c r="AP129">
        <v>0.5</v>
      </c>
      <c r="AQ129" t="s">
        <v>331</v>
      </c>
      <c r="AR129">
        <v>2</v>
      </c>
      <c r="AS129">
        <v>1690219295.0999999</v>
      </c>
      <c r="AT129">
        <v>549.00400000000002</v>
      </c>
      <c r="AU129">
        <v>800.029</v>
      </c>
      <c r="AV129">
        <v>20.893699999999999</v>
      </c>
      <c r="AW129">
        <v>5.7025899999999998</v>
      </c>
      <c r="AX129">
        <v>549.101</v>
      </c>
      <c r="AY129">
        <v>20.668800000000001</v>
      </c>
      <c r="AZ129">
        <v>300.19400000000002</v>
      </c>
      <c r="BA129">
        <v>99.062299999999993</v>
      </c>
      <c r="BB129">
        <v>9.9928600000000006E-2</v>
      </c>
      <c r="BC129">
        <v>25.8977</v>
      </c>
      <c r="BD129">
        <v>26.940300000000001</v>
      </c>
      <c r="BE129">
        <v>27.277999999999999</v>
      </c>
      <c r="BF129">
        <v>0</v>
      </c>
      <c r="BG129">
        <v>0</v>
      </c>
      <c r="BH129">
        <v>10000.6</v>
      </c>
      <c r="BI129">
        <v>1064.76</v>
      </c>
      <c r="BJ129">
        <v>1.70861</v>
      </c>
      <c r="BK129">
        <v>-251.02500000000001</v>
      </c>
      <c r="BL129">
        <v>560.72</v>
      </c>
      <c r="BM129">
        <v>804.61699999999996</v>
      </c>
      <c r="BN129">
        <v>15.1912</v>
      </c>
      <c r="BO129">
        <v>800.029</v>
      </c>
      <c r="BP129">
        <v>5.7025899999999998</v>
      </c>
      <c r="BQ129">
        <v>2.0697800000000002</v>
      </c>
      <c r="BR129">
        <v>0.56491100000000005</v>
      </c>
      <c r="BS129">
        <v>17.988499999999998</v>
      </c>
      <c r="BT129">
        <v>-1.1340399999999999</v>
      </c>
      <c r="BU129">
        <v>1800</v>
      </c>
      <c r="BV129">
        <v>0.90999799999999997</v>
      </c>
      <c r="BW129">
        <v>3.4008999999999998E-2</v>
      </c>
      <c r="BX129">
        <v>2.1998E-2</v>
      </c>
      <c r="BY129">
        <v>3.3994999999999997E-2</v>
      </c>
      <c r="BZ129">
        <v>25.833300000000001</v>
      </c>
      <c r="CA129">
        <v>33528.300000000003</v>
      </c>
      <c r="CB129">
        <v>1690217592</v>
      </c>
      <c r="CC129" t="s">
        <v>332</v>
      </c>
      <c r="CD129">
        <v>1690217586.5</v>
      </c>
      <c r="CE129">
        <v>1690217592</v>
      </c>
      <c r="CF129">
        <v>9</v>
      </c>
      <c r="CG129">
        <v>0.11600000000000001</v>
      </c>
      <c r="CH129">
        <v>-3.0000000000000001E-3</v>
      </c>
      <c r="CI129">
        <v>-0.27300000000000002</v>
      </c>
      <c r="CJ129">
        <v>-6.9000000000000006E-2</v>
      </c>
      <c r="CK129">
        <v>800</v>
      </c>
      <c r="CL129">
        <v>6</v>
      </c>
      <c r="CM129">
        <v>0.01</v>
      </c>
      <c r="CN129">
        <v>0.01</v>
      </c>
      <c r="CO129">
        <v>-247.92070000000001</v>
      </c>
      <c r="CP129">
        <v>-17.710716697935791</v>
      </c>
      <c r="CQ129">
        <v>1.704444443213095</v>
      </c>
      <c r="CR129">
        <v>-1</v>
      </c>
      <c r="CS129">
        <v>15.05808</v>
      </c>
      <c r="CT129">
        <v>0.7442724202626535</v>
      </c>
      <c r="CU129">
        <v>7.1607011528201647E-2</v>
      </c>
      <c r="CV129">
        <v>-1</v>
      </c>
      <c r="CW129">
        <v>0</v>
      </c>
      <c r="CX129">
        <v>0</v>
      </c>
      <c r="CY129" t="s">
        <v>333</v>
      </c>
      <c r="CZ129">
        <v>2.3646500000000001</v>
      </c>
      <c r="DA129">
        <v>2.7137199999999999</v>
      </c>
      <c r="DB129">
        <v>0.113078</v>
      </c>
      <c r="DC129">
        <v>0.14607400000000001</v>
      </c>
      <c r="DD129">
        <v>0.103058</v>
      </c>
      <c r="DE129">
        <v>3.7840699999999998E-2</v>
      </c>
      <c r="DF129">
        <v>32386.6</v>
      </c>
      <c r="DG129">
        <v>27522</v>
      </c>
      <c r="DH129">
        <v>31173.3</v>
      </c>
      <c r="DI129">
        <v>28083.8</v>
      </c>
      <c r="DJ129">
        <v>37962</v>
      </c>
      <c r="DK129">
        <v>38425.199999999997</v>
      </c>
      <c r="DL129">
        <v>44363</v>
      </c>
      <c r="DM129">
        <v>42563.6</v>
      </c>
      <c r="DN129">
        <v>1.4817800000000001</v>
      </c>
      <c r="DO129">
        <v>2.0353500000000002</v>
      </c>
      <c r="DP129">
        <v>0.130944</v>
      </c>
      <c r="DQ129">
        <v>0.16072</v>
      </c>
      <c r="DR129">
        <v>24.794899999999998</v>
      </c>
      <c r="DS129">
        <v>24.645099999999999</v>
      </c>
      <c r="DT129">
        <v>16.8</v>
      </c>
      <c r="DU129">
        <v>29.8</v>
      </c>
      <c r="DV129">
        <v>7.1429200000000002</v>
      </c>
      <c r="DW129">
        <v>61.894100000000002</v>
      </c>
      <c r="DX129">
        <v>36.762799999999999</v>
      </c>
      <c r="DY129">
        <v>1</v>
      </c>
      <c r="DZ129">
        <v>-9.8140199999999997E-2</v>
      </c>
      <c r="EA129">
        <v>3.3752699999999997E-2</v>
      </c>
      <c r="EB129">
        <v>20.190000000000001</v>
      </c>
      <c r="EC129">
        <v>5.2409499999999998</v>
      </c>
      <c r="ED129">
        <v>12.039899999999999</v>
      </c>
      <c r="EE129">
        <v>5.0169499999999996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1.8689100000000001</v>
      </c>
      <c r="EL129">
        <v>1.8646400000000001</v>
      </c>
      <c r="EM129">
        <v>1.8691899999999999</v>
      </c>
      <c r="EN129">
        <v>1.8672500000000001</v>
      </c>
      <c r="EO129">
        <v>1.8633999999999999</v>
      </c>
      <c r="EP129">
        <v>1.8646</v>
      </c>
      <c r="EQ129">
        <v>1.8702099999999999</v>
      </c>
      <c r="ER129">
        <v>1.86948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-9.7000000000000003E-2</v>
      </c>
      <c r="FG129">
        <v>0.22489999999999999</v>
      </c>
      <c r="FH129">
        <v>0.27827353915413472</v>
      </c>
      <c r="FI129">
        <v>-6.1462078757559423E-4</v>
      </c>
      <c r="FJ129">
        <v>-1.8861989874597051E-7</v>
      </c>
      <c r="FK129">
        <v>1.1980462299894961E-10</v>
      </c>
      <c r="FL129">
        <v>-3.2538871274648329E-2</v>
      </c>
      <c r="FM129">
        <v>-1.6848085045870601E-2</v>
      </c>
      <c r="FN129">
        <v>1.9789084769509481E-3</v>
      </c>
      <c r="FO129">
        <v>-2.7142391389806329E-5</v>
      </c>
      <c r="FP129">
        <v>3</v>
      </c>
      <c r="FQ129">
        <v>2158</v>
      </c>
      <c r="FR129">
        <v>1</v>
      </c>
      <c r="FS129">
        <v>19</v>
      </c>
      <c r="FT129">
        <v>28.5</v>
      </c>
      <c r="FU129">
        <v>28.4</v>
      </c>
      <c r="FV129">
        <v>1.7773399999999999</v>
      </c>
      <c r="FW129">
        <v>2.5854499999999998</v>
      </c>
      <c r="FX129">
        <v>1.5490699999999999</v>
      </c>
      <c r="FY129">
        <v>2.3290999999999999</v>
      </c>
      <c r="FZ129">
        <v>1.50146</v>
      </c>
      <c r="GA129">
        <v>2.3083499999999999</v>
      </c>
      <c r="GB129">
        <v>33.850900000000003</v>
      </c>
      <c r="GC129">
        <v>23.982399999999998</v>
      </c>
      <c r="GD129">
        <v>19</v>
      </c>
      <c r="GE129">
        <v>285.09300000000002</v>
      </c>
      <c r="GF129">
        <v>581.91999999999996</v>
      </c>
      <c r="GG129">
        <v>23.897300000000001</v>
      </c>
      <c r="GH129">
        <v>26.1449</v>
      </c>
      <c r="GI129">
        <v>29.999500000000001</v>
      </c>
      <c r="GJ129">
        <v>26.312799999999999</v>
      </c>
      <c r="GK129">
        <v>26.3032</v>
      </c>
      <c r="GL129">
        <v>35.542499999999997</v>
      </c>
      <c r="GM129">
        <v>-30</v>
      </c>
      <c r="GN129">
        <v>-30</v>
      </c>
      <c r="GO129">
        <v>23.938099999999999</v>
      </c>
      <c r="GP129">
        <v>800</v>
      </c>
      <c r="GQ129">
        <v>12.5298</v>
      </c>
      <c r="GR129">
        <v>99.741799999999998</v>
      </c>
      <c r="GS129">
        <v>99.572699999999998</v>
      </c>
    </row>
    <row r="130" spans="1:201" x14ac:dyDescent="0.25">
      <c r="A130">
        <v>114</v>
      </c>
      <c r="B130">
        <v>1690219305.0999999</v>
      </c>
      <c r="C130">
        <v>1284.599999904633</v>
      </c>
      <c r="D130" t="s">
        <v>557</v>
      </c>
      <c r="E130" t="s">
        <v>558</v>
      </c>
      <c r="F130" t="s">
        <v>330</v>
      </c>
      <c r="H130">
        <v>1690219305.0999999</v>
      </c>
      <c r="I130">
        <f t="shared" si="30"/>
        <v>1.4509543137637391E-3</v>
      </c>
      <c r="J130">
        <f t="shared" si="31"/>
        <v>1.4509543137637391</v>
      </c>
      <c r="K130">
        <f t="shared" si="32"/>
        <v>22.739355342538389</v>
      </c>
      <c r="L130">
        <f t="shared" si="33"/>
        <v>546.04300000000001</v>
      </c>
      <c r="M130">
        <f t="shared" si="34"/>
        <v>116.98669302618045</v>
      </c>
      <c r="N130">
        <f t="shared" si="35"/>
        <v>11.600662998615205</v>
      </c>
      <c r="O130">
        <f t="shared" si="36"/>
        <v>54.146849200492007</v>
      </c>
      <c r="P130">
        <f t="shared" si="37"/>
        <v>8.8295591461220027E-2</v>
      </c>
      <c r="Q130">
        <f t="shared" si="38"/>
        <v>2.1308382638875143</v>
      </c>
      <c r="R130">
        <f t="shared" si="39"/>
        <v>8.6312228074515232E-2</v>
      </c>
      <c r="S130">
        <f t="shared" si="40"/>
        <v>5.4119629199577662E-2</v>
      </c>
      <c r="T130">
        <f t="shared" si="41"/>
        <v>276.11515094399999</v>
      </c>
      <c r="U130">
        <f t="shared" si="42"/>
        <v>27.584916543311486</v>
      </c>
      <c r="V130">
        <f t="shared" si="43"/>
        <v>27.584916543311486</v>
      </c>
      <c r="W130">
        <f t="shared" si="44"/>
        <v>3.7039759506736942</v>
      </c>
      <c r="X130">
        <f t="shared" si="45"/>
        <v>62.154249177633972</v>
      </c>
      <c r="Y130">
        <f t="shared" si="46"/>
        <v>2.0856695618276002</v>
      </c>
      <c r="Z130">
        <f t="shared" si="47"/>
        <v>3.3556347143167202</v>
      </c>
      <c r="AA130">
        <f t="shared" si="48"/>
        <v>1.618306388846094</v>
      </c>
      <c r="AB130">
        <f t="shared" si="49"/>
        <v>-63.987085236980896</v>
      </c>
      <c r="AC130">
        <f t="shared" si="50"/>
        <v>-192.81272022541188</v>
      </c>
      <c r="AD130">
        <f t="shared" si="51"/>
        <v>-19.47864433444725</v>
      </c>
      <c r="AE130">
        <f t="shared" si="52"/>
        <v>-0.16329885284005741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52578.968366093519</v>
      </c>
      <c r="AK130">
        <f t="shared" si="56"/>
        <v>1800</v>
      </c>
      <c r="AL130">
        <f t="shared" si="57"/>
        <v>1499.1114203999998</v>
      </c>
      <c r="AM130">
        <f t="shared" si="58"/>
        <v>0.83283967799999992</v>
      </c>
      <c r="AN130">
        <f t="shared" si="59"/>
        <v>0.15339730607999999</v>
      </c>
      <c r="AO130">
        <v>32.4</v>
      </c>
      <c r="AP130">
        <v>0.5</v>
      </c>
      <c r="AQ130" t="s">
        <v>331</v>
      </c>
      <c r="AR130">
        <v>2</v>
      </c>
      <c r="AS130">
        <v>1690219305.0999999</v>
      </c>
      <c r="AT130">
        <v>546.04300000000001</v>
      </c>
      <c r="AU130">
        <v>800.01199999999994</v>
      </c>
      <c r="AV130">
        <v>21.032900000000001</v>
      </c>
      <c r="AW130">
        <v>5.70261</v>
      </c>
      <c r="AX130">
        <v>546.13699999999994</v>
      </c>
      <c r="AY130">
        <v>20.803899999999999</v>
      </c>
      <c r="AZ130">
        <v>300.20400000000001</v>
      </c>
      <c r="BA130">
        <v>99.062200000000004</v>
      </c>
      <c r="BB130">
        <v>0.10004399999999999</v>
      </c>
      <c r="BC130">
        <v>25.906500000000001</v>
      </c>
      <c r="BD130">
        <v>26.985199999999999</v>
      </c>
      <c r="BE130">
        <v>27.278600000000001</v>
      </c>
      <c r="BF130">
        <v>0</v>
      </c>
      <c r="BG130">
        <v>0</v>
      </c>
      <c r="BH130">
        <v>10001.200000000001</v>
      </c>
      <c r="BI130">
        <v>1064.8499999999999</v>
      </c>
      <c r="BJ130">
        <v>1.7380500000000001</v>
      </c>
      <c r="BK130">
        <v>-253.96899999999999</v>
      </c>
      <c r="BL130">
        <v>557.774</v>
      </c>
      <c r="BM130">
        <v>804.6</v>
      </c>
      <c r="BN130">
        <v>15.330299999999999</v>
      </c>
      <c r="BO130">
        <v>800.01199999999994</v>
      </c>
      <c r="BP130">
        <v>5.70261</v>
      </c>
      <c r="BQ130">
        <v>2.0835699999999999</v>
      </c>
      <c r="BR130">
        <v>0.564913</v>
      </c>
      <c r="BS130">
        <v>18.094100000000001</v>
      </c>
      <c r="BT130">
        <v>-1.1339999999999999</v>
      </c>
      <c r="BU130">
        <v>1800</v>
      </c>
      <c r="BV130">
        <v>0.91000099999999995</v>
      </c>
      <c r="BW130">
        <v>3.4007999999999997E-2</v>
      </c>
      <c r="BX130">
        <v>2.19974E-2</v>
      </c>
      <c r="BY130">
        <v>3.3994000000000003E-2</v>
      </c>
      <c r="BZ130">
        <v>26</v>
      </c>
      <c r="CA130">
        <v>33528.300000000003</v>
      </c>
      <c r="CB130">
        <v>1690217592</v>
      </c>
      <c r="CC130" t="s">
        <v>332</v>
      </c>
      <c r="CD130">
        <v>1690217586.5</v>
      </c>
      <c r="CE130">
        <v>1690217592</v>
      </c>
      <c r="CF130">
        <v>9</v>
      </c>
      <c r="CG130">
        <v>0.11600000000000001</v>
      </c>
      <c r="CH130">
        <v>-3.0000000000000001E-3</v>
      </c>
      <c r="CI130">
        <v>-0.27300000000000002</v>
      </c>
      <c r="CJ130">
        <v>-6.9000000000000006E-2</v>
      </c>
      <c r="CK130">
        <v>800</v>
      </c>
      <c r="CL130">
        <v>6</v>
      </c>
      <c r="CM130">
        <v>0.01</v>
      </c>
      <c r="CN130">
        <v>0.01</v>
      </c>
      <c r="CO130">
        <v>-250.62824390243901</v>
      </c>
      <c r="CP130">
        <v>-17.501205574913421</v>
      </c>
      <c r="CQ130">
        <v>1.726343969632707</v>
      </c>
      <c r="CR130">
        <v>-1</v>
      </c>
      <c r="CS130">
        <v>15.175848780487801</v>
      </c>
      <c r="CT130">
        <v>0.78415400696860693</v>
      </c>
      <c r="CU130">
        <v>7.735198019427951E-2</v>
      </c>
      <c r="CV130">
        <v>-1</v>
      </c>
      <c r="CW130">
        <v>0</v>
      </c>
      <c r="CX130">
        <v>0</v>
      </c>
      <c r="CY130" t="s">
        <v>333</v>
      </c>
      <c r="CZ130">
        <v>2.36469</v>
      </c>
      <c r="DA130">
        <v>2.7138399999999998</v>
      </c>
      <c r="DB130">
        <v>0.11264200000000001</v>
      </c>
      <c r="DC130">
        <v>0.14607300000000001</v>
      </c>
      <c r="DD130">
        <v>0.10353800000000001</v>
      </c>
      <c r="DE130">
        <v>3.7841199999999998E-2</v>
      </c>
      <c r="DF130">
        <v>32403</v>
      </c>
      <c r="DG130">
        <v>27522.6</v>
      </c>
      <c r="DH130">
        <v>31173.7</v>
      </c>
      <c r="DI130">
        <v>28084.400000000001</v>
      </c>
      <c r="DJ130">
        <v>37942.199999999997</v>
      </c>
      <c r="DK130">
        <v>38425.9</v>
      </c>
      <c r="DL130">
        <v>44363.9</v>
      </c>
      <c r="DM130">
        <v>42564.4</v>
      </c>
      <c r="DN130">
        <v>1.48197</v>
      </c>
      <c r="DO130">
        <v>2.0351699999999999</v>
      </c>
      <c r="DP130">
        <v>0.133686</v>
      </c>
      <c r="DQ130">
        <v>0.160631</v>
      </c>
      <c r="DR130">
        <v>24.794899999999998</v>
      </c>
      <c r="DS130">
        <v>24.647200000000002</v>
      </c>
      <c r="DT130">
        <v>16.8</v>
      </c>
      <c r="DU130">
        <v>29.8</v>
      </c>
      <c r="DV130">
        <v>7.14276</v>
      </c>
      <c r="DW130">
        <v>61.644100000000002</v>
      </c>
      <c r="DX130">
        <v>36.438299999999998</v>
      </c>
      <c r="DY130">
        <v>1</v>
      </c>
      <c r="DZ130">
        <v>-9.8561999999999997E-2</v>
      </c>
      <c r="EA130">
        <v>5.9893799999999997E-2</v>
      </c>
      <c r="EB130">
        <v>20.190200000000001</v>
      </c>
      <c r="EC130">
        <v>5.2411000000000003</v>
      </c>
      <c r="ED130">
        <v>12.039899999999999</v>
      </c>
      <c r="EE130">
        <v>5.0169499999999996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1.86893</v>
      </c>
      <c r="EL130">
        <v>1.8646499999999999</v>
      </c>
      <c r="EM130">
        <v>1.8691899999999999</v>
      </c>
      <c r="EN130">
        <v>1.8672299999999999</v>
      </c>
      <c r="EO130">
        <v>1.8633999999999999</v>
      </c>
      <c r="EP130">
        <v>1.86459</v>
      </c>
      <c r="EQ130">
        <v>1.87019</v>
      </c>
      <c r="ER130">
        <v>1.8694900000000001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-9.4E-2</v>
      </c>
      <c r="FG130">
        <v>0.22900000000000001</v>
      </c>
      <c r="FH130">
        <v>0.27827353915413472</v>
      </c>
      <c r="FI130">
        <v>-6.1462078757559423E-4</v>
      </c>
      <c r="FJ130">
        <v>-1.8861989874597051E-7</v>
      </c>
      <c r="FK130">
        <v>1.1980462299894961E-10</v>
      </c>
      <c r="FL130">
        <v>-3.2538871274648329E-2</v>
      </c>
      <c r="FM130">
        <v>-1.6848085045870601E-2</v>
      </c>
      <c r="FN130">
        <v>1.9789084769509481E-3</v>
      </c>
      <c r="FO130">
        <v>-2.7142391389806329E-5</v>
      </c>
      <c r="FP130">
        <v>3</v>
      </c>
      <c r="FQ130">
        <v>2158</v>
      </c>
      <c r="FR130">
        <v>1</v>
      </c>
      <c r="FS130">
        <v>19</v>
      </c>
      <c r="FT130">
        <v>28.6</v>
      </c>
      <c r="FU130">
        <v>28.6</v>
      </c>
      <c r="FV130">
        <v>1.7773399999999999</v>
      </c>
      <c r="FW130">
        <v>2.5878899999999998</v>
      </c>
      <c r="FX130">
        <v>1.5490699999999999</v>
      </c>
      <c r="FY130">
        <v>2.3290999999999999</v>
      </c>
      <c r="FZ130">
        <v>1.50146</v>
      </c>
      <c r="GA130">
        <v>2.34497</v>
      </c>
      <c r="GB130">
        <v>33.850900000000003</v>
      </c>
      <c r="GC130">
        <v>23.982399999999998</v>
      </c>
      <c r="GD130">
        <v>19</v>
      </c>
      <c r="GE130">
        <v>285.16699999999997</v>
      </c>
      <c r="GF130">
        <v>581.73199999999997</v>
      </c>
      <c r="GG130">
        <v>23.9693</v>
      </c>
      <c r="GH130">
        <v>26.141999999999999</v>
      </c>
      <c r="GI130">
        <v>29.9998</v>
      </c>
      <c r="GJ130">
        <v>26.309899999999999</v>
      </c>
      <c r="GK130">
        <v>26.299399999999999</v>
      </c>
      <c r="GL130">
        <v>35.540999999999997</v>
      </c>
      <c r="GM130">
        <v>-30</v>
      </c>
      <c r="GN130">
        <v>-30</v>
      </c>
      <c r="GO130">
        <v>23.992100000000001</v>
      </c>
      <c r="GP130">
        <v>800</v>
      </c>
      <c r="GQ130">
        <v>12.5298</v>
      </c>
      <c r="GR130">
        <v>99.743600000000001</v>
      </c>
      <c r="GS130">
        <v>99.574700000000007</v>
      </c>
    </row>
    <row r="131" spans="1:201" x14ac:dyDescent="0.25">
      <c r="A131">
        <v>115</v>
      </c>
      <c r="B131">
        <v>1690219315.0999999</v>
      </c>
      <c r="C131">
        <v>1294.599999904633</v>
      </c>
      <c r="D131" t="s">
        <v>559</v>
      </c>
      <c r="E131" t="s">
        <v>560</v>
      </c>
      <c r="F131" t="s">
        <v>330</v>
      </c>
      <c r="H131">
        <v>1690219315.0999999</v>
      </c>
      <c r="I131">
        <f t="shared" si="30"/>
        <v>1.4654489154294354E-3</v>
      </c>
      <c r="J131">
        <f t="shared" si="31"/>
        <v>1.4654489154294355</v>
      </c>
      <c r="K131">
        <f t="shared" si="32"/>
        <v>23.015454900556279</v>
      </c>
      <c r="L131">
        <f t="shared" si="33"/>
        <v>543.07899999999995</v>
      </c>
      <c r="M131">
        <f t="shared" si="34"/>
        <v>116.87097048263685</v>
      </c>
      <c r="N131">
        <f t="shared" si="35"/>
        <v>11.589088935545975</v>
      </c>
      <c r="O131">
        <f t="shared" si="36"/>
        <v>53.852473407521003</v>
      </c>
      <c r="P131">
        <f t="shared" si="37"/>
        <v>8.9987639099940245E-2</v>
      </c>
      <c r="Q131">
        <f t="shared" si="38"/>
        <v>2.1282820874817849</v>
      </c>
      <c r="R131">
        <f t="shared" si="39"/>
        <v>8.7926074081033104E-2</v>
      </c>
      <c r="S131">
        <f t="shared" si="40"/>
        <v>5.5135086055059165E-2</v>
      </c>
      <c r="T131">
        <f t="shared" si="41"/>
        <v>276.11483695200002</v>
      </c>
      <c r="U131">
        <f t="shared" si="42"/>
        <v>27.588472599753064</v>
      </c>
      <c r="V131">
        <f t="shared" si="43"/>
        <v>27.588472599753064</v>
      </c>
      <c r="W131">
        <f t="shared" si="44"/>
        <v>3.7047462520083707</v>
      </c>
      <c r="X131">
        <f t="shared" si="45"/>
        <v>62.568531356837866</v>
      </c>
      <c r="Y131">
        <f t="shared" si="46"/>
        <v>2.1004169213382</v>
      </c>
      <c r="Z131">
        <f t="shared" si="47"/>
        <v>3.356986133107716</v>
      </c>
      <c r="AA131">
        <f t="shared" si="48"/>
        <v>1.6043293306701707</v>
      </c>
      <c r="AB131">
        <f t="shared" si="49"/>
        <v>-64.626297170438107</v>
      </c>
      <c r="AC131">
        <f t="shared" si="50"/>
        <v>-192.20921011901652</v>
      </c>
      <c r="AD131">
        <f t="shared" si="51"/>
        <v>-19.442004108454565</v>
      </c>
      <c r="AE131">
        <f t="shared" si="52"/>
        <v>-0.16267444590917535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52467.241442759398</v>
      </c>
      <c r="AK131">
        <f t="shared" si="56"/>
        <v>1800</v>
      </c>
      <c r="AL131">
        <f t="shared" si="57"/>
        <v>1499.1107382</v>
      </c>
      <c r="AM131">
        <f t="shared" si="58"/>
        <v>0.83283929899999998</v>
      </c>
      <c r="AN131">
        <f t="shared" si="59"/>
        <v>0.15339713164000002</v>
      </c>
      <c r="AO131">
        <v>32.4</v>
      </c>
      <c r="AP131">
        <v>0.5</v>
      </c>
      <c r="AQ131" t="s">
        <v>331</v>
      </c>
      <c r="AR131">
        <v>2</v>
      </c>
      <c r="AS131">
        <v>1690219315.0999999</v>
      </c>
      <c r="AT131">
        <v>543.07899999999995</v>
      </c>
      <c r="AU131">
        <v>800.03899999999999</v>
      </c>
      <c r="AV131">
        <v>21.181799999999999</v>
      </c>
      <c r="AW131">
        <v>5.7023700000000002</v>
      </c>
      <c r="AX131">
        <v>543.17100000000005</v>
      </c>
      <c r="AY131">
        <v>20.948399999999999</v>
      </c>
      <c r="AZ131">
        <v>300.23599999999999</v>
      </c>
      <c r="BA131">
        <v>99.061300000000003</v>
      </c>
      <c r="BB131">
        <v>0.10009899999999999</v>
      </c>
      <c r="BC131">
        <v>25.9133</v>
      </c>
      <c r="BD131">
        <v>26.960799999999999</v>
      </c>
      <c r="BE131">
        <v>27.292000000000002</v>
      </c>
      <c r="BF131">
        <v>0</v>
      </c>
      <c r="BG131">
        <v>0</v>
      </c>
      <c r="BH131">
        <v>9979.3799999999992</v>
      </c>
      <c r="BI131">
        <v>1064.96</v>
      </c>
      <c r="BJ131">
        <v>1.7380500000000001</v>
      </c>
      <c r="BK131">
        <v>-256.95999999999998</v>
      </c>
      <c r="BL131">
        <v>554.83100000000002</v>
      </c>
      <c r="BM131">
        <v>804.62699999999995</v>
      </c>
      <c r="BN131">
        <v>15.4794</v>
      </c>
      <c r="BO131">
        <v>800.03899999999999</v>
      </c>
      <c r="BP131">
        <v>5.7023700000000002</v>
      </c>
      <c r="BQ131">
        <v>2.0983000000000001</v>
      </c>
      <c r="BR131">
        <v>0.56488499999999997</v>
      </c>
      <c r="BS131">
        <v>18.206199999999999</v>
      </c>
      <c r="BT131">
        <v>-1.1346799999999999</v>
      </c>
      <c r="BU131">
        <v>1800</v>
      </c>
      <c r="BV131">
        <v>0.91000300000000001</v>
      </c>
      <c r="BW131">
        <v>3.4007000000000003E-2</v>
      </c>
      <c r="BX131">
        <v>2.1996700000000001E-2</v>
      </c>
      <c r="BY131">
        <v>3.3993000000000002E-2</v>
      </c>
      <c r="BZ131">
        <v>26</v>
      </c>
      <c r="CA131">
        <v>33528.400000000001</v>
      </c>
      <c r="CB131">
        <v>1690217592</v>
      </c>
      <c r="CC131" t="s">
        <v>332</v>
      </c>
      <c r="CD131">
        <v>1690217586.5</v>
      </c>
      <c r="CE131">
        <v>1690217592</v>
      </c>
      <c r="CF131">
        <v>9</v>
      </c>
      <c r="CG131">
        <v>0.11600000000000001</v>
      </c>
      <c r="CH131">
        <v>-3.0000000000000001E-3</v>
      </c>
      <c r="CI131">
        <v>-0.27300000000000002</v>
      </c>
      <c r="CJ131">
        <v>-6.9000000000000006E-2</v>
      </c>
      <c r="CK131">
        <v>800</v>
      </c>
      <c r="CL131">
        <v>6</v>
      </c>
      <c r="CM131">
        <v>0.01</v>
      </c>
      <c r="CN131">
        <v>0.01</v>
      </c>
      <c r="CO131">
        <v>-253.54248780487811</v>
      </c>
      <c r="CP131">
        <v>-17.621581881533441</v>
      </c>
      <c r="CQ131">
        <v>1.7375769801785499</v>
      </c>
      <c r="CR131">
        <v>-1</v>
      </c>
      <c r="CS131">
        <v>15.311287804878051</v>
      </c>
      <c r="CT131">
        <v>0.84791707317073084</v>
      </c>
      <c r="CU131">
        <v>8.3620712205861855E-2</v>
      </c>
      <c r="CV131">
        <v>-1</v>
      </c>
      <c r="CW131">
        <v>0</v>
      </c>
      <c r="CX131">
        <v>0</v>
      </c>
      <c r="CY131" t="s">
        <v>333</v>
      </c>
      <c r="CZ131">
        <v>2.36483</v>
      </c>
      <c r="DA131">
        <v>2.71387</v>
      </c>
      <c r="DB131">
        <v>0.112204</v>
      </c>
      <c r="DC131">
        <v>0.14607600000000001</v>
      </c>
      <c r="DD131">
        <v>0.104048</v>
      </c>
      <c r="DE131">
        <v>3.78398E-2</v>
      </c>
      <c r="DF131">
        <v>32419</v>
      </c>
      <c r="DG131">
        <v>27522.6</v>
      </c>
      <c r="DH131">
        <v>31173.7</v>
      </c>
      <c r="DI131">
        <v>28084.5</v>
      </c>
      <c r="DJ131">
        <v>37920.199999999997</v>
      </c>
      <c r="DK131">
        <v>38426.199999999997</v>
      </c>
      <c r="DL131">
        <v>44363.6</v>
      </c>
      <c r="DM131">
        <v>42564.7</v>
      </c>
      <c r="DN131">
        <v>1.4822</v>
      </c>
      <c r="DO131">
        <v>2.03525</v>
      </c>
      <c r="DP131">
        <v>0.13197200000000001</v>
      </c>
      <c r="DQ131">
        <v>0.16128999999999999</v>
      </c>
      <c r="DR131">
        <v>24.7986</v>
      </c>
      <c r="DS131">
        <v>24.649799999999999</v>
      </c>
      <c r="DT131">
        <v>16.7</v>
      </c>
      <c r="DU131">
        <v>29.8</v>
      </c>
      <c r="DV131">
        <v>7.0998999999999999</v>
      </c>
      <c r="DW131">
        <v>62.054099999999998</v>
      </c>
      <c r="DX131">
        <v>36.189900000000002</v>
      </c>
      <c r="DY131">
        <v>1</v>
      </c>
      <c r="DZ131">
        <v>-9.8744899999999997E-2</v>
      </c>
      <c r="EA131">
        <v>0.10100199999999999</v>
      </c>
      <c r="EB131">
        <v>20.190300000000001</v>
      </c>
      <c r="EC131">
        <v>5.2406499999999996</v>
      </c>
      <c r="ED131">
        <v>12.039899999999999</v>
      </c>
      <c r="EE131">
        <v>5.0166500000000003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1.86893</v>
      </c>
      <c r="EL131">
        <v>1.8646499999999999</v>
      </c>
      <c r="EM131">
        <v>1.8692</v>
      </c>
      <c r="EN131">
        <v>1.8672299999999999</v>
      </c>
      <c r="EO131">
        <v>1.8633999999999999</v>
      </c>
      <c r="EP131">
        <v>1.8645700000000001</v>
      </c>
      <c r="EQ131">
        <v>1.87018</v>
      </c>
      <c r="ER131">
        <v>1.8694999999999999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-9.1999999999999998E-2</v>
      </c>
      <c r="FG131">
        <v>0.2334</v>
      </c>
      <c r="FH131">
        <v>0.27827353915413472</v>
      </c>
      <c r="FI131">
        <v>-6.1462078757559423E-4</v>
      </c>
      <c r="FJ131">
        <v>-1.8861989874597051E-7</v>
      </c>
      <c r="FK131">
        <v>1.1980462299894961E-10</v>
      </c>
      <c r="FL131">
        <v>-3.2538871274648329E-2</v>
      </c>
      <c r="FM131">
        <v>-1.6848085045870601E-2</v>
      </c>
      <c r="FN131">
        <v>1.9789084769509481E-3</v>
      </c>
      <c r="FO131">
        <v>-2.7142391389806329E-5</v>
      </c>
      <c r="FP131">
        <v>3</v>
      </c>
      <c r="FQ131">
        <v>2158</v>
      </c>
      <c r="FR131">
        <v>1</v>
      </c>
      <c r="FS131">
        <v>19</v>
      </c>
      <c r="FT131">
        <v>28.8</v>
      </c>
      <c r="FU131">
        <v>28.7</v>
      </c>
      <c r="FV131">
        <v>1.7773399999999999</v>
      </c>
      <c r="FW131">
        <v>2.5903299999999998</v>
      </c>
      <c r="FX131">
        <v>1.5490699999999999</v>
      </c>
      <c r="FY131">
        <v>2.3290999999999999</v>
      </c>
      <c r="FZ131">
        <v>1.50146</v>
      </c>
      <c r="GA131">
        <v>2.33521</v>
      </c>
      <c r="GB131">
        <v>33.850900000000003</v>
      </c>
      <c r="GC131">
        <v>23.982399999999998</v>
      </c>
      <c r="GD131">
        <v>19</v>
      </c>
      <c r="GE131">
        <v>285.25299999999999</v>
      </c>
      <c r="GF131">
        <v>581.76900000000001</v>
      </c>
      <c r="GG131">
        <v>24.0124</v>
      </c>
      <c r="GH131">
        <v>26.139199999999999</v>
      </c>
      <c r="GI131">
        <v>30</v>
      </c>
      <c r="GJ131">
        <v>26.307700000000001</v>
      </c>
      <c r="GK131">
        <v>26.2973</v>
      </c>
      <c r="GL131">
        <v>35.541899999999998</v>
      </c>
      <c r="GM131">
        <v>-30</v>
      </c>
      <c r="GN131">
        <v>-30</v>
      </c>
      <c r="GO131">
        <v>24.035599999999999</v>
      </c>
      <c r="GP131">
        <v>800</v>
      </c>
      <c r="GQ131">
        <v>12.5298</v>
      </c>
      <c r="GR131">
        <v>99.743200000000002</v>
      </c>
      <c r="GS131">
        <v>99.575199999999995</v>
      </c>
    </row>
    <row r="132" spans="1:201" x14ac:dyDescent="0.25">
      <c r="A132">
        <v>116</v>
      </c>
      <c r="B132">
        <v>1690219325.0999999</v>
      </c>
      <c r="C132">
        <v>1304.599999904633</v>
      </c>
      <c r="D132" t="s">
        <v>561</v>
      </c>
      <c r="E132" t="s">
        <v>562</v>
      </c>
      <c r="F132" t="s">
        <v>330</v>
      </c>
      <c r="H132">
        <v>1690219325.0999999</v>
      </c>
      <c r="I132">
        <f t="shared" si="30"/>
        <v>1.4790956201308539E-3</v>
      </c>
      <c r="J132">
        <f t="shared" si="31"/>
        <v>1.4790956201308538</v>
      </c>
      <c r="K132">
        <f t="shared" si="32"/>
        <v>23.279445612646906</v>
      </c>
      <c r="L132">
        <f t="shared" si="33"/>
        <v>540.14099999999996</v>
      </c>
      <c r="M132">
        <f t="shared" si="34"/>
        <v>116.52118281061753</v>
      </c>
      <c r="N132">
        <f t="shared" si="35"/>
        <v>11.554601819688731</v>
      </c>
      <c r="O132">
        <f t="shared" si="36"/>
        <v>53.562056537241006</v>
      </c>
      <c r="P132">
        <f t="shared" si="37"/>
        <v>9.1590950125916837E-2</v>
      </c>
      <c r="Q132">
        <f t="shared" si="38"/>
        <v>2.1325260123114207</v>
      </c>
      <c r="R132">
        <f t="shared" si="39"/>
        <v>8.9460349418423124E-2</v>
      </c>
      <c r="S132">
        <f t="shared" si="40"/>
        <v>5.6100016400490824E-2</v>
      </c>
      <c r="T132">
        <f t="shared" si="41"/>
        <v>276.11496223199998</v>
      </c>
      <c r="U132">
        <f t="shared" si="42"/>
        <v>27.593864785293732</v>
      </c>
      <c r="V132">
        <f t="shared" si="43"/>
        <v>27.593864785293732</v>
      </c>
      <c r="W132">
        <f t="shared" si="44"/>
        <v>3.7059145563345286</v>
      </c>
      <c r="X132">
        <f t="shared" si="45"/>
        <v>62.939263083265608</v>
      </c>
      <c r="Y132">
        <f t="shared" si="46"/>
        <v>2.1145143004836</v>
      </c>
      <c r="Z132">
        <f t="shared" si="47"/>
        <v>3.3596108325675815</v>
      </c>
      <c r="AA132">
        <f t="shared" si="48"/>
        <v>1.5914002558509286</v>
      </c>
      <c r="AB132">
        <f t="shared" si="49"/>
        <v>-65.228116847770664</v>
      </c>
      <c r="AC132">
        <f t="shared" si="50"/>
        <v>-191.6948324468049</v>
      </c>
      <c r="AD132">
        <f t="shared" si="51"/>
        <v>-19.353185901754536</v>
      </c>
      <c r="AE132">
        <f t="shared" si="52"/>
        <v>-0.16117296433012029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52648.516906159879</v>
      </c>
      <c r="AK132">
        <f t="shared" si="56"/>
        <v>1800</v>
      </c>
      <c r="AL132">
        <f t="shared" si="57"/>
        <v>1499.1122771999999</v>
      </c>
      <c r="AM132">
        <f t="shared" si="58"/>
        <v>0.83284015399999989</v>
      </c>
      <c r="AN132">
        <f t="shared" si="59"/>
        <v>0.15339720124</v>
      </c>
      <c r="AO132">
        <v>32.4</v>
      </c>
      <c r="AP132">
        <v>0.5</v>
      </c>
      <c r="AQ132" t="s">
        <v>331</v>
      </c>
      <c r="AR132">
        <v>2</v>
      </c>
      <c r="AS132">
        <v>1690219325.0999999</v>
      </c>
      <c r="AT132">
        <v>540.14099999999996</v>
      </c>
      <c r="AU132">
        <v>799.98900000000003</v>
      </c>
      <c r="AV132">
        <v>21.323599999999999</v>
      </c>
      <c r="AW132">
        <v>5.7019200000000003</v>
      </c>
      <c r="AX132">
        <v>540.23099999999999</v>
      </c>
      <c r="AY132">
        <v>21.085999999999999</v>
      </c>
      <c r="AZ132">
        <v>300.22899999999998</v>
      </c>
      <c r="BA132">
        <v>99.063100000000006</v>
      </c>
      <c r="BB132">
        <v>0.10000100000000001</v>
      </c>
      <c r="BC132">
        <v>25.926500000000001</v>
      </c>
      <c r="BD132">
        <v>26.9739</v>
      </c>
      <c r="BE132">
        <v>27.323899999999998</v>
      </c>
      <c r="BF132">
        <v>0</v>
      </c>
      <c r="BG132">
        <v>0</v>
      </c>
      <c r="BH132">
        <v>10015.6</v>
      </c>
      <c r="BI132">
        <v>1064.99</v>
      </c>
      <c r="BJ132">
        <v>1.7380500000000001</v>
      </c>
      <c r="BK132">
        <v>-259.84800000000001</v>
      </c>
      <c r="BL132">
        <v>551.91</v>
      </c>
      <c r="BM132">
        <v>804.577</v>
      </c>
      <c r="BN132">
        <v>15.621600000000001</v>
      </c>
      <c r="BO132">
        <v>799.98900000000003</v>
      </c>
      <c r="BP132">
        <v>5.7019200000000003</v>
      </c>
      <c r="BQ132">
        <v>2.1123799999999999</v>
      </c>
      <c r="BR132">
        <v>0.56484999999999996</v>
      </c>
      <c r="BS132">
        <v>18.312799999999999</v>
      </c>
      <c r="BT132">
        <v>-1.1355200000000001</v>
      </c>
      <c r="BU132">
        <v>1800</v>
      </c>
      <c r="BV132">
        <v>0.91000599999999998</v>
      </c>
      <c r="BW132">
        <v>3.4006099999999997E-2</v>
      </c>
      <c r="BX132">
        <v>2.19962E-2</v>
      </c>
      <c r="BY132">
        <v>3.39922E-2</v>
      </c>
      <c r="BZ132">
        <v>25.958300000000001</v>
      </c>
      <c r="CA132">
        <v>33528.300000000003</v>
      </c>
      <c r="CB132">
        <v>1690217592</v>
      </c>
      <c r="CC132" t="s">
        <v>332</v>
      </c>
      <c r="CD132">
        <v>1690217586.5</v>
      </c>
      <c r="CE132">
        <v>1690217592</v>
      </c>
      <c r="CF132">
        <v>9</v>
      </c>
      <c r="CG132">
        <v>0.11600000000000001</v>
      </c>
      <c r="CH132">
        <v>-3.0000000000000001E-3</v>
      </c>
      <c r="CI132">
        <v>-0.27300000000000002</v>
      </c>
      <c r="CJ132">
        <v>-6.9000000000000006E-2</v>
      </c>
      <c r="CK132">
        <v>800</v>
      </c>
      <c r="CL132">
        <v>6</v>
      </c>
      <c r="CM132">
        <v>0.01</v>
      </c>
      <c r="CN132">
        <v>0.01</v>
      </c>
      <c r="CO132">
        <v>-256.69107500000001</v>
      </c>
      <c r="CP132">
        <v>-17.41867542213841</v>
      </c>
      <c r="CQ132">
        <v>1.67617387802549</v>
      </c>
      <c r="CR132">
        <v>-1</v>
      </c>
      <c r="CS132">
        <v>15.466682499999999</v>
      </c>
      <c r="CT132">
        <v>0.88362664165098748</v>
      </c>
      <c r="CU132">
        <v>8.5018988724578484E-2</v>
      </c>
      <c r="CV132">
        <v>-1</v>
      </c>
      <c r="CW132">
        <v>0</v>
      </c>
      <c r="CX132">
        <v>0</v>
      </c>
      <c r="CY132" t="s">
        <v>333</v>
      </c>
      <c r="CZ132">
        <v>2.3647900000000002</v>
      </c>
      <c r="DA132">
        <v>2.7138100000000001</v>
      </c>
      <c r="DB132">
        <v>0.111772</v>
      </c>
      <c r="DC132">
        <v>0.14607300000000001</v>
      </c>
      <c r="DD132">
        <v>0.104536</v>
      </c>
      <c r="DE132">
        <v>3.7838299999999998E-2</v>
      </c>
      <c r="DF132">
        <v>32434.7</v>
      </c>
      <c r="DG132">
        <v>27522.7</v>
      </c>
      <c r="DH132">
        <v>31173.599999999999</v>
      </c>
      <c r="DI132">
        <v>28084.5</v>
      </c>
      <c r="DJ132">
        <v>37899.300000000003</v>
      </c>
      <c r="DK132">
        <v>38426.1</v>
      </c>
      <c r="DL132">
        <v>44363.6</v>
      </c>
      <c r="DM132">
        <v>42564.5</v>
      </c>
      <c r="DN132">
        <v>1.48248</v>
      </c>
      <c r="DO132">
        <v>2.0352700000000001</v>
      </c>
      <c r="DP132">
        <v>0.13251599999999999</v>
      </c>
      <c r="DQ132">
        <v>0.163019</v>
      </c>
      <c r="DR132">
        <v>24.802800000000001</v>
      </c>
      <c r="DS132">
        <v>24.653500000000001</v>
      </c>
      <c r="DT132">
        <v>16.8</v>
      </c>
      <c r="DU132">
        <v>29.8</v>
      </c>
      <c r="DV132">
        <v>7.1420199999999996</v>
      </c>
      <c r="DW132">
        <v>61.714100000000002</v>
      </c>
      <c r="DX132">
        <v>36.057699999999997</v>
      </c>
      <c r="DY132">
        <v>1</v>
      </c>
      <c r="DZ132">
        <v>-9.9316600000000005E-2</v>
      </c>
      <c r="EA132">
        <v>2.5449300000000001E-2</v>
      </c>
      <c r="EB132">
        <v>20.190100000000001</v>
      </c>
      <c r="EC132">
        <v>5.24125</v>
      </c>
      <c r="ED132">
        <v>12.039899999999999</v>
      </c>
      <c r="EE132">
        <v>5.0170000000000003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1.86894</v>
      </c>
      <c r="EL132">
        <v>1.8646400000000001</v>
      </c>
      <c r="EM132">
        <v>1.8691899999999999</v>
      </c>
      <c r="EN132">
        <v>1.8672200000000001</v>
      </c>
      <c r="EO132">
        <v>1.8633999999999999</v>
      </c>
      <c r="EP132">
        <v>1.86459</v>
      </c>
      <c r="EQ132">
        <v>1.8702099999999999</v>
      </c>
      <c r="ER132">
        <v>1.8694200000000001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-0.09</v>
      </c>
      <c r="FG132">
        <v>0.23760000000000001</v>
      </c>
      <c r="FH132">
        <v>0.27827353915413472</v>
      </c>
      <c r="FI132">
        <v>-6.1462078757559423E-4</v>
      </c>
      <c r="FJ132">
        <v>-1.8861989874597051E-7</v>
      </c>
      <c r="FK132">
        <v>1.1980462299894961E-10</v>
      </c>
      <c r="FL132">
        <v>-3.2538871274648329E-2</v>
      </c>
      <c r="FM132">
        <v>-1.6848085045870601E-2</v>
      </c>
      <c r="FN132">
        <v>1.9789084769509481E-3</v>
      </c>
      <c r="FO132">
        <v>-2.7142391389806329E-5</v>
      </c>
      <c r="FP132">
        <v>3</v>
      </c>
      <c r="FQ132">
        <v>2158</v>
      </c>
      <c r="FR132">
        <v>1</v>
      </c>
      <c r="FS132">
        <v>19</v>
      </c>
      <c r="FT132">
        <v>29</v>
      </c>
      <c r="FU132">
        <v>28.9</v>
      </c>
      <c r="FV132">
        <v>1.7773399999999999</v>
      </c>
      <c r="FW132">
        <v>2.5842299999999998</v>
      </c>
      <c r="FX132">
        <v>1.5490699999999999</v>
      </c>
      <c r="FY132">
        <v>2.3290999999999999</v>
      </c>
      <c r="FZ132">
        <v>1.50146</v>
      </c>
      <c r="GA132">
        <v>2.3828100000000001</v>
      </c>
      <c r="GB132">
        <v>33.850900000000003</v>
      </c>
      <c r="GC132">
        <v>23.991199999999999</v>
      </c>
      <c r="GD132">
        <v>19</v>
      </c>
      <c r="GE132">
        <v>285.35399999999998</v>
      </c>
      <c r="GF132">
        <v>581.75900000000001</v>
      </c>
      <c r="GG132">
        <v>24.060300000000002</v>
      </c>
      <c r="GH132">
        <v>26.136399999999998</v>
      </c>
      <c r="GI132">
        <v>29.9999</v>
      </c>
      <c r="GJ132">
        <v>26.303999999999998</v>
      </c>
      <c r="GK132">
        <v>26.294499999999999</v>
      </c>
      <c r="GL132">
        <v>35.541800000000002</v>
      </c>
      <c r="GM132">
        <v>-30</v>
      </c>
      <c r="GN132">
        <v>-30</v>
      </c>
      <c r="GO132">
        <v>24.082799999999999</v>
      </c>
      <c r="GP132">
        <v>800</v>
      </c>
      <c r="GQ132">
        <v>12.5298</v>
      </c>
      <c r="GR132">
        <v>99.743099999999998</v>
      </c>
      <c r="GS132">
        <v>99.5749</v>
      </c>
    </row>
    <row r="133" spans="1:201" x14ac:dyDescent="0.25">
      <c r="A133">
        <v>117</v>
      </c>
      <c r="B133">
        <v>1690219335.0999999</v>
      </c>
      <c r="C133">
        <v>1314.599999904633</v>
      </c>
      <c r="D133" t="s">
        <v>563</v>
      </c>
      <c r="E133" t="s">
        <v>564</v>
      </c>
      <c r="F133" t="s">
        <v>330</v>
      </c>
      <c r="H133">
        <v>1690219335.0999999</v>
      </c>
      <c r="I133">
        <f t="shared" si="30"/>
        <v>1.493301292447612E-3</v>
      </c>
      <c r="J133">
        <f t="shared" si="31"/>
        <v>1.4933012924476119</v>
      </c>
      <c r="K133">
        <f t="shared" si="32"/>
        <v>23.549431994575713</v>
      </c>
      <c r="L133">
        <f t="shared" si="33"/>
        <v>537.16499999999996</v>
      </c>
      <c r="M133">
        <f t="shared" si="34"/>
        <v>115.94431698178734</v>
      </c>
      <c r="N133">
        <f t="shared" si="35"/>
        <v>11.49716566282976</v>
      </c>
      <c r="O133">
        <f t="shared" si="36"/>
        <v>53.265870670004993</v>
      </c>
      <c r="P133">
        <f t="shared" si="37"/>
        <v>9.3202391756427139E-2</v>
      </c>
      <c r="Q133">
        <f t="shared" si="38"/>
        <v>2.1293734909466879</v>
      </c>
      <c r="R133">
        <f t="shared" si="39"/>
        <v>9.0993951182745045E-2</v>
      </c>
      <c r="S133">
        <f t="shared" si="40"/>
        <v>5.7065280640826561E-2</v>
      </c>
      <c r="T133">
        <f t="shared" si="41"/>
        <v>276.114835836</v>
      </c>
      <c r="U133">
        <f t="shared" si="42"/>
        <v>27.607322873128371</v>
      </c>
      <c r="V133">
        <f t="shared" si="43"/>
        <v>27.607322873128371</v>
      </c>
      <c r="W133">
        <f t="shared" si="44"/>
        <v>3.7088318717198567</v>
      </c>
      <c r="X133">
        <f t="shared" si="45"/>
        <v>63.321737257732494</v>
      </c>
      <c r="Y133">
        <f t="shared" si="46"/>
        <v>2.1294052291973999</v>
      </c>
      <c r="Z133">
        <f t="shared" si="47"/>
        <v>3.3628345042560706</v>
      </c>
      <c r="AA133">
        <f t="shared" si="48"/>
        <v>1.5794266425224568</v>
      </c>
      <c r="AB133">
        <f t="shared" si="49"/>
        <v>-65.854586996939688</v>
      </c>
      <c r="AC133">
        <f t="shared" si="50"/>
        <v>-191.09668106098096</v>
      </c>
      <c r="AD133">
        <f t="shared" si="51"/>
        <v>-19.324227492201565</v>
      </c>
      <c r="AE133">
        <f t="shared" si="52"/>
        <v>-0.16065971412220392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52509.2386859459</v>
      </c>
      <c r="AK133">
        <f t="shared" si="56"/>
        <v>1800</v>
      </c>
      <c r="AL133">
        <f t="shared" si="57"/>
        <v>1499.1117246000001</v>
      </c>
      <c r="AM133">
        <f t="shared" si="58"/>
        <v>0.83283984700000002</v>
      </c>
      <c r="AN133">
        <f t="shared" si="59"/>
        <v>0.15339713101999999</v>
      </c>
      <c r="AO133">
        <v>32.4</v>
      </c>
      <c r="AP133">
        <v>0.5</v>
      </c>
      <c r="AQ133" t="s">
        <v>331</v>
      </c>
      <c r="AR133">
        <v>2</v>
      </c>
      <c r="AS133">
        <v>1690219335.0999999</v>
      </c>
      <c r="AT133">
        <v>537.16499999999996</v>
      </c>
      <c r="AU133">
        <v>800.00699999999995</v>
      </c>
      <c r="AV133">
        <v>21.4742</v>
      </c>
      <c r="AW133">
        <v>5.7021800000000002</v>
      </c>
      <c r="AX133">
        <v>537.25300000000004</v>
      </c>
      <c r="AY133">
        <v>21.232199999999999</v>
      </c>
      <c r="AZ133">
        <v>300.17700000000002</v>
      </c>
      <c r="BA133">
        <v>99.061099999999996</v>
      </c>
      <c r="BB133">
        <v>9.9997000000000003E-2</v>
      </c>
      <c r="BC133">
        <v>25.942699999999999</v>
      </c>
      <c r="BD133">
        <v>27.0167</v>
      </c>
      <c r="BE133">
        <v>27.3017</v>
      </c>
      <c r="BF133">
        <v>0</v>
      </c>
      <c r="BG133">
        <v>0</v>
      </c>
      <c r="BH133">
        <v>9988.75</v>
      </c>
      <c r="BI133">
        <v>1065.18</v>
      </c>
      <c r="BJ133">
        <v>1.7380500000000001</v>
      </c>
      <c r="BK133">
        <v>-262.84199999999998</v>
      </c>
      <c r="BL133">
        <v>548.95299999999997</v>
      </c>
      <c r="BM133">
        <v>804.59500000000003</v>
      </c>
      <c r="BN133">
        <v>15.7721</v>
      </c>
      <c r="BO133">
        <v>800.00699999999995</v>
      </c>
      <c r="BP133">
        <v>5.7021800000000002</v>
      </c>
      <c r="BQ133">
        <v>2.1272600000000002</v>
      </c>
      <c r="BR133">
        <v>0.56486400000000003</v>
      </c>
      <c r="BS133">
        <v>18.424800000000001</v>
      </c>
      <c r="BT133">
        <v>-1.13517</v>
      </c>
      <c r="BU133">
        <v>1800</v>
      </c>
      <c r="BV133">
        <v>0.91000599999999998</v>
      </c>
      <c r="BW133">
        <v>3.4006000000000002E-2</v>
      </c>
      <c r="BX133">
        <v>2.1996100000000001E-2</v>
      </c>
      <c r="BY133">
        <v>3.3992000000000001E-2</v>
      </c>
      <c r="BZ133">
        <v>25.958300000000001</v>
      </c>
      <c r="CA133">
        <v>33528.300000000003</v>
      </c>
      <c r="CB133">
        <v>1690217592</v>
      </c>
      <c r="CC133" t="s">
        <v>332</v>
      </c>
      <c r="CD133">
        <v>1690217586.5</v>
      </c>
      <c r="CE133">
        <v>1690217592</v>
      </c>
      <c r="CF133">
        <v>9</v>
      </c>
      <c r="CG133">
        <v>0.11600000000000001</v>
      </c>
      <c r="CH133">
        <v>-3.0000000000000001E-3</v>
      </c>
      <c r="CI133">
        <v>-0.27300000000000002</v>
      </c>
      <c r="CJ133">
        <v>-6.9000000000000006E-2</v>
      </c>
      <c r="CK133">
        <v>800</v>
      </c>
      <c r="CL133">
        <v>6</v>
      </c>
      <c r="CM133">
        <v>0.01</v>
      </c>
      <c r="CN133">
        <v>0.01</v>
      </c>
      <c r="CO133">
        <v>-259.70924390243903</v>
      </c>
      <c r="CP133">
        <v>-17.619700348431799</v>
      </c>
      <c r="CQ133">
        <v>1.73833483233009</v>
      </c>
      <c r="CR133">
        <v>-1</v>
      </c>
      <c r="CS133">
        <v>15.617029268292679</v>
      </c>
      <c r="CT133">
        <v>0.87139442508710707</v>
      </c>
      <c r="CU133">
        <v>8.5936846476883502E-2</v>
      </c>
      <c r="CV133">
        <v>-1</v>
      </c>
      <c r="CW133">
        <v>0</v>
      </c>
      <c r="CX133">
        <v>0</v>
      </c>
      <c r="CY133" t="s">
        <v>333</v>
      </c>
      <c r="CZ133">
        <v>2.3645999999999998</v>
      </c>
      <c r="DA133">
        <v>2.7137799999999999</v>
      </c>
      <c r="DB133">
        <v>0.111328</v>
      </c>
      <c r="DC133">
        <v>0.14607400000000001</v>
      </c>
      <c r="DD133">
        <v>0.105049</v>
      </c>
      <c r="DE133">
        <v>3.7839299999999999E-2</v>
      </c>
      <c r="DF133">
        <v>32450.799999999999</v>
      </c>
      <c r="DG133">
        <v>27522.6</v>
      </c>
      <c r="DH133">
        <v>31173.5</v>
      </c>
      <c r="DI133">
        <v>28084.400000000001</v>
      </c>
      <c r="DJ133">
        <v>37877.1</v>
      </c>
      <c r="DK133">
        <v>38425.9</v>
      </c>
      <c r="DL133">
        <v>44363.4</v>
      </c>
      <c r="DM133">
        <v>42564.3</v>
      </c>
      <c r="DN133">
        <v>1.4824200000000001</v>
      </c>
      <c r="DO133">
        <v>2.0352999999999999</v>
      </c>
      <c r="DP133">
        <v>0.13494100000000001</v>
      </c>
      <c r="DQ133">
        <v>0.16130900000000001</v>
      </c>
      <c r="DR133">
        <v>24.805900000000001</v>
      </c>
      <c r="DS133">
        <v>24.659199999999998</v>
      </c>
      <c r="DT133">
        <v>16.8</v>
      </c>
      <c r="DU133">
        <v>29.8</v>
      </c>
      <c r="DV133">
        <v>7.14269</v>
      </c>
      <c r="DW133">
        <v>61.7941</v>
      </c>
      <c r="DX133">
        <v>36.201900000000002</v>
      </c>
      <c r="DY133">
        <v>1</v>
      </c>
      <c r="DZ133">
        <v>-9.9303900000000001E-2</v>
      </c>
      <c r="EA133">
        <v>7.7053399999999994E-2</v>
      </c>
      <c r="EB133">
        <v>20.190100000000001</v>
      </c>
      <c r="EC133">
        <v>5.2413999999999996</v>
      </c>
      <c r="ED133">
        <v>12.039899999999999</v>
      </c>
      <c r="EE133">
        <v>5.0169499999999996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1.86894</v>
      </c>
      <c r="EL133">
        <v>1.86466</v>
      </c>
      <c r="EM133">
        <v>1.8691899999999999</v>
      </c>
      <c r="EN133">
        <v>1.86724</v>
      </c>
      <c r="EO133">
        <v>1.8633999999999999</v>
      </c>
      <c r="EP133">
        <v>1.8646</v>
      </c>
      <c r="EQ133">
        <v>1.87022</v>
      </c>
      <c r="ER133">
        <v>1.8694599999999999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-8.7999999999999995E-2</v>
      </c>
      <c r="FG133">
        <v>0.24199999999999999</v>
      </c>
      <c r="FH133">
        <v>0.27827353915413472</v>
      </c>
      <c r="FI133">
        <v>-6.1462078757559423E-4</v>
      </c>
      <c r="FJ133">
        <v>-1.8861989874597051E-7</v>
      </c>
      <c r="FK133">
        <v>1.1980462299894961E-10</v>
      </c>
      <c r="FL133">
        <v>-3.2538871274648329E-2</v>
      </c>
      <c r="FM133">
        <v>-1.6848085045870601E-2</v>
      </c>
      <c r="FN133">
        <v>1.9789084769509481E-3</v>
      </c>
      <c r="FO133">
        <v>-2.7142391389806329E-5</v>
      </c>
      <c r="FP133">
        <v>3</v>
      </c>
      <c r="FQ133">
        <v>2158</v>
      </c>
      <c r="FR133">
        <v>1</v>
      </c>
      <c r="FS133">
        <v>19</v>
      </c>
      <c r="FT133">
        <v>29.1</v>
      </c>
      <c r="FU133">
        <v>29.1</v>
      </c>
      <c r="FV133">
        <v>1.7773399999999999</v>
      </c>
      <c r="FW133">
        <v>2.5805699999999998</v>
      </c>
      <c r="FX133">
        <v>1.5490699999999999</v>
      </c>
      <c r="FY133">
        <v>2.3290999999999999</v>
      </c>
      <c r="FZ133">
        <v>1.50146</v>
      </c>
      <c r="GA133">
        <v>2.3877000000000002</v>
      </c>
      <c r="GB133">
        <v>33.850900000000003</v>
      </c>
      <c r="GC133">
        <v>23.982399999999998</v>
      </c>
      <c r="GD133">
        <v>19</v>
      </c>
      <c r="GE133">
        <v>285.32299999999998</v>
      </c>
      <c r="GF133">
        <v>581.74199999999996</v>
      </c>
      <c r="GG133">
        <v>24.096800000000002</v>
      </c>
      <c r="GH133">
        <v>26.133900000000001</v>
      </c>
      <c r="GI133">
        <v>30</v>
      </c>
      <c r="GJ133">
        <v>26.3018</v>
      </c>
      <c r="GK133">
        <v>26.2912</v>
      </c>
      <c r="GL133">
        <v>35.5426</v>
      </c>
      <c r="GM133">
        <v>-30</v>
      </c>
      <c r="GN133">
        <v>-30</v>
      </c>
      <c r="GO133">
        <v>23.949200000000001</v>
      </c>
      <c r="GP133">
        <v>800</v>
      </c>
      <c r="GQ133">
        <v>12.5298</v>
      </c>
      <c r="GR133">
        <v>99.742800000000003</v>
      </c>
      <c r="GS133">
        <v>99.5745</v>
      </c>
    </row>
    <row r="134" spans="1:201" x14ac:dyDescent="0.25">
      <c r="A134">
        <v>118</v>
      </c>
      <c r="B134">
        <v>1690219345.0999999</v>
      </c>
      <c r="C134">
        <v>1324.599999904633</v>
      </c>
      <c r="D134" t="s">
        <v>565</v>
      </c>
      <c r="E134" t="s">
        <v>566</v>
      </c>
      <c r="F134" t="s">
        <v>330</v>
      </c>
      <c r="H134">
        <v>1690219345.0999999</v>
      </c>
      <c r="I134">
        <f t="shared" si="30"/>
        <v>1.505011471536304E-3</v>
      </c>
      <c r="J134">
        <f t="shared" si="31"/>
        <v>1.5050114715363041</v>
      </c>
      <c r="K134">
        <f t="shared" si="32"/>
        <v>23.811837084150479</v>
      </c>
      <c r="L134">
        <f t="shared" si="33"/>
        <v>534.31100000000004</v>
      </c>
      <c r="M134">
        <f t="shared" si="34"/>
        <v>115.38161393860872</v>
      </c>
      <c r="N134">
        <f t="shared" si="35"/>
        <v>11.44117633983025</v>
      </c>
      <c r="O134">
        <f t="shared" si="36"/>
        <v>52.981980080151004</v>
      </c>
      <c r="P134">
        <f t="shared" si="37"/>
        <v>9.4771778377562579E-2</v>
      </c>
      <c r="Q134">
        <f t="shared" si="38"/>
        <v>2.1301548240012389</v>
      </c>
      <c r="R134">
        <f t="shared" si="39"/>
        <v>9.2490134580827846E-2</v>
      </c>
      <c r="S134">
        <f t="shared" si="40"/>
        <v>5.8006755580197897E-2</v>
      </c>
      <c r="T134">
        <f t="shared" si="41"/>
        <v>276.11316522744886</v>
      </c>
      <c r="U134">
        <f t="shared" si="42"/>
        <v>27.600970177815711</v>
      </c>
      <c r="V134">
        <f t="shared" si="43"/>
        <v>27.600970177815711</v>
      </c>
      <c r="W134">
        <f t="shared" si="44"/>
        <v>3.7074545456490475</v>
      </c>
      <c r="X134">
        <f t="shared" si="45"/>
        <v>63.688008122994141</v>
      </c>
      <c r="Y134">
        <f t="shared" si="46"/>
        <v>2.1415067835005996</v>
      </c>
      <c r="Z134">
        <f t="shared" si="47"/>
        <v>3.3624960908887687</v>
      </c>
      <c r="AA134">
        <f t="shared" si="48"/>
        <v>1.5659477621484479</v>
      </c>
      <c r="AB134">
        <f t="shared" si="49"/>
        <v>-66.371005894751008</v>
      </c>
      <c r="AC134">
        <f t="shared" si="50"/>
        <v>-190.63248060009244</v>
      </c>
      <c r="AD134">
        <f t="shared" si="51"/>
        <v>-19.269438129885447</v>
      </c>
      <c r="AE134">
        <f t="shared" si="52"/>
        <v>-0.15975939728002686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52543.28046582931</v>
      </c>
      <c r="AK134">
        <f t="shared" si="56"/>
        <v>1799.99</v>
      </c>
      <c r="AL134">
        <f t="shared" si="57"/>
        <v>1499.1031334029899</v>
      </c>
      <c r="AM134">
        <f t="shared" si="58"/>
        <v>0.83283970099999993</v>
      </c>
      <c r="AN134">
        <f t="shared" si="59"/>
        <v>0.15339705510999999</v>
      </c>
      <c r="AO134">
        <v>32.4</v>
      </c>
      <c r="AP134">
        <v>0.5</v>
      </c>
      <c r="AQ134" t="s">
        <v>331</v>
      </c>
      <c r="AR134">
        <v>2</v>
      </c>
      <c r="AS134">
        <v>1690219345.0999999</v>
      </c>
      <c r="AT134">
        <v>534.31100000000004</v>
      </c>
      <c r="AU134">
        <v>800.02099999999996</v>
      </c>
      <c r="AV134">
        <v>21.596599999999999</v>
      </c>
      <c r="AW134">
        <v>5.7020400000000002</v>
      </c>
      <c r="AX134">
        <v>534.39700000000005</v>
      </c>
      <c r="AY134">
        <v>21.350899999999999</v>
      </c>
      <c r="AZ134">
        <v>300.161</v>
      </c>
      <c r="BA134">
        <v>99.059399999999997</v>
      </c>
      <c r="BB134">
        <v>0.100041</v>
      </c>
      <c r="BC134">
        <v>25.940999999999999</v>
      </c>
      <c r="BD134">
        <v>26.997</v>
      </c>
      <c r="BE134">
        <v>27.305700000000002</v>
      </c>
      <c r="BF134">
        <v>0</v>
      </c>
      <c r="BG134">
        <v>0</v>
      </c>
      <c r="BH134">
        <v>9995.6200000000008</v>
      </c>
      <c r="BI134">
        <v>1065.32</v>
      </c>
      <c r="BJ134">
        <v>1.7380500000000001</v>
      </c>
      <c r="BK134">
        <v>-265.70999999999998</v>
      </c>
      <c r="BL134">
        <v>546.10500000000002</v>
      </c>
      <c r="BM134">
        <v>804.60900000000004</v>
      </c>
      <c r="BN134">
        <v>15.894500000000001</v>
      </c>
      <c r="BO134">
        <v>800.02099999999996</v>
      </c>
      <c r="BP134">
        <v>5.7020400000000002</v>
      </c>
      <c r="BQ134">
        <v>2.1393399999999998</v>
      </c>
      <c r="BR134">
        <v>0.56484100000000004</v>
      </c>
      <c r="BS134">
        <v>18.5152</v>
      </c>
      <c r="BT134">
        <v>-1.13574</v>
      </c>
      <c r="BU134">
        <v>1799.99</v>
      </c>
      <c r="BV134">
        <v>0.91000700000000001</v>
      </c>
      <c r="BW134">
        <v>3.4005500000000001E-2</v>
      </c>
      <c r="BX134">
        <v>2.1995799999999999E-2</v>
      </c>
      <c r="BY134">
        <v>3.3991500000000001E-2</v>
      </c>
      <c r="BZ134">
        <v>25.791699999999999</v>
      </c>
      <c r="CA134">
        <v>33528.300000000003</v>
      </c>
      <c r="CB134">
        <v>1690217592</v>
      </c>
      <c r="CC134" t="s">
        <v>332</v>
      </c>
      <c r="CD134">
        <v>1690217586.5</v>
      </c>
      <c r="CE134">
        <v>1690217592</v>
      </c>
      <c r="CF134">
        <v>9</v>
      </c>
      <c r="CG134">
        <v>0.11600000000000001</v>
      </c>
      <c r="CH134">
        <v>-3.0000000000000001E-3</v>
      </c>
      <c r="CI134">
        <v>-0.27300000000000002</v>
      </c>
      <c r="CJ134">
        <v>-6.9000000000000006E-2</v>
      </c>
      <c r="CK134">
        <v>800</v>
      </c>
      <c r="CL134">
        <v>6</v>
      </c>
      <c r="CM134">
        <v>0.01</v>
      </c>
      <c r="CN134">
        <v>0.01</v>
      </c>
      <c r="CO134">
        <v>-262.66604878048781</v>
      </c>
      <c r="CP134">
        <v>-17.659149825784329</v>
      </c>
      <c r="CQ134">
        <v>1.741716674212606</v>
      </c>
      <c r="CR134">
        <v>-1</v>
      </c>
      <c r="CS134">
        <v>15.760319512195119</v>
      </c>
      <c r="CT134">
        <v>0.84279721254358153</v>
      </c>
      <c r="CU134">
        <v>8.3198857342974802E-2</v>
      </c>
      <c r="CV134">
        <v>-1</v>
      </c>
      <c r="CW134">
        <v>0</v>
      </c>
      <c r="CX134">
        <v>0</v>
      </c>
      <c r="CY134" t="s">
        <v>333</v>
      </c>
      <c r="CZ134">
        <v>2.3645700000000001</v>
      </c>
      <c r="DA134">
        <v>2.7138300000000002</v>
      </c>
      <c r="DB134">
        <v>0.110902</v>
      </c>
      <c r="DC134">
        <v>0.14607400000000001</v>
      </c>
      <c r="DD134">
        <v>0.105464</v>
      </c>
      <c r="DE134">
        <v>3.7838200000000002E-2</v>
      </c>
      <c r="DF134">
        <v>32466.5</v>
      </c>
      <c r="DG134">
        <v>27522.400000000001</v>
      </c>
      <c r="DH134">
        <v>31173.7</v>
      </c>
      <c r="DI134">
        <v>28084.2</v>
      </c>
      <c r="DJ134">
        <v>37859.5</v>
      </c>
      <c r="DK134">
        <v>38425.5</v>
      </c>
      <c r="DL134">
        <v>44363.6</v>
      </c>
      <c r="DM134">
        <v>42563.8</v>
      </c>
      <c r="DN134">
        <v>1.48207</v>
      </c>
      <c r="DO134">
        <v>2.0352999999999999</v>
      </c>
      <c r="DP134">
        <v>0.133518</v>
      </c>
      <c r="DQ134">
        <v>0.16118199999999999</v>
      </c>
      <c r="DR134">
        <v>24.8095</v>
      </c>
      <c r="DS134">
        <v>24.665299999999998</v>
      </c>
      <c r="DT134">
        <v>16.8</v>
      </c>
      <c r="DU134">
        <v>29.8</v>
      </c>
      <c r="DV134">
        <v>7.1419699999999997</v>
      </c>
      <c r="DW134">
        <v>61.394100000000002</v>
      </c>
      <c r="DX134">
        <v>36.322099999999999</v>
      </c>
      <c r="DY134">
        <v>1</v>
      </c>
      <c r="DZ134">
        <v>-9.8371399999999998E-2</v>
      </c>
      <c r="EA134">
        <v>0.47200700000000001</v>
      </c>
      <c r="EB134">
        <v>20.188600000000001</v>
      </c>
      <c r="EC134">
        <v>5.2411000000000003</v>
      </c>
      <c r="ED134">
        <v>12.039899999999999</v>
      </c>
      <c r="EE134">
        <v>5.0170000000000003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1.86894</v>
      </c>
      <c r="EL134">
        <v>1.8646799999999999</v>
      </c>
      <c r="EM134">
        <v>1.8692</v>
      </c>
      <c r="EN134">
        <v>1.8672299999999999</v>
      </c>
      <c r="EO134">
        <v>1.8633999999999999</v>
      </c>
      <c r="EP134">
        <v>1.8646</v>
      </c>
      <c r="EQ134">
        <v>1.87022</v>
      </c>
      <c r="ER134">
        <v>1.86947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-8.5999999999999993E-2</v>
      </c>
      <c r="FG134">
        <v>0.2457</v>
      </c>
      <c r="FH134">
        <v>0.27827353915413472</v>
      </c>
      <c r="FI134">
        <v>-6.1462078757559423E-4</v>
      </c>
      <c r="FJ134">
        <v>-1.8861989874597051E-7</v>
      </c>
      <c r="FK134">
        <v>1.1980462299894961E-10</v>
      </c>
      <c r="FL134">
        <v>-3.2538871274648329E-2</v>
      </c>
      <c r="FM134">
        <v>-1.6848085045870601E-2</v>
      </c>
      <c r="FN134">
        <v>1.9789084769509481E-3</v>
      </c>
      <c r="FO134">
        <v>-2.7142391389806329E-5</v>
      </c>
      <c r="FP134">
        <v>3</v>
      </c>
      <c r="FQ134">
        <v>2158</v>
      </c>
      <c r="FR134">
        <v>1</v>
      </c>
      <c r="FS134">
        <v>19</v>
      </c>
      <c r="FT134">
        <v>29.3</v>
      </c>
      <c r="FU134">
        <v>29.2</v>
      </c>
      <c r="FV134">
        <v>1.7773399999999999</v>
      </c>
      <c r="FW134">
        <v>2.5793499999999998</v>
      </c>
      <c r="FX134">
        <v>1.5490699999999999</v>
      </c>
      <c r="FY134">
        <v>2.3290999999999999</v>
      </c>
      <c r="FZ134">
        <v>1.50146</v>
      </c>
      <c r="GA134">
        <v>2.4060100000000002</v>
      </c>
      <c r="GB134">
        <v>33.828299999999999</v>
      </c>
      <c r="GC134">
        <v>23.991199999999999</v>
      </c>
      <c r="GD134">
        <v>19</v>
      </c>
      <c r="GE134">
        <v>285.16300000000001</v>
      </c>
      <c r="GF134">
        <v>581.71100000000001</v>
      </c>
      <c r="GG134">
        <v>23.927099999999999</v>
      </c>
      <c r="GH134">
        <v>26.131599999999999</v>
      </c>
      <c r="GI134">
        <v>30.000299999999999</v>
      </c>
      <c r="GJ134">
        <v>26.299600000000002</v>
      </c>
      <c r="GK134">
        <v>26.288499999999999</v>
      </c>
      <c r="GL134">
        <v>35.540300000000002</v>
      </c>
      <c r="GM134">
        <v>-30</v>
      </c>
      <c r="GN134">
        <v>-30</v>
      </c>
      <c r="GO134">
        <v>23.938199999999998</v>
      </c>
      <c r="GP134">
        <v>800</v>
      </c>
      <c r="GQ134">
        <v>12.5298</v>
      </c>
      <c r="GR134">
        <v>99.743200000000002</v>
      </c>
      <c r="GS134">
        <v>99.573499999999996</v>
      </c>
    </row>
    <row r="135" spans="1:201" x14ac:dyDescent="0.25">
      <c r="A135">
        <v>119</v>
      </c>
      <c r="B135">
        <v>1690219355.0999999</v>
      </c>
      <c r="C135">
        <v>1334.599999904633</v>
      </c>
      <c r="D135" t="s">
        <v>567</v>
      </c>
      <c r="E135" t="s">
        <v>568</v>
      </c>
      <c r="F135" t="s">
        <v>330</v>
      </c>
      <c r="H135">
        <v>1690219355.0999999</v>
      </c>
      <c r="I135">
        <f t="shared" si="30"/>
        <v>1.5103892806305505E-3</v>
      </c>
      <c r="J135">
        <f t="shared" si="31"/>
        <v>1.5103892806305506</v>
      </c>
      <c r="K135">
        <f t="shared" si="32"/>
        <v>24.088485673618205</v>
      </c>
      <c r="L135">
        <f t="shared" si="33"/>
        <v>531.33799999999997</v>
      </c>
      <c r="M135">
        <f t="shared" si="34"/>
        <v>111.39419682808359</v>
      </c>
      <c r="N135">
        <f t="shared" si="35"/>
        <v>11.046144175392312</v>
      </c>
      <c r="O135">
        <f t="shared" si="36"/>
        <v>52.688886144784398</v>
      </c>
      <c r="P135">
        <f t="shared" si="37"/>
        <v>9.5622300716480535E-2</v>
      </c>
      <c r="Q135">
        <f t="shared" si="38"/>
        <v>2.131147131462336</v>
      </c>
      <c r="R135">
        <f t="shared" si="39"/>
        <v>9.3301113764099733E-2</v>
      </c>
      <c r="S135">
        <f t="shared" si="40"/>
        <v>5.8517052515621469E-2</v>
      </c>
      <c r="T135">
        <f t="shared" si="41"/>
        <v>276.11318396534483</v>
      </c>
      <c r="U135">
        <f t="shared" si="42"/>
        <v>27.588606463119238</v>
      </c>
      <c r="V135">
        <f t="shared" si="43"/>
        <v>27.588606463119238</v>
      </c>
      <c r="W135">
        <f t="shared" si="44"/>
        <v>3.7047752517836834</v>
      </c>
      <c r="X135">
        <f t="shared" si="45"/>
        <v>63.884310919600054</v>
      </c>
      <c r="Y135">
        <f t="shared" si="46"/>
        <v>2.1468615385046199</v>
      </c>
      <c r="Z135">
        <f t="shared" si="47"/>
        <v>3.3605458172766345</v>
      </c>
      <c r="AA135">
        <f t="shared" si="48"/>
        <v>1.5579137132790635</v>
      </c>
      <c r="AB135">
        <f t="shared" si="49"/>
        <v>-66.608167275807276</v>
      </c>
      <c r="AC135">
        <f t="shared" si="50"/>
        <v>-190.42672801675988</v>
      </c>
      <c r="AD135">
        <f t="shared" si="51"/>
        <v>-19.237543642896807</v>
      </c>
      <c r="AE135">
        <f t="shared" si="52"/>
        <v>-0.15925497011912171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52587.997545450475</v>
      </c>
      <c r="AK135">
        <f t="shared" si="56"/>
        <v>1799.99</v>
      </c>
      <c r="AL135">
        <f t="shared" si="57"/>
        <v>1499.1035492006799</v>
      </c>
      <c r="AM135">
        <f t="shared" si="58"/>
        <v>0.83283993199999995</v>
      </c>
      <c r="AN135">
        <f t="shared" si="59"/>
        <v>0.15339706552000001</v>
      </c>
      <c r="AO135">
        <v>32.4</v>
      </c>
      <c r="AP135">
        <v>0.5</v>
      </c>
      <c r="AQ135" t="s">
        <v>331</v>
      </c>
      <c r="AR135">
        <v>2</v>
      </c>
      <c r="AS135">
        <v>1690219355.0999999</v>
      </c>
      <c r="AT135">
        <v>531.33799999999997</v>
      </c>
      <c r="AU135">
        <v>799.97199999999998</v>
      </c>
      <c r="AV135">
        <v>21.649899999999999</v>
      </c>
      <c r="AW135">
        <v>5.70207</v>
      </c>
      <c r="AX135">
        <v>531.42200000000003</v>
      </c>
      <c r="AY135">
        <v>21.459800000000001</v>
      </c>
      <c r="AZ135">
        <v>300.21100000000001</v>
      </c>
      <c r="BA135">
        <v>99.062700000000007</v>
      </c>
      <c r="BB135">
        <v>9.9953799999999995E-2</v>
      </c>
      <c r="BC135">
        <v>25.9312</v>
      </c>
      <c r="BD135">
        <v>27.023800000000001</v>
      </c>
      <c r="BE135">
        <v>27.291599999999999</v>
      </c>
      <c r="BF135">
        <v>0</v>
      </c>
      <c r="BG135">
        <v>0</v>
      </c>
      <c r="BH135">
        <v>10003.799999999999</v>
      </c>
      <c r="BI135">
        <v>1065.48</v>
      </c>
      <c r="BJ135">
        <v>1.7380500000000001</v>
      </c>
      <c r="BK135">
        <v>-268.63400000000001</v>
      </c>
      <c r="BL135">
        <v>543.096</v>
      </c>
      <c r="BM135">
        <v>804.55899999999997</v>
      </c>
      <c r="BN135">
        <v>15.947800000000001</v>
      </c>
      <c r="BO135">
        <v>799.97199999999998</v>
      </c>
      <c r="BP135">
        <v>5.70207</v>
      </c>
      <c r="BQ135">
        <v>2.1446999999999998</v>
      </c>
      <c r="BR135">
        <v>0.56486199999999998</v>
      </c>
      <c r="BS135">
        <v>18.555099999999999</v>
      </c>
      <c r="BT135">
        <v>-1.1352199999999999</v>
      </c>
      <c r="BU135">
        <v>1799.99</v>
      </c>
      <c r="BV135">
        <v>0.91000800000000004</v>
      </c>
      <c r="BW135">
        <v>3.4005199999999999E-2</v>
      </c>
      <c r="BX135">
        <v>2.1995600000000001E-2</v>
      </c>
      <c r="BY135">
        <v>3.3991199999999999E-2</v>
      </c>
      <c r="BZ135">
        <v>25.75</v>
      </c>
      <c r="CA135">
        <v>33528.300000000003</v>
      </c>
      <c r="CB135">
        <v>1690217592</v>
      </c>
      <c r="CC135" t="s">
        <v>332</v>
      </c>
      <c r="CD135">
        <v>1690217586.5</v>
      </c>
      <c r="CE135">
        <v>1690217592</v>
      </c>
      <c r="CF135">
        <v>9</v>
      </c>
      <c r="CG135">
        <v>0.11600000000000001</v>
      </c>
      <c r="CH135">
        <v>-3.0000000000000001E-3</v>
      </c>
      <c r="CI135">
        <v>-0.27300000000000002</v>
      </c>
      <c r="CJ135">
        <v>-6.9000000000000006E-2</v>
      </c>
      <c r="CK135">
        <v>800</v>
      </c>
      <c r="CL135">
        <v>6</v>
      </c>
      <c r="CM135">
        <v>0.01</v>
      </c>
      <c r="CN135">
        <v>0.01</v>
      </c>
      <c r="CO135">
        <v>-265.28368292682927</v>
      </c>
      <c r="CP135">
        <v>-17.177707317073551</v>
      </c>
      <c r="CQ135">
        <v>1.6939983649461441</v>
      </c>
      <c r="CR135">
        <v>-1</v>
      </c>
      <c r="CS135">
        <v>15.86078536585366</v>
      </c>
      <c r="CT135">
        <v>0.50051707317068406</v>
      </c>
      <c r="CU135">
        <v>5.2858400633665467E-2</v>
      </c>
      <c r="CV135">
        <v>-1</v>
      </c>
      <c r="CW135">
        <v>0</v>
      </c>
      <c r="CX135">
        <v>0</v>
      </c>
      <c r="CY135" t="s">
        <v>333</v>
      </c>
      <c r="CZ135">
        <v>2.3647399999999998</v>
      </c>
      <c r="DA135">
        <v>2.7137500000000001</v>
      </c>
      <c r="DB135">
        <v>0.110462</v>
      </c>
      <c r="DC135">
        <v>0.14607300000000001</v>
      </c>
      <c r="DD135">
        <v>0.10585</v>
      </c>
      <c r="DE135">
        <v>3.78398E-2</v>
      </c>
      <c r="DF135">
        <v>32483</v>
      </c>
      <c r="DG135">
        <v>27522.799999999999</v>
      </c>
      <c r="DH135">
        <v>31174</v>
      </c>
      <c r="DI135">
        <v>28084.6</v>
      </c>
      <c r="DJ135">
        <v>37843.300000000003</v>
      </c>
      <c r="DK135">
        <v>38426.199999999997</v>
      </c>
      <c r="DL135">
        <v>44364</v>
      </c>
      <c r="DM135">
        <v>42564.6</v>
      </c>
      <c r="DN135">
        <v>1.4826299999999999</v>
      </c>
      <c r="DO135">
        <v>2.0352000000000001</v>
      </c>
      <c r="DP135">
        <v>0.13508999999999999</v>
      </c>
      <c r="DQ135">
        <v>0.160161</v>
      </c>
      <c r="DR135">
        <v>24.810600000000001</v>
      </c>
      <c r="DS135">
        <v>24.667899999999999</v>
      </c>
      <c r="DT135">
        <v>16.8</v>
      </c>
      <c r="DU135">
        <v>29.8</v>
      </c>
      <c r="DV135">
        <v>7.14262</v>
      </c>
      <c r="DW135">
        <v>61.2941</v>
      </c>
      <c r="DX135">
        <v>36.4223</v>
      </c>
      <c r="DY135">
        <v>1</v>
      </c>
      <c r="DZ135">
        <v>-9.8178399999999999E-2</v>
      </c>
      <c r="EA135">
        <v>0.27222800000000003</v>
      </c>
      <c r="EB135">
        <v>20.189800000000002</v>
      </c>
      <c r="EC135">
        <v>5.2415500000000002</v>
      </c>
      <c r="ED135">
        <v>12.039899999999999</v>
      </c>
      <c r="EE135">
        <v>5.01715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1.86896</v>
      </c>
      <c r="EL135">
        <v>1.8647</v>
      </c>
      <c r="EM135">
        <v>1.8692</v>
      </c>
      <c r="EN135">
        <v>1.8672500000000001</v>
      </c>
      <c r="EO135">
        <v>1.8633999999999999</v>
      </c>
      <c r="EP135">
        <v>1.8646100000000001</v>
      </c>
      <c r="EQ135">
        <v>1.87022</v>
      </c>
      <c r="ER135">
        <v>1.86947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-8.4000000000000005E-2</v>
      </c>
      <c r="FG135">
        <v>0.19009999999999999</v>
      </c>
      <c r="FH135">
        <v>0.27827353915413472</v>
      </c>
      <c r="FI135">
        <v>-6.1462078757559423E-4</v>
      </c>
      <c r="FJ135">
        <v>-1.8861989874597051E-7</v>
      </c>
      <c r="FK135">
        <v>1.1980462299894961E-10</v>
      </c>
      <c r="FL135">
        <v>0.19010266435860859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29.5</v>
      </c>
      <c r="FU135">
        <v>29.4</v>
      </c>
      <c r="FV135">
        <v>1.7773399999999999</v>
      </c>
      <c r="FW135">
        <v>2.5817899999999998</v>
      </c>
      <c r="FX135">
        <v>1.5490699999999999</v>
      </c>
      <c r="FY135">
        <v>2.3290999999999999</v>
      </c>
      <c r="FZ135">
        <v>1.50146</v>
      </c>
      <c r="GA135">
        <v>2.3840300000000001</v>
      </c>
      <c r="GB135">
        <v>33.828299999999999</v>
      </c>
      <c r="GC135">
        <v>23.982399999999998</v>
      </c>
      <c r="GD135">
        <v>19</v>
      </c>
      <c r="GE135">
        <v>285.38600000000002</v>
      </c>
      <c r="GF135">
        <v>581.60400000000004</v>
      </c>
      <c r="GG135">
        <v>23.916399999999999</v>
      </c>
      <c r="GH135">
        <v>26.1295</v>
      </c>
      <c r="GI135">
        <v>30.0002</v>
      </c>
      <c r="GJ135">
        <v>26.296700000000001</v>
      </c>
      <c r="GK135">
        <v>26.286300000000001</v>
      </c>
      <c r="GL135">
        <v>35.5413</v>
      </c>
      <c r="GM135">
        <v>-30</v>
      </c>
      <c r="GN135">
        <v>-30</v>
      </c>
      <c r="GO135">
        <v>23.887</v>
      </c>
      <c r="GP135">
        <v>800</v>
      </c>
      <c r="GQ135">
        <v>12.5298</v>
      </c>
      <c r="GR135">
        <v>99.744100000000003</v>
      </c>
      <c r="GS135">
        <v>99.575199999999995</v>
      </c>
    </row>
    <row r="136" spans="1:201" x14ac:dyDescent="0.25">
      <c r="A136">
        <v>120</v>
      </c>
      <c r="B136">
        <v>1690219365.0999999</v>
      </c>
      <c r="C136">
        <v>1344.599999904633</v>
      </c>
      <c r="D136" t="s">
        <v>569</v>
      </c>
      <c r="E136" t="s">
        <v>570</v>
      </c>
      <c r="F136" t="s">
        <v>330</v>
      </c>
      <c r="H136">
        <v>1690219365.0999999</v>
      </c>
      <c r="I136">
        <f t="shared" si="30"/>
        <v>1.5218970351983442E-3</v>
      </c>
      <c r="J136">
        <f t="shared" si="31"/>
        <v>1.5218970351983441</v>
      </c>
      <c r="K136">
        <f t="shared" si="32"/>
        <v>24.358311660217048</v>
      </c>
      <c r="L136">
        <f t="shared" si="33"/>
        <v>528.43200000000002</v>
      </c>
      <c r="M136">
        <f t="shared" si="34"/>
        <v>110.53373707103253</v>
      </c>
      <c r="N136">
        <f t="shared" si="35"/>
        <v>10.960790063103751</v>
      </c>
      <c r="O136">
        <f t="shared" si="36"/>
        <v>52.4005825561104</v>
      </c>
      <c r="P136">
        <f t="shared" si="37"/>
        <v>9.7183001604688624E-2</v>
      </c>
      <c r="Q136">
        <f t="shared" si="38"/>
        <v>2.1298262589284933</v>
      </c>
      <c r="R136">
        <f t="shared" si="39"/>
        <v>9.4785001733686203E-2</v>
      </c>
      <c r="S136">
        <f t="shared" si="40"/>
        <v>5.9451148508030231E-2</v>
      </c>
      <c r="T136">
        <f t="shared" si="41"/>
        <v>276.11457805800001</v>
      </c>
      <c r="U136">
        <f t="shared" si="42"/>
        <v>27.583937088607428</v>
      </c>
      <c r="V136">
        <f t="shared" si="43"/>
        <v>27.583937088607428</v>
      </c>
      <c r="W136">
        <f t="shared" si="44"/>
        <v>3.7037638089450931</v>
      </c>
      <c r="X136">
        <f t="shared" si="45"/>
        <v>64.24107707960745</v>
      </c>
      <c r="Y136">
        <f t="shared" si="46"/>
        <v>2.1586463377453597</v>
      </c>
      <c r="Z136">
        <f t="shared" si="47"/>
        <v>3.3602274990974519</v>
      </c>
      <c r="AA136">
        <f t="shared" si="48"/>
        <v>1.5451174711997333</v>
      </c>
      <c r="AB136">
        <f t="shared" si="49"/>
        <v>-67.115659252246971</v>
      </c>
      <c r="AC136">
        <f t="shared" si="50"/>
        <v>-189.95626726113795</v>
      </c>
      <c r="AD136">
        <f t="shared" si="51"/>
        <v>-19.201314427410306</v>
      </c>
      <c r="AE136">
        <f t="shared" si="52"/>
        <v>-0.15866288279522678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52531.141717171158</v>
      </c>
      <c r="AK136">
        <f t="shared" si="56"/>
        <v>1800</v>
      </c>
      <c r="AL136">
        <f t="shared" si="57"/>
        <v>1499.1122898000001</v>
      </c>
      <c r="AM136">
        <f t="shared" si="58"/>
        <v>0.83284016100000002</v>
      </c>
      <c r="AN136">
        <f t="shared" si="59"/>
        <v>0.15339698781</v>
      </c>
      <c r="AO136">
        <v>32.4</v>
      </c>
      <c r="AP136">
        <v>0.5</v>
      </c>
      <c r="AQ136" t="s">
        <v>331</v>
      </c>
      <c r="AR136">
        <v>2</v>
      </c>
      <c r="AS136">
        <v>1690219365.0999999</v>
      </c>
      <c r="AT136">
        <v>528.43200000000002</v>
      </c>
      <c r="AU136">
        <v>799.99</v>
      </c>
      <c r="AV136">
        <v>21.768799999999999</v>
      </c>
      <c r="AW136">
        <v>5.7017899999999999</v>
      </c>
      <c r="AX136">
        <v>528.51400000000001</v>
      </c>
      <c r="AY136">
        <v>21.578700000000001</v>
      </c>
      <c r="AZ136">
        <v>300.21800000000002</v>
      </c>
      <c r="BA136">
        <v>99.062399999999997</v>
      </c>
      <c r="BB136">
        <v>9.9994700000000006E-2</v>
      </c>
      <c r="BC136">
        <v>25.929600000000001</v>
      </c>
      <c r="BD136">
        <v>27.001100000000001</v>
      </c>
      <c r="BE136">
        <v>27.279599999999999</v>
      </c>
      <c r="BF136">
        <v>0</v>
      </c>
      <c r="BG136">
        <v>0</v>
      </c>
      <c r="BH136">
        <v>9992.5</v>
      </c>
      <c r="BI136">
        <v>1065.57</v>
      </c>
      <c r="BJ136">
        <v>1.7380500000000001</v>
      </c>
      <c r="BK136">
        <v>-271.55799999999999</v>
      </c>
      <c r="BL136">
        <v>540.19200000000001</v>
      </c>
      <c r="BM136">
        <v>804.57799999999997</v>
      </c>
      <c r="BN136">
        <v>16.067</v>
      </c>
      <c r="BO136">
        <v>799.99</v>
      </c>
      <c r="BP136">
        <v>5.7017899999999999</v>
      </c>
      <c r="BQ136">
        <v>2.1564700000000001</v>
      </c>
      <c r="BR136">
        <v>0.564832</v>
      </c>
      <c r="BS136">
        <v>18.642499999999998</v>
      </c>
      <c r="BT136">
        <v>-1.1359399999999999</v>
      </c>
      <c r="BU136">
        <v>1800</v>
      </c>
      <c r="BV136">
        <v>0.91001100000000001</v>
      </c>
      <c r="BW136">
        <v>3.4004100000000002E-2</v>
      </c>
      <c r="BX136">
        <v>2.1994799999999998E-2</v>
      </c>
      <c r="BY136">
        <v>3.3990100000000002E-2</v>
      </c>
      <c r="BZ136">
        <v>25.708300000000001</v>
      </c>
      <c r="CA136">
        <v>33528.5</v>
      </c>
      <c r="CB136">
        <v>1690217592</v>
      </c>
      <c r="CC136" t="s">
        <v>332</v>
      </c>
      <c r="CD136">
        <v>1690217586.5</v>
      </c>
      <c r="CE136">
        <v>1690217592</v>
      </c>
      <c r="CF136">
        <v>9</v>
      </c>
      <c r="CG136">
        <v>0.11600000000000001</v>
      </c>
      <c r="CH136">
        <v>-3.0000000000000001E-3</v>
      </c>
      <c r="CI136">
        <v>-0.27300000000000002</v>
      </c>
      <c r="CJ136">
        <v>-6.9000000000000006E-2</v>
      </c>
      <c r="CK136">
        <v>800</v>
      </c>
      <c r="CL136">
        <v>6</v>
      </c>
      <c r="CM136">
        <v>0.01</v>
      </c>
      <c r="CN136">
        <v>0.01</v>
      </c>
      <c r="CO136">
        <v>-268.47387804878048</v>
      </c>
      <c r="CP136">
        <v>-17.712668989547229</v>
      </c>
      <c r="CQ136">
        <v>1.7466221364585219</v>
      </c>
      <c r="CR136">
        <v>-1</v>
      </c>
      <c r="CS136">
        <v>15.95586585365854</v>
      </c>
      <c r="CT136">
        <v>0.52475540069685644</v>
      </c>
      <c r="CU136">
        <v>5.4717021963589532E-2</v>
      </c>
      <c r="CV136">
        <v>-1</v>
      </c>
      <c r="CW136">
        <v>0</v>
      </c>
      <c r="CX136">
        <v>0</v>
      </c>
      <c r="CY136" t="s">
        <v>333</v>
      </c>
      <c r="CZ136">
        <v>2.3647800000000001</v>
      </c>
      <c r="DA136">
        <v>2.7137799999999999</v>
      </c>
      <c r="DB136">
        <v>0.110027</v>
      </c>
      <c r="DC136">
        <v>0.14607600000000001</v>
      </c>
      <c r="DD136">
        <v>0.106265</v>
      </c>
      <c r="DE136">
        <v>3.7838499999999997E-2</v>
      </c>
      <c r="DF136">
        <v>32499.1</v>
      </c>
      <c r="DG136">
        <v>27523.3</v>
      </c>
      <c r="DH136">
        <v>31174.3</v>
      </c>
      <c r="DI136">
        <v>28085.1</v>
      </c>
      <c r="DJ136">
        <v>37826</v>
      </c>
      <c r="DK136">
        <v>38426.9</v>
      </c>
      <c r="DL136">
        <v>44364.6</v>
      </c>
      <c r="DM136">
        <v>42565.4</v>
      </c>
      <c r="DN136">
        <v>1.4825999999999999</v>
      </c>
      <c r="DO136">
        <v>2.03525</v>
      </c>
      <c r="DP136">
        <v>0.13363700000000001</v>
      </c>
      <c r="DQ136">
        <v>0.159301</v>
      </c>
      <c r="DR136">
        <v>24.811599999999999</v>
      </c>
      <c r="DS136">
        <v>24.67</v>
      </c>
      <c r="DT136">
        <v>16.8</v>
      </c>
      <c r="DU136">
        <v>29.8</v>
      </c>
      <c r="DV136">
        <v>7.1419499999999996</v>
      </c>
      <c r="DW136">
        <v>61.4041</v>
      </c>
      <c r="DX136">
        <v>36.546500000000002</v>
      </c>
      <c r="DY136">
        <v>1</v>
      </c>
      <c r="DZ136">
        <v>-9.8755099999999998E-2</v>
      </c>
      <c r="EA136">
        <v>0.38389400000000001</v>
      </c>
      <c r="EB136">
        <v>20.189399999999999</v>
      </c>
      <c r="EC136">
        <v>5.2413999999999996</v>
      </c>
      <c r="ED136">
        <v>12.039899999999999</v>
      </c>
      <c r="EE136">
        <v>5.0168999999999997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1.86894</v>
      </c>
      <c r="EL136">
        <v>1.8646499999999999</v>
      </c>
      <c r="EM136">
        <v>1.8691899999999999</v>
      </c>
      <c r="EN136">
        <v>1.8672299999999999</v>
      </c>
      <c r="EO136">
        <v>1.8633999999999999</v>
      </c>
      <c r="EP136">
        <v>1.86459</v>
      </c>
      <c r="EQ136">
        <v>1.87022</v>
      </c>
      <c r="ER136">
        <v>1.86947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-8.2000000000000003E-2</v>
      </c>
      <c r="FG136">
        <v>0.19009999999999999</v>
      </c>
      <c r="FH136">
        <v>0.27827353915413472</v>
      </c>
      <c r="FI136">
        <v>-6.1462078757559423E-4</v>
      </c>
      <c r="FJ136">
        <v>-1.8861989874597051E-7</v>
      </c>
      <c r="FK136">
        <v>1.1980462299894961E-10</v>
      </c>
      <c r="FL136">
        <v>0.19010266435860859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29.6</v>
      </c>
      <c r="FU136">
        <v>29.6</v>
      </c>
      <c r="FV136">
        <v>1.7773399999999999</v>
      </c>
      <c r="FW136">
        <v>2.5793499999999998</v>
      </c>
      <c r="FX136">
        <v>1.5490699999999999</v>
      </c>
      <c r="FY136">
        <v>2.3290999999999999</v>
      </c>
      <c r="FZ136">
        <v>1.50024</v>
      </c>
      <c r="GA136">
        <v>2.4011200000000001</v>
      </c>
      <c r="GB136">
        <v>33.850900000000003</v>
      </c>
      <c r="GC136">
        <v>23.982399999999998</v>
      </c>
      <c r="GD136">
        <v>19</v>
      </c>
      <c r="GE136">
        <v>285.363</v>
      </c>
      <c r="GF136">
        <v>581.60799999999995</v>
      </c>
      <c r="GG136">
        <v>23.866</v>
      </c>
      <c r="GH136">
        <v>26.127099999999999</v>
      </c>
      <c r="GI136">
        <v>29.9999</v>
      </c>
      <c r="GJ136">
        <v>26.293900000000001</v>
      </c>
      <c r="GK136">
        <v>26.282900000000001</v>
      </c>
      <c r="GL136">
        <v>35.541200000000003</v>
      </c>
      <c r="GM136">
        <v>-30</v>
      </c>
      <c r="GN136">
        <v>-30</v>
      </c>
      <c r="GO136">
        <v>23.8964</v>
      </c>
      <c r="GP136">
        <v>800</v>
      </c>
      <c r="GQ136">
        <v>12.5298</v>
      </c>
      <c r="GR136">
        <v>99.745400000000004</v>
      </c>
      <c r="GS136">
        <v>99.576999999999998</v>
      </c>
    </row>
    <row r="137" spans="1:201" x14ac:dyDescent="0.25">
      <c r="A137">
        <v>121</v>
      </c>
      <c r="B137">
        <v>1690219375.0999999</v>
      </c>
      <c r="C137">
        <v>1354.599999904633</v>
      </c>
      <c r="D137" t="s">
        <v>571</v>
      </c>
      <c r="E137" t="s">
        <v>572</v>
      </c>
      <c r="F137" t="s">
        <v>330</v>
      </c>
      <c r="H137">
        <v>1690219375.0999999</v>
      </c>
      <c r="I137">
        <f t="shared" si="30"/>
        <v>1.5332793659233951E-3</v>
      </c>
      <c r="J137">
        <f t="shared" si="31"/>
        <v>1.5332793659233952</v>
      </c>
      <c r="K137">
        <f t="shared" si="32"/>
        <v>24.61975244550241</v>
      </c>
      <c r="L137">
        <f t="shared" si="33"/>
        <v>525.59400000000005</v>
      </c>
      <c r="M137">
        <f t="shared" si="34"/>
        <v>110.05265143632735</v>
      </c>
      <c r="N137">
        <f t="shared" si="35"/>
        <v>10.912782948261475</v>
      </c>
      <c r="O137">
        <f t="shared" si="36"/>
        <v>52.117719710070006</v>
      </c>
      <c r="P137">
        <f t="shared" si="37"/>
        <v>9.8801618063820262E-2</v>
      </c>
      <c r="Q137">
        <f t="shared" si="38"/>
        <v>2.1300125778185386</v>
      </c>
      <c r="R137">
        <f t="shared" si="39"/>
        <v>9.6324381509479556E-2</v>
      </c>
      <c r="S137">
        <f t="shared" si="40"/>
        <v>6.0420135034981025E-2</v>
      </c>
      <c r="T137">
        <f t="shared" si="41"/>
        <v>276.11304732810385</v>
      </c>
      <c r="U137">
        <f t="shared" si="42"/>
        <v>27.576425607531807</v>
      </c>
      <c r="V137">
        <f t="shared" si="43"/>
        <v>27.576425607531807</v>
      </c>
      <c r="W137">
        <f t="shared" si="44"/>
        <v>3.7021372371512697</v>
      </c>
      <c r="X137">
        <f t="shared" si="45"/>
        <v>64.605833362861901</v>
      </c>
      <c r="Y137">
        <f t="shared" si="46"/>
        <v>2.1704660244330003</v>
      </c>
      <c r="Z137">
        <f t="shared" si="47"/>
        <v>3.3595511604075581</v>
      </c>
      <c r="AA137">
        <f t="shared" si="48"/>
        <v>1.5316712127182694</v>
      </c>
      <c r="AB137">
        <f t="shared" si="49"/>
        <v>-67.617620037221727</v>
      </c>
      <c r="AC137">
        <f t="shared" si="50"/>
        <v>-189.50075010074843</v>
      </c>
      <c r="AD137">
        <f t="shared" si="51"/>
        <v>-19.152547380493221</v>
      </c>
      <c r="AE137">
        <f t="shared" si="52"/>
        <v>-0.15787019035954586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52539.735074804106</v>
      </c>
      <c r="AK137">
        <f t="shared" si="56"/>
        <v>1799.99</v>
      </c>
      <c r="AL137">
        <f t="shared" si="57"/>
        <v>1499.1032864021399</v>
      </c>
      <c r="AM137">
        <f t="shared" si="58"/>
        <v>0.83283978599999997</v>
      </c>
      <c r="AN137">
        <f t="shared" si="59"/>
        <v>0.15339698960999998</v>
      </c>
      <c r="AO137">
        <v>32.4</v>
      </c>
      <c r="AP137">
        <v>0.5</v>
      </c>
      <c r="AQ137" t="s">
        <v>331</v>
      </c>
      <c r="AR137">
        <v>2</v>
      </c>
      <c r="AS137">
        <v>1690219375.0999999</v>
      </c>
      <c r="AT137">
        <v>525.59400000000005</v>
      </c>
      <c r="AU137">
        <v>800.00699999999995</v>
      </c>
      <c r="AV137">
        <v>21.8886</v>
      </c>
      <c r="AW137">
        <v>5.7024900000000001</v>
      </c>
      <c r="AX137">
        <v>525.67399999999998</v>
      </c>
      <c r="AY137">
        <v>21.698499999999999</v>
      </c>
      <c r="AZ137">
        <v>300.20100000000002</v>
      </c>
      <c r="BA137">
        <v>99.059600000000003</v>
      </c>
      <c r="BB137">
        <v>0.10005500000000001</v>
      </c>
      <c r="BC137">
        <v>25.926200000000001</v>
      </c>
      <c r="BD137">
        <v>26.988299999999999</v>
      </c>
      <c r="BE137">
        <v>27.278500000000001</v>
      </c>
      <c r="BF137">
        <v>0</v>
      </c>
      <c r="BG137">
        <v>0</v>
      </c>
      <c r="BH137">
        <v>9994.3799999999992</v>
      </c>
      <c r="BI137">
        <v>1065.7</v>
      </c>
      <c r="BJ137">
        <v>1.7380500000000001</v>
      </c>
      <c r="BK137">
        <v>-274.41199999999998</v>
      </c>
      <c r="BL137">
        <v>537.35599999999999</v>
      </c>
      <c r="BM137">
        <v>804.59500000000003</v>
      </c>
      <c r="BN137">
        <v>16.1861</v>
      </c>
      <c r="BO137">
        <v>800.00699999999995</v>
      </c>
      <c r="BP137">
        <v>5.7024900000000001</v>
      </c>
      <c r="BQ137">
        <v>2.1682800000000002</v>
      </c>
      <c r="BR137">
        <v>0.564886</v>
      </c>
      <c r="BS137">
        <v>18.729800000000001</v>
      </c>
      <c r="BT137">
        <v>-1.1346499999999999</v>
      </c>
      <c r="BU137">
        <v>1799.99</v>
      </c>
      <c r="BV137">
        <v>0.91000899999999996</v>
      </c>
      <c r="BW137">
        <v>3.4004699999999999E-2</v>
      </c>
      <c r="BX137">
        <v>2.1995299999999999E-2</v>
      </c>
      <c r="BY137">
        <v>3.3990699999999999E-2</v>
      </c>
      <c r="BZ137">
        <v>25.708300000000001</v>
      </c>
      <c r="CA137">
        <v>33528.300000000003</v>
      </c>
      <c r="CB137">
        <v>1690217592</v>
      </c>
      <c r="CC137" t="s">
        <v>332</v>
      </c>
      <c r="CD137">
        <v>1690217586.5</v>
      </c>
      <c r="CE137">
        <v>1690217592</v>
      </c>
      <c r="CF137">
        <v>9</v>
      </c>
      <c r="CG137">
        <v>0.11600000000000001</v>
      </c>
      <c r="CH137">
        <v>-3.0000000000000001E-3</v>
      </c>
      <c r="CI137">
        <v>-0.27300000000000002</v>
      </c>
      <c r="CJ137">
        <v>-6.9000000000000006E-2</v>
      </c>
      <c r="CK137">
        <v>800</v>
      </c>
      <c r="CL137">
        <v>6</v>
      </c>
      <c r="CM137">
        <v>0.01</v>
      </c>
      <c r="CN137">
        <v>0.01</v>
      </c>
      <c r="CO137">
        <v>-271.08970731707319</v>
      </c>
      <c r="CP137">
        <v>-17.29703832752601</v>
      </c>
      <c r="CQ137">
        <v>1.7058068292532249</v>
      </c>
      <c r="CR137">
        <v>-1</v>
      </c>
      <c r="CS137">
        <v>16.047829268292681</v>
      </c>
      <c r="CT137">
        <v>0.69795052264807578</v>
      </c>
      <c r="CU137">
        <v>6.8834092672880931E-2</v>
      </c>
      <c r="CV137">
        <v>-1</v>
      </c>
      <c r="CW137">
        <v>0</v>
      </c>
      <c r="CX137">
        <v>0</v>
      </c>
      <c r="CY137" t="s">
        <v>333</v>
      </c>
      <c r="CZ137">
        <v>2.3647100000000001</v>
      </c>
      <c r="DA137">
        <v>2.7138399999999998</v>
      </c>
      <c r="DB137">
        <v>0.109599</v>
      </c>
      <c r="DC137">
        <v>0.14607500000000001</v>
      </c>
      <c r="DD137">
        <v>0.106681</v>
      </c>
      <c r="DE137">
        <v>3.78415E-2</v>
      </c>
      <c r="DF137">
        <v>32514.9</v>
      </c>
      <c r="DG137">
        <v>27523.8</v>
      </c>
      <c r="DH137">
        <v>31174.400000000001</v>
      </c>
      <c r="DI137">
        <v>28085.599999999999</v>
      </c>
      <c r="DJ137">
        <v>37808.199999999997</v>
      </c>
      <c r="DK137">
        <v>38427.4</v>
      </c>
      <c r="DL137">
        <v>44364.6</v>
      </c>
      <c r="DM137">
        <v>42566.1</v>
      </c>
      <c r="DN137">
        <v>1.48272</v>
      </c>
      <c r="DO137">
        <v>2.03545</v>
      </c>
      <c r="DP137">
        <v>0.132859</v>
      </c>
      <c r="DQ137">
        <v>0.159111</v>
      </c>
      <c r="DR137">
        <v>24.811599999999999</v>
      </c>
      <c r="DS137">
        <v>24.6721</v>
      </c>
      <c r="DT137">
        <v>16.8</v>
      </c>
      <c r="DU137">
        <v>29.8</v>
      </c>
      <c r="DV137">
        <v>7.1422600000000003</v>
      </c>
      <c r="DW137">
        <v>61.514099999999999</v>
      </c>
      <c r="DX137">
        <v>37.027200000000001</v>
      </c>
      <c r="DY137">
        <v>1</v>
      </c>
      <c r="DZ137">
        <v>-9.9209900000000004E-2</v>
      </c>
      <c r="EA137">
        <v>0.261874</v>
      </c>
      <c r="EB137">
        <v>20.189699999999998</v>
      </c>
      <c r="EC137">
        <v>5.2415500000000002</v>
      </c>
      <c r="ED137">
        <v>12.039899999999999</v>
      </c>
      <c r="EE137">
        <v>5.0171999999999999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1.86896</v>
      </c>
      <c r="EL137">
        <v>1.8646799999999999</v>
      </c>
      <c r="EM137">
        <v>1.8691899999999999</v>
      </c>
      <c r="EN137">
        <v>1.8672500000000001</v>
      </c>
      <c r="EO137">
        <v>1.86341</v>
      </c>
      <c r="EP137">
        <v>1.8646100000000001</v>
      </c>
      <c r="EQ137">
        <v>1.8702099999999999</v>
      </c>
      <c r="ER137">
        <v>1.86948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-0.08</v>
      </c>
      <c r="FG137">
        <v>0.19009999999999999</v>
      </c>
      <c r="FH137">
        <v>0.27827353915413472</v>
      </c>
      <c r="FI137">
        <v>-6.1462078757559423E-4</v>
      </c>
      <c r="FJ137">
        <v>-1.8861989874597051E-7</v>
      </c>
      <c r="FK137">
        <v>1.1980462299894961E-10</v>
      </c>
      <c r="FL137">
        <v>0.19010266435860859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29.8</v>
      </c>
      <c r="FU137">
        <v>29.7</v>
      </c>
      <c r="FV137">
        <v>1.7773399999999999</v>
      </c>
      <c r="FW137">
        <v>2.5793499999999998</v>
      </c>
      <c r="FX137">
        <v>1.5490699999999999</v>
      </c>
      <c r="FY137">
        <v>2.3290999999999999</v>
      </c>
      <c r="FZ137">
        <v>1.50146</v>
      </c>
      <c r="GA137">
        <v>2.36328</v>
      </c>
      <c r="GB137">
        <v>33.850900000000003</v>
      </c>
      <c r="GC137">
        <v>23.982399999999998</v>
      </c>
      <c r="GD137">
        <v>19</v>
      </c>
      <c r="GE137">
        <v>285.40300000000002</v>
      </c>
      <c r="GF137">
        <v>581.74800000000005</v>
      </c>
      <c r="GG137">
        <v>23.885999999999999</v>
      </c>
      <c r="GH137">
        <v>26.1249</v>
      </c>
      <c r="GI137">
        <v>29.9999</v>
      </c>
      <c r="GJ137">
        <v>26.290800000000001</v>
      </c>
      <c r="GK137">
        <v>26.2807</v>
      </c>
      <c r="GL137">
        <v>35.540599999999998</v>
      </c>
      <c r="GM137">
        <v>-30</v>
      </c>
      <c r="GN137">
        <v>-30</v>
      </c>
      <c r="GO137">
        <v>23.883900000000001</v>
      </c>
      <c r="GP137">
        <v>800</v>
      </c>
      <c r="GQ137">
        <v>12.5298</v>
      </c>
      <c r="GR137">
        <v>99.745500000000007</v>
      </c>
      <c r="GS137">
        <v>99.578699999999998</v>
      </c>
    </row>
    <row r="138" spans="1:201" x14ac:dyDescent="0.25">
      <c r="A138">
        <v>122</v>
      </c>
      <c r="B138">
        <v>1690219385.0999999</v>
      </c>
      <c r="C138">
        <v>1364.599999904633</v>
      </c>
      <c r="D138" t="s">
        <v>573</v>
      </c>
      <c r="E138" t="s">
        <v>574</v>
      </c>
      <c r="F138" t="s">
        <v>330</v>
      </c>
      <c r="H138">
        <v>1690219385.0999999</v>
      </c>
      <c r="I138">
        <f t="shared" si="30"/>
        <v>1.5446750676566478E-3</v>
      </c>
      <c r="J138">
        <f t="shared" si="31"/>
        <v>1.5446750676566479</v>
      </c>
      <c r="K138">
        <f t="shared" si="32"/>
        <v>24.883206064931688</v>
      </c>
      <c r="L138">
        <f t="shared" si="33"/>
        <v>522.73900000000003</v>
      </c>
      <c r="M138">
        <f t="shared" si="34"/>
        <v>109.47493193072651</v>
      </c>
      <c r="N138">
        <f t="shared" si="35"/>
        <v>10.855727166975889</v>
      </c>
      <c r="O138">
        <f t="shared" si="36"/>
        <v>51.8357204106658</v>
      </c>
      <c r="P138">
        <f t="shared" si="37"/>
        <v>0.10042643598504411</v>
      </c>
      <c r="Q138">
        <f t="shared" si="38"/>
        <v>2.1314161549934498</v>
      </c>
      <c r="R138">
        <f t="shared" si="39"/>
        <v>9.7869826509536892E-2</v>
      </c>
      <c r="S138">
        <f t="shared" si="40"/>
        <v>6.1392921800590874E-2</v>
      </c>
      <c r="T138">
        <f t="shared" si="41"/>
        <v>276.11454907799998</v>
      </c>
      <c r="U138">
        <f t="shared" si="42"/>
        <v>27.571574307363413</v>
      </c>
      <c r="V138">
        <f t="shared" si="43"/>
        <v>27.571574307363413</v>
      </c>
      <c r="W138">
        <f t="shared" si="44"/>
        <v>3.7010870449103956</v>
      </c>
      <c r="X138">
        <f t="shared" si="45"/>
        <v>64.962198778148434</v>
      </c>
      <c r="Y138">
        <f t="shared" si="46"/>
        <v>2.1824512242598</v>
      </c>
      <c r="Z138">
        <f t="shared" si="47"/>
        <v>3.3595710510247061</v>
      </c>
      <c r="AA138">
        <f t="shared" si="48"/>
        <v>1.5186358206505957</v>
      </c>
      <c r="AB138">
        <f t="shared" si="49"/>
        <v>-68.120170483658171</v>
      </c>
      <c r="AC138">
        <f t="shared" si="50"/>
        <v>-189.05667360498819</v>
      </c>
      <c r="AD138">
        <f t="shared" si="51"/>
        <v>-19.094627634074577</v>
      </c>
      <c r="AE138">
        <f t="shared" si="52"/>
        <v>-0.1569226447209644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52600.480962198504</v>
      </c>
      <c r="AK138">
        <f t="shared" si="56"/>
        <v>1800</v>
      </c>
      <c r="AL138">
        <f t="shared" si="57"/>
        <v>1499.1121638</v>
      </c>
      <c r="AM138">
        <f t="shared" si="58"/>
        <v>0.832840091</v>
      </c>
      <c r="AN138">
        <f t="shared" si="59"/>
        <v>0.15339697171</v>
      </c>
      <c r="AO138">
        <v>32.4</v>
      </c>
      <c r="AP138">
        <v>0.5</v>
      </c>
      <c r="AQ138" t="s">
        <v>331</v>
      </c>
      <c r="AR138">
        <v>2</v>
      </c>
      <c r="AS138">
        <v>1690219385.0999999</v>
      </c>
      <c r="AT138">
        <v>522.73900000000003</v>
      </c>
      <c r="AU138">
        <v>800.04200000000003</v>
      </c>
      <c r="AV138">
        <v>22.009</v>
      </c>
      <c r="AW138">
        <v>5.7028600000000003</v>
      </c>
      <c r="AX138">
        <v>522.81600000000003</v>
      </c>
      <c r="AY138">
        <v>21.8188</v>
      </c>
      <c r="AZ138">
        <v>300.16899999999998</v>
      </c>
      <c r="BA138">
        <v>99.061800000000005</v>
      </c>
      <c r="BB138">
        <v>9.9962200000000001E-2</v>
      </c>
      <c r="BC138">
        <v>25.926300000000001</v>
      </c>
      <c r="BD138">
        <v>27.021599999999999</v>
      </c>
      <c r="BE138">
        <v>27.278600000000001</v>
      </c>
      <c r="BF138">
        <v>0</v>
      </c>
      <c r="BG138">
        <v>0</v>
      </c>
      <c r="BH138">
        <v>10006.200000000001</v>
      </c>
      <c r="BI138">
        <v>1065.78</v>
      </c>
      <c r="BJ138">
        <v>1.7380500000000001</v>
      </c>
      <c r="BK138">
        <v>-277.30399999999997</v>
      </c>
      <c r="BL138">
        <v>534.50199999999995</v>
      </c>
      <c r="BM138">
        <v>804.63099999999997</v>
      </c>
      <c r="BN138">
        <v>16.306100000000001</v>
      </c>
      <c r="BO138">
        <v>800.04200000000003</v>
      </c>
      <c r="BP138">
        <v>5.7028600000000003</v>
      </c>
      <c r="BQ138">
        <v>2.18025</v>
      </c>
      <c r="BR138">
        <v>0.56493499999999996</v>
      </c>
      <c r="BS138">
        <v>18.817900000000002</v>
      </c>
      <c r="BT138">
        <v>-1.13347</v>
      </c>
      <c r="BU138">
        <v>1800</v>
      </c>
      <c r="BV138">
        <v>0.91001100000000001</v>
      </c>
      <c r="BW138">
        <v>3.4004E-2</v>
      </c>
      <c r="BX138">
        <v>2.1994799999999998E-2</v>
      </c>
      <c r="BY138">
        <v>3.3990100000000002E-2</v>
      </c>
      <c r="BZ138">
        <v>25.666699999999999</v>
      </c>
      <c r="CA138">
        <v>33528.5</v>
      </c>
      <c r="CB138">
        <v>1690217592</v>
      </c>
      <c r="CC138" t="s">
        <v>332</v>
      </c>
      <c r="CD138">
        <v>1690217586.5</v>
      </c>
      <c r="CE138">
        <v>1690217592</v>
      </c>
      <c r="CF138">
        <v>9</v>
      </c>
      <c r="CG138">
        <v>0.11600000000000001</v>
      </c>
      <c r="CH138">
        <v>-3.0000000000000001E-3</v>
      </c>
      <c r="CI138">
        <v>-0.27300000000000002</v>
      </c>
      <c r="CJ138">
        <v>-6.9000000000000006E-2</v>
      </c>
      <c r="CK138">
        <v>800</v>
      </c>
      <c r="CL138">
        <v>6</v>
      </c>
      <c r="CM138">
        <v>0.01</v>
      </c>
      <c r="CN138">
        <v>0.01</v>
      </c>
      <c r="CO138">
        <v>-273.95109756097571</v>
      </c>
      <c r="CP138">
        <v>-16.978787456447019</v>
      </c>
      <c r="CQ138">
        <v>1.674716179883857</v>
      </c>
      <c r="CR138">
        <v>-1</v>
      </c>
      <c r="CS138">
        <v>16.167292682926831</v>
      </c>
      <c r="CT138">
        <v>0.72501324041812865</v>
      </c>
      <c r="CU138">
        <v>7.1526837502057933E-2</v>
      </c>
      <c r="CV138">
        <v>-1</v>
      </c>
      <c r="CW138">
        <v>0</v>
      </c>
      <c r="CX138">
        <v>0</v>
      </c>
      <c r="CY138" t="s">
        <v>333</v>
      </c>
      <c r="CZ138">
        <v>2.3645999999999998</v>
      </c>
      <c r="DA138">
        <v>2.7137600000000002</v>
      </c>
      <c r="DB138">
        <v>0.10917200000000001</v>
      </c>
      <c r="DC138">
        <v>0.14608299999999999</v>
      </c>
      <c r="DD138">
        <v>0.107102</v>
      </c>
      <c r="DE138">
        <v>3.7844700000000002E-2</v>
      </c>
      <c r="DF138">
        <v>32530.2</v>
      </c>
      <c r="DG138">
        <v>27523.599999999999</v>
      </c>
      <c r="DH138">
        <v>31174.1</v>
      </c>
      <c r="DI138">
        <v>28085.7</v>
      </c>
      <c r="DJ138">
        <v>37790</v>
      </c>
      <c r="DK138">
        <v>38427.4</v>
      </c>
      <c r="DL138">
        <v>44364.5</v>
      </c>
      <c r="DM138">
        <v>42566.2</v>
      </c>
      <c r="DN138">
        <v>1.4829300000000001</v>
      </c>
      <c r="DO138">
        <v>2.0354199999999998</v>
      </c>
      <c r="DP138">
        <v>0.13477</v>
      </c>
      <c r="DQ138">
        <v>0.15901799999999999</v>
      </c>
      <c r="DR138">
        <v>24.813700000000001</v>
      </c>
      <c r="DS138">
        <v>24.6737</v>
      </c>
      <c r="DT138">
        <v>16.8</v>
      </c>
      <c r="DU138">
        <v>29.8</v>
      </c>
      <c r="DV138">
        <v>7.1419699999999997</v>
      </c>
      <c r="DW138">
        <v>61.864100000000001</v>
      </c>
      <c r="DX138">
        <v>37.291699999999999</v>
      </c>
      <c r="DY138">
        <v>1</v>
      </c>
      <c r="DZ138">
        <v>-9.9222599999999994E-2</v>
      </c>
      <c r="EA138">
        <v>0.263042</v>
      </c>
      <c r="EB138">
        <v>20.189599999999999</v>
      </c>
      <c r="EC138">
        <v>5.24125</v>
      </c>
      <c r="ED138">
        <v>12.039899999999999</v>
      </c>
      <c r="EE138">
        <v>5.0171999999999999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1.86897</v>
      </c>
      <c r="EL138">
        <v>1.8647100000000001</v>
      </c>
      <c r="EM138">
        <v>1.8692</v>
      </c>
      <c r="EN138">
        <v>1.8672500000000001</v>
      </c>
      <c r="EO138">
        <v>1.8633999999999999</v>
      </c>
      <c r="EP138">
        <v>1.8646199999999999</v>
      </c>
      <c r="EQ138">
        <v>1.87022</v>
      </c>
      <c r="ER138">
        <v>1.86947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-7.6999999999999999E-2</v>
      </c>
      <c r="FG138">
        <v>0.19020000000000001</v>
      </c>
      <c r="FH138">
        <v>0.27827353915413472</v>
      </c>
      <c r="FI138">
        <v>-6.1462078757559423E-4</v>
      </c>
      <c r="FJ138">
        <v>-1.8861989874597051E-7</v>
      </c>
      <c r="FK138">
        <v>1.1980462299894961E-10</v>
      </c>
      <c r="FL138">
        <v>0.19010266435860859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30</v>
      </c>
      <c r="FU138">
        <v>29.9</v>
      </c>
      <c r="FV138">
        <v>1.7773399999999999</v>
      </c>
      <c r="FW138">
        <v>2.5830099999999998</v>
      </c>
      <c r="FX138">
        <v>1.5490699999999999</v>
      </c>
      <c r="FY138">
        <v>2.3290999999999999</v>
      </c>
      <c r="FZ138">
        <v>1.50146</v>
      </c>
      <c r="GA138">
        <v>2.3290999999999999</v>
      </c>
      <c r="GB138">
        <v>33.828299999999999</v>
      </c>
      <c r="GC138">
        <v>23.982399999999998</v>
      </c>
      <c r="GD138">
        <v>19</v>
      </c>
      <c r="GE138">
        <v>285.47800000000001</v>
      </c>
      <c r="GF138">
        <v>581.69000000000005</v>
      </c>
      <c r="GG138">
        <v>23.885100000000001</v>
      </c>
      <c r="GH138">
        <v>26.122699999999998</v>
      </c>
      <c r="GI138">
        <v>30</v>
      </c>
      <c r="GJ138">
        <v>26.288499999999999</v>
      </c>
      <c r="GK138">
        <v>26.2775</v>
      </c>
      <c r="GL138">
        <v>35.542000000000002</v>
      </c>
      <c r="GM138">
        <v>-30</v>
      </c>
      <c r="GN138">
        <v>-30</v>
      </c>
      <c r="GO138">
        <v>23.888500000000001</v>
      </c>
      <c r="GP138">
        <v>800</v>
      </c>
      <c r="GQ138">
        <v>12.5298</v>
      </c>
      <c r="GR138">
        <v>99.744799999999998</v>
      </c>
      <c r="GS138">
        <v>99.578999999999994</v>
      </c>
    </row>
    <row r="139" spans="1:201" x14ac:dyDescent="0.25">
      <c r="A139">
        <v>123</v>
      </c>
      <c r="B139">
        <v>1690219395.0999999</v>
      </c>
      <c r="C139">
        <v>1374.599999904633</v>
      </c>
      <c r="D139" t="s">
        <v>575</v>
      </c>
      <c r="E139" t="s">
        <v>576</v>
      </c>
      <c r="F139" t="s">
        <v>330</v>
      </c>
      <c r="H139">
        <v>1690219395.0999999</v>
      </c>
      <c r="I139">
        <f t="shared" si="30"/>
        <v>1.5555149526182404E-3</v>
      </c>
      <c r="J139">
        <f t="shared" si="31"/>
        <v>1.5555149526182404</v>
      </c>
      <c r="K139">
        <f t="shared" si="32"/>
        <v>25.126297617710105</v>
      </c>
      <c r="L139">
        <f t="shared" si="33"/>
        <v>520.02700000000004</v>
      </c>
      <c r="M139">
        <f t="shared" si="34"/>
        <v>109.15066903252853</v>
      </c>
      <c r="N139">
        <f t="shared" si="35"/>
        <v>10.823506519438929</v>
      </c>
      <c r="O139">
        <f t="shared" si="36"/>
        <v>51.566478471212001</v>
      </c>
      <c r="P139">
        <f t="shared" si="37"/>
        <v>0.10201620864736355</v>
      </c>
      <c r="Q139">
        <f t="shared" si="38"/>
        <v>2.1325024768163354</v>
      </c>
      <c r="R139">
        <f t="shared" si="39"/>
        <v>9.9380465678178931E-2</v>
      </c>
      <c r="S139">
        <f t="shared" si="40"/>
        <v>6.2343930090620989E-2</v>
      </c>
      <c r="T139">
        <f t="shared" si="41"/>
        <v>276.11294816665486</v>
      </c>
      <c r="U139">
        <f t="shared" si="42"/>
        <v>27.564723623149163</v>
      </c>
      <c r="V139">
        <f t="shared" si="43"/>
        <v>27.564723623149163</v>
      </c>
      <c r="W139">
        <f t="shared" si="44"/>
        <v>3.6996044758766007</v>
      </c>
      <c r="X139">
        <f t="shared" si="45"/>
        <v>65.304224831794869</v>
      </c>
      <c r="Y139">
        <f t="shared" si="46"/>
        <v>2.1936430930319997</v>
      </c>
      <c r="Z139">
        <f t="shared" si="47"/>
        <v>3.3591135928528382</v>
      </c>
      <c r="AA139">
        <f t="shared" si="48"/>
        <v>1.505961382844601</v>
      </c>
      <c r="AB139">
        <f t="shared" si="49"/>
        <v>-68.598209410464406</v>
      </c>
      <c r="AC139">
        <f t="shared" si="50"/>
        <v>-188.6298497146478</v>
      </c>
      <c r="AD139">
        <f t="shared" si="51"/>
        <v>-19.040940838894432</v>
      </c>
      <c r="AE139">
        <f t="shared" si="52"/>
        <v>-0.15605179735175057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52647.894285261951</v>
      </c>
      <c r="AK139">
        <f t="shared" si="56"/>
        <v>1799.99</v>
      </c>
      <c r="AL139">
        <f t="shared" si="57"/>
        <v>1499.10385519898</v>
      </c>
      <c r="AM139">
        <f t="shared" si="58"/>
        <v>0.83284010200000003</v>
      </c>
      <c r="AN139">
        <f t="shared" si="59"/>
        <v>0.15339693452000003</v>
      </c>
      <c r="AO139">
        <v>32.4</v>
      </c>
      <c r="AP139">
        <v>0.5</v>
      </c>
      <c r="AQ139" t="s">
        <v>331</v>
      </c>
      <c r="AR139">
        <v>2</v>
      </c>
      <c r="AS139">
        <v>1690219395.0999999</v>
      </c>
      <c r="AT139">
        <v>520.02700000000004</v>
      </c>
      <c r="AU139">
        <v>799.97699999999998</v>
      </c>
      <c r="AV139">
        <v>22.122</v>
      </c>
      <c r="AW139">
        <v>5.70289</v>
      </c>
      <c r="AX139">
        <v>520.10299999999995</v>
      </c>
      <c r="AY139">
        <v>21.931899999999999</v>
      </c>
      <c r="AZ139">
        <v>300.161</v>
      </c>
      <c r="BA139">
        <v>99.061099999999996</v>
      </c>
      <c r="BB139">
        <v>0.10005600000000001</v>
      </c>
      <c r="BC139">
        <v>25.923999999999999</v>
      </c>
      <c r="BD139">
        <v>27.007899999999999</v>
      </c>
      <c r="BE139">
        <v>27.274999999999999</v>
      </c>
      <c r="BF139">
        <v>0</v>
      </c>
      <c r="BG139">
        <v>0</v>
      </c>
      <c r="BH139">
        <v>10015.6</v>
      </c>
      <c r="BI139">
        <v>1065.8900000000001</v>
      </c>
      <c r="BJ139">
        <v>1.7380500000000001</v>
      </c>
      <c r="BK139">
        <v>-279.95</v>
      </c>
      <c r="BL139">
        <v>531.79200000000003</v>
      </c>
      <c r="BM139">
        <v>804.56600000000003</v>
      </c>
      <c r="BN139">
        <v>16.4191</v>
      </c>
      <c r="BO139">
        <v>799.97699999999998</v>
      </c>
      <c r="BP139">
        <v>5.70289</v>
      </c>
      <c r="BQ139">
        <v>2.19143</v>
      </c>
      <c r="BR139">
        <v>0.56493400000000005</v>
      </c>
      <c r="BS139">
        <v>18.899799999999999</v>
      </c>
      <c r="BT139">
        <v>-1.13348</v>
      </c>
      <c r="BU139">
        <v>1799.99</v>
      </c>
      <c r="BV139">
        <v>0.91001200000000004</v>
      </c>
      <c r="BW139">
        <v>3.4003600000000002E-2</v>
      </c>
      <c r="BX139">
        <v>2.19946E-2</v>
      </c>
      <c r="BY139">
        <v>3.3989600000000002E-2</v>
      </c>
      <c r="BZ139">
        <v>25.666699999999999</v>
      </c>
      <c r="CA139">
        <v>33528.300000000003</v>
      </c>
      <c r="CB139">
        <v>1690217592</v>
      </c>
      <c r="CC139" t="s">
        <v>332</v>
      </c>
      <c r="CD139">
        <v>1690217586.5</v>
      </c>
      <c r="CE139">
        <v>1690217592</v>
      </c>
      <c r="CF139">
        <v>9</v>
      </c>
      <c r="CG139">
        <v>0.11600000000000001</v>
      </c>
      <c r="CH139">
        <v>-3.0000000000000001E-3</v>
      </c>
      <c r="CI139">
        <v>-0.27300000000000002</v>
      </c>
      <c r="CJ139">
        <v>-6.9000000000000006E-2</v>
      </c>
      <c r="CK139">
        <v>800</v>
      </c>
      <c r="CL139">
        <v>6</v>
      </c>
      <c r="CM139">
        <v>0.01</v>
      </c>
      <c r="CN139">
        <v>0.01</v>
      </c>
      <c r="CO139">
        <v>-277.06546341463422</v>
      </c>
      <c r="CP139">
        <v>-16.773763066201969</v>
      </c>
      <c r="CQ139">
        <v>1.6549380962199349</v>
      </c>
      <c r="CR139">
        <v>-1</v>
      </c>
      <c r="CS139">
        <v>16.298675609756099</v>
      </c>
      <c r="CT139">
        <v>0.69640139372823151</v>
      </c>
      <c r="CU139">
        <v>6.8674423756495601E-2</v>
      </c>
      <c r="CV139">
        <v>-1</v>
      </c>
      <c r="CW139">
        <v>0</v>
      </c>
      <c r="CX139">
        <v>0</v>
      </c>
      <c r="CY139" t="s">
        <v>333</v>
      </c>
      <c r="CZ139">
        <v>2.36456</v>
      </c>
      <c r="DA139">
        <v>2.7138599999999999</v>
      </c>
      <c r="DB139">
        <v>0.108762</v>
      </c>
      <c r="DC139">
        <v>0.14607500000000001</v>
      </c>
      <c r="DD139">
        <v>0.10749400000000001</v>
      </c>
      <c r="DE139">
        <v>3.7844799999999998E-2</v>
      </c>
      <c r="DF139">
        <v>32545.4</v>
      </c>
      <c r="DG139">
        <v>27524.2</v>
      </c>
      <c r="DH139">
        <v>31174.400000000001</v>
      </c>
      <c r="DI139">
        <v>28086</v>
      </c>
      <c r="DJ139">
        <v>37773.4</v>
      </c>
      <c r="DK139">
        <v>38428.1</v>
      </c>
      <c r="DL139">
        <v>44364.800000000003</v>
      </c>
      <c r="DM139">
        <v>42566.9</v>
      </c>
      <c r="DN139">
        <v>1.4829000000000001</v>
      </c>
      <c r="DO139">
        <v>2.03565</v>
      </c>
      <c r="DP139">
        <v>0.13380500000000001</v>
      </c>
      <c r="DQ139">
        <v>0.15854499999999999</v>
      </c>
      <c r="DR139">
        <v>24.815799999999999</v>
      </c>
      <c r="DS139">
        <v>24.677800000000001</v>
      </c>
      <c r="DT139">
        <v>16.8</v>
      </c>
      <c r="DU139">
        <v>29.8</v>
      </c>
      <c r="DV139">
        <v>7.1425799999999997</v>
      </c>
      <c r="DW139">
        <v>61.674100000000003</v>
      </c>
      <c r="DX139">
        <v>37.463900000000002</v>
      </c>
      <c r="DY139">
        <v>1</v>
      </c>
      <c r="DZ139">
        <v>-9.9532499999999996E-2</v>
      </c>
      <c r="EA139">
        <v>0.234796</v>
      </c>
      <c r="EB139">
        <v>20.189699999999998</v>
      </c>
      <c r="EC139">
        <v>5.2413999999999996</v>
      </c>
      <c r="ED139">
        <v>12.039899999999999</v>
      </c>
      <c r="EE139">
        <v>5.0175999999999998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1.86893</v>
      </c>
      <c r="EL139">
        <v>1.86466</v>
      </c>
      <c r="EM139">
        <v>1.8691899999999999</v>
      </c>
      <c r="EN139">
        <v>1.8672599999999999</v>
      </c>
      <c r="EO139">
        <v>1.86341</v>
      </c>
      <c r="EP139">
        <v>1.8646</v>
      </c>
      <c r="EQ139">
        <v>1.87022</v>
      </c>
      <c r="ER139">
        <v>1.86947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-7.5999999999999998E-2</v>
      </c>
      <c r="FG139">
        <v>0.19009999999999999</v>
      </c>
      <c r="FH139">
        <v>0.27827353915413472</v>
      </c>
      <c r="FI139">
        <v>-6.1462078757559423E-4</v>
      </c>
      <c r="FJ139">
        <v>-1.8861989874597051E-7</v>
      </c>
      <c r="FK139">
        <v>1.1980462299894961E-10</v>
      </c>
      <c r="FL139">
        <v>0.19010266435860859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30.1</v>
      </c>
      <c r="FU139">
        <v>30.1</v>
      </c>
      <c r="FV139">
        <v>1.7773399999999999</v>
      </c>
      <c r="FW139">
        <v>2.5830099999999998</v>
      </c>
      <c r="FX139">
        <v>1.5490699999999999</v>
      </c>
      <c r="FY139">
        <v>2.3290999999999999</v>
      </c>
      <c r="FZ139">
        <v>1.50146</v>
      </c>
      <c r="GA139">
        <v>2.34253</v>
      </c>
      <c r="GB139">
        <v>33.850900000000003</v>
      </c>
      <c r="GC139">
        <v>23.973700000000001</v>
      </c>
      <c r="GD139">
        <v>19</v>
      </c>
      <c r="GE139">
        <v>285.45800000000003</v>
      </c>
      <c r="GF139">
        <v>581.851</v>
      </c>
      <c r="GG139">
        <v>23.893599999999999</v>
      </c>
      <c r="GH139">
        <v>26.1206</v>
      </c>
      <c r="GI139">
        <v>29.9998</v>
      </c>
      <c r="GJ139">
        <v>26.286300000000001</v>
      </c>
      <c r="GK139">
        <v>26.275300000000001</v>
      </c>
      <c r="GL139">
        <v>35.543700000000001</v>
      </c>
      <c r="GM139">
        <v>-30</v>
      </c>
      <c r="GN139">
        <v>-30</v>
      </c>
      <c r="GO139">
        <v>23.9101</v>
      </c>
      <c r="GP139">
        <v>800</v>
      </c>
      <c r="GQ139">
        <v>12.5298</v>
      </c>
      <c r="GR139">
        <v>99.745599999999996</v>
      </c>
      <c r="GS139">
        <v>99.580399999999997</v>
      </c>
    </row>
    <row r="140" spans="1:201" x14ac:dyDescent="0.25">
      <c r="A140">
        <v>124</v>
      </c>
      <c r="B140">
        <v>1690219405.0999999</v>
      </c>
      <c r="C140">
        <v>1384.599999904633</v>
      </c>
      <c r="D140" t="s">
        <v>577</v>
      </c>
      <c r="E140" t="s">
        <v>578</v>
      </c>
      <c r="F140" t="s">
        <v>330</v>
      </c>
      <c r="H140">
        <v>1690219405.0999999</v>
      </c>
      <c r="I140">
        <f t="shared" si="30"/>
        <v>1.5662584517493437E-3</v>
      </c>
      <c r="J140">
        <f t="shared" si="31"/>
        <v>1.5662584517493436</v>
      </c>
      <c r="K140">
        <f t="shared" si="32"/>
        <v>25.385536727580888</v>
      </c>
      <c r="L140">
        <f t="shared" si="33"/>
        <v>517.24400000000003</v>
      </c>
      <c r="M140">
        <f t="shared" si="34"/>
        <v>107.8242146400857</v>
      </c>
      <c r="N140">
        <f t="shared" si="35"/>
        <v>10.692383716167084</v>
      </c>
      <c r="O140">
        <f t="shared" si="36"/>
        <v>51.292479535752008</v>
      </c>
      <c r="P140">
        <f t="shared" si="37"/>
        <v>0.10345389626918046</v>
      </c>
      <c r="Q140">
        <f t="shared" si="38"/>
        <v>2.1273010338634069</v>
      </c>
      <c r="R140">
        <f t="shared" si="39"/>
        <v>0.10073796502950495</v>
      </c>
      <c r="S140">
        <f t="shared" si="40"/>
        <v>6.319930506505568E-2</v>
      </c>
      <c r="T140">
        <f t="shared" si="41"/>
        <v>276.11436099600002</v>
      </c>
      <c r="U140">
        <f t="shared" si="42"/>
        <v>27.569319229427975</v>
      </c>
      <c r="V140">
        <f t="shared" si="43"/>
        <v>27.569319229427975</v>
      </c>
      <c r="W140">
        <f t="shared" si="44"/>
        <v>3.7005989621592863</v>
      </c>
      <c r="X140">
        <f t="shared" si="45"/>
        <v>65.615266867165772</v>
      </c>
      <c r="Y140">
        <f t="shared" si="46"/>
        <v>2.2047047617266005</v>
      </c>
      <c r="Z140">
        <f t="shared" si="47"/>
        <v>3.360048456695139</v>
      </c>
      <c r="AA140">
        <f t="shared" si="48"/>
        <v>1.4958942004326858</v>
      </c>
      <c r="AB140">
        <f t="shared" si="49"/>
        <v>-69.071997722146051</v>
      </c>
      <c r="AC140">
        <f t="shared" si="50"/>
        <v>-188.1577850721707</v>
      </c>
      <c r="AD140">
        <f t="shared" si="51"/>
        <v>-19.040615002938534</v>
      </c>
      <c r="AE140">
        <f t="shared" si="52"/>
        <v>-0.15603680125525443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52422.243388936331</v>
      </c>
      <c r="AK140">
        <f t="shared" si="56"/>
        <v>1800</v>
      </c>
      <c r="AL140">
        <f t="shared" si="57"/>
        <v>1499.1130115999999</v>
      </c>
      <c r="AM140">
        <f t="shared" si="58"/>
        <v>0.83284056200000001</v>
      </c>
      <c r="AN140">
        <f t="shared" si="59"/>
        <v>0.15339686722000001</v>
      </c>
      <c r="AO140">
        <v>32.4</v>
      </c>
      <c r="AP140">
        <v>0.5</v>
      </c>
      <c r="AQ140" t="s">
        <v>331</v>
      </c>
      <c r="AR140">
        <v>2</v>
      </c>
      <c r="AS140">
        <v>1690219405.0999999</v>
      </c>
      <c r="AT140">
        <v>517.24400000000003</v>
      </c>
      <c r="AU140">
        <v>799.99800000000005</v>
      </c>
      <c r="AV140">
        <v>22.232700000000001</v>
      </c>
      <c r="AW140">
        <v>5.7024999999999997</v>
      </c>
      <c r="AX140">
        <v>517.31799999999998</v>
      </c>
      <c r="AY140">
        <v>22.0426</v>
      </c>
      <c r="AZ140">
        <v>300.16899999999998</v>
      </c>
      <c r="BA140">
        <v>99.064899999999994</v>
      </c>
      <c r="BB140">
        <v>0.10005799999999999</v>
      </c>
      <c r="BC140">
        <v>25.928699999999999</v>
      </c>
      <c r="BD140">
        <v>26.9846</v>
      </c>
      <c r="BE140">
        <v>27.257100000000001</v>
      </c>
      <c r="BF140">
        <v>0</v>
      </c>
      <c r="BG140">
        <v>0</v>
      </c>
      <c r="BH140">
        <v>9970.6200000000008</v>
      </c>
      <c r="BI140">
        <v>1065.8900000000001</v>
      </c>
      <c r="BJ140">
        <v>1.7380500000000001</v>
      </c>
      <c r="BK140">
        <v>-282.75299999999999</v>
      </c>
      <c r="BL140">
        <v>529.00599999999997</v>
      </c>
      <c r="BM140">
        <v>804.58600000000001</v>
      </c>
      <c r="BN140">
        <v>16.530200000000001</v>
      </c>
      <c r="BO140">
        <v>799.99800000000005</v>
      </c>
      <c r="BP140">
        <v>5.7024999999999997</v>
      </c>
      <c r="BQ140">
        <v>2.20248</v>
      </c>
      <c r="BR140">
        <v>0.56491800000000003</v>
      </c>
      <c r="BS140">
        <v>18.980399999999999</v>
      </c>
      <c r="BT140">
        <v>-1.1338699999999999</v>
      </c>
      <c r="BU140">
        <v>1800</v>
      </c>
      <c r="BV140">
        <v>0.91001600000000005</v>
      </c>
      <c r="BW140">
        <v>3.4002200000000003E-2</v>
      </c>
      <c r="BX140">
        <v>2.1993599999999999E-2</v>
      </c>
      <c r="BY140">
        <v>3.3988200000000003E-2</v>
      </c>
      <c r="BZ140">
        <v>25.666699999999999</v>
      </c>
      <c r="CA140">
        <v>33528.400000000001</v>
      </c>
      <c r="CB140">
        <v>1690217592</v>
      </c>
      <c r="CC140" t="s">
        <v>332</v>
      </c>
      <c r="CD140">
        <v>1690217586.5</v>
      </c>
      <c r="CE140">
        <v>1690217592</v>
      </c>
      <c r="CF140">
        <v>9</v>
      </c>
      <c r="CG140">
        <v>0.11600000000000001</v>
      </c>
      <c r="CH140">
        <v>-3.0000000000000001E-3</v>
      </c>
      <c r="CI140">
        <v>-0.27300000000000002</v>
      </c>
      <c r="CJ140">
        <v>-6.9000000000000006E-2</v>
      </c>
      <c r="CK140">
        <v>800</v>
      </c>
      <c r="CL140">
        <v>6</v>
      </c>
      <c r="CM140">
        <v>0.01</v>
      </c>
      <c r="CN140">
        <v>0.01</v>
      </c>
      <c r="CO140">
        <v>-279.57031707317083</v>
      </c>
      <c r="CP140">
        <v>-16.465358885017942</v>
      </c>
      <c r="CQ140">
        <v>1.62412142762163</v>
      </c>
      <c r="CR140">
        <v>-1</v>
      </c>
      <c r="CS140">
        <v>16.401207317073169</v>
      </c>
      <c r="CT140">
        <v>0.67151289198608322</v>
      </c>
      <c r="CU140">
        <v>6.6221768546205817E-2</v>
      </c>
      <c r="CV140">
        <v>-1</v>
      </c>
      <c r="CW140">
        <v>0</v>
      </c>
      <c r="CX140">
        <v>0</v>
      </c>
      <c r="CY140" t="s">
        <v>333</v>
      </c>
      <c r="CZ140">
        <v>2.36463</v>
      </c>
      <c r="DA140">
        <v>2.7138200000000001</v>
      </c>
      <c r="DB140">
        <v>0.108346</v>
      </c>
      <c r="DC140">
        <v>0.14608399999999999</v>
      </c>
      <c r="DD140">
        <v>0.10788200000000001</v>
      </c>
      <c r="DE140">
        <v>3.78444E-2</v>
      </c>
      <c r="DF140">
        <v>32560.6</v>
      </c>
      <c r="DG140">
        <v>27523.9</v>
      </c>
      <c r="DH140">
        <v>31174.3</v>
      </c>
      <c r="DI140">
        <v>28086</v>
      </c>
      <c r="DJ140">
        <v>37756.699999999997</v>
      </c>
      <c r="DK140">
        <v>38427.9</v>
      </c>
      <c r="DL140">
        <v>44364.6</v>
      </c>
      <c r="DM140">
        <v>42566.8</v>
      </c>
      <c r="DN140">
        <v>1.4827699999999999</v>
      </c>
      <c r="DO140">
        <v>2.0357500000000002</v>
      </c>
      <c r="DP140">
        <v>0.13215099999999999</v>
      </c>
      <c r="DQ140">
        <v>0.15729299999999999</v>
      </c>
      <c r="DR140">
        <v>24.819500000000001</v>
      </c>
      <c r="DS140">
        <v>24.680399999999999</v>
      </c>
      <c r="DT140">
        <v>16.8</v>
      </c>
      <c r="DU140">
        <v>29.8</v>
      </c>
      <c r="DV140">
        <v>7.1415199999999999</v>
      </c>
      <c r="DW140">
        <v>61.934100000000001</v>
      </c>
      <c r="DX140">
        <v>37.299700000000001</v>
      </c>
      <c r="DY140">
        <v>1</v>
      </c>
      <c r="DZ140">
        <v>-9.9977099999999999E-2</v>
      </c>
      <c r="EA140">
        <v>0.28519899999999998</v>
      </c>
      <c r="EB140">
        <v>20.189699999999998</v>
      </c>
      <c r="EC140">
        <v>5.24125</v>
      </c>
      <c r="ED140">
        <v>12.039899999999999</v>
      </c>
      <c r="EE140">
        <v>5.0171999999999999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1.8646400000000001</v>
      </c>
      <c r="EM140">
        <v>1.8691899999999999</v>
      </c>
      <c r="EN140">
        <v>1.8672299999999999</v>
      </c>
      <c r="EO140">
        <v>1.8633999999999999</v>
      </c>
      <c r="EP140">
        <v>1.86459</v>
      </c>
      <c r="EQ140">
        <v>1.8702300000000001</v>
      </c>
      <c r="ER140">
        <v>1.8694500000000001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-7.3999999999999996E-2</v>
      </c>
      <c r="FG140">
        <v>0.19009999999999999</v>
      </c>
      <c r="FH140">
        <v>0.27827353915413472</v>
      </c>
      <c r="FI140">
        <v>-6.1462078757559423E-4</v>
      </c>
      <c r="FJ140">
        <v>-1.8861989874597051E-7</v>
      </c>
      <c r="FK140">
        <v>1.1980462299894961E-10</v>
      </c>
      <c r="FL140">
        <v>0.19010266435860859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30.3</v>
      </c>
      <c r="FU140">
        <v>30.2</v>
      </c>
      <c r="FV140">
        <v>1.7773399999999999</v>
      </c>
      <c r="FW140">
        <v>2.5891099999999998</v>
      </c>
      <c r="FX140">
        <v>1.5490699999999999</v>
      </c>
      <c r="FY140">
        <v>2.3290999999999999</v>
      </c>
      <c r="FZ140">
        <v>1.50146</v>
      </c>
      <c r="GA140">
        <v>2.2631800000000002</v>
      </c>
      <c r="GB140">
        <v>33.850900000000003</v>
      </c>
      <c r="GC140">
        <v>23.973700000000001</v>
      </c>
      <c r="GD140">
        <v>19</v>
      </c>
      <c r="GE140">
        <v>285.39400000000001</v>
      </c>
      <c r="GF140">
        <v>581.90899999999999</v>
      </c>
      <c r="GG140">
        <v>23.903700000000001</v>
      </c>
      <c r="GH140">
        <v>26.118400000000001</v>
      </c>
      <c r="GI140">
        <v>29.9999</v>
      </c>
      <c r="GJ140">
        <v>26.284199999999998</v>
      </c>
      <c r="GK140">
        <v>26.273099999999999</v>
      </c>
      <c r="GL140">
        <v>35.540100000000002</v>
      </c>
      <c r="GM140">
        <v>-30</v>
      </c>
      <c r="GN140">
        <v>-30</v>
      </c>
      <c r="GO140">
        <v>23.899799999999999</v>
      </c>
      <c r="GP140">
        <v>800</v>
      </c>
      <c r="GQ140">
        <v>12.5298</v>
      </c>
      <c r="GR140">
        <v>99.7453</v>
      </c>
      <c r="GS140">
        <v>99.580200000000005</v>
      </c>
    </row>
    <row r="141" spans="1:201" x14ac:dyDescent="0.25">
      <c r="A141">
        <v>125</v>
      </c>
      <c r="B141">
        <v>1690219415.0999999</v>
      </c>
      <c r="C141">
        <v>1394.599999904633</v>
      </c>
      <c r="D141" t="s">
        <v>579</v>
      </c>
      <c r="E141" t="s">
        <v>580</v>
      </c>
      <c r="F141" t="s">
        <v>330</v>
      </c>
      <c r="H141">
        <v>1690219415.0999999</v>
      </c>
      <c r="I141">
        <f t="shared" si="30"/>
        <v>1.5771508091248511E-3</v>
      </c>
      <c r="J141">
        <f t="shared" si="31"/>
        <v>1.5771508091248512</v>
      </c>
      <c r="K141">
        <f t="shared" si="32"/>
        <v>25.634728048904933</v>
      </c>
      <c r="L141">
        <f t="shared" si="33"/>
        <v>514.476</v>
      </c>
      <c r="M141">
        <f t="shared" si="34"/>
        <v>107.7194260285964</v>
      </c>
      <c r="N141">
        <f t="shared" si="35"/>
        <v>10.681704413112151</v>
      </c>
      <c r="O141">
        <f t="shared" si="36"/>
        <v>51.016615686212397</v>
      </c>
      <c r="P141">
        <f t="shared" si="37"/>
        <v>0.10517095208055309</v>
      </c>
      <c r="Q141">
        <f t="shared" si="38"/>
        <v>2.1335404353595169</v>
      </c>
      <c r="R141">
        <f t="shared" si="39"/>
        <v>0.10237340442331222</v>
      </c>
      <c r="S141">
        <f t="shared" si="40"/>
        <v>6.4228528143073171E-2</v>
      </c>
      <c r="T141">
        <f t="shared" si="41"/>
        <v>276.114243096</v>
      </c>
      <c r="U141">
        <f t="shared" si="42"/>
        <v>27.558963914518571</v>
      </c>
      <c r="V141">
        <f t="shared" si="43"/>
        <v>27.558963914518571</v>
      </c>
      <c r="W141">
        <f t="shared" si="44"/>
        <v>3.6983584079083207</v>
      </c>
      <c r="X141">
        <f t="shared" si="45"/>
        <v>65.967087054165759</v>
      </c>
      <c r="Y141">
        <f t="shared" si="46"/>
        <v>2.2162374026010396</v>
      </c>
      <c r="Z141">
        <f t="shared" si="47"/>
        <v>3.3596108325675815</v>
      </c>
      <c r="AA141">
        <f t="shared" si="48"/>
        <v>1.4821210053072811</v>
      </c>
      <c r="AB141">
        <f t="shared" si="49"/>
        <v>-69.55235068240593</v>
      </c>
      <c r="AC141">
        <f t="shared" si="50"/>
        <v>-187.77160198425688</v>
      </c>
      <c r="AD141">
        <f t="shared" si="51"/>
        <v>-18.944774729972824</v>
      </c>
      <c r="AE141">
        <f t="shared" si="52"/>
        <v>-0.15448430063563023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52692.436142771468</v>
      </c>
      <c r="AK141">
        <f t="shared" si="56"/>
        <v>1800</v>
      </c>
      <c r="AL141">
        <f t="shared" si="57"/>
        <v>1499.1131645999999</v>
      </c>
      <c r="AM141">
        <f t="shared" si="58"/>
        <v>0.83284064699999993</v>
      </c>
      <c r="AN141">
        <f t="shared" si="59"/>
        <v>0.15339680172</v>
      </c>
      <c r="AO141">
        <v>32.4</v>
      </c>
      <c r="AP141">
        <v>0.5</v>
      </c>
      <c r="AQ141" t="s">
        <v>331</v>
      </c>
      <c r="AR141">
        <v>2</v>
      </c>
      <c r="AS141">
        <v>1690219415.0999999</v>
      </c>
      <c r="AT141">
        <v>514.476</v>
      </c>
      <c r="AU141">
        <v>799.98099999999999</v>
      </c>
      <c r="AV141">
        <v>22.349599999999999</v>
      </c>
      <c r="AW141">
        <v>5.7036600000000002</v>
      </c>
      <c r="AX141">
        <v>514.54700000000003</v>
      </c>
      <c r="AY141">
        <v>22.159500000000001</v>
      </c>
      <c r="AZ141">
        <v>300.11900000000003</v>
      </c>
      <c r="BA141">
        <v>99.062299999999993</v>
      </c>
      <c r="BB141">
        <v>9.9984900000000002E-2</v>
      </c>
      <c r="BC141">
        <v>25.926500000000001</v>
      </c>
      <c r="BD141">
        <v>26.9468</v>
      </c>
      <c r="BE141">
        <v>27.258900000000001</v>
      </c>
      <c r="BF141">
        <v>0</v>
      </c>
      <c r="BG141">
        <v>0</v>
      </c>
      <c r="BH141">
        <v>10024.4</v>
      </c>
      <c r="BI141">
        <v>1065.99</v>
      </c>
      <c r="BJ141">
        <v>1.7380500000000001</v>
      </c>
      <c r="BK141">
        <v>-285.505</v>
      </c>
      <c r="BL141">
        <v>526.23699999999997</v>
      </c>
      <c r="BM141">
        <v>804.57</v>
      </c>
      <c r="BN141">
        <v>16.645900000000001</v>
      </c>
      <c r="BO141">
        <v>799.98099999999999</v>
      </c>
      <c r="BP141">
        <v>5.7036600000000002</v>
      </c>
      <c r="BQ141">
        <v>2.214</v>
      </c>
      <c r="BR141">
        <v>0.56501800000000002</v>
      </c>
      <c r="BS141">
        <v>19.064</v>
      </c>
      <c r="BT141">
        <v>-1.1314500000000001</v>
      </c>
      <c r="BU141">
        <v>1800</v>
      </c>
      <c r="BV141">
        <v>0.91001799999999999</v>
      </c>
      <c r="BW141">
        <v>3.4001400000000001E-2</v>
      </c>
      <c r="BX141">
        <v>2.1993100000000002E-2</v>
      </c>
      <c r="BY141">
        <v>3.3987400000000001E-2</v>
      </c>
      <c r="BZ141">
        <v>25.666699999999999</v>
      </c>
      <c r="CA141">
        <v>33528.5</v>
      </c>
      <c r="CB141">
        <v>1690217592</v>
      </c>
      <c r="CC141" t="s">
        <v>332</v>
      </c>
      <c r="CD141">
        <v>1690217586.5</v>
      </c>
      <c r="CE141">
        <v>1690217592</v>
      </c>
      <c r="CF141">
        <v>9</v>
      </c>
      <c r="CG141">
        <v>0.11600000000000001</v>
      </c>
      <c r="CH141">
        <v>-3.0000000000000001E-3</v>
      </c>
      <c r="CI141">
        <v>-0.27300000000000002</v>
      </c>
      <c r="CJ141">
        <v>-6.9000000000000006E-2</v>
      </c>
      <c r="CK141">
        <v>800</v>
      </c>
      <c r="CL141">
        <v>6</v>
      </c>
      <c r="CM141">
        <v>0.01</v>
      </c>
      <c r="CN141">
        <v>0.01</v>
      </c>
      <c r="CO141">
        <v>-282.53370000000001</v>
      </c>
      <c r="CP141">
        <v>-16.63506191369521</v>
      </c>
      <c r="CQ141">
        <v>1.6003594158813199</v>
      </c>
      <c r="CR141">
        <v>-1</v>
      </c>
      <c r="CS141">
        <v>16.523240000000001</v>
      </c>
      <c r="CT141">
        <v>0.68682776735459439</v>
      </c>
      <c r="CU141">
        <v>6.6093009463936578E-2</v>
      </c>
      <c r="CV141">
        <v>-1</v>
      </c>
      <c r="CW141">
        <v>0</v>
      </c>
      <c r="CX141">
        <v>0</v>
      </c>
      <c r="CY141" t="s">
        <v>333</v>
      </c>
      <c r="CZ141">
        <v>2.36443</v>
      </c>
      <c r="DA141">
        <v>2.7138</v>
      </c>
      <c r="DB141">
        <v>0.10792300000000001</v>
      </c>
      <c r="DC141">
        <v>0.14607899999999999</v>
      </c>
      <c r="DD141">
        <v>0.10828400000000001</v>
      </c>
      <c r="DE141">
        <v>3.7850000000000002E-2</v>
      </c>
      <c r="DF141">
        <v>32576.2</v>
      </c>
      <c r="DG141">
        <v>27523.7</v>
      </c>
      <c r="DH141">
        <v>31174.5</v>
      </c>
      <c r="DI141">
        <v>28085.599999999999</v>
      </c>
      <c r="DJ141">
        <v>37740.1</v>
      </c>
      <c r="DK141">
        <v>38427.1</v>
      </c>
      <c r="DL141">
        <v>44365.3</v>
      </c>
      <c r="DM141">
        <v>42566.1</v>
      </c>
      <c r="DN141">
        <v>1.48272</v>
      </c>
      <c r="DO141">
        <v>2.0358000000000001</v>
      </c>
      <c r="DP141">
        <v>0.12958800000000001</v>
      </c>
      <c r="DQ141">
        <v>0.15727099999999999</v>
      </c>
      <c r="DR141">
        <v>24.823699999999999</v>
      </c>
      <c r="DS141">
        <v>24.682500000000001</v>
      </c>
      <c r="DT141">
        <v>16.8</v>
      </c>
      <c r="DU141">
        <v>29.8</v>
      </c>
      <c r="DV141">
        <v>7.1415300000000004</v>
      </c>
      <c r="DW141">
        <v>61.564100000000003</v>
      </c>
      <c r="DX141">
        <v>37.211500000000001</v>
      </c>
      <c r="DY141">
        <v>1</v>
      </c>
      <c r="DZ141">
        <v>-9.9936499999999998E-2</v>
      </c>
      <c r="EA141">
        <v>0.22220599999999999</v>
      </c>
      <c r="EB141">
        <v>20.189599999999999</v>
      </c>
      <c r="EC141">
        <v>5.2413999999999996</v>
      </c>
      <c r="ED141">
        <v>12.039899999999999</v>
      </c>
      <c r="EE141">
        <v>5.0172499999999998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1.86893</v>
      </c>
      <c r="EL141">
        <v>1.86466</v>
      </c>
      <c r="EM141">
        <v>1.8691899999999999</v>
      </c>
      <c r="EN141">
        <v>1.8672299999999999</v>
      </c>
      <c r="EO141">
        <v>1.8633999999999999</v>
      </c>
      <c r="EP141">
        <v>1.8646</v>
      </c>
      <c r="EQ141">
        <v>1.87018</v>
      </c>
      <c r="ER141">
        <v>1.86948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-7.0999999999999994E-2</v>
      </c>
      <c r="FG141">
        <v>0.19009999999999999</v>
      </c>
      <c r="FH141">
        <v>0.27827353915413472</v>
      </c>
      <c r="FI141">
        <v>-6.1462078757559423E-4</v>
      </c>
      <c r="FJ141">
        <v>-1.8861989874597051E-7</v>
      </c>
      <c r="FK141">
        <v>1.1980462299894961E-10</v>
      </c>
      <c r="FL141">
        <v>0.19010266435860859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30.5</v>
      </c>
      <c r="FU141">
        <v>30.4</v>
      </c>
      <c r="FV141">
        <v>1.7773399999999999</v>
      </c>
      <c r="FW141">
        <v>2.5927699999999998</v>
      </c>
      <c r="FX141">
        <v>1.5490699999999999</v>
      </c>
      <c r="FY141">
        <v>2.3290999999999999</v>
      </c>
      <c r="FZ141">
        <v>1.50146</v>
      </c>
      <c r="GA141">
        <v>2.3144499999999999</v>
      </c>
      <c r="GB141">
        <v>33.828299999999999</v>
      </c>
      <c r="GC141">
        <v>23.973700000000001</v>
      </c>
      <c r="GD141">
        <v>19</v>
      </c>
      <c r="GE141">
        <v>285.363</v>
      </c>
      <c r="GF141">
        <v>581.92499999999995</v>
      </c>
      <c r="GG141">
        <v>23.907299999999999</v>
      </c>
      <c r="GH141">
        <v>26.116199999999999</v>
      </c>
      <c r="GI141">
        <v>29.9999</v>
      </c>
      <c r="GJ141">
        <v>26.2819</v>
      </c>
      <c r="GK141">
        <v>26.270900000000001</v>
      </c>
      <c r="GL141">
        <v>35.540599999999998</v>
      </c>
      <c r="GM141">
        <v>-30</v>
      </c>
      <c r="GN141">
        <v>-30</v>
      </c>
      <c r="GO141">
        <v>23.944700000000001</v>
      </c>
      <c r="GP141">
        <v>800</v>
      </c>
      <c r="GQ141">
        <v>12.5298</v>
      </c>
      <c r="GR141">
        <v>99.746499999999997</v>
      </c>
      <c r="GS141">
        <v>99.578800000000001</v>
      </c>
    </row>
    <row r="142" spans="1:201" x14ac:dyDescent="0.25">
      <c r="A142">
        <v>126</v>
      </c>
      <c r="B142">
        <v>1690219425.0999999</v>
      </c>
      <c r="C142">
        <v>1404.599999904633</v>
      </c>
      <c r="D142" t="s">
        <v>581</v>
      </c>
      <c r="E142" t="s">
        <v>582</v>
      </c>
      <c r="F142" t="s">
        <v>330</v>
      </c>
      <c r="H142">
        <v>1690219425.0999999</v>
      </c>
      <c r="I142">
        <f t="shared" si="30"/>
        <v>1.5881369858089644E-3</v>
      </c>
      <c r="J142">
        <f t="shared" si="31"/>
        <v>1.5881369858089645</v>
      </c>
      <c r="K142">
        <f t="shared" si="32"/>
        <v>25.884376167051673</v>
      </c>
      <c r="L142">
        <f t="shared" si="33"/>
        <v>511.94099999999997</v>
      </c>
      <c r="M142">
        <f t="shared" si="34"/>
        <v>106.86991167960717</v>
      </c>
      <c r="N142">
        <f t="shared" si="35"/>
        <v>10.597228671133047</v>
      </c>
      <c r="O142">
        <f t="shared" si="36"/>
        <v>50.764108979456999</v>
      </c>
      <c r="P142">
        <f t="shared" si="37"/>
        <v>0.10665619640834843</v>
      </c>
      <c r="Q142">
        <f t="shared" si="38"/>
        <v>2.132559365388043</v>
      </c>
      <c r="R142">
        <f t="shared" si="39"/>
        <v>0.10377895463206509</v>
      </c>
      <c r="S142">
        <f t="shared" si="40"/>
        <v>6.5113890316012682E-2</v>
      </c>
      <c r="T142">
        <f t="shared" si="41"/>
        <v>276.11270912798278</v>
      </c>
      <c r="U142">
        <f t="shared" si="42"/>
        <v>27.562693636718048</v>
      </c>
      <c r="V142">
        <f t="shared" si="43"/>
        <v>27.562693636718048</v>
      </c>
      <c r="W142">
        <f t="shared" si="44"/>
        <v>3.6991652623689655</v>
      </c>
      <c r="X142">
        <f t="shared" si="45"/>
        <v>66.262032220623055</v>
      </c>
      <c r="Y142">
        <f t="shared" si="46"/>
        <v>2.2270560013583998</v>
      </c>
      <c r="Z142">
        <f t="shared" si="47"/>
        <v>3.3609835477778511</v>
      </c>
      <c r="AA142">
        <f t="shared" si="48"/>
        <v>1.4721092610105657</v>
      </c>
      <c r="AB142">
        <f t="shared" si="49"/>
        <v>-70.036841074175328</v>
      </c>
      <c r="AC142">
        <f t="shared" si="50"/>
        <v>-187.32077005776429</v>
      </c>
      <c r="AD142">
        <f t="shared" si="51"/>
        <v>-18.908988860294574</v>
      </c>
      <c r="AE142">
        <f t="shared" si="52"/>
        <v>-0.15389086425142295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52648.677872055356</v>
      </c>
      <c r="AK142">
        <f t="shared" si="56"/>
        <v>1799.99</v>
      </c>
      <c r="AL142">
        <f t="shared" si="57"/>
        <v>1499.10483619353</v>
      </c>
      <c r="AM142">
        <f t="shared" si="58"/>
        <v>0.83284064699999993</v>
      </c>
      <c r="AN142">
        <f t="shared" si="59"/>
        <v>0.15339680172</v>
      </c>
      <c r="AO142">
        <v>32.4</v>
      </c>
      <c r="AP142">
        <v>0.5</v>
      </c>
      <c r="AQ142" t="s">
        <v>331</v>
      </c>
      <c r="AR142">
        <v>2</v>
      </c>
      <c r="AS142">
        <v>1690219425.0999999</v>
      </c>
      <c r="AT142">
        <v>511.94099999999997</v>
      </c>
      <c r="AU142">
        <v>800.07899999999995</v>
      </c>
      <c r="AV142">
        <v>22.459199999999999</v>
      </c>
      <c r="AW142">
        <v>5.7038200000000003</v>
      </c>
      <c r="AX142">
        <v>512.01099999999997</v>
      </c>
      <c r="AY142">
        <v>22.269100000000002</v>
      </c>
      <c r="AZ142">
        <v>300.202</v>
      </c>
      <c r="BA142">
        <v>99.06</v>
      </c>
      <c r="BB142">
        <v>0.100077</v>
      </c>
      <c r="BC142">
        <v>25.933399999999999</v>
      </c>
      <c r="BD142">
        <v>26.973600000000001</v>
      </c>
      <c r="BE142">
        <v>27.266500000000001</v>
      </c>
      <c r="BF142">
        <v>0</v>
      </c>
      <c r="BG142">
        <v>0</v>
      </c>
      <c r="BH142">
        <v>10016.200000000001</v>
      </c>
      <c r="BI142">
        <v>1066.02</v>
      </c>
      <c r="BJ142">
        <v>1.7380500000000001</v>
      </c>
      <c r="BK142">
        <v>-288.13799999999998</v>
      </c>
      <c r="BL142">
        <v>523.70299999999997</v>
      </c>
      <c r="BM142">
        <v>804.66899999999998</v>
      </c>
      <c r="BN142">
        <v>16.755400000000002</v>
      </c>
      <c r="BO142">
        <v>800.07899999999995</v>
      </c>
      <c r="BP142">
        <v>5.7038200000000003</v>
      </c>
      <c r="BQ142">
        <v>2.2248100000000002</v>
      </c>
      <c r="BR142">
        <v>0.565021</v>
      </c>
      <c r="BS142">
        <v>19.142099999999999</v>
      </c>
      <c r="BT142">
        <v>-1.1313899999999999</v>
      </c>
      <c r="BU142">
        <v>1799.99</v>
      </c>
      <c r="BV142">
        <v>0.91001799999999999</v>
      </c>
      <c r="BW142">
        <v>3.4001400000000001E-2</v>
      </c>
      <c r="BX142">
        <v>2.1993100000000002E-2</v>
      </c>
      <c r="BY142">
        <v>3.3987400000000001E-2</v>
      </c>
      <c r="BZ142">
        <v>25.666699999999999</v>
      </c>
      <c r="CA142">
        <v>33528.300000000003</v>
      </c>
      <c r="CB142">
        <v>1690217592</v>
      </c>
      <c r="CC142" t="s">
        <v>332</v>
      </c>
      <c r="CD142">
        <v>1690217586.5</v>
      </c>
      <c r="CE142">
        <v>1690217592</v>
      </c>
      <c r="CF142">
        <v>9</v>
      </c>
      <c r="CG142">
        <v>0.11600000000000001</v>
      </c>
      <c r="CH142">
        <v>-3.0000000000000001E-3</v>
      </c>
      <c r="CI142">
        <v>-0.27300000000000002</v>
      </c>
      <c r="CJ142">
        <v>-6.9000000000000006E-2</v>
      </c>
      <c r="CK142">
        <v>800</v>
      </c>
      <c r="CL142">
        <v>6</v>
      </c>
      <c r="CM142">
        <v>0.01</v>
      </c>
      <c r="CN142">
        <v>0.01</v>
      </c>
      <c r="CO142">
        <v>-285.25492500000001</v>
      </c>
      <c r="CP142">
        <v>-15.99472795497123</v>
      </c>
      <c r="CQ142">
        <v>1.538980984084924</v>
      </c>
      <c r="CR142">
        <v>-1</v>
      </c>
      <c r="CS142">
        <v>16.6367625</v>
      </c>
      <c r="CT142">
        <v>0.66820525328321578</v>
      </c>
      <c r="CU142">
        <v>6.4291176251099799E-2</v>
      </c>
      <c r="CV142">
        <v>-1</v>
      </c>
      <c r="CW142">
        <v>0</v>
      </c>
      <c r="CX142">
        <v>0</v>
      </c>
      <c r="CY142" t="s">
        <v>333</v>
      </c>
      <c r="CZ142">
        <v>2.3647399999999998</v>
      </c>
      <c r="DA142">
        <v>2.7138800000000001</v>
      </c>
      <c r="DB142">
        <v>0.10753600000000001</v>
      </c>
      <c r="DC142">
        <v>0.146088</v>
      </c>
      <c r="DD142">
        <v>0.10866000000000001</v>
      </c>
      <c r="DE142">
        <v>3.7850200000000001E-2</v>
      </c>
      <c r="DF142">
        <v>32590.7</v>
      </c>
      <c r="DG142">
        <v>27523.599999999999</v>
      </c>
      <c r="DH142">
        <v>31174.799999999999</v>
      </c>
      <c r="DI142">
        <v>28085.8</v>
      </c>
      <c r="DJ142">
        <v>37724.1</v>
      </c>
      <c r="DK142">
        <v>38427.300000000003</v>
      </c>
      <c r="DL142">
        <v>44365.5</v>
      </c>
      <c r="DM142">
        <v>42566.400000000001</v>
      </c>
      <c r="DN142">
        <v>1.4833700000000001</v>
      </c>
      <c r="DO142">
        <v>2.0355799999999999</v>
      </c>
      <c r="DP142">
        <v>0.13119700000000001</v>
      </c>
      <c r="DQ142">
        <v>0.15755</v>
      </c>
      <c r="DR142">
        <v>24.824200000000001</v>
      </c>
      <c r="DS142">
        <v>24.685600000000001</v>
      </c>
      <c r="DT142">
        <v>16.8</v>
      </c>
      <c r="DU142">
        <v>29.7</v>
      </c>
      <c r="DV142">
        <v>7.1022600000000002</v>
      </c>
      <c r="DW142">
        <v>61.494100000000003</v>
      </c>
      <c r="DX142">
        <v>36.814900000000002</v>
      </c>
      <c r="DY142">
        <v>1</v>
      </c>
      <c r="DZ142">
        <v>-0.100783</v>
      </c>
      <c r="EA142">
        <v>0.10373599999999999</v>
      </c>
      <c r="EB142">
        <v>20.189900000000002</v>
      </c>
      <c r="EC142">
        <v>5.2413999999999996</v>
      </c>
      <c r="ED142">
        <v>12.039899999999999</v>
      </c>
      <c r="EE142">
        <v>5.0172999999999996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1.86894</v>
      </c>
      <c r="EL142">
        <v>1.8646499999999999</v>
      </c>
      <c r="EM142">
        <v>1.8692</v>
      </c>
      <c r="EN142">
        <v>1.86724</v>
      </c>
      <c r="EO142">
        <v>1.8633999999999999</v>
      </c>
      <c r="EP142">
        <v>1.86459</v>
      </c>
      <c r="EQ142">
        <v>1.8702099999999999</v>
      </c>
      <c r="ER142">
        <v>1.86947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-7.0000000000000007E-2</v>
      </c>
      <c r="FG142">
        <v>0.19009999999999999</v>
      </c>
      <c r="FH142">
        <v>0.27827353915413472</v>
      </c>
      <c r="FI142">
        <v>-6.1462078757559423E-4</v>
      </c>
      <c r="FJ142">
        <v>-1.8861989874597051E-7</v>
      </c>
      <c r="FK142">
        <v>1.1980462299894961E-10</v>
      </c>
      <c r="FL142">
        <v>0.19010266435860859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30.6</v>
      </c>
      <c r="FU142">
        <v>30.6</v>
      </c>
      <c r="FV142">
        <v>1.7773399999999999</v>
      </c>
      <c r="FW142">
        <v>2.5878899999999998</v>
      </c>
      <c r="FX142">
        <v>1.5490699999999999</v>
      </c>
      <c r="FY142">
        <v>2.3290999999999999</v>
      </c>
      <c r="FZ142">
        <v>1.50146</v>
      </c>
      <c r="GA142">
        <v>2.32422</v>
      </c>
      <c r="GB142">
        <v>33.828299999999999</v>
      </c>
      <c r="GC142">
        <v>23.973700000000001</v>
      </c>
      <c r="GD142">
        <v>19</v>
      </c>
      <c r="GE142">
        <v>285.63200000000001</v>
      </c>
      <c r="GF142">
        <v>581.71400000000006</v>
      </c>
      <c r="GG142">
        <v>23.964700000000001</v>
      </c>
      <c r="GH142">
        <v>26.114000000000001</v>
      </c>
      <c r="GI142">
        <v>29.999500000000001</v>
      </c>
      <c r="GJ142">
        <v>26.279699999999998</v>
      </c>
      <c r="GK142">
        <v>26.268699999999999</v>
      </c>
      <c r="GL142">
        <v>35.539200000000001</v>
      </c>
      <c r="GM142">
        <v>-30</v>
      </c>
      <c r="GN142">
        <v>-30</v>
      </c>
      <c r="GO142">
        <v>23.991199999999999</v>
      </c>
      <c r="GP142">
        <v>800</v>
      </c>
      <c r="GQ142">
        <v>12.5298</v>
      </c>
      <c r="GR142">
        <v>99.747200000000007</v>
      </c>
      <c r="GS142">
        <v>99.579400000000007</v>
      </c>
    </row>
    <row r="143" spans="1:201" x14ac:dyDescent="0.25">
      <c r="A143">
        <v>127</v>
      </c>
      <c r="B143">
        <v>1690219435.0999999</v>
      </c>
      <c r="C143">
        <v>1414.599999904633</v>
      </c>
      <c r="D143" t="s">
        <v>583</v>
      </c>
      <c r="E143" t="s">
        <v>584</v>
      </c>
      <c r="F143" t="s">
        <v>330</v>
      </c>
      <c r="H143">
        <v>1690219435.0999999</v>
      </c>
      <c r="I143">
        <f t="shared" si="30"/>
        <v>1.5996968270189571E-3</v>
      </c>
      <c r="J143">
        <f t="shared" si="31"/>
        <v>1.5996968270189571</v>
      </c>
      <c r="K143">
        <f t="shared" si="32"/>
        <v>26.125881185342816</v>
      </c>
      <c r="L143">
        <f t="shared" si="33"/>
        <v>509.18299999999999</v>
      </c>
      <c r="M143">
        <f t="shared" si="34"/>
        <v>106.49024199089452</v>
      </c>
      <c r="N143">
        <f t="shared" si="35"/>
        <v>10.560030410347904</v>
      </c>
      <c r="O143">
        <f t="shared" si="36"/>
        <v>50.492776276082999</v>
      </c>
      <c r="P143">
        <f t="shared" si="37"/>
        <v>0.10831699864212388</v>
      </c>
      <c r="Q143">
        <f t="shared" si="38"/>
        <v>2.1282438064143872</v>
      </c>
      <c r="R143">
        <f t="shared" si="39"/>
        <v>0.10534495776035809</v>
      </c>
      <c r="S143">
        <f t="shared" si="40"/>
        <v>6.6100832264253409E-2</v>
      </c>
      <c r="T143">
        <f t="shared" si="41"/>
        <v>276.11276534167052</v>
      </c>
      <c r="U143">
        <f t="shared" si="42"/>
        <v>27.566351690515916</v>
      </c>
      <c r="V143">
        <f t="shared" si="43"/>
        <v>27.566351690515916</v>
      </c>
      <c r="W143">
        <f t="shared" si="44"/>
        <v>3.6999567619423561</v>
      </c>
      <c r="X143">
        <f t="shared" si="45"/>
        <v>66.605094803691074</v>
      </c>
      <c r="Y143">
        <f t="shared" si="46"/>
        <v>2.2392092480208001</v>
      </c>
      <c r="Z143">
        <f t="shared" si="47"/>
        <v>3.3619188661476223</v>
      </c>
      <c r="AA143">
        <f t="shared" si="48"/>
        <v>1.460747513921556</v>
      </c>
      <c r="AB143">
        <f t="shared" si="49"/>
        <v>-70.546630071536001</v>
      </c>
      <c r="AC143">
        <f t="shared" si="50"/>
        <v>-186.82214722505489</v>
      </c>
      <c r="AD143">
        <f t="shared" si="51"/>
        <v>-18.897686610789435</v>
      </c>
      <c r="AE143">
        <f t="shared" si="52"/>
        <v>-0.1536985657098171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52461.299151292209</v>
      </c>
      <c r="AK143">
        <f t="shared" si="56"/>
        <v>1799.99</v>
      </c>
      <c r="AL143">
        <f t="shared" si="57"/>
        <v>1499.1060835865999</v>
      </c>
      <c r="AM143">
        <f t="shared" si="58"/>
        <v>0.83284133999999987</v>
      </c>
      <c r="AN143">
        <f t="shared" si="59"/>
        <v>0.15339683295000001</v>
      </c>
      <c r="AO143">
        <v>32.4</v>
      </c>
      <c r="AP143">
        <v>0.5</v>
      </c>
      <c r="AQ143" t="s">
        <v>331</v>
      </c>
      <c r="AR143">
        <v>2</v>
      </c>
      <c r="AS143">
        <v>1690219435.0999999</v>
      </c>
      <c r="AT143">
        <v>509.18299999999999</v>
      </c>
      <c r="AU143">
        <v>799.96699999999998</v>
      </c>
      <c r="AV143">
        <v>22.5808</v>
      </c>
      <c r="AW143">
        <v>5.7042099999999998</v>
      </c>
      <c r="AX143">
        <v>509.25099999999998</v>
      </c>
      <c r="AY143">
        <v>22.390699999999999</v>
      </c>
      <c r="AZ143">
        <v>300.178</v>
      </c>
      <c r="BA143">
        <v>99.064300000000003</v>
      </c>
      <c r="BB143">
        <v>0.10000100000000001</v>
      </c>
      <c r="BC143">
        <v>25.938099999999999</v>
      </c>
      <c r="BD143">
        <v>26.9846</v>
      </c>
      <c r="BE143">
        <v>27.272500000000001</v>
      </c>
      <c r="BF143">
        <v>0</v>
      </c>
      <c r="BG143">
        <v>0</v>
      </c>
      <c r="BH143">
        <v>9978.75</v>
      </c>
      <c r="BI143">
        <v>1066.07</v>
      </c>
      <c r="BJ143">
        <v>1.7380500000000001</v>
      </c>
      <c r="BK143">
        <v>-290.78399999999999</v>
      </c>
      <c r="BL143">
        <v>520.94600000000003</v>
      </c>
      <c r="BM143">
        <v>804.55600000000004</v>
      </c>
      <c r="BN143">
        <v>16.8766</v>
      </c>
      <c r="BO143">
        <v>799.96699999999998</v>
      </c>
      <c r="BP143">
        <v>5.7042099999999998</v>
      </c>
      <c r="BQ143">
        <v>2.2369500000000002</v>
      </c>
      <c r="BR143">
        <v>0.56508400000000003</v>
      </c>
      <c r="BS143">
        <v>19.229399999999998</v>
      </c>
      <c r="BT143">
        <v>-1.1298699999999999</v>
      </c>
      <c r="BU143">
        <v>1799.99</v>
      </c>
      <c r="BV143">
        <v>0.91002099999999997</v>
      </c>
      <c r="BW143">
        <v>3.4000500000000003E-2</v>
      </c>
      <c r="BX143">
        <v>2.1992500000000002E-2</v>
      </c>
      <c r="BY143">
        <v>3.3986500000000003E-2</v>
      </c>
      <c r="BZ143">
        <v>25.666699999999999</v>
      </c>
      <c r="CA143">
        <v>33528.400000000001</v>
      </c>
      <c r="CB143">
        <v>1690217592</v>
      </c>
      <c r="CC143" t="s">
        <v>332</v>
      </c>
      <c r="CD143">
        <v>1690217586.5</v>
      </c>
      <c r="CE143">
        <v>1690217592</v>
      </c>
      <c r="CF143">
        <v>9</v>
      </c>
      <c r="CG143">
        <v>0.11600000000000001</v>
      </c>
      <c r="CH143">
        <v>-3.0000000000000001E-3</v>
      </c>
      <c r="CI143">
        <v>-0.27300000000000002</v>
      </c>
      <c r="CJ143">
        <v>-6.9000000000000006E-2</v>
      </c>
      <c r="CK143">
        <v>800</v>
      </c>
      <c r="CL143">
        <v>6</v>
      </c>
      <c r="CM143">
        <v>0.01</v>
      </c>
      <c r="CN143">
        <v>0.01</v>
      </c>
      <c r="CO143">
        <v>-287.71907317073169</v>
      </c>
      <c r="CP143">
        <v>-15.838306620209121</v>
      </c>
      <c r="CQ143">
        <v>1.5619431673593911</v>
      </c>
      <c r="CR143">
        <v>-1</v>
      </c>
      <c r="CS143">
        <v>16.740812195121951</v>
      </c>
      <c r="CT143">
        <v>0.68141811846687161</v>
      </c>
      <c r="CU143">
        <v>6.7203760765563336E-2</v>
      </c>
      <c r="CV143">
        <v>-1</v>
      </c>
      <c r="CW143">
        <v>0</v>
      </c>
      <c r="CX143">
        <v>0</v>
      </c>
      <c r="CY143" t="s">
        <v>333</v>
      </c>
      <c r="CZ143">
        <v>2.3646400000000001</v>
      </c>
      <c r="DA143">
        <v>2.7137699999999998</v>
      </c>
      <c r="DB143">
        <v>0.10712000000000001</v>
      </c>
      <c r="DC143">
        <v>0.14608099999999999</v>
      </c>
      <c r="DD143">
        <v>0.109083</v>
      </c>
      <c r="DE143">
        <v>3.7854100000000002E-2</v>
      </c>
      <c r="DF143">
        <v>32605.7</v>
      </c>
      <c r="DG143">
        <v>27523.8</v>
      </c>
      <c r="DH143">
        <v>31174.7</v>
      </c>
      <c r="DI143">
        <v>28085.7</v>
      </c>
      <c r="DJ143">
        <v>37705.800000000003</v>
      </c>
      <c r="DK143">
        <v>38427.1</v>
      </c>
      <c r="DL143">
        <v>44365.3</v>
      </c>
      <c r="DM143">
        <v>42566.3</v>
      </c>
      <c r="DN143">
        <v>1.4833000000000001</v>
      </c>
      <c r="DO143">
        <v>2.0357699999999999</v>
      </c>
      <c r="DP143">
        <v>0.13170399999999999</v>
      </c>
      <c r="DQ143">
        <v>0.15772900000000001</v>
      </c>
      <c r="DR143">
        <v>24.826799999999999</v>
      </c>
      <c r="DS143">
        <v>24.688700000000001</v>
      </c>
      <c r="DT143">
        <v>16.8</v>
      </c>
      <c r="DU143">
        <v>29.8</v>
      </c>
      <c r="DV143">
        <v>7.1425099999999997</v>
      </c>
      <c r="DW143">
        <v>61.784100000000002</v>
      </c>
      <c r="DX143">
        <v>36.470399999999998</v>
      </c>
      <c r="DY143">
        <v>1</v>
      </c>
      <c r="DZ143">
        <v>-0.101204</v>
      </c>
      <c r="EA143">
        <v>0.14597199999999999</v>
      </c>
      <c r="EB143">
        <v>20.190000000000001</v>
      </c>
      <c r="EC143">
        <v>5.2415500000000002</v>
      </c>
      <c r="ED143">
        <v>12.039899999999999</v>
      </c>
      <c r="EE143">
        <v>5.0171999999999999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1.8689800000000001</v>
      </c>
      <c r="EL143">
        <v>1.86469</v>
      </c>
      <c r="EM143">
        <v>1.8691899999999999</v>
      </c>
      <c r="EN143">
        <v>1.8672599999999999</v>
      </c>
      <c r="EO143">
        <v>1.8633999999999999</v>
      </c>
      <c r="EP143">
        <v>1.86456</v>
      </c>
      <c r="EQ143">
        <v>1.8702300000000001</v>
      </c>
      <c r="ER143">
        <v>1.8694500000000001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-6.8000000000000005E-2</v>
      </c>
      <c r="FG143">
        <v>0.19009999999999999</v>
      </c>
      <c r="FH143">
        <v>0.27827353915413472</v>
      </c>
      <c r="FI143">
        <v>-6.1462078757559423E-4</v>
      </c>
      <c r="FJ143">
        <v>-1.8861989874597051E-7</v>
      </c>
      <c r="FK143">
        <v>1.1980462299894961E-10</v>
      </c>
      <c r="FL143">
        <v>0.19010266435860859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30.8</v>
      </c>
      <c r="FU143">
        <v>30.7</v>
      </c>
      <c r="FV143">
        <v>1.7773399999999999</v>
      </c>
      <c r="FW143">
        <v>2.5842299999999998</v>
      </c>
      <c r="FX143">
        <v>1.5490699999999999</v>
      </c>
      <c r="FY143">
        <v>2.3290999999999999</v>
      </c>
      <c r="FZ143">
        <v>1.50146</v>
      </c>
      <c r="GA143">
        <v>2.32544</v>
      </c>
      <c r="GB143">
        <v>33.850900000000003</v>
      </c>
      <c r="GC143">
        <v>23.982399999999998</v>
      </c>
      <c r="GD143">
        <v>19</v>
      </c>
      <c r="GE143">
        <v>285.58999999999997</v>
      </c>
      <c r="GF143">
        <v>581.85500000000002</v>
      </c>
      <c r="GG143">
        <v>24.004999999999999</v>
      </c>
      <c r="GH143">
        <v>26.111799999999999</v>
      </c>
      <c r="GI143">
        <v>29.9999</v>
      </c>
      <c r="GJ143">
        <v>26.2776</v>
      </c>
      <c r="GK143">
        <v>26.266500000000001</v>
      </c>
      <c r="GL143">
        <v>35.541499999999999</v>
      </c>
      <c r="GM143">
        <v>-30</v>
      </c>
      <c r="GN143">
        <v>-30</v>
      </c>
      <c r="GO143">
        <v>24.005400000000002</v>
      </c>
      <c r="GP143">
        <v>800</v>
      </c>
      <c r="GQ143">
        <v>12.5298</v>
      </c>
      <c r="GR143">
        <v>99.746700000000004</v>
      </c>
      <c r="GS143">
        <v>99.5792</v>
      </c>
    </row>
    <row r="144" spans="1:201" x14ac:dyDescent="0.25">
      <c r="A144">
        <v>128</v>
      </c>
      <c r="B144">
        <v>1690219445.0999999</v>
      </c>
      <c r="C144">
        <v>1424.599999904633</v>
      </c>
      <c r="D144" t="s">
        <v>585</v>
      </c>
      <c r="E144" t="s">
        <v>586</v>
      </c>
      <c r="F144" t="s">
        <v>330</v>
      </c>
      <c r="H144">
        <v>1690219445.0999999</v>
      </c>
      <c r="I144">
        <f t="shared" si="30"/>
        <v>1.6103269732762569E-3</v>
      </c>
      <c r="J144">
        <f t="shared" si="31"/>
        <v>1.6103269732762568</v>
      </c>
      <c r="K144">
        <f t="shared" si="32"/>
        <v>26.368171336918493</v>
      </c>
      <c r="L144">
        <f t="shared" si="33"/>
        <v>506.53399999999999</v>
      </c>
      <c r="M144">
        <f t="shared" si="34"/>
        <v>105.62517981431238</v>
      </c>
      <c r="N144">
        <f t="shared" si="35"/>
        <v>10.473989008033685</v>
      </c>
      <c r="O144">
        <f t="shared" si="36"/>
        <v>50.228852225598196</v>
      </c>
      <c r="P144">
        <f t="shared" si="37"/>
        <v>0.10982297976802964</v>
      </c>
      <c r="Q144">
        <f t="shared" si="38"/>
        <v>2.1315687632630267</v>
      </c>
      <c r="R144">
        <f t="shared" si="39"/>
        <v>0.10677359702794481</v>
      </c>
      <c r="S144">
        <f t="shared" si="40"/>
        <v>6.7000420554664208E-2</v>
      </c>
      <c r="T144">
        <f t="shared" si="41"/>
        <v>276.11426071800003</v>
      </c>
      <c r="U144">
        <f t="shared" si="42"/>
        <v>27.570631729308804</v>
      </c>
      <c r="V144">
        <f t="shared" si="43"/>
        <v>27.570631729308804</v>
      </c>
      <c r="W144">
        <f t="shared" si="44"/>
        <v>3.7008830291240353</v>
      </c>
      <c r="X144">
        <f t="shared" si="45"/>
        <v>66.892119940146287</v>
      </c>
      <c r="Y144">
        <f t="shared" si="46"/>
        <v>2.2502304467802494</v>
      </c>
      <c r="Z144">
        <f t="shared" si="47"/>
        <v>3.3639694014686783</v>
      </c>
      <c r="AA144">
        <f t="shared" si="48"/>
        <v>1.4506525823437859</v>
      </c>
      <c r="AB144">
        <f t="shared" si="49"/>
        <v>-71.015419521482926</v>
      </c>
      <c r="AC144">
        <f t="shared" si="50"/>
        <v>-186.42222290599048</v>
      </c>
      <c r="AD144">
        <f t="shared" si="51"/>
        <v>-18.829190898562207</v>
      </c>
      <c r="AE144">
        <f t="shared" si="52"/>
        <v>-0.15257260803559802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52603.198410779027</v>
      </c>
      <c r="AK144">
        <f t="shared" si="56"/>
        <v>1800</v>
      </c>
      <c r="AL144">
        <f t="shared" si="57"/>
        <v>1499.1145667999999</v>
      </c>
      <c r="AM144">
        <f t="shared" si="58"/>
        <v>0.832841426</v>
      </c>
      <c r="AN144">
        <f t="shared" si="59"/>
        <v>0.15339681151000001</v>
      </c>
      <c r="AO144">
        <v>32.4</v>
      </c>
      <c r="AP144">
        <v>0.5</v>
      </c>
      <c r="AQ144" t="s">
        <v>331</v>
      </c>
      <c r="AR144">
        <v>2</v>
      </c>
      <c r="AS144">
        <v>1690219445.0999999</v>
      </c>
      <c r="AT144">
        <v>506.53399999999999</v>
      </c>
      <c r="AU144">
        <v>799.97</v>
      </c>
      <c r="AV144">
        <v>22.692499999999999</v>
      </c>
      <c r="AW144">
        <v>5.7042900000000003</v>
      </c>
      <c r="AX144">
        <v>506.6</v>
      </c>
      <c r="AY144">
        <v>22.502400000000002</v>
      </c>
      <c r="AZ144">
        <v>300.15300000000002</v>
      </c>
      <c r="BA144">
        <v>99.061899999999994</v>
      </c>
      <c r="BB144">
        <v>9.9957299999999999E-2</v>
      </c>
      <c r="BC144">
        <v>25.948399999999999</v>
      </c>
      <c r="BD144">
        <v>26.970700000000001</v>
      </c>
      <c r="BE144">
        <v>27.2834</v>
      </c>
      <c r="BF144">
        <v>0</v>
      </c>
      <c r="BG144">
        <v>0</v>
      </c>
      <c r="BH144">
        <v>10007.5</v>
      </c>
      <c r="BI144">
        <v>1066.19</v>
      </c>
      <c r="BJ144">
        <v>1.7380500000000001</v>
      </c>
      <c r="BK144">
        <v>-293.43700000000001</v>
      </c>
      <c r="BL144">
        <v>518.29499999999996</v>
      </c>
      <c r="BM144">
        <v>804.56</v>
      </c>
      <c r="BN144">
        <v>16.988199999999999</v>
      </c>
      <c r="BO144">
        <v>799.97</v>
      </c>
      <c r="BP144">
        <v>5.7042900000000003</v>
      </c>
      <c r="BQ144">
        <v>2.24796</v>
      </c>
      <c r="BR144">
        <v>0.56507799999999997</v>
      </c>
      <c r="BS144">
        <v>19.308299999999999</v>
      </c>
      <c r="BT144">
        <v>-1.13001</v>
      </c>
      <c r="BU144">
        <v>1800</v>
      </c>
      <c r="BV144">
        <v>0.910022</v>
      </c>
      <c r="BW144">
        <v>3.4000099999999998E-2</v>
      </c>
      <c r="BX144">
        <v>2.1992299999999999E-2</v>
      </c>
      <c r="BY144">
        <v>3.3986099999999998E-2</v>
      </c>
      <c r="BZ144">
        <v>25.666699999999999</v>
      </c>
      <c r="CA144">
        <v>33528.5</v>
      </c>
      <c r="CB144">
        <v>1690217592</v>
      </c>
      <c r="CC144" t="s">
        <v>332</v>
      </c>
      <c r="CD144">
        <v>1690217586.5</v>
      </c>
      <c r="CE144">
        <v>1690217592</v>
      </c>
      <c r="CF144">
        <v>9</v>
      </c>
      <c r="CG144">
        <v>0.11600000000000001</v>
      </c>
      <c r="CH144">
        <v>-3.0000000000000001E-3</v>
      </c>
      <c r="CI144">
        <v>-0.27300000000000002</v>
      </c>
      <c r="CJ144">
        <v>-6.9000000000000006E-2</v>
      </c>
      <c r="CK144">
        <v>800</v>
      </c>
      <c r="CL144">
        <v>6</v>
      </c>
      <c r="CM144">
        <v>0.01</v>
      </c>
      <c r="CN144">
        <v>0.01</v>
      </c>
      <c r="CO144">
        <v>-290.59714999999989</v>
      </c>
      <c r="CP144">
        <v>-16.13342589118135</v>
      </c>
      <c r="CQ144">
        <v>1.552252452889032</v>
      </c>
      <c r="CR144">
        <v>-1</v>
      </c>
      <c r="CS144">
        <v>16.865790000000001</v>
      </c>
      <c r="CT144">
        <v>0.70836697936208137</v>
      </c>
      <c r="CU144">
        <v>6.8162907068287565E-2</v>
      </c>
      <c r="CV144">
        <v>-1</v>
      </c>
      <c r="CW144">
        <v>0</v>
      </c>
      <c r="CX144">
        <v>0</v>
      </c>
      <c r="CY144" t="s">
        <v>333</v>
      </c>
      <c r="CZ144">
        <v>2.3645800000000001</v>
      </c>
      <c r="DA144">
        <v>2.7137500000000001</v>
      </c>
      <c r="DB144">
        <v>0.106713</v>
      </c>
      <c r="DC144">
        <v>0.14607899999999999</v>
      </c>
      <c r="DD144">
        <v>0.10946500000000001</v>
      </c>
      <c r="DE144">
        <v>3.7853900000000003E-2</v>
      </c>
      <c r="DF144">
        <v>32621</v>
      </c>
      <c r="DG144">
        <v>27523.4</v>
      </c>
      <c r="DH144">
        <v>31175</v>
      </c>
      <c r="DI144">
        <v>28085.3</v>
      </c>
      <c r="DJ144">
        <v>37689.9</v>
      </c>
      <c r="DK144">
        <v>38426.5</v>
      </c>
      <c r="DL144">
        <v>44366</v>
      </c>
      <c r="DM144">
        <v>42565.599999999999</v>
      </c>
      <c r="DN144">
        <v>1.4833499999999999</v>
      </c>
      <c r="DO144">
        <v>2.0358499999999999</v>
      </c>
      <c r="DP144">
        <v>0.130635</v>
      </c>
      <c r="DQ144">
        <v>0.15823499999999999</v>
      </c>
      <c r="DR144">
        <v>24.830500000000001</v>
      </c>
      <c r="DS144">
        <v>24.691299999999998</v>
      </c>
      <c r="DT144">
        <v>16.8</v>
      </c>
      <c r="DU144">
        <v>29.8</v>
      </c>
      <c r="DV144">
        <v>7.1429</v>
      </c>
      <c r="DW144">
        <v>61.624099999999999</v>
      </c>
      <c r="DX144">
        <v>36.302100000000003</v>
      </c>
      <c r="DY144">
        <v>1</v>
      </c>
      <c r="DZ144">
        <v>-0.101047</v>
      </c>
      <c r="EA144">
        <v>6.58551E-2</v>
      </c>
      <c r="EB144">
        <v>20.189900000000002</v>
      </c>
      <c r="EC144">
        <v>5.2408000000000001</v>
      </c>
      <c r="ED144">
        <v>12.039899999999999</v>
      </c>
      <c r="EE144">
        <v>5.0171000000000001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1.8689499999999999</v>
      </c>
      <c r="EL144">
        <v>1.8647</v>
      </c>
      <c r="EM144">
        <v>1.8692</v>
      </c>
      <c r="EN144">
        <v>1.86724</v>
      </c>
      <c r="EO144">
        <v>1.8633999999999999</v>
      </c>
      <c r="EP144">
        <v>1.86459</v>
      </c>
      <c r="EQ144">
        <v>1.8702300000000001</v>
      </c>
      <c r="ER144">
        <v>1.86947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-6.6000000000000003E-2</v>
      </c>
      <c r="FG144">
        <v>0.19009999999999999</v>
      </c>
      <c r="FH144">
        <v>0.27827353915413472</v>
      </c>
      <c r="FI144">
        <v>-6.1462078757559423E-4</v>
      </c>
      <c r="FJ144">
        <v>-1.8861989874597051E-7</v>
      </c>
      <c r="FK144">
        <v>1.1980462299894961E-10</v>
      </c>
      <c r="FL144">
        <v>0.19010266435860859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31</v>
      </c>
      <c r="FU144">
        <v>30.9</v>
      </c>
      <c r="FV144">
        <v>1.7773399999999999</v>
      </c>
      <c r="FW144">
        <v>2.5866699999999998</v>
      </c>
      <c r="FX144">
        <v>1.5490699999999999</v>
      </c>
      <c r="FY144">
        <v>2.3290999999999999</v>
      </c>
      <c r="FZ144">
        <v>1.50146</v>
      </c>
      <c r="GA144">
        <v>2.33765</v>
      </c>
      <c r="GB144">
        <v>33.850900000000003</v>
      </c>
      <c r="GC144">
        <v>23.982399999999998</v>
      </c>
      <c r="GD144">
        <v>19</v>
      </c>
      <c r="GE144">
        <v>285.601</v>
      </c>
      <c r="GF144">
        <v>581.89200000000005</v>
      </c>
      <c r="GG144">
        <v>24.030999999999999</v>
      </c>
      <c r="GH144">
        <v>26.110600000000002</v>
      </c>
      <c r="GI144">
        <v>29.9999</v>
      </c>
      <c r="GJ144">
        <v>26.275300000000001</v>
      </c>
      <c r="GK144">
        <v>26.264299999999999</v>
      </c>
      <c r="GL144">
        <v>35.540300000000002</v>
      </c>
      <c r="GM144">
        <v>-30</v>
      </c>
      <c r="GN144">
        <v>-30</v>
      </c>
      <c r="GO144">
        <v>24.083300000000001</v>
      </c>
      <c r="GP144">
        <v>800</v>
      </c>
      <c r="GQ144">
        <v>12.5298</v>
      </c>
      <c r="GR144">
        <v>99.748099999999994</v>
      </c>
      <c r="GS144">
        <v>99.577600000000004</v>
      </c>
    </row>
    <row r="145" spans="1:201" x14ac:dyDescent="0.25">
      <c r="A145">
        <v>129</v>
      </c>
      <c r="B145">
        <v>1690219455.0999999</v>
      </c>
      <c r="C145">
        <v>1434.599999904633</v>
      </c>
      <c r="D145" t="s">
        <v>587</v>
      </c>
      <c r="E145" t="s">
        <v>588</v>
      </c>
      <c r="F145" t="s">
        <v>330</v>
      </c>
      <c r="H145">
        <v>1690219455.0999999</v>
      </c>
      <c r="I145">
        <f t="shared" ref="I145:I208" si="60">(J145)/1000</f>
        <v>1.621129672826422E-3</v>
      </c>
      <c r="J145">
        <f t="shared" ref="J145:J208" si="61">1000*AZ145*AH145*(AV145-AW145)/(100*AO145*(1000-AH145*AV145))</f>
        <v>1.621129672826422</v>
      </c>
      <c r="K145">
        <f t="shared" ref="K145:K208" si="62">AZ145*AH145*(AU145-AT145*(1000-AH145*AW145)/(1000-AH145*AV145))/(100*AO145)</f>
        <v>26.607264024125815</v>
      </c>
      <c r="L145">
        <f t="shared" ref="L145:L208" si="63">AT145 - IF(AH145&gt;1, K145*AO145*100/(AJ145*BH145), 0)</f>
        <v>503.95499999999998</v>
      </c>
      <c r="M145">
        <f t="shared" ref="M145:M208" si="64">((S145-I145/2)*L145-K145)/(S145+I145/2)</f>
        <v>104.64271675481584</v>
      </c>
      <c r="N145">
        <f t="shared" ref="N145:N208" si="65">M145*(BA145+BB145)/1000</f>
        <v>10.376666362655202</v>
      </c>
      <c r="O145">
        <f t="shared" ref="O145:O208" si="66">(AT145 - IF(AH145&gt;1, K145*AO145*100/(AJ145*BH145), 0))*(BA145+BB145)/1000</f>
        <v>49.973596433324992</v>
      </c>
      <c r="P145">
        <f t="shared" ref="P145:P208" si="67">2/((1/R145-1/Q145)+SIGN(R145)*SQRT((1/R145-1/Q145)*(1/R145-1/Q145) + 4*AP145/((AP145+1)*(AP145+1))*(2*1/R145*1/Q145-1/Q145*1/Q145)))</f>
        <v>0.11128684188707169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2.1266193322492244</v>
      </c>
      <c r="R145">
        <f t="shared" ref="R145:R208" si="69">I145*(1000-(1000*0.61365*EXP(17.502*V145/(240.97+V145))/(BA145+BB145)+AV145)/2)/(1000*0.61365*EXP(17.502*V145/(240.97+V145))/(BA145+BB145)-AV145)</f>
        <v>0.10814980903294459</v>
      </c>
      <c r="S145">
        <f t="shared" ref="S145:S208" si="70">1/((AP145+1)/(P145/1.6)+1/(Q145/1.37)) + AP145/((AP145+1)/(P145/1.6) + AP145/(Q145/1.37))</f>
        <v>6.7868114931512027E-2</v>
      </c>
      <c r="T145">
        <f t="shared" ref="T145:T208" si="71">(AK145*AN145)</f>
        <v>276.11404470000002</v>
      </c>
      <c r="U145">
        <f t="shared" ref="U145:U208" si="72">(BC145+(T145+2*0.95*0.0000000567*(((BC145+$B$7)+273)^4-(BC145+273)^4)-44100*I145)/(1.84*29.3*Q145+8*0.95*0.0000000567*(BC145+273)^3))</f>
        <v>27.580569666353192</v>
      </c>
      <c r="V145">
        <f t="shared" ref="V145:V208" si="73">($C$7*BD145+$D$7*BE145+$E$7*U145)</f>
        <v>27.580569666353192</v>
      </c>
      <c r="W145">
        <f t="shared" ref="W145:W208" si="74">0.61365*EXP(17.502*V145/(240.97+V145))</f>
        <v>3.7030345342289266</v>
      </c>
      <c r="X145">
        <f t="shared" ref="X145:X208" si="75">(Y145/Z145*100)</f>
        <v>67.180767143328779</v>
      </c>
      <c r="Y145">
        <f t="shared" ref="Y145:Y208" si="76">AV145*(BA145+BB145)/1000</f>
        <v>2.2613187495414997</v>
      </c>
      <c r="Z145">
        <f t="shared" ref="Z145:Z208" si="77">0.61365*EXP(17.502*BC145/(240.97+BC145))</f>
        <v>3.3660210290796813</v>
      </c>
      <c r="AA145">
        <f t="shared" ref="AA145:AA208" si="78">(W145-AV145*(BA145+BB145)/1000)</f>
        <v>1.4417157846874269</v>
      </c>
      <c r="AB145">
        <f t="shared" ref="AB145:AB208" si="79">(-I145*44100)</f>
        <v>-71.491818571645211</v>
      </c>
      <c r="AC145">
        <f t="shared" ref="AC145:AC208" si="80">2*29.3*Q145*0.92*(BC145-V145)</f>
        <v>-185.94784614414277</v>
      </c>
      <c r="AD145">
        <f t="shared" ref="AD145:AD208" si="81">2*0.95*0.0000000567*(((BC145+$B$7)+273)^4-(V145+273)^4)</f>
        <v>-18.826894862016438</v>
      </c>
      <c r="AE145">
        <f t="shared" ref="AE145:AE208" si="82">T145+AD145+AB145+AC145</f>
        <v>-0.15251487780440698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52387.511536849452</v>
      </c>
      <c r="AK145">
        <f t="shared" ref="AK145:AK208" si="86">$B$11*BI145+$C$11*BJ145+$D$11*BU145</f>
        <v>1800</v>
      </c>
      <c r="AL145">
        <f t="shared" ref="AL145:AL208" si="87">AK145*AM145</f>
        <v>1499.113278</v>
      </c>
      <c r="AM145">
        <f t="shared" ref="AM145:AM208" si="88">($B$11*$D$9+$C$11*$D$9+$D$11*(BV145*$E$9+BW145*$F$9+BX145*$G$9+BY145*$H$9))/($B$11+$C$11+$D$11)</f>
        <v>0.83284071000000004</v>
      </c>
      <c r="AN145">
        <f t="shared" ref="AN145:AN208" si="89">($B$11*$K$9+$C$11*$K$9+$D$11*(BV145*$L$9+BW145*$M$9+BX145*$N$9+BY145*$O$9))/($B$11+$C$11+$D$11)</f>
        <v>0.15339669150000002</v>
      </c>
      <c r="AO145">
        <v>32.4</v>
      </c>
      <c r="AP145">
        <v>0.5</v>
      </c>
      <c r="AQ145" t="s">
        <v>331</v>
      </c>
      <c r="AR145">
        <v>2</v>
      </c>
      <c r="AS145">
        <v>1690219455.0999999</v>
      </c>
      <c r="AT145">
        <v>503.95499999999998</v>
      </c>
      <c r="AU145">
        <v>799.97299999999996</v>
      </c>
      <c r="AV145">
        <v>22.804099999999998</v>
      </c>
      <c r="AW145">
        <v>5.7046200000000002</v>
      </c>
      <c r="AX145">
        <v>504.01900000000001</v>
      </c>
      <c r="AY145">
        <v>22.613900000000001</v>
      </c>
      <c r="AZ145">
        <v>300.166</v>
      </c>
      <c r="BA145">
        <v>99.062799999999996</v>
      </c>
      <c r="BB145">
        <v>0.10001500000000001</v>
      </c>
      <c r="BC145">
        <v>25.9587</v>
      </c>
      <c r="BD145">
        <v>27.0046</v>
      </c>
      <c r="BE145">
        <v>27.273</v>
      </c>
      <c r="BF145">
        <v>0</v>
      </c>
      <c r="BG145">
        <v>0</v>
      </c>
      <c r="BH145">
        <v>9965</v>
      </c>
      <c r="BI145">
        <v>1066.25</v>
      </c>
      <c r="BJ145">
        <v>1.7380500000000001</v>
      </c>
      <c r="BK145">
        <v>-296.01799999999997</v>
      </c>
      <c r="BL145">
        <v>515.71500000000003</v>
      </c>
      <c r="BM145">
        <v>804.56299999999999</v>
      </c>
      <c r="BN145">
        <v>17.099399999999999</v>
      </c>
      <c r="BO145">
        <v>799.97299999999996</v>
      </c>
      <c r="BP145">
        <v>5.7046200000000002</v>
      </c>
      <c r="BQ145">
        <v>2.2590300000000001</v>
      </c>
      <c r="BR145">
        <v>0.56511599999999995</v>
      </c>
      <c r="BS145">
        <v>19.3872</v>
      </c>
      <c r="BT145">
        <v>-1.1291</v>
      </c>
      <c r="BU145">
        <v>1800</v>
      </c>
      <c r="BV145">
        <v>0.91002000000000005</v>
      </c>
      <c r="BW145">
        <v>3.3999599999999998E-2</v>
      </c>
      <c r="BX145">
        <v>2.1992000000000001E-2</v>
      </c>
      <c r="BY145">
        <v>3.3988200000000003E-2</v>
      </c>
      <c r="BZ145">
        <v>25.708300000000001</v>
      </c>
      <c r="CA145">
        <v>33528.5</v>
      </c>
      <c r="CB145">
        <v>1690217592</v>
      </c>
      <c r="CC145" t="s">
        <v>332</v>
      </c>
      <c r="CD145">
        <v>1690217586.5</v>
      </c>
      <c r="CE145">
        <v>1690217592</v>
      </c>
      <c r="CF145">
        <v>9</v>
      </c>
      <c r="CG145">
        <v>0.11600000000000001</v>
      </c>
      <c r="CH145">
        <v>-3.0000000000000001E-3</v>
      </c>
      <c r="CI145">
        <v>-0.27300000000000002</v>
      </c>
      <c r="CJ145">
        <v>-6.9000000000000006E-2</v>
      </c>
      <c r="CK145">
        <v>800</v>
      </c>
      <c r="CL145">
        <v>6</v>
      </c>
      <c r="CM145">
        <v>0.01</v>
      </c>
      <c r="CN145">
        <v>0.01</v>
      </c>
      <c r="CO145">
        <v>-293.3174146341463</v>
      </c>
      <c r="CP145">
        <v>-15.744794425087379</v>
      </c>
      <c r="CQ145">
        <v>1.5528974174278629</v>
      </c>
      <c r="CR145">
        <v>-1</v>
      </c>
      <c r="CS145">
        <v>16.9827756097561</v>
      </c>
      <c r="CT145">
        <v>0.65917212543559456</v>
      </c>
      <c r="CU145">
        <v>6.5000693356481273E-2</v>
      </c>
      <c r="CV145">
        <v>-1</v>
      </c>
      <c r="CW145">
        <v>0</v>
      </c>
      <c r="CX145">
        <v>0</v>
      </c>
      <c r="CY145" t="s">
        <v>333</v>
      </c>
      <c r="CZ145">
        <v>2.3646099999999999</v>
      </c>
      <c r="DA145">
        <v>2.7137799999999999</v>
      </c>
      <c r="DB145">
        <v>0.106319</v>
      </c>
      <c r="DC145">
        <v>0.14608099999999999</v>
      </c>
      <c r="DD145">
        <v>0.109849</v>
      </c>
      <c r="DE145">
        <v>3.7856300000000002E-2</v>
      </c>
      <c r="DF145">
        <v>32635.3</v>
      </c>
      <c r="DG145">
        <v>27523.599999999999</v>
      </c>
      <c r="DH145">
        <v>31174.9</v>
      </c>
      <c r="DI145">
        <v>28085.599999999999</v>
      </c>
      <c r="DJ145">
        <v>37673.199999999997</v>
      </c>
      <c r="DK145">
        <v>38427</v>
      </c>
      <c r="DL145">
        <v>44365.7</v>
      </c>
      <c r="DM145">
        <v>42566.3</v>
      </c>
      <c r="DN145">
        <v>1.4834000000000001</v>
      </c>
      <c r="DO145">
        <v>2.0358299999999998</v>
      </c>
      <c r="DP145">
        <v>0.13245599999999999</v>
      </c>
      <c r="DQ145">
        <v>0.15737899999999999</v>
      </c>
      <c r="DR145">
        <v>24.834599999999998</v>
      </c>
      <c r="DS145">
        <v>24.695</v>
      </c>
      <c r="DT145">
        <v>16.8</v>
      </c>
      <c r="DU145">
        <v>29.8</v>
      </c>
      <c r="DV145">
        <v>7.1424399999999997</v>
      </c>
      <c r="DW145">
        <v>62.004100000000001</v>
      </c>
      <c r="DX145">
        <v>36.081699999999998</v>
      </c>
      <c r="DY145">
        <v>1</v>
      </c>
      <c r="DZ145">
        <v>-0.101214</v>
      </c>
      <c r="EA145">
        <v>6.9798499999999999E-2</v>
      </c>
      <c r="EB145">
        <v>20.190000000000001</v>
      </c>
      <c r="EC145">
        <v>5.2408000000000001</v>
      </c>
      <c r="ED145">
        <v>12.039899999999999</v>
      </c>
      <c r="EE145">
        <v>5.0171000000000001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1.86896</v>
      </c>
      <c r="EL145">
        <v>1.8646799999999999</v>
      </c>
      <c r="EM145">
        <v>1.8692</v>
      </c>
      <c r="EN145">
        <v>1.8672299999999999</v>
      </c>
      <c r="EO145">
        <v>1.8633999999999999</v>
      </c>
      <c r="EP145">
        <v>1.86459</v>
      </c>
      <c r="EQ145">
        <v>1.87022</v>
      </c>
      <c r="ER145">
        <v>1.86947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-6.4000000000000001E-2</v>
      </c>
      <c r="FG145">
        <v>0.19020000000000001</v>
      </c>
      <c r="FH145">
        <v>0.27827353915413472</v>
      </c>
      <c r="FI145">
        <v>-6.1462078757559423E-4</v>
      </c>
      <c r="FJ145">
        <v>-1.8861989874597051E-7</v>
      </c>
      <c r="FK145">
        <v>1.1980462299894961E-10</v>
      </c>
      <c r="FL145">
        <v>0.19010266435860859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31.1</v>
      </c>
      <c r="FU145">
        <v>31.1</v>
      </c>
      <c r="FV145">
        <v>1.7773399999999999</v>
      </c>
      <c r="FW145">
        <v>2.5854499999999998</v>
      </c>
      <c r="FX145">
        <v>1.5490699999999999</v>
      </c>
      <c r="FY145">
        <v>2.3290999999999999</v>
      </c>
      <c r="FZ145">
        <v>1.50146</v>
      </c>
      <c r="GA145">
        <v>2.3815900000000001</v>
      </c>
      <c r="GB145">
        <v>33.850900000000003</v>
      </c>
      <c r="GC145">
        <v>23.982399999999998</v>
      </c>
      <c r="GD145">
        <v>19</v>
      </c>
      <c r="GE145">
        <v>285.613</v>
      </c>
      <c r="GF145">
        <v>581.84699999999998</v>
      </c>
      <c r="GG145">
        <v>24.096499999999999</v>
      </c>
      <c r="GH145">
        <v>26.109500000000001</v>
      </c>
      <c r="GI145">
        <v>29.9999</v>
      </c>
      <c r="GJ145">
        <v>26.273099999999999</v>
      </c>
      <c r="GK145">
        <v>26.2621</v>
      </c>
      <c r="GL145">
        <v>35.541600000000003</v>
      </c>
      <c r="GM145">
        <v>-30</v>
      </c>
      <c r="GN145">
        <v>-30</v>
      </c>
      <c r="GO145">
        <v>23.998200000000001</v>
      </c>
      <c r="GP145">
        <v>800</v>
      </c>
      <c r="GQ145">
        <v>12.5298</v>
      </c>
      <c r="GR145">
        <v>99.747500000000002</v>
      </c>
      <c r="GS145">
        <v>99.578999999999994</v>
      </c>
    </row>
    <row r="146" spans="1:201" x14ac:dyDescent="0.25">
      <c r="A146">
        <v>130</v>
      </c>
      <c r="B146">
        <v>1690219465.0999999</v>
      </c>
      <c r="C146">
        <v>1444.599999904633</v>
      </c>
      <c r="D146" t="s">
        <v>589</v>
      </c>
      <c r="E146" t="s">
        <v>590</v>
      </c>
      <c r="F146" t="s">
        <v>330</v>
      </c>
      <c r="H146">
        <v>1690219465.0999999</v>
      </c>
      <c r="I146">
        <f t="shared" si="60"/>
        <v>1.6312275174840134E-3</v>
      </c>
      <c r="J146">
        <f t="shared" si="61"/>
        <v>1.6312275174840134</v>
      </c>
      <c r="K146">
        <f t="shared" si="62"/>
        <v>26.850062300104092</v>
      </c>
      <c r="L146">
        <f t="shared" si="63"/>
        <v>501.351</v>
      </c>
      <c r="M146">
        <f t="shared" si="64"/>
        <v>104.04283734128576</v>
      </c>
      <c r="N146">
        <f t="shared" si="65"/>
        <v>10.317240455980482</v>
      </c>
      <c r="O146">
        <f t="shared" si="66"/>
        <v>49.715664739889995</v>
      </c>
      <c r="P146">
        <f t="shared" si="67"/>
        <v>0.11288512140503629</v>
      </c>
      <c r="Q146">
        <f t="shared" si="68"/>
        <v>2.1314338052166701</v>
      </c>
      <c r="R146">
        <f t="shared" si="69"/>
        <v>0.10966580496469601</v>
      </c>
      <c r="S146">
        <f t="shared" si="70"/>
        <v>6.8822723551203446E-2</v>
      </c>
      <c r="T146">
        <f t="shared" si="71"/>
        <v>276.11404027200001</v>
      </c>
      <c r="U146">
        <f t="shared" si="72"/>
        <v>27.576513285180731</v>
      </c>
      <c r="V146">
        <f t="shared" si="73"/>
        <v>27.576513285180731</v>
      </c>
      <c r="W146">
        <f t="shared" si="74"/>
        <v>3.7021562196896194</v>
      </c>
      <c r="X146">
        <f t="shared" si="75"/>
        <v>67.474295991086848</v>
      </c>
      <c r="Y146">
        <f t="shared" si="76"/>
        <v>2.2715754400859995</v>
      </c>
      <c r="Z146">
        <f t="shared" si="77"/>
        <v>3.3665789419812073</v>
      </c>
      <c r="AA146">
        <f t="shared" si="78"/>
        <v>1.4305807796036198</v>
      </c>
      <c r="AB146">
        <f t="shared" si="79"/>
        <v>-71.937133521044984</v>
      </c>
      <c r="AC146">
        <f t="shared" si="80"/>
        <v>-185.58094937879696</v>
      </c>
      <c r="AD146">
        <f t="shared" si="81"/>
        <v>-18.747185993561398</v>
      </c>
      <c r="AE146">
        <f t="shared" si="82"/>
        <v>-0.15122862140333382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52595.084119548614</v>
      </c>
      <c r="AK146">
        <f t="shared" si="86"/>
        <v>1800</v>
      </c>
      <c r="AL146">
        <f t="shared" si="87"/>
        <v>1499.1106751999998</v>
      </c>
      <c r="AM146">
        <f t="shared" si="88"/>
        <v>0.83283926399999997</v>
      </c>
      <c r="AN146">
        <f t="shared" si="89"/>
        <v>0.15339668904000001</v>
      </c>
      <c r="AO146">
        <v>32.4</v>
      </c>
      <c r="AP146">
        <v>0.5</v>
      </c>
      <c r="AQ146" t="s">
        <v>331</v>
      </c>
      <c r="AR146">
        <v>2</v>
      </c>
      <c r="AS146">
        <v>1690219465.0999999</v>
      </c>
      <c r="AT146">
        <v>501.351</v>
      </c>
      <c r="AU146">
        <v>799.97</v>
      </c>
      <c r="AV146">
        <v>22.907399999999999</v>
      </c>
      <c r="AW146">
        <v>5.7048899999999998</v>
      </c>
      <c r="AX146">
        <v>501.41300000000001</v>
      </c>
      <c r="AY146">
        <v>22.717300000000002</v>
      </c>
      <c r="AZ146">
        <v>300.19499999999999</v>
      </c>
      <c r="BA146">
        <v>99.063299999999998</v>
      </c>
      <c r="BB146">
        <v>0.10009</v>
      </c>
      <c r="BC146">
        <v>25.961500000000001</v>
      </c>
      <c r="BD146">
        <v>26.982900000000001</v>
      </c>
      <c r="BE146">
        <v>27.289899999999999</v>
      </c>
      <c r="BF146">
        <v>0</v>
      </c>
      <c r="BG146">
        <v>0</v>
      </c>
      <c r="BH146">
        <v>10006.200000000001</v>
      </c>
      <c r="BI146">
        <v>1066.29</v>
      </c>
      <c r="BJ146">
        <v>1.7380500000000001</v>
      </c>
      <c r="BK146">
        <v>-298.61900000000003</v>
      </c>
      <c r="BL146">
        <v>513.10500000000002</v>
      </c>
      <c r="BM146">
        <v>804.56</v>
      </c>
      <c r="BN146">
        <v>17.202500000000001</v>
      </c>
      <c r="BO146">
        <v>799.97</v>
      </c>
      <c r="BP146">
        <v>5.7048899999999998</v>
      </c>
      <c r="BQ146">
        <v>2.2692800000000002</v>
      </c>
      <c r="BR146">
        <v>0.56514500000000001</v>
      </c>
      <c r="BS146">
        <v>19.46</v>
      </c>
      <c r="BT146">
        <v>-1.12839</v>
      </c>
      <c r="BU146">
        <v>1800</v>
      </c>
      <c r="BV146">
        <v>0.91000599999999998</v>
      </c>
      <c r="BW146">
        <v>3.3998399999999998E-2</v>
      </c>
      <c r="BX146">
        <v>2.1991199999999999E-2</v>
      </c>
      <c r="BY146">
        <v>3.4004E-2</v>
      </c>
      <c r="BZ146">
        <v>25.666699999999999</v>
      </c>
      <c r="CA146">
        <v>33528.6</v>
      </c>
      <c r="CB146">
        <v>1690217592</v>
      </c>
      <c r="CC146" t="s">
        <v>332</v>
      </c>
      <c r="CD146">
        <v>1690217586.5</v>
      </c>
      <c r="CE146">
        <v>1690217592</v>
      </c>
      <c r="CF146">
        <v>9</v>
      </c>
      <c r="CG146">
        <v>0.11600000000000001</v>
      </c>
      <c r="CH146">
        <v>-3.0000000000000001E-3</v>
      </c>
      <c r="CI146">
        <v>-0.27300000000000002</v>
      </c>
      <c r="CJ146">
        <v>-6.9000000000000006E-2</v>
      </c>
      <c r="CK146">
        <v>800</v>
      </c>
      <c r="CL146">
        <v>6</v>
      </c>
      <c r="CM146">
        <v>0.01</v>
      </c>
      <c r="CN146">
        <v>0.01</v>
      </c>
      <c r="CO146">
        <v>-295.65656097560981</v>
      </c>
      <c r="CP146">
        <v>-15.707142857142671</v>
      </c>
      <c r="CQ146">
        <v>1.549408574007773</v>
      </c>
      <c r="CR146">
        <v>-1</v>
      </c>
      <c r="CS146">
        <v>17.082753658536589</v>
      </c>
      <c r="CT146">
        <v>0.67173867595824133</v>
      </c>
      <c r="CU146">
        <v>6.6251958452639134E-2</v>
      </c>
      <c r="CV146">
        <v>-1</v>
      </c>
      <c r="CW146">
        <v>0</v>
      </c>
      <c r="CX146">
        <v>0</v>
      </c>
      <c r="CY146" t="s">
        <v>333</v>
      </c>
      <c r="CZ146">
        <v>2.3647300000000002</v>
      </c>
      <c r="DA146">
        <v>2.7138900000000001</v>
      </c>
      <c r="DB146">
        <v>0.10592</v>
      </c>
      <c r="DC146">
        <v>0.14608199999999999</v>
      </c>
      <c r="DD146">
        <v>0.110203</v>
      </c>
      <c r="DE146">
        <v>3.7858200000000002E-2</v>
      </c>
      <c r="DF146">
        <v>32649.4</v>
      </c>
      <c r="DG146">
        <v>27523.599999999999</v>
      </c>
      <c r="DH146">
        <v>31174.400000000001</v>
      </c>
      <c r="DI146">
        <v>28085.599999999999</v>
      </c>
      <c r="DJ146">
        <v>37657.300000000003</v>
      </c>
      <c r="DK146">
        <v>38426.800000000003</v>
      </c>
      <c r="DL146">
        <v>44364.800000000003</v>
      </c>
      <c r="DM146">
        <v>42566.1</v>
      </c>
      <c r="DN146">
        <v>1.4836</v>
      </c>
      <c r="DO146">
        <v>2.0358700000000001</v>
      </c>
      <c r="DP146">
        <v>0.13087299999999999</v>
      </c>
      <c r="DQ146">
        <v>0.15812699999999999</v>
      </c>
      <c r="DR146">
        <v>24.838799999999999</v>
      </c>
      <c r="DS146">
        <v>24.6997</v>
      </c>
      <c r="DT146">
        <v>16.8</v>
      </c>
      <c r="DU146">
        <v>29.8</v>
      </c>
      <c r="DV146">
        <v>7.1428099999999999</v>
      </c>
      <c r="DW146">
        <v>61.784100000000002</v>
      </c>
      <c r="DX146">
        <v>36.262</v>
      </c>
      <c r="DY146">
        <v>1</v>
      </c>
      <c r="DZ146">
        <v>-0.100178</v>
      </c>
      <c r="EA146">
        <v>0.23658999999999999</v>
      </c>
      <c r="EB146">
        <v>20.189599999999999</v>
      </c>
      <c r="EC146">
        <v>5.2408000000000001</v>
      </c>
      <c r="ED146">
        <v>12.039899999999999</v>
      </c>
      <c r="EE146">
        <v>5.0167999999999999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1.8689199999999999</v>
      </c>
      <c r="EL146">
        <v>1.86466</v>
      </c>
      <c r="EM146">
        <v>1.8692</v>
      </c>
      <c r="EN146">
        <v>1.8672299999999999</v>
      </c>
      <c r="EO146">
        <v>1.8633999999999999</v>
      </c>
      <c r="EP146">
        <v>1.8645799999999999</v>
      </c>
      <c r="EQ146">
        <v>1.8702300000000001</v>
      </c>
      <c r="ER146">
        <v>1.86944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-6.2E-2</v>
      </c>
      <c r="FG146">
        <v>0.19009999999999999</v>
      </c>
      <c r="FH146">
        <v>0.27827353915413472</v>
      </c>
      <c r="FI146">
        <v>-6.1462078757559423E-4</v>
      </c>
      <c r="FJ146">
        <v>-1.8861989874597051E-7</v>
      </c>
      <c r="FK146">
        <v>1.1980462299894961E-10</v>
      </c>
      <c r="FL146">
        <v>0.19010266435860859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31.3</v>
      </c>
      <c r="FU146">
        <v>31.2</v>
      </c>
      <c r="FV146">
        <v>1.7773399999999999</v>
      </c>
      <c r="FW146">
        <v>2.5842299999999998</v>
      </c>
      <c r="FX146">
        <v>1.5490699999999999</v>
      </c>
      <c r="FY146">
        <v>2.3290999999999999</v>
      </c>
      <c r="FZ146">
        <v>1.50146</v>
      </c>
      <c r="GA146">
        <v>2.4047900000000002</v>
      </c>
      <c r="GB146">
        <v>33.828299999999999</v>
      </c>
      <c r="GC146">
        <v>23.982399999999998</v>
      </c>
      <c r="GD146">
        <v>19</v>
      </c>
      <c r="GE146">
        <v>285.68900000000002</v>
      </c>
      <c r="GF146">
        <v>581.86300000000006</v>
      </c>
      <c r="GG146">
        <v>24.011099999999999</v>
      </c>
      <c r="GH146">
        <v>26.107399999999998</v>
      </c>
      <c r="GI146">
        <v>30.0002</v>
      </c>
      <c r="GJ146">
        <v>26.270900000000001</v>
      </c>
      <c r="GK146">
        <v>26.259899999999998</v>
      </c>
      <c r="GL146">
        <v>35.540700000000001</v>
      </c>
      <c r="GM146">
        <v>-30</v>
      </c>
      <c r="GN146">
        <v>-30</v>
      </c>
      <c r="GO146">
        <v>24.026800000000001</v>
      </c>
      <c r="GP146">
        <v>800</v>
      </c>
      <c r="GQ146">
        <v>12.5298</v>
      </c>
      <c r="GR146">
        <v>99.745800000000003</v>
      </c>
      <c r="GS146">
        <v>99.578699999999998</v>
      </c>
    </row>
    <row r="147" spans="1:201" x14ac:dyDescent="0.25">
      <c r="A147">
        <v>131</v>
      </c>
      <c r="B147">
        <v>1690219475.0999999</v>
      </c>
      <c r="C147">
        <v>1454.599999904633</v>
      </c>
      <c r="D147" t="s">
        <v>591</v>
      </c>
      <c r="E147" t="s">
        <v>592</v>
      </c>
      <c r="F147" t="s">
        <v>330</v>
      </c>
      <c r="H147">
        <v>1690219475.0999999</v>
      </c>
      <c r="I147">
        <f t="shared" si="60"/>
        <v>1.6401600737769055E-3</v>
      </c>
      <c r="J147">
        <f t="shared" si="61"/>
        <v>1.6401600737769055</v>
      </c>
      <c r="K147">
        <f t="shared" si="62"/>
        <v>27.086609521725485</v>
      </c>
      <c r="L147">
        <f t="shared" si="63"/>
        <v>498.78699999999998</v>
      </c>
      <c r="M147">
        <f t="shared" si="64"/>
        <v>103.10922077811239</v>
      </c>
      <c r="N147">
        <f t="shared" si="65"/>
        <v>10.224573054652167</v>
      </c>
      <c r="O147">
        <f t="shared" si="66"/>
        <v>49.460989829275995</v>
      </c>
      <c r="P147">
        <f t="shared" si="67"/>
        <v>0.11436948439653863</v>
      </c>
      <c r="Q147">
        <f t="shared" si="68"/>
        <v>2.1295358033734151</v>
      </c>
      <c r="R147">
        <f t="shared" si="69"/>
        <v>0.111063428919994</v>
      </c>
      <c r="S147">
        <f t="shared" si="70"/>
        <v>6.9703718644250248E-2</v>
      </c>
      <c r="T147">
        <f t="shared" si="71"/>
        <v>276.11415028800002</v>
      </c>
      <c r="U147">
        <f t="shared" si="72"/>
        <v>27.571308962242725</v>
      </c>
      <c r="V147">
        <f t="shared" si="73"/>
        <v>27.571308962242725</v>
      </c>
      <c r="W147">
        <f t="shared" si="74"/>
        <v>3.701029611439806</v>
      </c>
      <c r="X147">
        <f t="shared" si="75"/>
        <v>67.761584651353274</v>
      </c>
      <c r="Y147">
        <f t="shared" si="76"/>
        <v>2.2807881852739995</v>
      </c>
      <c r="Z147">
        <f t="shared" si="77"/>
        <v>3.3659014868219281</v>
      </c>
      <c r="AA147">
        <f t="shared" si="78"/>
        <v>1.4202414261658065</v>
      </c>
      <c r="AB147">
        <f t="shared" si="79"/>
        <v>-72.331059253561534</v>
      </c>
      <c r="AC147">
        <f t="shared" si="80"/>
        <v>-185.20854315519168</v>
      </c>
      <c r="AD147">
        <f t="shared" si="81"/>
        <v>-18.725434746102302</v>
      </c>
      <c r="AE147">
        <f t="shared" si="82"/>
        <v>-0.15088686685547259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52513.579777521336</v>
      </c>
      <c r="AK147">
        <f t="shared" si="86"/>
        <v>1800</v>
      </c>
      <c r="AL147">
        <f t="shared" si="87"/>
        <v>1499.1120017999997</v>
      </c>
      <c r="AM147">
        <f t="shared" si="88"/>
        <v>0.83284000099999989</v>
      </c>
      <c r="AN147">
        <f t="shared" si="89"/>
        <v>0.15339675016000001</v>
      </c>
      <c r="AO147">
        <v>32.4</v>
      </c>
      <c r="AP147">
        <v>0.5</v>
      </c>
      <c r="AQ147" t="s">
        <v>331</v>
      </c>
      <c r="AR147">
        <v>2</v>
      </c>
      <c r="AS147">
        <v>1690219475.0999999</v>
      </c>
      <c r="AT147">
        <v>498.78699999999998</v>
      </c>
      <c r="AU147">
        <v>799.96299999999997</v>
      </c>
      <c r="AV147">
        <v>23.000499999999999</v>
      </c>
      <c r="AW147">
        <v>5.7053799999999999</v>
      </c>
      <c r="AX147">
        <v>498.84800000000001</v>
      </c>
      <c r="AY147">
        <v>22.810400000000001</v>
      </c>
      <c r="AZ147">
        <v>300.19400000000002</v>
      </c>
      <c r="BA147">
        <v>99.0625</v>
      </c>
      <c r="BB147">
        <v>0.100048</v>
      </c>
      <c r="BC147">
        <v>25.958100000000002</v>
      </c>
      <c r="BD147">
        <v>26.9983</v>
      </c>
      <c r="BE147">
        <v>27.278300000000002</v>
      </c>
      <c r="BF147">
        <v>0</v>
      </c>
      <c r="BG147">
        <v>0</v>
      </c>
      <c r="BH147">
        <v>9990</v>
      </c>
      <c r="BI147">
        <v>1066.45</v>
      </c>
      <c r="BJ147">
        <v>1.7380500000000001</v>
      </c>
      <c r="BK147">
        <v>-301.17500000000001</v>
      </c>
      <c r="BL147">
        <v>510.53</v>
      </c>
      <c r="BM147">
        <v>804.553</v>
      </c>
      <c r="BN147">
        <v>17.295100000000001</v>
      </c>
      <c r="BO147">
        <v>799.96299999999997</v>
      </c>
      <c r="BP147">
        <v>5.7053799999999999</v>
      </c>
      <c r="BQ147">
        <v>2.2784900000000001</v>
      </c>
      <c r="BR147">
        <v>0.56518900000000005</v>
      </c>
      <c r="BS147">
        <v>19.525099999999998</v>
      </c>
      <c r="BT147">
        <v>-1.1273200000000001</v>
      </c>
      <c r="BU147">
        <v>1800</v>
      </c>
      <c r="BV147">
        <v>0.91000999999999999</v>
      </c>
      <c r="BW147">
        <v>3.3998599999999997E-2</v>
      </c>
      <c r="BX147">
        <v>2.1991299999999998E-2</v>
      </c>
      <c r="BY147">
        <v>3.4000200000000001E-2</v>
      </c>
      <c r="BZ147">
        <v>25.666699999999999</v>
      </c>
      <c r="CA147">
        <v>33528.5</v>
      </c>
      <c r="CB147">
        <v>1690217592</v>
      </c>
      <c r="CC147" t="s">
        <v>332</v>
      </c>
      <c r="CD147">
        <v>1690217586.5</v>
      </c>
      <c r="CE147">
        <v>1690217592</v>
      </c>
      <c r="CF147">
        <v>9</v>
      </c>
      <c r="CG147">
        <v>0.11600000000000001</v>
      </c>
      <c r="CH147">
        <v>-3.0000000000000001E-3</v>
      </c>
      <c r="CI147">
        <v>-0.27300000000000002</v>
      </c>
      <c r="CJ147">
        <v>-6.9000000000000006E-2</v>
      </c>
      <c r="CK147">
        <v>800</v>
      </c>
      <c r="CL147">
        <v>6</v>
      </c>
      <c r="CM147">
        <v>0.01</v>
      </c>
      <c r="CN147">
        <v>0.01</v>
      </c>
      <c r="CO147">
        <v>-298.42374999999998</v>
      </c>
      <c r="CP147">
        <v>-15.24141838649083</v>
      </c>
      <c r="CQ147">
        <v>1.4669168304644991</v>
      </c>
      <c r="CR147">
        <v>-1</v>
      </c>
      <c r="CS147">
        <v>17.193484999999999</v>
      </c>
      <c r="CT147">
        <v>0.56328630393997547</v>
      </c>
      <c r="CU147">
        <v>5.4298971214932032E-2</v>
      </c>
      <c r="CV147">
        <v>-1</v>
      </c>
      <c r="CW147">
        <v>0</v>
      </c>
      <c r="CX147">
        <v>0</v>
      </c>
      <c r="CY147" t="s">
        <v>333</v>
      </c>
      <c r="CZ147">
        <v>2.3647100000000001</v>
      </c>
      <c r="DA147">
        <v>2.7138300000000002</v>
      </c>
      <c r="DB147">
        <v>0.10552499999999999</v>
      </c>
      <c r="DC147">
        <v>0.14608099999999999</v>
      </c>
      <c r="DD147">
        <v>0.11052099999999999</v>
      </c>
      <c r="DE147">
        <v>3.78608E-2</v>
      </c>
      <c r="DF147">
        <v>32664.3</v>
      </c>
      <c r="DG147">
        <v>27523.9</v>
      </c>
      <c r="DH147">
        <v>31174.9</v>
      </c>
      <c r="DI147">
        <v>28085.9</v>
      </c>
      <c r="DJ147">
        <v>37644.400000000001</v>
      </c>
      <c r="DK147">
        <v>38427</v>
      </c>
      <c r="DL147">
        <v>44365.7</v>
      </c>
      <c r="DM147">
        <v>42566.400000000001</v>
      </c>
      <c r="DN147">
        <v>1.4837199999999999</v>
      </c>
      <c r="DO147">
        <v>2.0359699999999998</v>
      </c>
      <c r="DP147">
        <v>0.13162199999999999</v>
      </c>
      <c r="DQ147">
        <v>0.157192</v>
      </c>
      <c r="DR147">
        <v>24.841999999999999</v>
      </c>
      <c r="DS147">
        <v>24.703299999999999</v>
      </c>
      <c r="DT147">
        <v>16.8</v>
      </c>
      <c r="DU147">
        <v>29.8</v>
      </c>
      <c r="DV147">
        <v>7.1427800000000001</v>
      </c>
      <c r="DW147">
        <v>61.744100000000003</v>
      </c>
      <c r="DX147">
        <v>36.25</v>
      </c>
      <c r="DY147">
        <v>1</v>
      </c>
      <c r="DZ147">
        <v>-0.100686</v>
      </c>
      <c r="EA147">
        <v>0.13347200000000001</v>
      </c>
      <c r="EB147">
        <v>20.189900000000002</v>
      </c>
      <c r="EC147">
        <v>5.2406499999999996</v>
      </c>
      <c r="ED147">
        <v>12.039899999999999</v>
      </c>
      <c r="EE147">
        <v>5.0170500000000002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1.8689800000000001</v>
      </c>
      <c r="EL147">
        <v>1.86469</v>
      </c>
      <c r="EM147">
        <v>1.8691899999999999</v>
      </c>
      <c r="EN147">
        <v>1.8672500000000001</v>
      </c>
      <c r="EO147">
        <v>1.86341</v>
      </c>
      <c r="EP147">
        <v>1.86459</v>
      </c>
      <c r="EQ147">
        <v>1.8702399999999999</v>
      </c>
      <c r="ER147">
        <v>1.86947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-6.0999999999999999E-2</v>
      </c>
      <c r="FG147">
        <v>0.19009999999999999</v>
      </c>
      <c r="FH147">
        <v>0.27827353915413472</v>
      </c>
      <c r="FI147">
        <v>-6.1462078757559423E-4</v>
      </c>
      <c r="FJ147">
        <v>-1.8861989874597051E-7</v>
      </c>
      <c r="FK147">
        <v>1.1980462299894961E-10</v>
      </c>
      <c r="FL147">
        <v>0.19010266435860859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31.5</v>
      </c>
      <c r="FU147">
        <v>31.4</v>
      </c>
      <c r="FV147">
        <v>1.7773399999999999</v>
      </c>
      <c r="FW147">
        <v>2.5830099999999998</v>
      </c>
      <c r="FX147">
        <v>1.5490699999999999</v>
      </c>
      <c r="FY147">
        <v>2.3290999999999999</v>
      </c>
      <c r="FZ147">
        <v>1.50146</v>
      </c>
      <c r="GA147">
        <v>2.4060100000000002</v>
      </c>
      <c r="GB147">
        <v>33.850900000000003</v>
      </c>
      <c r="GC147">
        <v>23.982399999999998</v>
      </c>
      <c r="GD147">
        <v>19</v>
      </c>
      <c r="GE147">
        <v>285.733</v>
      </c>
      <c r="GF147">
        <v>581.92100000000005</v>
      </c>
      <c r="GG147">
        <v>24.030100000000001</v>
      </c>
      <c r="GH147">
        <v>26.1052</v>
      </c>
      <c r="GI147">
        <v>29.9998</v>
      </c>
      <c r="GJ147">
        <v>26.268699999999999</v>
      </c>
      <c r="GK147">
        <v>26.2577</v>
      </c>
      <c r="GL147">
        <v>35.539900000000003</v>
      </c>
      <c r="GM147">
        <v>-30</v>
      </c>
      <c r="GN147">
        <v>-30</v>
      </c>
      <c r="GO147">
        <v>24.046500000000002</v>
      </c>
      <c r="GP147">
        <v>800</v>
      </c>
      <c r="GQ147">
        <v>12.5298</v>
      </c>
      <c r="GR147">
        <v>99.747500000000002</v>
      </c>
      <c r="GS147">
        <v>99.579599999999999</v>
      </c>
    </row>
    <row r="148" spans="1:201" x14ac:dyDescent="0.25">
      <c r="A148">
        <v>132</v>
      </c>
      <c r="B148">
        <v>1690219485.0999999</v>
      </c>
      <c r="C148">
        <v>1464.599999904633</v>
      </c>
      <c r="D148" t="s">
        <v>593</v>
      </c>
      <c r="E148" t="s">
        <v>594</v>
      </c>
      <c r="F148" t="s">
        <v>330</v>
      </c>
      <c r="H148">
        <v>1690219485.0999999</v>
      </c>
      <c r="I148">
        <f t="shared" si="60"/>
        <v>1.6506512865670489E-3</v>
      </c>
      <c r="J148">
        <f t="shared" si="61"/>
        <v>1.6506512865670488</v>
      </c>
      <c r="K148">
        <f t="shared" si="62"/>
        <v>27.321806177925296</v>
      </c>
      <c r="L148">
        <f t="shared" si="63"/>
        <v>496.28100000000001</v>
      </c>
      <c r="M148">
        <f t="shared" si="64"/>
        <v>102.67907929715405</v>
      </c>
      <c r="N148">
        <f t="shared" si="65"/>
        <v>10.181855776407918</v>
      </c>
      <c r="O148">
        <f t="shared" si="66"/>
        <v>49.212182278610996</v>
      </c>
      <c r="P148">
        <f t="shared" si="67"/>
        <v>0.11599652822007607</v>
      </c>
      <c r="Q148">
        <f t="shared" si="68"/>
        <v>2.1299661670556196</v>
      </c>
      <c r="R148">
        <f t="shared" si="69"/>
        <v>0.11259790861001048</v>
      </c>
      <c r="S148">
        <f t="shared" si="70"/>
        <v>7.0670750897256093E-2</v>
      </c>
      <c r="T148">
        <f t="shared" si="71"/>
        <v>276.11411799600006</v>
      </c>
      <c r="U148">
        <f t="shared" si="72"/>
        <v>27.572243343749228</v>
      </c>
      <c r="V148">
        <f t="shared" si="73"/>
        <v>27.572243343749228</v>
      </c>
      <c r="W148">
        <f t="shared" si="74"/>
        <v>3.7012318600766725</v>
      </c>
      <c r="X148">
        <f t="shared" si="75"/>
        <v>68.059301927979348</v>
      </c>
      <c r="Y148">
        <f t="shared" si="76"/>
        <v>2.2914735663203998</v>
      </c>
      <c r="Z148">
        <f t="shared" si="77"/>
        <v>3.3668778571153242</v>
      </c>
      <c r="AA148">
        <f t="shared" si="78"/>
        <v>1.4097582937562727</v>
      </c>
      <c r="AB148">
        <f t="shared" si="79"/>
        <v>-72.793721737606859</v>
      </c>
      <c r="AC148">
        <f t="shared" si="80"/>
        <v>-184.79059756309323</v>
      </c>
      <c r="AD148">
        <f t="shared" si="81"/>
        <v>-18.679948234933317</v>
      </c>
      <c r="AE148">
        <f t="shared" si="82"/>
        <v>-0.15014953963333255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52531.310921247285</v>
      </c>
      <c r="AK148">
        <f t="shared" si="86"/>
        <v>1800</v>
      </c>
      <c r="AL148">
        <f t="shared" si="87"/>
        <v>1499.1115265999999</v>
      </c>
      <c r="AM148">
        <f t="shared" si="88"/>
        <v>0.83283973699999991</v>
      </c>
      <c r="AN148">
        <f t="shared" si="89"/>
        <v>0.15339673222000003</v>
      </c>
      <c r="AO148">
        <v>32.4</v>
      </c>
      <c r="AP148">
        <v>0.5</v>
      </c>
      <c r="AQ148" t="s">
        <v>331</v>
      </c>
      <c r="AR148">
        <v>2</v>
      </c>
      <c r="AS148">
        <v>1690219485.0999999</v>
      </c>
      <c r="AT148">
        <v>496.28100000000001</v>
      </c>
      <c r="AU148">
        <v>799.98</v>
      </c>
      <c r="AV148">
        <v>23.1084</v>
      </c>
      <c r="AW148">
        <v>5.7061400000000004</v>
      </c>
      <c r="AX148">
        <v>496.339</v>
      </c>
      <c r="AY148">
        <v>22.918299999999999</v>
      </c>
      <c r="AZ148">
        <v>300.221</v>
      </c>
      <c r="BA148">
        <v>99.061899999999994</v>
      </c>
      <c r="BB148">
        <v>0.10003099999999999</v>
      </c>
      <c r="BC148">
        <v>25.963000000000001</v>
      </c>
      <c r="BD148">
        <v>27.0093</v>
      </c>
      <c r="BE148">
        <v>27.288599999999999</v>
      </c>
      <c r="BF148">
        <v>0</v>
      </c>
      <c r="BG148">
        <v>0</v>
      </c>
      <c r="BH148">
        <v>9993.75</v>
      </c>
      <c r="BI148">
        <v>1066.52</v>
      </c>
      <c r="BJ148">
        <v>1.7380500000000001</v>
      </c>
      <c r="BK148">
        <v>-303.7</v>
      </c>
      <c r="BL148">
        <v>508.02</v>
      </c>
      <c r="BM148">
        <v>804.57100000000003</v>
      </c>
      <c r="BN148">
        <v>17.4023</v>
      </c>
      <c r="BO148">
        <v>799.98</v>
      </c>
      <c r="BP148">
        <v>5.7061400000000004</v>
      </c>
      <c r="BQ148">
        <v>2.2891599999999999</v>
      </c>
      <c r="BR148">
        <v>0.56526200000000004</v>
      </c>
      <c r="BS148">
        <v>19.600300000000001</v>
      </c>
      <c r="BT148">
        <v>-1.12558</v>
      </c>
      <c r="BU148">
        <v>1800</v>
      </c>
      <c r="BV148">
        <v>0.91000800000000004</v>
      </c>
      <c r="BW148">
        <v>3.3998300000000002E-2</v>
      </c>
      <c r="BX148">
        <v>2.19911E-2</v>
      </c>
      <c r="BY148">
        <v>3.4002600000000001E-2</v>
      </c>
      <c r="BZ148">
        <v>25.666699999999999</v>
      </c>
      <c r="CA148">
        <v>33528.5</v>
      </c>
      <c r="CB148">
        <v>1690217592</v>
      </c>
      <c r="CC148" t="s">
        <v>332</v>
      </c>
      <c r="CD148">
        <v>1690217586.5</v>
      </c>
      <c r="CE148">
        <v>1690217592</v>
      </c>
      <c r="CF148">
        <v>9</v>
      </c>
      <c r="CG148">
        <v>0.11600000000000001</v>
      </c>
      <c r="CH148">
        <v>-3.0000000000000001E-3</v>
      </c>
      <c r="CI148">
        <v>-0.27300000000000002</v>
      </c>
      <c r="CJ148">
        <v>-6.9000000000000006E-2</v>
      </c>
      <c r="CK148">
        <v>800</v>
      </c>
      <c r="CL148">
        <v>6</v>
      </c>
      <c r="CM148">
        <v>0.01</v>
      </c>
      <c r="CN148">
        <v>0.01</v>
      </c>
      <c r="CO148">
        <v>-300.76699999999988</v>
      </c>
      <c r="CP148">
        <v>-15.01135191637673</v>
      </c>
      <c r="CQ148">
        <v>1.480678750092538</v>
      </c>
      <c r="CR148">
        <v>-1</v>
      </c>
      <c r="CS148">
        <v>17.283239024390252</v>
      </c>
      <c r="CT148">
        <v>0.59442229965157956</v>
      </c>
      <c r="CU148">
        <v>5.869480335184387E-2</v>
      </c>
      <c r="CV148">
        <v>-1</v>
      </c>
      <c r="CW148">
        <v>0</v>
      </c>
      <c r="CX148">
        <v>0</v>
      </c>
      <c r="CY148" t="s">
        <v>333</v>
      </c>
      <c r="CZ148">
        <v>2.3647999999999998</v>
      </c>
      <c r="DA148">
        <v>2.7138200000000001</v>
      </c>
      <c r="DB148">
        <v>0.105138</v>
      </c>
      <c r="DC148">
        <v>0.14608299999999999</v>
      </c>
      <c r="DD148">
        <v>0.110888</v>
      </c>
      <c r="DE148">
        <v>3.78649E-2</v>
      </c>
      <c r="DF148">
        <v>32679.200000000001</v>
      </c>
      <c r="DG148">
        <v>27524.7</v>
      </c>
      <c r="DH148">
        <v>31175.599999999999</v>
      </c>
      <c r="DI148">
        <v>28086.7</v>
      </c>
      <c r="DJ148">
        <v>37629.5</v>
      </c>
      <c r="DK148">
        <v>38428</v>
      </c>
      <c r="DL148">
        <v>44366.7</v>
      </c>
      <c r="DM148">
        <v>42567.8</v>
      </c>
      <c r="DN148">
        <v>1.4837</v>
      </c>
      <c r="DO148">
        <v>2.0358499999999999</v>
      </c>
      <c r="DP148">
        <v>0.132106</v>
      </c>
      <c r="DQ148">
        <v>0.15757199999999999</v>
      </c>
      <c r="DR148">
        <v>24.845099999999999</v>
      </c>
      <c r="DS148">
        <v>24.7074</v>
      </c>
      <c r="DT148">
        <v>16.8</v>
      </c>
      <c r="DU148">
        <v>29.8</v>
      </c>
      <c r="DV148">
        <v>7.1426499999999997</v>
      </c>
      <c r="DW148">
        <v>61.914099999999998</v>
      </c>
      <c r="DX148">
        <v>36.546500000000002</v>
      </c>
      <c r="DY148">
        <v>1</v>
      </c>
      <c r="DZ148">
        <v>-0.101273</v>
      </c>
      <c r="EA148">
        <v>0.1032</v>
      </c>
      <c r="EB148">
        <v>20.189800000000002</v>
      </c>
      <c r="EC148">
        <v>5.2411000000000003</v>
      </c>
      <c r="ED148">
        <v>12.039899999999999</v>
      </c>
      <c r="EE148">
        <v>5.0170000000000003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1.86896</v>
      </c>
      <c r="EL148">
        <v>1.8646799999999999</v>
      </c>
      <c r="EM148">
        <v>1.8691899999999999</v>
      </c>
      <c r="EN148">
        <v>1.8672599999999999</v>
      </c>
      <c r="EO148">
        <v>1.8633999999999999</v>
      </c>
      <c r="EP148">
        <v>1.8645799999999999</v>
      </c>
      <c r="EQ148">
        <v>1.87022</v>
      </c>
      <c r="ER148">
        <v>1.86947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-5.8000000000000003E-2</v>
      </c>
      <c r="FG148">
        <v>0.19009999999999999</v>
      </c>
      <c r="FH148">
        <v>0.27827353915413472</v>
      </c>
      <c r="FI148">
        <v>-6.1462078757559423E-4</v>
      </c>
      <c r="FJ148">
        <v>-1.8861989874597051E-7</v>
      </c>
      <c r="FK148">
        <v>1.1980462299894961E-10</v>
      </c>
      <c r="FL148">
        <v>0.19010266435860859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31.6</v>
      </c>
      <c r="FU148">
        <v>31.6</v>
      </c>
      <c r="FV148">
        <v>1.7773399999999999</v>
      </c>
      <c r="FW148">
        <v>2.5793499999999998</v>
      </c>
      <c r="FX148">
        <v>1.5490699999999999</v>
      </c>
      <c r="FY148">
        <v>2.3290999999999999</v>
      </c>
      <c r="FZ148">
        <v>1.50146</v>
      </c>
      <c r="GA148">
        <v>2.3889200000000002</v>
      </c>
      <c r="GB148">
        <v>33.828299999999999</v>
      </c>
      <c r="GC148">
        <v>23.982399999999998</v>
      </c>
      <c r="GD148">
        <v>19</v>
      </c>
      <c r="GE148">
        <v>285.714</v>
      </c>
      <c r="GF148">
        <v>581.79300000000001</v>
      </c>
      <c r="GG148">
        <v>24.058499999999999</v>
      </c>
      <c r="GH148">
        <v>26.103000000000002</v>
      </c>
      <c r="GI148">
        <v>29.9998</v>
      </c>
      <c r="GJ148">
        <v>26.2669</v>
      </c>
      <c r="GK148">
        <v>26.255600000000001</v>
      </c>
      <c r="GL148">
        <v>35.542499999999997</v>
      </c>
      <c r="GM148">
        <v>-30</v>
      </c>
      <c r="GN148">
        <v>-30</v>
      </c>
      <c r="GO148">
        <v>24.039400000000001</v>
      </c>
      <c r="GP148">
        <v>800</v>
      </c>
      <c r="GQ148">
        <v>12.5298</v>
      </c>
      <c r="GR148">
        <v>99.749799999999993</v>
      </c>
      <c r="GS148">
        <v>99.582700000000003</v>
      </c>
    </row>
    <row r="149" spans="1:201" x14ac:dyDescent="0.25">
      <c r="A149">
        <v>133</v>
      </c>
      <c r="B149">
        <v>1690219495.0999999</v>
      </c>
      <c r="C149">
        <v>1474.599999904633</v>
      </c>
      <c r="D149" t="s">
        <v>595</v>
      </c>
      <c r="E149" t="s">
        <v>596</v>
      </c>
      <c r="F149" t="s">
        <v>330</v>
      </c>
      <c r="H149">
        <v>1690219495.0999999</v>
      </c>
      <c r="I149">
        <f t="shared" si="60"/>
        <v>1.6601706213161267E-3</v>
      </c>
      <c r="J149">
        <f t="shared" si="61"/>
        <v>1.6601706213161267</v>
      </c>
      <c r="K149">
        <f t="shared" si="62"/>
        <v>27.534027715151346</v>
      </c>
      <c r="L149">
        <f t="shared" si="63"/>
        <v>493.93099999999998</v>
      </c>
      <c r="M149">
        <f t="shared" si="64"/>
        <v>102.62913663086958</v>
      </c>
      <c r="N149">
        <f t="shared" si="65"/>
        <v>10.177090848086658</v>
      </c>
      <c r="O149">
        <f t="shared" si="66"/>
        <v>48.9800540539118</v>
      </c>
      <c r="P149">
        <f t="shared" si="67"/>
        <v>0.11761123378465441</v>
      </c>
      <c r="Q149">
        <f t="shared" si="68"/>
        <v>2.1314396885698148</v>
      </c>
      <c r="R149">
        <f t="shared" si="69"/>
        <v>0.11412120677645354</v>
      </c>
      <c r="S149">
        <f t="shared" si="70"/>
        <v>7.1630692683545258E-2</v>
      </c>
      <c r="T149">
        <f t="shared" si="71"/>
        <v>276.11257495672822</v>
      </c>
      <c r="U149">
        <f t="shared" si="72"/>
        <v>27.568598352262391</v>
      </c>
      <c r="V149">
        <f t="shared" si="73"/>
        <v>27.568598352262391</v>
      </c>
      <c r="W149">
        <f t="shared" si="74"/>
        <v>3.7004429493731452</v>
      </c>
      <c r="X149">
        <f t="shared" si="75"/>
        <v>68.35490164337223</v>
      </c>
      <c r="Y149">
        <f t="shared" si="76"/>
        <v>2.30152140390754</v>
      </c>
      <c r="Z149">
        <f t="shared" si="77"/>
        <v>3.3670173587773693</v>
      </c>
      <c r="AA149">
        <f t="shared" si="78"/>
        <v>1.3989215454656052</v>
      </c>
      <c r="AB149">
        <f t="shared" si="79"/>
        <v>-73.21352440004118</v>
      </c>
      <c r="AC149">
        <f t="shared" si="80"/>
        <v>-184.41915290726391</v>
      </c>
      <c r="AD149">
        <f t="shared" si="81"/>
        <v>-18.629236722147439</v>
      </c>
      <c r="AE149">
        <f t="shared" si="82"/>
        <v>-0.14933907272430247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52594.962545369541</v>
      </c>
      <c r="AK149">
        <f t="shared" si="86"/>
        <v>1799.99</v>
      </c>
      <c r="AL149">
        <f t="shared" si="87"/>
        <v>1499.1014000126199</v>
      </c>
      <c r="AM149">
        <f t="shared" si="88"/>
        <v>0.83283873799999997</v>
      </c>
      <c r="AN149">
        <f t="shared" si="89"/>
        <v>0.15339672718000003</v>
      </c>
      <c r="AO149">
        <v>32.4</v>
      </c>
      <c r="AP149">
        <v>0.5</v>
      </c>
      <c r="AQ149" t="s">
        <v>331</v>
      </c>
      <c r="AR149">
        <v>2</v>
      </c>
      <c r="AS149">
        <v>1690219495.0999999</v>
      </c>
      <c r="AT149">
        <v>493.93099999999998</v>
      </c>
      <c r="AU149">
        <v>799.97199999999998</v>
      </c>
      <c r="AV149">
        <v>23.209299999999999</v>
      </c>
      <c r="AW149">
        <v>5.7060399999999998</v>
      </c>
      <c r="AX149">
        <v>493.988</v>
      </c>
      <c r="AY149">
        <v>23.019200000000001</v>
      </c>
      <c r="AZ149">
        <v>300.17899999999997</v>
      </c>
      <c r="BA149">
        <v>99.063800000000001</v>
      </c>
      <c r="BB149">
        <v>9.9957799999999999E-2</v>
      </c>
      <c r="BC149">
        <v>25.963699999999999</v>
      </c>
      <c r="BD149">
        <v>27.025300000000001</v>
      </c>
      <c r="BE149">
        <v>27.2729</v>
      </c>
      <c r="BF149">
        <v>0</v>
      </c>
      <c r="BG149">
        <v>0</v>
      </c>
      <c r="BH149">
        <v>10006.200000000001</v>
      </c>
      <c r="BI149">
        <v>1066.5899999999999</v>
      </c>
      <c r="BJ149">
        <v>1.7380500000000001</v>
      </c>
      <c r="BK149">
        <v>-306.041</v>
      </c>
      <c r="BL149">
        <v>505.66800000000001</v>
      </c>
      <c r="BM149">
        <v>804.56299999999999</v>
      </c>
      <c r="BN149">
        <v>17.5032</v>
      </c>
      <c r="BO149">
        <v>799.97199999999998</v>
      </c>
      <c r="BP149">
        <v>5.7060399999999998</v>
      </c>
      <c r="BQ149">
        <v>2.2991999999999999</v>
      </c>
      <c r="BR149">
        <v>0.56526200000000004</v>
      </c>
      <c r="BS149">
        <v>19.6708</v>
      </c>
      <c r="BT149">
        <v>-1.12558</v>
      </c>
      <c r="BU149">
        <v>1799.99</v>
      </c>
      <c r="BV149">
        <v>0.90999799999999997</v>
      </c>
      <c r="BW149">
        <v>3.3997100000000002E-2</v>
      </c>
      <c r="BX149">
        <v>2.19904E-2</v>
      </c>
      <c r="BY149">
        <v>3.40144E-2</v>
      </c>
      <c r="BZ149">
        <v>25.666699999999999</v>
      </c>
      <c r="CA149">
        <v>33528.400000000001</v>
      </c>
      <c r="CB149">
        <v>1690217592</v>
      </c>
      <c r="CC149" t="s">
        <v>332</v>
      </c>
      <c r="CD149">
        <v>1690217586.5</v>
      </c>
      <c r="CE149">
        <v>1690217592</v>
      </c>
      <c r="CF149">
        <v>9</v>
      </c>
      <c r="CG149">
        <v>0.11600000000000001</v>
      </c>
      <c r="CH149">
        <v>-3.0000000000000001E-3</v>
      </c>
      <c r="CI149">
        <v>-0.27300000000000002</v>
      </c>
      <c r="CJ149">
        <v>-6.9000000000000006E-2</v>
      </c>
      <c r="CK149">
        <v>800</v>
      </c>
      <c r="CL149">
        <v>6</v>
      </c>
      <c r="CM149">
        <v>0.01</v>
      </c>
      <c r="CN149">
        <v>0.01</v>
      </c>
      <c r="CO149">
        <v>-303.50790243902441</v>
      </c>
      <c r="CP149">
        <v>-14.601282229964969</v>
      </c>
      <c r="CQ149">
        <v>1.4402067399843981</v>
      </c>
      <c r="CR149">
        <v>-1</v>
      </c>
      <c r="CS149">
        <v>17.39644634146341</v>
      </c>
      <c r="CT149">
        <v>0.62886062717767721</v>
      </c>
      <c r="CU149">
        <v>6.2015187351364617E-2</v>
      </c>
      <c r="CV149">
        <v>-1</v>
      </c>
      <c r="CW149">
        <v>0</v>
      </c>
      <c r="CX149">
        <v>0</v>
      </c>
      <c r="CY149" t="s">
        <v>333</v>
      </c>
      <c r="CZ149">
        <v>2.3646799999999999</v>
      </c>
      <c r="DA149">
        <v>2.7137600000000002</v>
      </c>
      <c r="DB149">
        <v>0.10477599999999999</v>
      </c>
      <c r="DC149">
        <v>0.14608599999999999</v>
      </c>
      <c r="DD149">
        <v>0.111234</v>
      </c>
      <c r="DE149">
        <v>3.7865299999999998E-2</v>
      </c>
      <c r="DF149">
        <v>32691.8</v>
      </c>
      <c r="DG149">
        <v>27524.7</v>
      </c>
      <c r="DH149">
        <v>31175.1</v>
      </c>
      <c r="DI149">
        <v>28086.799999999999</v>
      </c>
      <c r="DJ149">
        <v>37614.1</v>
      </c>
      <c r="DK149">
        <v>38428.1</v>
      </c>
      <c r="DL149">
        <v>44366</v>
      </c>
      <c r="DM149">
        <v>42567.9</v>
      </c>
      <c r="DN149">
        <v>1.4835</v>
      </c>
      <c r="DO149">
        <v>2.0362</v>
      </c>
      <c r="DP149">
        <v>0.13295199999999999</v>
      </c>
      <c r="DQ149">
        <v>0.156388</v>
      </c>
      <c r="DR149">
        <v>24.847200000000001</v>
      </c>
      <c r="DS149">
        <v>24.711099999999998</v>
      </c>
      <c r="DT149">
        <v>16.8</v>
      </c>
      <c r="DU149">
        <v>29.8</v>
      </c>
      <c r="DV149">
        <v>7.1420399999999997</v>
      </c>
      <c r="DW149">
        <v>61.664099999999998</v>
      </c>
      <c r="DX149">
        <v>36.802900000000001</v>
      </c>
      <c r="DY149">
        <v>1</v>
      </c>
      <c r="DZ149">
        <v>-0.10115300000000001</v>
      </c>
      <c r="EA149">
        <v>0.18426699999999999</v>
      </c>
      <c r="EB149">
        <v>20.190100000000001</v>
      </c>
      <c r="EC149">
        <v>5.2409499999999998</v>
      </c>
      <c r="ED149">
        <v>12.039899999999999</v>
      </c>
      <c r="EE149">
        <v>5.0169499999999996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1.8689800000000001</v>
      </c>
      <c r="EL149">
        <v>1.86466</v>
      </c>
      <c r="EM149">
        <v>1.8692</v>
      </c>
      <c r="EN149">
        <v>1.8672599999999999</v>
      </c>
      <c r="EO149">
        <v>1.8633999999999999</v>
      </c>
      <c r="EP149">
        <v>1.8645799999999999</v>
      </c>
      <c r="EQ149">
        <v>1.8702399999999999</v>
      </c>
      <c r="ER149">
        <v>1.8694999999999999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-5.7000000000000002E-2</v>
      </c>
      <c r="FG149">
        <v>0.19009999999999999</v>
      </c>
      <c r="FH149">
        <v>0.27827353915413472</v>
      </c>
      <c r="FI149">
        <v>-6.1462078757559423E-4</v>
      </c>
      <c r="FJ149">
        <v>-1.8861989874597051E-7</v>
      </c>
      <c r="FK149">
        <v>1.1980462299894961E-10</v>
      </c>
      <c r="FL149">
        <v>0.19010266435860859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31.8</v>
      </c>
      <c r="FU149">
        <v>31.7</v>
      </c>
      <c r="FV149">
        <v>1.7773399999999999</v>
      </c>
      <c r="FW149">
        <v>2.5805699999999998</v>
      </c>
      <c r="FX149">
        <v>1.5490699999999999</v>
      </c>
      <c r="FY149">
        <v>2.3290999999999999</v>
      </c>
      <c r="FZ149">
        <v>1.50146</v>
      </c>
      <c r="GA149">
        <v>2.3974600000000001</v>
      </c>
      <c r="GB149">
        <v>33.850900000000003</v>
      </c>
      <c r="GC149">
        <v>23.982399999999998</v>
      </c>
      <c r="GD149">
        <v>19</v>
      </c>
      <c r="GE149">
        <v>285.62099999999998</v>
      </c>
      <c r="GF149">
        <v>582.05600000000004</v>
      </c>
      <c r="GG149">
        <v>24.0456</v>
      </c>
      <c r="GH149">
        <v>26.101199999999999</v>
      </c>
      <c r="GI149">
        <v>30</v>
      </c>
      <c r="GJ149">
        <v>26.2652</v>
      </c>
      <c r="GK149">
        <v>26.253299999999999</v>
      </c>
      <c r="GL149">
        <v>35.542999999999999</v>
      </c>
      <c r="GM149">
        <v>-30</v>
      </c>
      <c r="GN149">
        <v>-30</v>
      </c>
      <c r="GO149">
        <v>24.0457</v>
      </c>
      <c r="GP149">
        <v>800</v>
      </c>
      <c r="GQ149">
        <v>12.5298</v>
      </c>
      <c r="GR149">
        <v>99.748199999999997</v>
      </c>
      <c r="GS149">
        <v>99.582999999999998</v>
      </c>
    </row>
    <row r="150" spans="1:201" x14ac:dyDescent="0.25">
      <c r="A150">
        <v>134</v>
      </c>
      <c r="B150">
        <v>1690219505.0999999</v>
      </c>
      <c r="C150">
        <v>1484.599999904633</v>
      </c>
      <c r="D150" t="s">
        <v>597</v>
      </c>
      <c r="E150" t="s">
        <v>598</v>
      </c>
      <c r="F150" t="s">
        <v>330</v>
      </c>
      <c r="H150">
        <v>1690219505.0999999</v>
      </c>
      <c r="I150">
        <f t="shared" si="60"/>
        <v>1.6693467252304282E-3</v>
      </c>
      <c r="J150">
        <f t="shared" si="61"/>
        <v>1.6693467252304282</v>
      </c>
      <c r="K150">
        <f t="shared" si="62"/>
        <v>27.765001237138478</v>
      </c>
      <c r="L150">
        <f t="shared" si="63"/>
        <v>491.39699999999999</v>
      </c>
      <c r="M150">
        <f t="shared" si="64"/>
        <v>101.5108154124307</v>
      </c>
      <c r="N150">
        <f t="shared" si="65"/>
        <v>10.065880001593204</v>
      </c>
      <c r="O150">
        <f t="shared" si="66"/>
        <v>48.727253495563794</v>
      </c>
      <c r="P150">
        <f t="shared" si="67"/>
        <v>0.11905199335019606</v>
      </c>
      <c r="Q150">
        <f t="shared" si="68"/>
        <v>2.1278358615598636</v>
      </c>
      <c r="R150">
        <f t="shared" si="69"/>
        <v>0.11547147633894857</v>
      </c>
      <c r="S150">
        <f t="shared" si="70"/>
        <v>7.2482397977357352E-2</v>
      </c>
      <c r="T150">
        <f t="shared" si="71"/>
        <v>276.11425468800002</v>
      </c>
      <c r="U150">
        <f t="shared" si="72"/>
        <v>27.57296860157707</v>
      </c>
      <c r="V150">
        <f t="shared" si="73"/>
        <v>27.57296860157707</v>
      </c>
      <c r="W150">
        <f t="shared" si="74"/>
        <v>3.7013888501477763</v>
      </c>
      <c r="X150">
        <f t="shared" si="75"/>
        <v>68.624790713887165</v>
      </c>
      <c r="Y150">
        <f t="shared" si="76"/>
        <v>2.3113062016089803</v>
      </c>
      <c r="Z150">
        <f t="shared" si="77"/>
        <v>3.368033880417002</v>
      </c>
      <c r="AA150">
        <f t="shared" si="78"/>
        <v>1.390082648538796</v>
      </c>
      <c r="AB150">
        <f t="shared" si="79"/>
        <v>-73.618190582661882</v>
      </c>
      <c r="AC150">
        <f t="shared" si="80"/>
        <v>-184.02362397679596</v>
      </c>
      <c r="AD150">
        <f t="shared" si="81"/>
        <v>-18.621648261412865</v>
      </c>
      <c r="AE150">
        <f t="shared" si="82"/>
        <v>-0.14920813287071155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52438.21610915241</v>
      </c>
      <c r="AK150">
        <f t="shared" si="86"/>
        <v>1800</v>
      </c>
      <c r="AL150">
        <f t="shared" si="87"/>
        <v>1499.1106878000001</v>
      </c>
      <c r="AM150">
        <f t="shared" si="88"/>
        <v>0.83283927099999999</v>
      </c>
      <c r="AN150">
        <f t="shared" si="89"/>
        <v>0.15339680816000001</v>
      </c>
      <c r="AO150">
        <v>32.4</v>
      </c>
      <c r="AP150">
        <v>0.5</v>
      </c>
      <c r="AQ150" t="s">
        <v>331</v>
      </c>
      <c r="AR150">
        <v>2</v>
      </c>
      <c r="AS150">
        <v>1690219505.0999999</v>
      </c>
      <c r="AT150">
        <v>491.39699999999999</v>
      </c>
      <c r="AU150">
        <v>799.99699999999996</v>
      </c>
      <c r="AV150">
        <v>23.308700000000002</v>
      </c>
      <c r="AW150">
        <v>5.7069099999999997</v>
      </c>
      <c r="AX150">
        <v>491.45299999999997</v>
      </c>
      <c r="AY150">
        <v>23.118600000000001</v>
      </c>
      <c r="AZ150">
        <v>300.11799999999999</v>
      </c>
      <c r="BA150">
        <v>99.060699999999997</v>
      </c>
      <c r="BB150">
        <v>9.9965399999999996E-2</v>
      </c>
      <c r="BC150">
        <v>25.968800000000002</v>
      </c>
      <c r="BD150">
        <v>27.023399999999999</v>
      </c>
      <c r="BE150">
        <v>27.270399999999999</v>
      </c>
      <c r="BF150">
        <v>0</v>
      </c>
      <c r="BG150">
        <v>0</v>
      </c>
      <c r="BH150">
        <v>9975.6200000000008</v>
      </c>
      <c r="BI150">
        <v>1066.6500000000001</v>
      </c>
      <c r="BJ150">
        <v>1.7380500000000001</v>
      </c>
      <c r="BK150">
        <v>-308.60000000000002</v>
      </c>
      <c r="BL150">
        <v>503.125</v>
      </c>
      <c r="BM150">
        <v>804.58900000000006</v>
      </c>
      <c r="BN150">
        <v>17.601800000000001</v>
      </c>
      <c r="BO150">
        <v>799.99699999999996</v>
      </c>
      <c r="BP150">
        <v>5.7069099999999997</v>
      </c>
      <c r="BQ150">
        <v>2.30898</v>
      </c>
      <c r="BR150">
        <v>0.56533</v>
      </c>
      <c r="BS150">
        <v>19.7392</v>
      </c>
      <c r="BT150">
        <v>-1.12392</v>
      </c>
      <c r="BU150">
        <v>1800</v>
      </c>
      <c r="BV150">
        <v>0.909999</v>
      </c>
      <c r="BW150">
        <v>3.3996999999999999E-2</v>
      </c>
      <c r="BX150">
        <v>2.1990300000000001E-2</v>
      </c>
      <c r="BY150">
        <v>3.4014200000000001E-2</v>
      </c>
      <c r="BZ150">
        <v>25.75</v>
      </c>
      <c r="CA150">
        <v>33528.5</v>
      </c>
      <c r="CB150">
        <v>1690217592</v>
      </c>
      <c r="CC150" t="s">
        <v>332</v>
      </c>
      <c r="CD150">
        <v>1690217586.5</v>
      </c>
      <c r="CE150">
        <v>1690217592</v>
      </c>
      <c r="CF150">
        <v>9</v>
      </c>
      <c r="CG150">
        <v>0.11600000000000001</v>
      </c>
      <c r="CH150">
        <v>-3.0000000000000001E-3</v>
      </c>
      <c r="CI150">
        <v>-0.27300000000000002</v>
      </c>
      <c r="CJ150">
        <v>-6.9000000000000006E-2</v>
      </c>
      <c r="CK150">
        <v>800</v>
      </c>
      <c r="CL150">
        <v>6</v>
      </c>
      <c r="CM150">
        <v>0.01</v>
      </c>
      <c r="CN150">
        <v>0.01</v>
      </c>
      <c r="CO150">
        <v>-305.71921951219508</v>
      </c>
      <c r="CP150">
        <v>-14.566013937282269</v>
      </c>
      <c r="CQ150">
        <v>1.4367251975509501</v>
      </c>
      <c r="CR150">
        <v>-1</v>
      </c>
      <c r="CS150">
        <v>17.488187804878049</v>
      </c>
      <c r="CT150">
        <v>0.5961344947735262</v>
      </c>
      <c r="CU150">
        <v>5.8795993704241663E-2</v>
      </c>
      <c r="CV150">
        <v>-1</v>
      </c>
      <c r="CW150">
        <v>0</v>
      </c>
      <c r="CX150">
        <v>0</v>
      </c>
      <c r="CY150" t="s">
        <v>333</v>
      </c>
      <c r="CZ150">
        <v>2.3644599999999998</v>
      </c>
      <c r="DA150">
        <v>2.71373</v>
      </c>
      <c r="DB150">
        <v>0.10438</v>
      </c>
      <c r="DC150">
        <v>0.14608499999999999</v>
      </c>
      <c r="DD150">
        <v>0.111569</v>
      </c>
      <c r="DE150">
        <v>3.7869100000000003E-2</v>
      </c>
      <c r="DF150">
        <v>32706.2</v>
      </c>
      <c r="DG150">
        <v>27524.400000000001</v>
      </c>
      <c r="DH150">
        <v>31175</v>
      </c>
      <c r="DI150">
        <v>28086.5</v>
      </c>
      <c r="DJ150">
        <v>37599.4</v>
      </c>
      <c r="DK150">
        <v>38427.5</v>
      </c>
      <c r="DL150">
        <v>44365.7</v>
      </c>
      <c r="DM150">
        <v>42567.4</v>
      </c>
      <c r="DN150">
        <v>1.4835700000000001</v>
      </c>
      <c r="DO150">
        <v>2.0360499999999999</v>
      </c>
      <c r="DP150">
        <v>0.13267599999999999</v>
      </c>
      <c r="DQ150">
        <v>0.15601499999999999</v>
      </c>
      <c r="DR150">
        <v>24.849799999999998</v>
      </c>
      <c r="DS150">
        <v>24.714700000000001</v>
      </c>
      <c r="DT150">
        <v>16.8</v>
      </c>
      <c r="DU150">
        <v>29.8</v>
      </c>
      <c r="DV150">
        <v>7.1428099999999999</v>
      </c>
      <c r="DW150">
        <v>62.074100000000001</v>
      </c>
      <c r="DX150">
        <v>37.075299999999999</v>
      </c>
      <c r="DY150">
        <v>1</v>
      </c>
      <c r="DZ150">
        <v>-0.101171</v>
      </c>
      <c r="EA150">
        <v>0.247609</v>
      </c>
      <c r="EB150">
        <v>20.189699999999998</v>
      </c>
      <c r="EC150">
        <v>5.2411000000000003</v>
      </c>
      <c r="ED150">
        <v>12.039899999999999</v>
      </c>
      <c r="EE150">
        <v>5.01675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1.8689499999999999</v>
      </c>
      <c r="EL150">
        <v>1.8646799999999999</v>
      </c>
      <c r="EM150">
        <v>1.8692</v>
      </c>
      <c r="EN150">
        <v>1.8672500000000001</v>
      </c>
      <c r="EO150">
        <v>1.8633999999999999</v>
      </c>
      <c r="EP150">
        <v>1.8646100000000001</v>
      </c>
      <c r="EQ150">
        <v>1.87022</v>
      </c>
      <c r="ER150">
        <v>1.86947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-5.6000000000000001E-2</v>
      </c>
      <c r="FG150">
        <v>0.19009999999999999</v>
      </c>
      <c r="FH150">
        <v>0.27827353915413472</v>
      </c>
      <c r="FI150">
        <v>-6.1462078757559423E-4</v>
      </c>
      <c r="FJ150">
        <v>-1.8861989874597051E-7</v>
      </c>
      <c r="FK150">
        <v>1.1980462299894961E-10</v>
      </c>
      <c r="FL150">
        <v>0.19010266435860859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32</v>
      </c>
      <c r="FU150">
        <v>31.9</v>
      </c>
      <c r="FV150">
        <v>1.7773399999999999</v>
      </c>
      <c r="FW150">
        <v>2.5805699999999998</v>
      </c>
      <c r="FX150">
        <v>1.5490699999999999</v>
      </c>
      <c r="FY150">
        <v>2.3290999999999999</v>
      </c>
      <c r="FZ150">
        <v>1.50146</v>
      </c>
      <c r="GA150">
        <v>2.3901400000000002</v>
      </c>
      <c r="GB150">
        <v>33.850900000000003</v>
      </c>
      <c r="GC150">
        <v>23.982399999999998</v>
      </c>
      <c r="GD150">
        <v>19</v>
      </c>
      <c r="GE150">
        <v>285.649</v>
      </c>
      <c r="GF150">
        <v>581.90800000000002</v>
      </c>
      <c r="GG150">
        <v>24.034600000000001</v>
      </c>
      <c r="GH150">
        <v>26.1008</v>
      </c>
      <c r="GI150">
        <v>30</v>
      </c>
      <c r="GJ150">
        <v>26.264099999999999</v>
      </c>
      <c r="GK150">
        <v>26.251200000000001</v>
      </c>
      <c r="GL150">
        <v>35.542099999999998</v>
      </c>
      <c r="GM150">
        <v>-30</v>
      </c>
      <c r="GN150">
        <v>-30</v>
      </c>
      <c r="GO150">
        <v>24.011399999999998</v>
      </c>
      <c r="GP150">
        <v>800</v>
      </c>
      <c r="GQ150">
        <v>12.5298</v>
      </c>
      <c r="GR150">
        <v>99.747699999999995</v>
      </c>
      <c r="GS150">
        <v>99.581800000000001</v>
      </c>
    </row>
    <row r="151" spans="1:201" x14ac:dyDescent="0.25">
      <c r="A151">
        <v>135</v>
      </c>
      <c r="B151">
        <v>1690219515.0999999</v>
      </c>
      <c r="C151">
        <v>1494.599999904633</v>
      </c>
      <c r="D151" t="s">
        <v>599</v>
      </c>
      <c r="E151" t="s">
        <v>600</v>
      </c>
      <c r="F151" t="s">
        <v>330</v>
      </c>
      <c r="H151">
        <v>1690219515.0999999</v>
      </c>
      <c r="I151">
        <f t="shared" si="60"/>
        <v>1.6787159166016445E-3</v>
      </c>
      <c r="J151">
        <f t="shared" si="61"/>
        <v>1.6787159166016445</v>
      </c>
      <c r="K151">
        <f t="shared" si="62"/>
        <v>27.985819755767192</v>
      </c>
      <c r="L151">
        <f t="shared" si="63"/>
        <v>489.16899999999998</v>
      </c>
      <c r="M151">
        <f t="shared" si="64"/>
        <v>101.13803246271186</v>
      </c>
      <c r="N151">
        <f t="shared" si="65"/>
        <v>10.02885023200545</v>
      </c>
      <c r="O151">
        <f t="shared" si="66"/>
        <v>48.506012225901003</v>
      </c>
      <c r="P151">
        <f t="shared" si="67"/>
        <v>0.12059576311124232</v>
      </c>
      <c r="Q151">
        <f t="shared" si="68"/>
        <v>2.1298703356479693</v>
      </c>
      <c r="R151">
        <f t="shared" si="69"/>
        <v>0.11692672041847907</v>
      </c>
      <c r="S151">
        <f t="shared" si="70"/>
        <v>7.3399550664906096E-2</v>
      </c>
      <c r="T151">
        <f t="shared" si="71"/>
        <v>276.11395030800003</v>
      </c>
      <c r="U151">
        <f t="shared" si="72"/>
        <v>27.569800971772199</v>
      </c>
      <c r="V151">
        <f t="shared" si="73"/>
        <v>27.569800971772199</v>
      </c>
      <c r="W151">
        <f t="shared" si="74"/>
        <v>3.7007032244045459</v>
      </c>
      <c r="X151">
        <f t="shared" si="75"/>
        <v>68.88526893561955</v>
      </c>
      <c r="Y151">
        <f t="shared" si="76"/>
        <v>2.3202851825826003</v>
      </c>
      <c r="Z151">
        <f t="shared" si="77"/>
        <v>3.3683329083771865</v>
      </c>
      <c r="AA151">
        <f t="shared" si="78"/>
        <v>1.3804180418219456</v>
      </c>
      <c r="AB151">
        <f t="shared" si="79"/>
        <v>-74.031371922132521</v>
      </c>
      <c r="AC151">
        <f t="shared" si="80"/>
        <v>-183.66361005625367</v>
      </c>
      <c r="AD151">
        <f t="shared" si="81"/>
        <v>-18.567309370831854</v>
      </c>
      <c r="AE151">
        <f t="shared" si="82"/>
        <v>-0.14834104121803193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52525.844154897051</v>
      </c>
      <c r="AK151">
        <f t="shared" si="86"/>
        <v>1800</v>
      </c>
      <c r="AL151">
        <f t="shared" si="87"/>
        <v>1499.1097248000001</v>
      </c>
      <c r="AM151">
        <f t="shared" si="88"/>
        <v>0.83283873600000002</v>
      </c>
      <c r="AN151">
        <f t="shared" si="89"/>
        <v>0.15339663906000001</v>
      </c>
      <c r="AO151">
        <v>32.4</v>
      </c>
      <c r="AP151">
        <v>0.5</v>
      </c>
      <c r="AQ151" t="s">
        <v>331</v>
      </c>
      <c r="AR151">
        <v>2</v>
      </c>
      <c r="AS151">
        <v>1690219515.0999999</v>
      </c>
      <c r="AT151">
        <v>489.16899999999998</v>
      </c>
      <c r="AU151">
        <v>800.04</v>
      </c>
      <c r="AV151">
        <v>23.3994</v>
      </c>
      <c r="AW151">
        <v>5.7074199999999999</v>
      </c>
      <c r="AX151">
        <v>489.22199999999998</v>
      </c>
      <c r="AY151">
        <v>23.209299999999999</v>
      </c>
      <c r="AZ151">
        <v>300.23599999999999</v>
      </c>
      <c r="BA151">
        <v>99.06</v>
      </c>
      <c r="BB151">
        <v>0.10002900000000001</v>
      </c>
      <c r="BC151">
        <v>25.970300000000002</v>
      </c>
      <c r="BD151">
        <v>26.973299999999998</v>
      </c>
      <c r="BE151">
        <v>27.2667</v>
      </c>
      <c r="BF151">
        <v>0</v>
      </c>
      <c r="BG151">
        <v>0</v>
      </c>
      <c r="BH151">
        <v>9993.1200000000008</v>
      </c>
      <c r="BI151">
        <v>1066.68</v>
      </c>
      <c r="BJ151">
        <v>1.7380500000000001</v>
      </c>
      <c r="BK151">
        <v>-310.87099999999998</v>
      </c>
      <c r="BL151">
        <v>500.88900000000001</v>
      </c>
      <c r="BM151">
        <v>804.63199999999995</v>
      </c>
      <c r="BN151">
        <v>17.692</v>
      </c>
      <c r="BO151">
        <v>800.04</v>
      </c>
      <c r="BP151">
        <v>5.7074199999999999</v>
      </c>
      <c r="BQ151">
        <v>2.3179500000000002</v>
      </c>
      <c r="BR151">
        <v>0.56537700000000002</v>
      </c>
      <c r="BS151">
        <v>19.8017</v>
      </c>
      <c r="BT151">
        <v>-1.12279</v>
      </c>
      <c r="BU151">
        <v>1800</v>
      </c>
      <c r="BV151">
        <v>0.91</v>
      </c>
      <c r="BW151">
        <v>3.39963E-2</v>
      </c>
      <c r="BX151">
        <v>2.19898E-2</v>
      </c>
      <c r="BY151">
        <v>3.4013599999999998E-2</v>
      </c>
      <c r="BZ151">
        <v>25.666699999999999</v>
      </c>
      <c r="CA151">
        <v>33528.5</v>
      </c>
      <c r="CB151">
        <v>1690217592</v>
      </c>
      <c r="CC151" t="s">
        <v>332</v>
      </c>
      <c r="CD151">
        <v>1690217586.5</v>
      </c>
      <c r="CE151">
        <v>1690217592</v>
      </c>
      <c r="CF151">
        <v>9</v>
      </c>
      <c r="CG151">
        <v>0.11600000000000001</v>
      </c>
      <c r="CH151">
        <v>-3.0000000000000001E-3</v>
      </c>
      <c r="CI151">
        <v>-0.27300000000000002</v>
      </c>
      <c r="CJ151">
        <v>-6.9000000000000006E-2</v>
      </c>
      <c r="CK151">
        <v>800</v>
      </c>
      <c r="CL151">
        <v>6</v>
      </c>
      <c r="CM151">
        <v>0.01</v>
      </c>
      <c r="CN151">
        <v>0.01</v>
      </c>
      <c r="CO151">
        <v>-308.13663414634152</v>
      </c>
      <c r="CP151">
        <v>-14.40263414634201</v>
      </c>
      <c r="CQ151">
        <v>1.421156927468803</v>
      </c>
      <c r="CR151">
        <v>-1</v>
      </c>
      <c r="CS151">
        <v>17.58506097560975</v>
      </c>
      <c r="CT151">
        <v>0.56527108013938909</v>
      </c>
      <c r="CU151">
        <v>5.5755756032498702E-2</v>
      </c>
      <c r="CV151">
        <v>-1</v>
      </c>
      <c r="CW151">
        <v>0</v>
      </c>
      <c r="CX151">
        <v>0</v>
      </c>
      <c r="CY151" t="s">
        <v>333</v>
      </c>
      <c r="CZ151">
        <v>2.3648500000000001</v>
      </c>
      <c r="DA151">
        <v>2.7138200000000001</v>
      </c>
      <c r="DB151">
        <v>0.104033</v>
      </c>
      <c r="DC151">
        <v>0.14609</v>
      </c>
      <c r="DD151">
        <v>0.111876</v>
      </c>
      <c r="DE151">
        <v>3.78719E-2</v>
      </c>
      <c r="DF151">
        <v>32719.1</v>
      </c>
      <c r="DG151">
        <v>27524.1</v>
      </c>
      <c r="DH151">
        <v>31175.200000000001</v>
      </c>
      <c r="DI151">
        <v>28086.3</v>
      </c>
      <c r="DJ151">
        <v>37586.5</v>
      </c>
      <c r="DK151">
        <v>38427.199999999997</v>
      </c>
      <c r="DL151">
        <v>44366</v>
      </c>
      <c r="DM151">
        <v>42567.1</v>
      </c>
      <c r="DN151">
        <v>1.4837199999999999</v>
      </c>
      <c r="DO151">
        <v>2.0359699999999998</v>
      </c>
      <c r="DP151">
        <v>0.12942400000000001</v>
      </c>
      <c r="DQ151">
        <v>0.15563099999999999</v>
      </c>
      <c r="DR151">
        <v>24.853000000000002</v>
      </c>
      <c r="DS151">
        <v>24.717300000000002</v>
      </c>
      <c r="DT151">
        <v>16.8</v>
      </c>
      <c r="DU151">
        <v>29.8</v>
      </c>
      <c r="DV151">
        <v>7.1436599999999997</v>
      </c>
      <c r="DW151">
        <v>61.914099999999998</v>
      </c>
      <c r="DX151">
        <v>37.1554</v>
      </c>
      <c r="DY151">
        <v>1</v>
      </c>
      <c r="DZ151">
        <v>-0.101095</v>
      </c>
      <c r="EA151">
        <v>0.244447</v>
      </c>
      <c r="EB151">
        <v>20.189599999999999</v>
      </c>
      <c r="EC151">
        <v>5.24125</v>
      </c>
      <c r="ED151">
        <v>12.039899999999999</v>
      </c>
      <c r="EE151">
        <v>5.0171999999999999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1.86896</v>
      </c>
      <c r="EL151">
        <v>1.86469</v>
      </c>
      <c r="EM151">
        <v>1.8692</v>
      </c>
      <c r="EN151">
        <v>1.8672500000000001</v>
      </c>
      <c r="EO151">
        <v>1.8634200000000001</v>
      </c>
      <c r="EP151">
        <v>1.8646</v>
      </c>
      <c r="EQ151">
        <v>1.8702000000000001</v>
      </c>
      <c r="ER151">
        <v>1.8694900000000001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-5.2999999999999999E-2</v>
      </c>
      <c r="FG151">
        <v>0.19009999999999999</v>
      </c>
      <c r="FH151">
        <v>0.27827353915413472</v>
      </c>
      <c r="FI151">
        <v>-6.1462078757559423E-4</v>
      </c>
      <c r="FJ151">
        <v>-1.8861989874597051E-7</v>
      </c>
      <c r="FK151">
        <v>1.1980462299894961E-10</v>
      </c>
      <c r="FL151">
        <v>0.19010266435860859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32.1</v>
      </c>
      <c r="FU151">
        <v>32.1</v>
      </c>
      <c r="FV151">
        <v>1.7773399999999999</v>
      </c>
      <c r="FW151">
        <v>2.5793499999999998</v>
      </c>
      <c r="FX151">
        <v>1.5490699999999999</v>
      </c>
      <c r="FY151">
        <v>2.3290999999999999</v>
      </c>
      <c r="FZ151">
        <v>1.50146</v>
      </c>
      <c r="GA151">
        <v>2.34863</v>
      </c>
      <c r="GB151">
        <v>33.850900000000003</v>
      </c>
      <c r="GC151">
        <v>23.982399999999998</v>
      </c>
      <c r="GD151">
        <v>19</v>
      </c>
      <c r="GE151">
        <v>285.70299999999997</v>
      </c>
      <c r="GF151">
        <v>581.82100000000003</v>
      </c>
      <c r="GG151">
        <v>24.006</v>
      </c>
      <c r="GH151">
        <v>26.098600000000001</v>
      </c>
      <c r="GI151">
        <v>30.0001</v>
      </c>
      <c r="GJ151">
        <v>26.2621</v>
      </c>
      <c r="GK151">
        <v>26.248999999999999</v>
      </c>
      <c r="GL151">
        <v>35.540300000000002</v>
      </c>
      <c r="GM151">
        <v>-30</v>
      </c>
      <c r="GN151">
        <v>-30</v>
      </c>
      <c r="GO151">
        <v>24.0258</v>
      </c>
      <c r="GP151">
        <v>800</v>
      </c>
      <c r="GQ151">
        <v>12.5298</v>
      </c>
      <c r="GR151">
        <v>99.7483</v>
      </c>
      <c r="GS151">
        <v>99.581199999999995</v>
      </c>
    </row>
    <row r="152" spans="1:201" x14ac:dyDescent="0.25">
      <c r="A152">
        <v>136</v>
      </c>
      <c r="B152">
        <v>1690219525.0999999</v>
      </c>
      <c r="C152">
        <v>1504.599999904633</v>
      </c>
      <c r="D152" t="s">
        <v>601</v>
      </c>
      <c r="E152" t="s">
        <v>602</v>
      </c>
      <c r="F152" t="s">
        <v>330</v>
      </c>
      <c r="H152">
        <v>1690219525.0999999</v>
      </c>
      <c r="I152">
        <f t="shared" si="60"/>
        <v>1.6874179213037751E-3</v>
      </c>
      <c r="J152">
        <f t="shared" si="61"/>
        <v>1.6874179213037752</v>
      </c>
      <c r="K152">
        <f t="shared" si="62"/>
        <v>28.199445127179164</v>
      </c>
      <c r="L152">
        <f t="shared" si="63"/>
        <v>486.82600000000002</v>
      </c>
      <c r="M152">
        <f t="shared" si="64"/>
        <v>100.896421466972</v>
      </c>
      <c r="N152">
        <f t="shared" si="65"/>
        <v>10.004973804762555</v>
      </c>
      <c r="O152">
        <f t="shared" si="66"/>
        <v>48.274074607014001</v>
      </c>
      <c r="P152">
        <f t="shared" si="67"/>
        <v>0.12220326462325075</v>
      </c>
      <c r="Q152">
        <f t="shared" si="68"/>
        <v>2.1317072328449704</v>
      </c>
      <c r="R152">
        <f t="shared" si="69"/>
        <v>0.11844053729272935</v>
      </c>
      <c r="S152">
        <f t="shared" si="70"/>
        <v>7.4353751038263888E-2</v>
      </c>
      <c r="T152">
        <f t="shared" si="71"/>
        <v>276.11388099347238</v>
      </c>
      <c r="U152">
        <f t="shared" si="72"/>
        <v>27.562417074513409</v>
      </c>
      <c r="V152">
        <f t="shared" si="73"/>
        <v>27.562417074513409</v>
      </c>
      <c r="W152">
        <f t="shared" si="74"/>
        <v>3.6991054281235747</v>
      </c>
      <c r="X152">
        <f t="shared" si="75"/>
        <v>69.165828457265761</v>
      </c>
      <c r="Y152">
        <f t="shared" si="76"/>
        <v>2.3293079402777996</v>
      </c>
      <c r="Z152">
        <f t="shared" si="77"/>
        <v>3.3677149428159705</v>
      </c>
      <c r="AA152">
        <f t="shared" si="78"/>
        <v>1.369797487845775</v>
      </c>
      <c r="AB152">
        <f t="shared" si="79"/>
        <v>-74.415130329496478</v>
      </c>
      <c r="AC152">
        <f t="shared" si="80"/>
        <v>-183.32968473943228</v>
      </c>
      <c r="AD152">
        <f t="shared" si="81"/>
        <v>-18.51660897225101</v>
      </c>
      <c r="AE152">
        <f t="shared" si="82"/>
        <v>-0.14754304770738713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52605.858630910334</v>
      </c>
      <c r="AK152">
        <f t="shared" si="86"/>
        <v>1799.99</v>
      </c>
      <c r="AL152">
        <f t="shared" si="87"/>
        <v>1499.10299840374</v>
      </c>
      <c r="AM152">
        <f t="shared" si="88"/>
        <v>0.83283962599999994</v>
      </c>
      <c r="AN152">
        <f t="shared" si="89"/>
        <v>0.15339745276</v>
      </c>
      <c r="AO152">
        <v>32.4</v>
      </c>
      <c r="AP152">
        <v>0.5</v>
      </c>
      <c r="AQ152" t="s">
        <v>331</v>
      </c>
      <c r="AR152">
        <v>2</v>
      </c>
      <c r="AS152">
        <v>1690219525.0999999</v>
      </c>
      <c r="AT152">
        <v>486.82600000000002</v>
      </c>
      <c r="AU152">
        <v>800.01499999999999</v>
      </c>
      <c r="AV152">
        <v>23.490200000000002</v>
      </c>
      <c r="AW152">
        <v>5.70763</v>
      </c>
      <c r="AX152">
        <v>486.87799999999999</v>
      </c>
      <c r="AY152">
        <v>23.3001</v>
      </c>
      <c r="AZ152">
        <v>300.22699999999998</v>
      </c>
      <c r="BA152">
        <v>99.0608</v>
      </c>
      <c r="BB152">
        <v>0.100039</v>
      </c>
      <c r="BC152">
        <v>25.967199999999998</v>
      </c>
      <c r="BD152">
        <v>26.965900000000001</v>
      </c>
      <c r="BE152">
        <v>27.259699999999999</v>
      </c>
      <c r="BF152">
        <v>0</v>
      </c>
      <c r="BG152">
        <v>0</v>
      </c>
      <c r="BH152">
        <v>10008.799999999999</v>
      </c>
      <c r="BI152">
        <v>1066.73</v>
      </c>
      <c r="BJ152">
        <v>1.7380500000000001</v>
      </c>
      <c r="BK152">
        <v>-313.18799999999999</v>
      </c>
      <c r="BL152">
        <v>498.53699999999998</v>
      </c>
      <c r="BM152">
        <v>804.60699999999997</v>
      </c>
      <c r="BN152">
        <v>17.782599999999999</v>
      </c>
      <c r="BO152">
        <v>800.01499999999999</v>
      </c>
      <c r="BP152">
        <v>5.70763</v>
      </c>
      <c r="BQ152">
        <v>2.3269600000000001</v>
      </c>
      <c r="BR152">
        <v>0.56540199999999996</v>
      </c>
      <c r="BS152">
        <v>19.8643</v>
      </c>
      <c r="BT152">
        <v>-1.1222000000000001</v>
      </c>
      <c r="BU152">
        <v>1799.99</v>
      </c>
      <c r="BV152">
        <v>0.90999200000000002</v>
      </c>
      <c r="BW152">
        <v>3.3995600000000001E-2</v>
      </c>
      <c r="BX152">
        <v>2.19998E-2</v>
      </c>
      <c r="BY152">
        <v>3.4012800000000003E-2</v>
      </c>
      <c r="BZ152">
        <v>25.666699999999999</v>
      </c>
      <c r="CA152">
        <v>33528.300000000003</v>
      </c>
      <c r="CB152">
        <v>1690217592</v>
      </c>
      <c r="CC152" t="s">
        <v>332</v>
      </c>
      <c r="CD152">
        <v>1690217586.5</v>
      </c>
      <c r="CE152">
        <v>1690217592</v>
      </c>
      <c r="CF152">
        <v>9</v>
      </c>
      <c r="CG152">
        <v>0.11600000000000001</v>
      </c>
      <c r="CH152">
        <v>-3.0000000000000001E-3</v>
      </c>
      <c r="CI152">
        <v>-0.27300000000000002</v>
      </c>
      <c r="CJ152">
        <v>-6.9000000000000006E-2</v>
      </c>
      <c r="CK152">
        <v>800</v>
      </c>
      <c r="CL152">
        <v>6</v>
      </c>
      <c r="CM152">
        <v>0.01</v>
      </c>
      <c r="CN152">
        <v>0.01</v>
      </c>
      <c r="CO152">
        <v>-310.68619999999999</v>
      </c>
      <c r="CP152">
        <v>-14.08471294559126</v>
      </c>
      <c r="CQ152">
        <v>1.3556777308785419</v>
      </c>
      <c r="CR152">
        <v>-1</v>
      </c>
      <c r="CS152">
        <v>17.684744999999999</v>
      </c>
      <c r="CT152">
        <v>0.54125178236399829</v>
      </c>
      <c r="CU152">
        <v>5.2074964954380902E-2</v>
      </c>
      <c r="CV152">
        <v>-1</v>
      </c>
      <c r="CW152">
        <v>0</v>
      </c>
      <c r="CX152">
        <v>0</v>
      </c>
      <c r="CY152" t="s">
        <v>333</v>
      </c>
      <c r="CZ152">
        <v>2.3648099999999999</v>
      </c>
      <c r="DA152">
        <v>2.7138399999999998</v>
      </c>
      <c r="DB152">
        <v>0.103669</v>
      </c>
      <c r="DC152">
        <v>0.146089</v>
      </c>
      <c r="DD152">
        <v>0.11218500000000001</v>
      </c>
      <c r="DE152">
        <v>3.7873499999999997E-2</v>
      </c>
      <c r="DF152">
        <v>32731.7</v>
      </c>
      <c r="DG152">
        <v>27524.3</v>
      </c>
      <c r="DH152">
        <v>31174.5</v>
      </c>
      <c r="DI152">
        <v>28086.5</v>
      </c>
      <c r="DJ152">
        <v>37572.699999999997</v>
      </c>
      <c r="DK152">
        <v>38427.4</v>
      </c>
      <c r="DL152">
        <v>44365.3</v>
      </c>
      <c r="DM152">
        <v>42567.4</v>
      </c>
      <c r="DN152">
        <v>1.48407</v>
      </c>
      <c r="DO152">
        <v>2.03592</v>
      </c>
      <c r="DP152">
        <v>0.12878000000000001</v>
      </c>
      <c r="DQ152">
        <v>0.15517700000000001</v>
      </c>
      <c r="DR152">
        <v>24.856100000000001</v>
      </c>
      <c r="DS152">
        <v>24.7178</v>
      </c>
      <c r="DT152">
        <v>16.8</v>
      </c>
      <c r="DU152">
        <v>29.8</v>
      </c>
      <c r="DV152">
        <v>7.1429799999999997</v>
      </c>
      <c r="DW152">
        <v>61.484099999999998</v>
      </c>
      <c r="DX152">
        <v>37.484000000000002</v>
      </c>
      <c r="DY152">
        <v>1</v>
      </c>
      <c r="DZ152">
        <v>-0.101936</v>
      </c>
      <c r="EA152">
        <v>0.10240200000000001</v>
      </c>
      <c r="EB152">
        <v>20.190000000000001</v>
      </c>
      <c r="EC152">
        <v>5.2415500000000002</v>
      </c>
      <c r="ED152">
        <v>12.039899999999999</v>
      </c>
      <c r="EE152">
        <v>5.0172999999999996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1.86893</v>
      </c>
      <c r="EL152">
        <v>1.86466</v>
      </c>
      <c r="EM152">
        <v>1.8692</v>
      </c>
      <c r="EN152">
        <v>1.86724</v>
      </c>
      <c r="EO152">
        <v>1.8633999999999999</v>
      </c>
      <c r="EP152">
        <v>1.8645799999999999</v>
      </c>
      <c r="EQ152">
        <v>1.87018</v>
      </c>
      <c r="ER152">
        <v>1.86947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-5.1999999999999998E-2</v>
      </c>
      <c r="FG152">
        <v>0.19009999999999999</v>
      </c>
      <c r="FH152">
        <v>0.27827353915413472</v>
      </c>
      <c r="FI152">
        <v>-6.1462078757559423E-4</v>
      </c>
      <c r="FJ152">
        <v>-1.8861989874597051E-7</v>
      </c>
      <c r="FK152">
        <v>1.1980462299894961E-10</v>
      </c>
      <c r="FL152">
        <v>0.19010266435860859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32.299999999999997</v>
      </c>
      <c r="FU152">
        <v>32.200000000000003</v>
      </c>
      <c r="FV152">
        <v>1.7773399999999999</v>
      </c>
      <c r="FW152">
        <v>2.5805699999999998</v>
      </c>
      <c r="FX152">
        <v>1.5490699999999999</v>
      </c>
      <c r="FY152">
        <v>2.3290999999999999</v>
      </c>
      <c r="FZ152">
        <v>1.50146</v>
      </c>
      <c r="GA152">
        <v>2.34253</v>
      </c>
      <c r="GB152">
        <v>33.828299999999999</v>
      </c>
      <c r="GC152">
        <v>23.982399999999998</v>
      </c>
      <c r="GD152">
        <v>19</v>
      </c>
      <c r="GE152">
        <v>285.84300000000002</v>
      </c>
      <c r="GF152">
        <v>581.755</v>
      </c>
      <c r="GG152">
        <v>24.037700000000001</v>
      </c>
      <c r="GH152">
        <v>26.097300000000001</v>
      </c>
      <c r="GI152">
        <v>29.999700000000001</v>
      </c>
      <c r="GJ152">
        <v>26.259899999999998</v>
      </c>
      <c r="GK152">
        <v>26.2468</v>
      </c>
      <c r="GL152">
        <v>35.540100000000002</v>
      </c>
      <c r="GM152">
        <v>-30</v>
      </c>
      <c r="GN152">
        <v>-30</v>
      </c>
      <c r="GO152">
        <v>24.076799999999999</v>
      </c>
      <c r="GP152">
        <v>800</v>
      </c>
      <c r="GQ152">
        <v>12.5298</v>
      </c>
      <c r="GR152">
        <v>99.746499999999997</v>
      </c>
      <c r="GS152">
        <v>99.581800000000001</v>
      </c>
    </row>
    <row r="153" spans="1:201" x14ac:dyDescent="0.25">
      <c r="A153">
        <v>137</v>
      </c>
      <c r="B153">
        <v>1690219535.0999999</v>
      </c>
      <c r="C153">
        <v>1514.599999904633</v>
      </c>
      <c r="D153" t="s">
        <v>603</v>
      </c>
      <c r="E153" t="s">
        <v>604</v>
      </c>
      <c r="F153" t="s">
        <v>330</v>
      </c>
      <c r="H153">
        <v>1690219535.0999999</v>
      </c>
      <c r="I153">
        <f t="shared" si="60"/>
        <v>1.6969085247935526E-3</v>
      </c>
      <c r="J153">
        <f t="shared" si="61"/>
        <v>1.6969085247935527</v>
      </c>
      <c r="K153">
        <f t="shared" si="62"/>
        <v>28.407360635447684</v>
      </c>
      <c r="L153">
        <f t="shared" si="63"/>
        <v>484.55500000000001</v>
      </c>
      <c r="M153">
        <f t="shared" si="64"/>
        <v>100.58053763043792</v>
      </c>
      <c r="N153">
        <f t="shared" si="65"/>
        <v>9.9738601083457166</v>
      </c>
      <c r="O153">
        <f t="shared" si="66"/>
        <v>48.049890154265</v>
      </c>
      <c r="P153">
        <f t="shared" si="67"/>
        <v>0.12376310287609535</v>
      </c>
      <c r="Q153">
        <f t="shared" si="68"/>
        <v>2.129540509466564</v>
      </c>
      <c r="R153">
        <f t="shared" si="69"/>
        <v>0.11990154416117453</v>
      </c>
      <c r="S153">
        <f t="shared" si="70"/>
        <v>7.527537429979167E-2</v>
      </c>
      <c r="T153">
        <f t="shared" si="71"/>
        <v>276.11573317199998</v>
      </c>
      <c r="U153">
        <f t="shared" si="72"/>
        <v>27.564887366211924</v>
      </c>
      <c r="V153">
        <f t="shared" si="73"/>
        <v>27.564887366211924</v>
      </c>
      <c r="W153">
        <f t="shared" si="74"/>
        <v>3.6996399057642293</v>
      </c>
      <c r="X153">
        <f t="shared" si="75"/>
        <v>69.434932034050618</v>
      </c>
      <c r="Y153">
        <f t="shared" si="76"/>
        <v>2.3389657810932998</v>
      </c>
      <c r="Z153">
        <f t="shared" si="77"/>
        <v>3.3685721474405423</v>
      </c>
      <c r="AA153">
        <f t="shared" si="78"/>
        <v>1.3606741246709295</v>
      </c>
      <c r="AB153">
        <f t="shared" si="79"/>
        <v>-74.833665943395673</v>
      </c>
      <c r="AC153">
        <f t="shared" si="80"/>
        <v>-182.93327885646997</v>
      </c>
      <c r="AD153">
        <f t="shared" si="81"/>
        <v>-18.495996778125491</v>
      </c>
      <c r="AE153">
        <f t="shared" si="82"/>
        <v>-0.14720840599116514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52511.438134483986</v>
      </c>
      <c r="AK153">
        <f t="shared" si="86"/>
        <v>1800</v>
      </c>
      <c r="AL153">
        <f t="shared" si="87"/>
        <v>1499.1115391999999</v>
      </c>
      <c r="AM153">
        <f t="shared" si="88"/>
        <v>0.83283974399999994</v>
      </c>
      <c r="AN153">
        <f t="shared" si="89"/>
        <v>0.15339762954</v>
      </c>
      <c r="AO153">
        <v>32.4</v>
      </c>
      <c r="AP153">
        <v>0.5</v>
      </c>
      <c r="AQ153" t="s">
        <v>331</v>
      </c>
      <c r="AR153">
        <v>2</v>
      </c>
      <c r="AS153">
        <v>1690219535.0999999</v>
      </c>
      <c r="AT153">
        <v>484.55500000000001</v>
      </c>
      <c r="AU153">
        <v>799.97400000000005</v>
      </c>
      <c r="AV153">
        <v>23.5871</v>
      </c>
      <c r="AW153">
        <v>5.7075399999999998</v>
      </c>
      <c r="AX153">
        <v>484.60500000000002</v>
      </c>
      <c r="AY153">
        <v>23.396999999999998</v>
      </c>
      <c r="AZ153">
        <v>300.24799999999999</v>
      </c>
      <c r="BA153">
        <v>99.062899999999999</v>
      </c>
      <c r="BB153">
        <v>0.100023</v>
      </c>
      <c r="BC153">
        <v>25.971499999999999</v>
      </c>
      <c r="BD153">
        <v>26.997</v>
      </c>
      <c r="BE153">
        <v>27.2667</v>
      </c>
      <c r="BF153">
        <v>0</v>
      </c>
      <c r="BG153">
        <v>0</v>
      </c>
      <c r="BH153">
        <v>9990</v>
      </c>
      <c r="BI153">
        <v>1066.78</v>
      </c>
      <c r="BJ153">
        <v>1.7380500000000001</v>
      </c>
      <c r="BK153">
        <v>-315.41899999999998</v>
      </c>
      <c r="BL153">
        <v>496.26</v>
      </c>
      <c r="BM153">
        <v>804.56600000000003</v>
      </c>
      <c r="BN153">
        <v>17.8796</v>
      </c>
      <c r="BO153">
        <v>799.97400000000005</v>
      </c>
      <c r="BP153">
        <v>5.7075399999999998</v>
      </c>
      <c r="BQ153">
        <v>2.3366099999999999</v>
      </c>
      <c r="BR153">
        <v>0.56540500000000005</v>
      </c>
      <c r="BS153">
        <v>19.931000000000001</v>
      </c>
      <c r="BT153">
        <v>-1.12212</v>
      </c>
      <c r="BU153">
        <v>1800</v>
      </c>
      <c r="BV153">
        <v>0.90998999999999997</v>
      </c>
      <c r="BW153">
        <v>3.3995400000000002E-2</v>
      </c>
      <c r="BX153">
        <v>2.20022E-2</v>
      </c>
      <c r="BY153">
        <v>3.4012599999999997E-2</v>
      </c>
      <c r="BZ153">
        <v>25.666699999999999</v>
      </c>
      <c r="CA153">
        <v>33528.300000000003</v>
      </c>
      <c r="CB153">
        <v>1690217592</v>
      </c>
      <c r="CC153" t="s">
        <v>332</v>
      </c>
      <c r="CD153">
        <v>1690217586.5</v>
      </c>
      <c r="CE153">
        <v>1690217592</v>
      </c>
      <c r="CF153">
        <v>9</v>
      </c>
      <c r="CG153">
        <v>0.11600000000000001</v>
      </c>
      <c r="CH153">
        <v>-3.0000000000000001E-3</v>
      </c>
      <c r="CI153">
        <v>-0.27300000000000002</v>
      </c>
      <c r="CJ153">
        <v>-6.9000000000000006E-2</v>
      </c>
      <c r="CK153">
        <v>800</v>
      </c>
      <c r="CL153">
        <v>6</v>
      </c>
      <c r="CM153">
        <v>0.01</v>
      </c>
      <c r="CN153">
        <v>0.01</v>
      </c>
      <c r="CO153">
        <v>-312.96589999999998</v>
      </c>
      <c r="CP153">
        <v>-13.325358348967249</v>
      </c>
      <c r="CQ153">
        <v>1.2830198907265631</v>
      </c>
      <c r="CR153">
        <v>-1</v>
      </c>
      <c r="CS153">
        <v>17.776985</v>
      </c>
      <c r="CT153">
        <v>0.55988893058158107</v>
      </c>
      <c r="CU153">
        <v>5.3874699767144811E-2</v>
      </c>
      <c r="CV153">
        <v>-1</v>
      </c>
      <c r="CW153">
        <v>0</v>
      </c>
      <c r="CX153">
        <v>0</v>
      </c>
      <c r="CY153" t="s">
        <v>333</v>
      </c>
      <c r="CZ153">
        <v>2.3648899999999999</v>
      </c>
      <c r="DA153">
        <v>2.7138100000000001</v>
      </c>
      <c r="DB153">
        <v>0.10331700000000001</v>
      </c>
      <c r="DC153">
        <v>0.14608699999999999</v>
      </c>
      <c r="DD153">
        <v>0.112515</v>
      </c>
      <c r="DE153">
        <v>3.7873999999999998E-2</v>
      </c>
      <c r="DF153">
        <v>32745.200000000001</v>
      </c>
      <c r="DG153">
        <v>27524.9</v>
      </c>
      <c r="DH153">
        <v>31175.1</v>
      </c>
      <c r="DI153">
        <v>28087.1</v>
      </c>
      <c r="DJ153">
        <v>37559.300000000003</v>
      </c>
      <c r="DK153">
        <v>38428.1</v>
      </c>
      <c r="DL153">
        <v>44366.2</v>
      </c>
      <c r="DM153">
        <v>42568.3</v>
      </c>
      <c r="DN153">
        <v>1.4841200000000001</v>
      </c>
      <c r="DO153">
        <v>2.0360999999999998</v>
      </c>
      <c r="DP153">
        <v>0.13058600000000001</v>
      </c>
      <c r="DQ153">
        <v>0.15560499999999999</v>
      </c>
      <c r="DR153">
        <v>24.857600000000001</v>
      </c>
      <c r="DS153">
        <v>24.7178</v>
      </c>
      <c r="DT153">
        <v>16.8</v>
      </c>
      <c r="DU153">
        <v>29.8</v>
      </c>
      <c r="DV153">
        <v>7.1416399999999998</v>
      </c>
      <c r="DW153">
        <v>61.954099999999997</v>
      </c>
      <c r="DX153">
        <v>37.291699999999999</v>
      </c>
      <c r="DY153">
        <v>1</v>
      </c>
      <c r="DZ153">
        <v>-0.102104</v>
      </c>
      <c r="EA153">
        <v>9.3235299999999993E-2</v>
      </c>
      <c r="EB153">
        <v>20.189900000000002</v>
      </c>
      <c r="EC153">
        <v>5.2409499999999998</v>
      </c>
      <c r="ED153">
        <v>12.039899999999999</v>
      </c>
      <c r="EE153">
        <v>5.0171999999999999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1.86897</v>
      </c>
      <c r="EL153">
        <v>1.86466</v>
      </c>
      <c r="EM153">
        <v>1.8692</v>
      </c>
      <c r="EN153">
        <v>1.8672500000000001</v>
      </c>
      <c r="EO153">
        <v>1.8633999999999999</v>
      </c>
      <c r="EP153">
        <v>1.8646</v>
      </c>
      <c r="EQ153">
        <v>1.8702000000000001</v>
      </c>
      <c r="ER153">
        <v>1.86947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-0.05</v>
      </c>
      <c r="FG153">
        <v>0.19009999999999999</v>
      </c>
      <c r="FH153">
        <v>0.27827353915413472</v>
      </c>
      <c r="FI153">
        <v>-6.1462078757559423E-4</v>
      </c>
      <c r="FJ153">
        <v>-1.8861989874597051E-7</v>
      </c>
      <c r="FK153">
        <v>1.1980462299894961E-10</v>
      </c>
      <c r="FL153">
        <v>0.19010266435860859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32.5</v>
      </c>
      <c r="FU153">
        <v>32.4</v>
      </c>
      <c r="FV153">
        <v>1.7773399999999999</v>
      </c>
      <c r="FW153">
        <v>2.5866699999999998</v>
      </c>
      <c r="FX153">
        <v>1.5490699999999999</v>
      </c>
      <c r="FY153">
        <v>2.3290999999999999</v>
      </c>
      <c r="FZ153">
        <v>1.50146</v>
      </c>
      <c r="GA153">
        <v>2.3034699999999999</v>
      </c>
      <c r="GB153">
        <v>33.828299999999999</v>
      </c>
      <c r="GC153">
        <v>23.973700000000001</v>
      </c>
      <c r="GD153">
        <v>19</v>
      </c>
      <c r="GE153">
        <v>285.85500000000002</v>
      </c>
      <c r="GF153">
        <v>581.87400000000002</v>
      </c>
      <c r="GG153">
        <v>24.088999999999999</v>
      </c>
      <c r="GH153">
        <v>26.096399999999999</v>
      </c>
      <c r="GI153">
        <v>30.0001</v>
      </c>
      <c r="GJ153">
        <v>26.2577</v>
      </c>
      <c r="GK153">
        <v>26.244499999999999</v>
      </c>
      <c r="GL153">
        <v>35.544600000000003</v>
      </c>
      <c r="GM153">
        <v>-30</v>
      </c>
      <c r="GN153">
        <v>-30</v>
      </c>
      <c r="GO153">
        <v>24.057400000000001</v>
      </c>
      <c r="GP153">
        <v>800</v>
      </c>
      <c r="GQ153">
        <v>12.5298</v>
      </c>
      <c r="GR153">
        <v>99.748500000000007</v>
      </c>
      <c r="GS153">
        <v>99.583799999999997</v>
      </c>
    </row>
    <row r="154" spans="1:201" x14ac:dyDescent="0.25">
      <c r="A154">
        <v>138</v>
      </c>
      <c r="B154">
        <v>1690219545.0999999</v>
      </c>
      <c r="C154">
        <v>1524.599999904633</v>
      </c>
      <c r="D154" t="s">
        <v>605</v>
      </c>
      <c r="E154" t="s">
        <v>606</v>
      </c>
      <c r="F154" t="s">
        <v>330</v>
      </c>
      <c r="H154">
        <v>1690219545.0999999</v>
      </c>
      <c r="I154">
        <f t="shared" si="60"/>
        <v>1.7056684099662593E-3</v>
      </c>
      <c r="J154">
        <f t="shared" si="61"/>
        <v>1.7056684099662593</v>
      </c>
      <c r="K154">
        <f t="shared" si="62"/>
        <v>28.603368796813111</v>
      </c>
      <c r="L154">
        <f t="shared" si="63"/>
        <v>482.37700000000001</v>
      </c>
      <c r="M154">
        <f t="shared" si="64"/>
        <v>100.10071489458609</v>
      </c>
      <c r="N154">
        <f t="shared" si="65"/>
        <v>9.9263855500542952</v>
      </c>
      <c r="O154">
        <f t="shared" si="66"/>
        <v>47.834424434640198</v>
      </c>
      <c r="P154">
        <f t="shared" si="67"/>
        <v>0.12519848585530755</v>
      </c>
      <c r="Q154">
        <f t="shared" si="68"/>
        <v>2.1280218672534486</v>
      </c>
      <c r="R154">
        <f t="shared" si="69"/>
        <v>0.12124565178757137</v>
      </c>
      <c r="S154">
        <f t="shared" si="70"/>
        <v>7.6123282687261568E-2</v>
      </c>
      <c r="T154">
        <f t="shared" si="71"/>
        <v>276.11659510200008</v>
      </c>
      <c r="U154">
        <f t="shared" si="72"/>
        <v>27.571554806563505</v>
      </c>
      <c r="V154">
        <f t="shared" si="73"/>
        <v>27.571554806563505</v>
      </c>
      <c r="W154">
        <f t="shared" si="74"/>
        <v>3.7010828239711091</v>
      </c>
      <c r="X154">
        <f t="shared" si="75"/>
        <v>69.685332177594319</v>
      </c>
      <c r="Y154">
        <f t="shared" si="76"/>
        <v>2.3486096802966601</v>
      </c>
      <c r="Z154">
        <f t="shared" si="77"/>
        <v>3.3703070745378474</v>
      </c>
      <c r="AA154">
        <f t="shared" si="78"/>
        <v>1.352473143674449</v>
      </c>
      <c r="AB154">
        <f t="shared" si="79"/>
        <v>-75.219976879512032</v>
      </c>
      <c r="AC154">
        <f t="shared" si="80"/>
        <v>-182.5696361252356</v>
      </c>
      <c r="AD154">
        <f t="shared" si="81"/>
        <v>-18.473823043929499</v>
      </c>
      <c r="AE154">
        <f t="shared" si="82"/>
        <v>-0.14684094667705949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52444.319857409195</v>
      </c>
      <c r="AK154">
        <f t="shared" si="86"/>
        <v>1800</v>
      </c>
      <c r="AL154">
        <f t="shared" si="87"/>
        <v>1499.1113951999998</v>
      </c>
      <c r="AM154">
        <f t="shared" si="88"/>
        <v>0.83283966399999987</v>
      </c>
      <c r="AN154">
        <f t="shared" si="89"/>
        <v>0.15339810839000004</v>
      </c>
      <c r="AO154">
        <v>32.4</v>
      </c>
      <c r="AP154">
        <v>0.5</v>
      </c>
      <c r="AQ154" t="s">
        <v>331</v>
      </c>
      <c r="AR154">
        <v>2</v>
      </c>
      <c r="AS154">
        <v>1690219545.0999999</v>
      </c>
      <c r="AT154">
        <v>482.37700000000001</v>
      </c>
      <c r="AU154">
        <v>800.029</v>
      </c>
      <c r="AV154">
        <v>23.684100000000001</v>
      </c>
      <c r="AW154">
        <v>5.7076799999999999</v>
      </c>
      <c r="AX154">
        <v>482.42500000000001</v>
      </c>
      <c r="AY154">
        <v>23.494</v>
      </c>
      <c r="AZ154">
        <v>300.142</v>
      </c>
      <c r="BA154">
        <v>99.063999999999993</v>
      </c>
      <c r="BB154">
        <v>9.9982600000000005E-2</v>
      </c>
      <c r="BC154">
        <v>25.9802</v>
      </c>
      <c r="BD154">
        <v>26.989699999999999</v>
      </c>
      <c r="BE154">
        <v>27.261800000000001</v>
      </c>
      <c r="BF154">
        <v>0</v>
      </c>
      <c r="BG154">
        <v>0</v>
      </c>
      <c r="BH154">
        <v>9976.8799999999992</v>
      </c>
      <c r="BI154">
        <v>1066.95</v>
      </c>
      <c r="BJ154">
        <v>1.7380500000000001</v>
      </c>
      <c r="BK154">
        <v>-317.65300000000002</v>
      </c>
      <c r="BL154">
        <v>494.07799999999997</v>
      </c>
      <c r="BM154">
        <v>804.62199999999996</v>
      </c>
      <c r="BN154">
        <v>17.976400000000002</v>
      </c>
      <c r="BO154">
        <v>800.029</v>
      </c>
      <c r="BP154">
        <v>5.7076799999999999</v>
      </c>
      <c r="BQ154">
        <v>2.3462399999999999</v>
      </c>
      <c r="BR154">
        <v>0.56542499999999996</v>
      </c>
      <c r="BS154">
        <v>19.997399999999999</v>
      </c>
      <c r="BT154">
        <v>-1.1216299999999999</v>
      </c>
      <c r="BU154">
        <v>1800</v>
      </c>
      <c r="BV154">
        <v>0.90998299999999999</v>
      </c>
      <c r="BW154">
        <v>3.3994900000000002E-2</v>
      </c>
      <c r="BX154">
        <v>2.20097E-2</v>
      </c>
      <c r="BY154">
        <v>3.4012100000000003E-2</v>
      </c>
      <c r="BZ154">
        <v>25.708300000000001</v>
      </c>
      <c r="CA154">
        <v>33528.300000000003</v>
      </c>
      <c r="CB154">
        <v>1690217592</v>
      </c>
      <c r="CC154" t="s">
        <v>332</v>
      </c>
      <c r="CD154">
        <v>1690217586.5</v>
      </c>
      <c r="CE154">
        <v>1690217592</v>
      </c>
      <c r="CF154">
        <v>9</v>
      </c>
      <c r="CG154">
        <v>0.11600000000000001</v>
      </c>
      <c r="CH154">
        <v>-3.0000000000000001E-3</v>
      </c>
      <c r="CI154">
        <v>-0.27300000000000002</v>
      </c>
      <c r="CJ154">
        <v>-6.9000000000000006E-2</v>
      </c>
      <c r="CK154">
        <v>800</v>
      </c>
      <c r="CL154">
        <v>6</v>
      </c>
      <c r="CM154">
        <v>0.01</v>
      </c>
      <c r="CN154">
        <v>0.01</v>
      </c>
      <c r="CO154">
        <v>-315.24122499999999</v>
      </c>
      <c r="CP154">
        <v>-13.804131332081941</v>
      </c>
      <c r="CQ154">
        <v>1.329104275207555</v>
      </c>
      <c r="CR154">
        <v>-1</v>
      </c>
      <c r="CS154">
        <v>17.873265</v>
      </c>
      <c r="CT154">
        <v>0.59118574108818955</v>
      </c>
      <c r="CU154">
        <v>5.6873691413517558E-2</v>
      </c>
      <c r="CV154">
        <v>-1</v>
      </c>
      <c r="CW154">
        <v>0</v>
      </c>
      <c r="CX154">
        <v>0</v>
      </c>
      <c r="CY154" t="s">
        <v>333</v>
      </c>
      <c r="CZ154">
        <v>2.3645299999999998</v>
      </c>
      <c r="DA154">
        <v>2.7137500000000001</v>
      </c>
      <c r="DB154">
        <v>0.102977</v>
      </c>
      <c r="DC154">
        <v>0.146096</v>
      </c>
      <c r="DD154">
        <v>0.112844</v>
      </c>
      <c r="DE154">
        <v>3.7875399999999997E-2</v>
      </c>
      <c r="DF154">
        <v>32757.5</v>
      </c>
      <c r="DG154">
        <v>27524.799999999999</v>
      </c>
      <c r="DH154">
        <v>31175</v>
      </c>
      <c r="DI154">
        <v>28087.3</v>
      </c>
      <c r="DJ154">
        <v>37545</v>
      </c>
      <c r="DK154">
        <v>38428.400000000001</v>
      </c>
      <c r="DL154">
        <v>44366</v>
      </c>
      <c r="DM154">
        <v>42568.6</v>
      </c>
      <c r="DN154">
        <v>1.4838</v>
      </c>
      <c r="DO154">
        <v>2.0364300000000002</v>
      </c>
      <c r="DP154">
        <v>0.13001599999999999</v>
      </c>
      <c r="DQ154">
        <v>0.15529999999999999</v>
      </c>
      <c r="DR154">
        <v>24.8597</v>
      </c>
      <c r="DS154">
        <v>24.7178</v>
      </c>
      <c r="DT154">
        <v>16.8</v>
      </c>
      <c r="DU154">
        <v>29.8</v>
      </c>
      <c r="DV154">
        <v>7.1420000000000003</v>
      </c>
      <c r="DW154">
        <v>61.9741</v>
      </c>
      <c r="DX154">
        <v>37.107399999999998</v>
      </c>
      <c r="DY154">
        <v>1</v>
      </c>
      <c r="DZ154">
        <v>-0.101644</v>
      </c>
      <c r="EA154">
        <v>0.18326799999999999</v>
      </c>
      <c r="EB154">
        <v>20.189800000000002</v>
      </c>
      <c r="EC154">
        <v>5.2413999999999996</v>
      </c>
      <c r="ED154">
        <v>12.039899999999999</v>
      </c>
      <c r="EE154">
        <v>5.0175999999999998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1.8689899999999999</v>
      </c>
      <c r="EL154">
        <v>1.86467</v>
      </c>
      <c r="EM154">
        <v>1.8692</v>
      </c>
      <c r="EN154">
        <v>1.8673</v>
      </c>
      <c r="EO154">
        <v>1.8633999999999999</v>
      </c>
      <c r="EP154">
        <v>1.8645700000000001</v>
      </c>
      <c r="EQ154">
        <v>1.8702099999999999</v>
      </c>
      <c r="ER154">
        <v>1.8694999999999999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-4.8000000000000001E-2</v>
      </c>
      <c r="FG154">
        <v>0.19009999999999999</v>
      </c>
      <c r="FH154">
        <v>0.27827353915413472</v>
      </c>
      <c r="FI154">
        <v>-6.1462078757559423E-4</v>
      </c>
      <c r="FJ154">
        <v>-1.8861989874597051E-7</v>
      </c>
      <c r="FK154">
        <v>1.1980462299894961E-10</v>
      </c>
      <c r="FL154">
        <v>0.19010266435860859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32.6</v>
      </c>
      <c r="FU154">
        <v>32.6</v>
      </c>
      <c r="FV154">
        <v>1.7773399999999999</v>
      </c>
      <c r="FW154">
        <v>2.5891099999999998</v>
      </c>
      <c r="FX154">
        <v>1.5490699999999999</v>
      </c>
      <c r="FY154">
        <v>2.3290999999999999</v>
      </c>
      <c r="FZ154">
        <v>1.50146</v>
      </c>
      <c r="GA154">
        <v>2.2497600000000002</v>
      </c>
      <c r="GB154">
        <v>33.828299999999999</v>
      </c>
      <c r="GC154">
        <v>23.973700000000001</v>
      </c>
      <c r="GD154">
        <v>19</v>
      </c>
      <c r="GE154">
        <v>285.70999999999998</v>
      </c>
      <c r="GF154">
        <v>582.11800000000005</v>
      </c>
      <c r="GG154">
        <v>24.066199999999998</v>
      </c>
      <c r="GH154">
        <v>26.094200000000001</v>
      </c>
      <c r="GI154">
        <v>30.0001</v>
      </c>
      <c r="GJ154">
        <v>26.256399999999999</v>
      </c>
      <c r="GK154">
        <v>26.2424</v>
      </c>
      <c r="GL154">
        <v>35.5413</v>
      </c>
      <c r="GM154">
        <v>-30</v>
      </c>
      <c r="GN154">
        <v>-30</v>
      </c>
      <c r="GO154">
        <v>24.075199999999999</v>
      </c>
      <c r="GP154">
        <v>800</v>
      </c>
      <c r="GQ154">
        <v>12.5298</v>
      </c>
      <c r="GR154">
        <v>99.748099999999994</v>
      </c>
      <c r="GS154">
        <v>99.584599999999995</v>
      </c>
    </row>
    <row r="155" spans="1:201" x14ac:dyDescent="0.25">
      <c r="A155">
        <v>139</v>
      </c>
      <c r="B155">
        <v>1690219555.0999999</v>
      </c>
      <c r="C155">
        <v>1534.599999904633</v>
      </c>
      <c r="D155" t="s">
        <v>607</v>
      </c>
      <c r="E155" t="s">
        <v>608</v>
      </c>
      <c r="F155" t="s">
        <v>330</v>
      </c>
      <c r="H155">
        <v>1690219555.0999999</v>
      </c>
      <c r="I155">
        <f t="shared" si="60"/>
        <v>1.7139670653246823E-3</v>
      </c>
      <c r="J155">
        <f t="shared" si="61"/>
        <v>1.7139670653246823</v>
      </c>
      <c r="K155">
        <f t="shared" si="62"/>
        <v>28.800667573996911</v>
      </c>
      <c r="L155">
        <f t="shared" si="63"/>
        <v>480.23</v>
      </c>
      <c r="M155">
        <f t="shared" si="64"/>
        <v>99.812416665839507</v>
      </c>
      <c r="N155">
        <f t="shared" si="65"/>
        <v>9.8976314002658086</v>
      </c>
      <c r="O155">
        <f t="shared" si="66"/>
        <v>47.620723814979996</v>
      </c>
      <c r="P155">
        <f t="shared" si="67"/>
        <v>0.12670342533289472</v>
      </c>
      <c r="Q155">
        <f t="shared" si="68"/>
        <v>2.1295334503203098</v>
      </c>
      <c r="R155">
        <f t="shared" si="69"/>
        <v>0.12265941746440535</v>
      </c>
      <c r="S155">
        <f t="shared" si="70"/>
        <v>7.7014721865760666E-2</v>
      </c>
      <c r="T155">
        <f t="shared" si="71"/>
        <v>276.11660359800004</v>
      </c>
      <c r="U155">
        <f t="shared" si="72"/>
        <v>27.567631200277397</v>
      </c>
      <c r="V155">
        <f t="shared" si="73"/>
        <v>27.567631200277397</v>
      </c>
      <c r="W155">
        <f t="shared" si="74"/>
        <v>3.7002336466186887</v>
      </c>
      <c r="X155">
        <f t="shared" si="75"/>
        <v>69.931904154133846</v>
      </c>
      <c r="Y155">
        <f t="shared" si="76"/>
        <v>2.3569199130657998</v>
      </c>
      <c r="Z155">
        <f t="shared" si="77"/>
        <v>3.3703070745378474</v>
      </c>
      <c r="AA155">
        <f t="shared" si="78"/>
        <v>1.3433137335528889</v>
      </c>
      <c r="AB155">
        <f t="shared" si="79"/>
        <v>-75.585947580818498</v>
      </c>
      <c r="AC155">
        <f t="shared" si="80"/>
        <v>-182.24886048791873</v>
      </c>
      <c r="AD155">
        <f t="shared" si="81"/>
        <v>-18.427911996331368</v>
      </c>
      <c r="AE155">
        <f t="shared" si="82"/>
        <v>-0.14611646706856618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52509.592068696722</v>
      </c>
      <c r="AK155">
        <f t="shared" si="86"/>
        <v>1800</v>
      </c>
      <c r="AL155">
        <f t="shared" si="87"/>
        <v>1499.1121008</v>
      </c>
      <c r="AM155">
        <f t="shared" si="88"/>
        <v>0.832840056</v>
      </c>
      <c r="AN155">
        <f t="shared" si="89"/>
        <v>0.15339811311000001</v>
      </c>
      <c r="AO155">
        <v>32.4</v>
      </c>
      <c r="AP155">
        <v>0.5</v>
      </c>
      <c r="AQ155" t="s">
        <v>331</v>
      </c>
      <c r="AR155">
        <v>2</v>
      </c>
      <c r="AS155">
        <v>1690219555.0999999</v>
      </c>
      <c r="AT155">
        <v>480.23</v>
      </c>
      <c r="AU155">
        <v>799.99400000000003</v>
      </c>
      <c r="AV155">
        <v>23.7683</v>
      </c>
      <c r="AW155">
        <v>5.7071800000000001</v>
      </c>
      <c r="AX155">
        <v>480.27699999999999</v>
      </c>
      <c r="AY155">
        <v>23.578199999999999</v>
      </c>
      <c r="AZ155">
        <v>300.16199999999998</v>
      </c>
      <c r="BA155">
        <v>99.062299999999993</v>
      </c>
      <c r="BB155">
        <v>0.100026</v>
      </c>
      <c r="BC155">
        <v>25.9802</v>
      </c>
      <c r="BD155">
        <v>27.000299999999999</v>
      </c>
      <c r="BE155">
        <v>27.2865</v>
      </c>
      <c r="BF155">
        <v>0</v>
      </c>
      <c r="BG155">
        <v>0</v>
      </c>
      <c r="BH155">
        <v>9990</v>
      </c>
      <c r="BI155">
        <v>1066.99</v>
      </c>
      <c r="BJ155">
        <v>1.7380500000000001</v>
      </c>
      <c r="BK155">
        <v>-319.76400000000001</v>
      </c>
      <c r="BL155">
        <v>491.92200000000003</v>
      </c>
      <c r="BM155">
        <v>804.58600000000001</v>
      </c>
      <c r="BN155">
        <v>18.0611</v>
      </c>
      <c r="BO155">
        <v>799.99400000000003</v>
      </c>
      <c r="BP155">
        <v>5.7071800000000001</v>
      </c>
      <c r="BQ155">
        <v>2.3545400000000001</v>
      </c>
      <c r="BR155">
        <v>0.56536699999999995</v>
      </c>
      <c r="BS155">
        <v>20.054500000000001</v>
      </c>
      <c r="BT155">
        <v>-1.12304</v>
      </c>
      <c r="BU155">
        <v>1800</v>
      </c>
      <c r="BV155">
        <v>0.90998500000000004</v>
      </c>
      <c r="BW155">
        <v>3.3994200000000002E-2</v>
      </c>
      <c r="BX155">
        <v>2.2009299999999999E-2</v>
      </c>
      <c r="BY155">
        <v>3.40115E-2</v>
      </c>
      <c r="BZ155">
        <v>25.666699999999999</v>
      </c>
      <c r="CA155">
        <v>33528.199999999997</v>
      </c>
      <c r="CB155">
        <v>1690217592</v>
      </c>
      <c r="CC155" t="s">
        <v>332</v>
      </c>
      <c r="CD155">
        <v>1690217586.5</v>
      </c>
      <c r="CE155">
        <v>1690217592</v>
      </c>
      <c r="CF155">
        <v>9</v>
      </c>
      <c r="CG155">
        <v>0.11600000000000001</v>
      </c>
      <c r="CH155">
        <v>-3.0000000000000001E-3</v>
      </c>
      <c r="CI155">
        <v>-0.27300000000000002</v>
      </c>
      <c r="CJ155">
        <v>-6.9000000000000006E-2</v>
      </c>
      <c r="CK155">
        <v>800</v>
      </c>
      <c r="CL155">
        <v>6</v>
      </c>
      <c r="CM155">
        <v>0.01</v>
      </c>
      <c r="CN155">
        <v>0.01</v>
      </c>
      <c r="CO155">
        <v>-317.52514634146343</v>
      </c>
      <c r="CP155">
        <v>-12.8468989547042</v>
      </c>
      <c r="CQ155">
        <v>1.267352792451808</v>
      </c>
      <c r="CR155">
        <v>-1</v>
      </c>
      <c r="CS155">
        <v>17.96894390243903</v>
      </c>
      <c r="CT155">
        <v>0.53223972125428187</v>
      </c>
      <c r="CU155">
        <v>5.2535925217221717E-2</v>
      </c>
      <c r="CV155">
        <v>-1</v>
      </c>
      <c r="CW155">
        <v>0</v>
      </c>
      <c r="CX155">
        <v>0</v>
      </c>
      <c r="CY155" t="s">
        <v>333</v>
      </c>
      <c r="CZ155">
        <v>2.3645999999999998</v>
      </c>
      <c r="DA155">
        <v>2.7138100000000001</v>
      </c>
      <c r="DB155">
        <v>0.10263899999999999</v>
      </c>
      <c r="DC155">
        <v>0.146091</v>
      </c>
      <c r="DD155">
        <v>0.113126</v>
      </c>
      <c r="DE155">
        <v>3.7872299999999998E-2</v>
      </c>
      <c r="DF155">
        <v>32770.199999999997</v>
      </c>
      <c r="DG155">
        <v>27525</v>
      </c>
      <c r="DH155">
        <v>31175.3</v>
      </c>
      <c r="DI155">
        <v>28087.3</v>
      </c>
      <c r="DJ155">
        <v>37533.199999999997</v>
      </c>
      <c r="DK155">
        <v>38428.6</v>
      </c>
      <c r="DL155">
        <v>44366.400000000001</v>
      </c>
      <c r="DM155">
        <v>42568.7</v>
      </c>
      <c r="DN155">
        <v>1.48407</v>
      </c>
      <c r="DO155">
        <v>2.03653</v>
      </c>
      <c r="DP155">
        <v>0.13053400000000001</v>
      </c>
      <c r="DQ155">
        <v>0.15668599999999999</v>
      </c>
      <c r="DR155">
        <v>24.861799999999999</v>
      </c>
      <c r="DS155">
        <v>24.719799999999999</v>
      </c>
      <c r="DT155">
        <v>16.8</v>
      </c>
      <c r="DU155">
        <v>29.7</v>
      </c>
      <c r="DV155">
        <v>7.1016500000000002</v>
      </c>
      <c r="DW155">
        <v>62.174100000000003</v>
      </c>
      <c r="DX155">
        <v>36.806899999999999</v>
      </c>
      <c r="DY155">
        <v>1</v>
      </c>
      <c r="DZ155">
        <v>-0.102104</v>
      </c>
      <c r="EA155">
        <v>0.123834</v>
      </c>
      <c r="EB155">
        <v>20.189900000000002</v>
      </c>
      <c r="EC155">
        <v>5.24125</v>
      </c>
      <c r="ED155">
        <v>12.039899999999999</v>
      </c>
      <c r="EE155">
        <v>5.0174000000000003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1.8689800000000001</v>
      </c>
      <c r="EL155">
        <v>1.86466</v>
      </c>
      <c r="EM155">
        <v>1.8692</v>
      </c>
      <c r="EN155">
        <v>1.86727</v>
      </c>
      <c r="EO155">
        <v>1.86341</v>
      </c>
      <c r="EP155">
        <v>1.86456</v>
      </c>
      <c r="EQ155">
        <v>1.8702000000000001</v>
      </c>
      <c r="ER155">
        <v>1.8694900000000001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-4.7E-2</v>
      </c>
      <c r="FG155">
        <v>0.19009999999999999</v>
      </c>
      <c r="FH155">
        <v>0.27827353915413472</v>
      </c>
      <c r="FI155">
        <v>-6.1462078757559423E-4</v>
      </c>
      <c r="FJ155">
        <v>-1.8861989874597051E-7</v>
      </c>
      <c r="FK155">
        <v>1.1980462299894961E-10</v>
      </c>
      <c r="FL155">
        <v>0.19010266435860859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32.799999999999997</v>
      </c>
      <c r="FU155">
        <v>32.700000000000003</v>
      </c>
      <c r="FV155">
        <v>1.7773399999999999</v>
      </c>
      <c r="FW155">
        <v>2.5891099999999998</v>
      </c>
      <c r="FX155">
        <v>1.5490699999999999</v>
      </c>
      <c r="FY155">
        <v>2.3290999999999999</v>
      </c>
      <c r="FZ155">
        <v>1.50146</v>
      </c>
      <c r="GA155">
        <v>2.2839399999999999</v>
      </c>
      <c r="GB155">
        <v>33.828299999999999</v>
      </c>
      <c r="GC155">
        <v>23.982399999999998</v>
      </c>
      <c r="GD155">
        <v>19</v>
      </c>
      <c r="GE155">
        <v>285.82400000000001</v>
      </c>
      <c r="GF155">
        <v>582.17499999999995</v>
      </c>
      <c r="GG155">
        <v>24.083400000000001</v>
      </c>
      <c r="GH155">
        <v>26.094200000000001</v>
      </c>
      <c r="GI155">
        <v>29.9999</v>
      </c>
      <c r="GJ155">
        <v>26.255299999999998</v>
      </c>
      <c r="GK155">
        <v>26.240200000000002</v>
      </c>
      <c r="GL155">
        <v>35.540599999999998</v>
      </c>
      <c r="GM155">
        <v>-30</v>
      </c>
      <c r="GN155">
        <v>-30</v>
      </c>
      <c r="GO155">
        <v>24.094200000000001</v>
      </c>
      <c r="GP155">
        <v>800</v>
      </c>
      <c r="GQ155">
        <v>12.5298</v>
      </c>
      <c r="GR155">
        <v>99.748999999999995</v>
      </c>
      <c r="GS155">
        <v>99.584699999999998</v>
      </c>
    </row>
    <row r="156" spans="1:201" x14ac:dyDescent="0.25">
      <c r="A156">
        <v>140</v>
      </c>
      <c r="B156">
        <v>1690219565.0999999</v>
      </c>
      <c r="C156">
        <v>1544.599999904633</v>
      </c>
      <c r="D156" t="s">
        <v>609</v>
      </c>
      <c r="E156" t="s">
        <v>610</v>
      </c>
      <c r="F156" t="s">
        <v>330</v>
      </c>
      <c r="H156">
        <v>1690219565.0999999</v>
      </c>
      <c r="I156">
        <f t="shared" si="60"/>
        <v>1.7231985156383454E-3</v>
      </c>
      <c r="J156">
        <f t="shared" si="61"/>
        <v>1.7231985156383454</v>
      </c>
      <c r="K156">
        <f t="shared" si="62"/>
        <v>29.01358420838573</v>
      </c>
      <c r="L156">
        <f t="shared" si="63"/>
        <v>478.041</v>
      </c>
      <c r="M156">
        <f t="shared" si="64"/>
        <v>99.463469024844272</v>
      </c>
      <c r="N156">
        <f t="shared" si="65"/>
        <v>9.8631837852610875</v>
      </c>
      <c r="O156">
        <f t="shared" si="66"/>
        <v>47.404401697594807</v>
      </c>
      <c r="P156">
        <f t="shared" si="67"/>
        <v>0.12828703633837685</v>
      </c>
      <c r="Q156">
        <f t="shared" si="68"/>
        <v>2.1316621825759534</v>
      </c>
      <c r="R156">
        <f t="shared" si="69"/>
        <v>0.12414708189874253</v>
      </c>
      <c r="S156">
        <f t="shared" si="70"/>
        <v>7.7952755289699083E-2</v>
      </c>
      <c r="T156">
        <f t="shared" si="71"/>
        <v>276.11489226385413</v>
      </c>
      <c r="U156">
        <f t="shared" si="72"/>
        <v>27.567550357704558</v>
      </c>
      <c r="V156">
        <f t="shared" si="73"/>
        <v>27.567550357704558</v>
      </c>
      <c r="W156">
        <f t="shared" si="74"/>
        <v>3.7002161518289025</v>
      </c>
      <c r="X156">
        <f t="shared" si="75"/>
        <v>70.17899388324777</v>
      </c>
      <c r="Y156">
        <f t="shared" si="76"/>
        <v>2.3658915813955201</v>
      </c>
      <c r="Z156">
        <f t="shared" si="77"/>
        <v>3.3712247076831856</v>
      </c>
      <c r="AA156">
        <f t="shared" si="78"/>
        <v>1.3343245704333824</v>
      </c>
      <c r="AB156">
        <f t="shared" si="79"/>
        <v>-75.993054539651027</v>
      </c>
      <c r="AC156">
        <f t="shared" si="80"/>
        <v>-181.89310818756397</v>
      </c>
      <c r="AD156">
        <f t="shared" si="81"/>
        <v>-18.373988516895373</v>
      </c>
      <c r="AE156">
        <f t="shared" si="82"/>
        <v>-0.14525898025627271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52600.880133298597</v>
      </c>
      <c r="AK156">
        <f t="shared" si="86"/>
        <v>1799.99</v>
      </c>
      <c r="AL156">
        <f t="shared" si="87"/>
        <v>1499.1033530017698</v>
      </c>
      <c r="AM156">
        <f t="shared" si="88"/>
        <v>0.83283982299999992</v>
      </c>
      <c r="AN156">
        <f t="shared" si="89"/>
        <v>0.15339801457999996</v>
      </c>
      <c r="AO156">
        <v>32.4</v>
      </c>
      <c r="AP156">
        <v>0.5</v>
      </c>
      <c r="AQ156" t="s">
        <v>331</v>
      </c>
      <c r="AR156">
        <v>2</v>
      </c>
      <c r="AS156">
        <v>1690219565.0999999</v>
      </c>
      <c r="AT156">
        <v>478.041</v>
      </c>
      <c r="AU156">
        <v>800.01599999999996</v>
      </c>
      <c r="AV156">
        <v>23.8584</v>
      </c>
      <c r="AW156">
        <v>5.7069999999999999</v>
      </c>
      <c r="AX156">
        <v>478.08699999999999</v>
      </c>
      <c r="AY156">
        <v>23.668299999999999</v>
      </c>
      <c r="AZ156">
        <v>300.25</v>
      </c>
      <c r="BA156">
        <v>99.063900000000004</v>
      </c>
      <c r="BB156">
        <v>9.9982799999999997E-2</v>
      </c>
      <c r="BC156">
        <v>25.9848</v>
      </c>
      <c r="BD156">
        <v>27.007200000000001</v>
      </c>
      <c r="BE156">
        <v>27.265499999999999</v>
      </c>
      <c r="BF156">
        <v>0</v>
      </c>
      <c r="BG156">
        <v>0</v>
      </c>
      <c r="BH156">
        <v>10008.1</v>
      </c>
      <c r="BI156">
        <v>1067.02</v>
      </c>
      <c r="BJ156">
        <v>1.7380500000000001</v>
      </c>
      <c r="BK156">
        <v>-321.97500000000002</v>
      </c>
      <c r="BL156">
        <v>489.72500000000002</v>
      </c>
      <c r="BM156">
        <v>804.60799999999995</v>
      </c>
      <c r="BN156">
        <v>18.151399999999999</v>
      </c>
      <c r="BO156">
        <v>800.01599999999996</v>
      </c>
      <c r="BP156">
        <v>5.7069999999999999</v>
      </c>
      <c r="BQ156">
        <v>2.3635100000000002</v>
      </c>
      <c r="BR156">
        <v>0.56535800000000003</v>
      </c>
      <c r="BS156">
        <v>20.1159</v>
      </c>
      <c r="BT156">
        <v>-1.1232599999999999</v>
      </c>
      <c r="BU156">
        <v>1799.99</v>
      </c>
      <c r="BV156">
        <v>0.90998599999999996</v>
      </c>
      <c r="BW156">
        <v>3.3993700000000002E-2</v>
      </c>
      <c r="BX156">
        <v>2.2008900000000001E-2</v>
      </c>
      <c r="BY156">
        <v>3.4011E-2</v>
      </c>
      <c r="BZ156">
        <v>25.666699999999999</v>
      </c>
      <c r="CA156">
        <v>33528.199999999997</v>
      </c>
      <c r="CB156">
        <v>1690217592</v>
      </c>
      <c r="CC156" t="s">
        <v>332</v>
      </c>
      <c r="CD156">
        <v>1690217586.5</v>
      </c>
      <c r="CE156">
        <v>1690217592</v>
      </c>
      <c r="CF156">
        <v>9</v>
      </c>
      <c r="CG156">
        <v>0.11600000000000001</v>
      </c>
      <c r="CH156">
        <v>-3.0000000000000001E-3</v>
      </c>
      <c r="CI156">
        <v>-0.27300000000000002</v>
      </c>
      <c r="CJ156">
        <v>-6.9000000000000006E-2</v>
      </c>
      <c r="CK156">
        <v>800</v>
      </c>
      <c r="CL156">
        <v>6</v>
      </c>
      <c r="CM156">
        <v>0.01</v>
      </c>
      <c r="CN156">
        <v>0.01</v>
      </c>
      <c r="CO156">
        <v>-319.44853658536579</v>
      </c>
      <c r="CP156">
        <v>-12.75995121951255</v>
      </c>
      <c r="CQ156">
        <v>1.2584047023922691</v>
      </c>
      <c r="CR156">
        <v>-1</v>
      </c>
      <c r="CS156">
        <v>18.04898536585366</v>
      </c>
      <c r="CT156">
        <v>0.52988780487804665</v>
      </c>
      <c r="CU156">
        <v>5.2274335264115707E-2</v>
      </c>
      <c r="CV156">
        <v>-1</v>
      </c>
      <c r="CW156">
        <v>0</v>
      </c>
      <c r="CX156">
        <v>0</v>
      </c>
      <c r="CY156" t="s">
        <v>333</v>
      </c>
      <c r="CZ156">
        <v>2.3649100000000001</v>
      </c>
      <c r="DA156">
        <v>2.7137799999999999</v>
      </c>
      <c r="DB156">
        <v>0.102297</v>
      </c>
      <c r="DC156">
        <v>0.146096</v>
      </c>
      <c r="DD156">
        <v>0.113431</v>
      </c>
      <c r="DE156">
        <v>3.7872000000000003E-2</v>
      </c>
      <c r="DF156">
        <v>32782.5</v>
      </c>
      <c r="DG156">
        <v>27524.799999999999</v>
      </c>
      <c r="DH156">
        <v>31175.200000000001</v>
      </c>
      <c r="DI156">
        <v>28087.200000000001</v>
      </c>
      <c r="DJ156">
        <v>37519.9</v>
      </c>
      <c r="DK156">
        <v>38428.5</v>
      </c>
      <c r="DL156">
        <v>44366.1</v>
      </c>
      <c r="DM156">
        <v>42568.6</v>
      </c>
      <c r="DN156">
        <v>1.48407</v>
      </c>
      <c r="DO156">
        <v>2.0362499999999999</v>
      </c>
      <c r="DP156">
        <v>0.130828</v>
      </c>
      <c r="DQ156">
        <v>0.15540399999999999</v>
      </c>
      <c r="DR156">
        <v>24.863900000000001</v>
      </c>
      <c r="DS156">
        <v>24.719799999999999</v>
      </c>
      <c r="DT156">
        <v>16.8</v>
      </c>
      <c r="DU156">
        <v>29.8</v>
      </c>
      <c r="DV156">
        <v>7.1425099999999997</v>
      </c>
      <c r="DW156">
        <v>61.924100000000003</v>
      </c>
      <c r="DX156">
        <v>36.566499999999998</v>
      </c>
      <c r="DY156">
        <v>1</v>
      </c>
      <c r="DZ156">
        <v>-0.101768</v>
      </c>
      <c r="EA156">
        <v>0.206958</v>
      </c>
      <c r="EB156">
        <v>20.189699999999998</v>
      </c>
      <c r="EC156">
        <v>5.2409499999999998</v>
      </c>
      <c r="ED156">
        <v>12.039899999999999</v>
      </c>
      <c r="EE156">
        <v>5.0169499999999996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1.86896</v>
      </c>
      <c r="EL156">
        <v>1.86466</v>
      </c>
      <c r="EM156">
        <v>1.8692</v>
      </c>
      <c r="EN156">
        <v>1.8672800000000001</v>
      </c>
      <c r="EO156">
        <v>1.8633999999999999</v>
      </c>
      <c r="EP156">
        <v>1.86459</v>
      </c>
      <c r="EQ156">
        <v>1.8702099999999999</v>
      </c>
      <c r="ER156">
        <v>1.8694999999999999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-4.5999999999999999E-2</v>
      </c>
      <c r="FG156">
        <v>0.19009999999999999</v>
      </c>
      <c r="FH156">
        <v>0.27827353915413472</v>
      </c>
      <c r="FI156">
        <v>-6.1462078757559423E-4</v>
      </c>
      <c r="FJ156">
        <v>-1.8861989874597051E-7</v>
      </c>
      <c r="FK156">
        <v>1.1980462299894961E-10</v>
      </c>
      <c r="FL156">
        <v>0.19010266435860859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33</v>
      </c>
      <c r="FU156">
        <v>32.9</v>
      </c>
      <c r="FV156">
        <v>1.7773399999999999</v>
      </c>
      <c r="FW156">
        <v>2.5903299999999998</v>
      </c>
      <c r="FX156">
        <v>1.5490699999999999</v>
      </c>
      <c r="FY156">
        <v>2.3290999999999999</v>
      </c>
      <c r="FZ156">
        <v>1.50146</v>
      </c>
      <c r="GA156">
        <v>2.3132299999999999</v>
      </c>
      <c r="GB156">
        <v>33.850900000000003</v>
      </c>
      <c r="GC156">
        <v>23.973700000000001</v>
      </c>
      <c r="GD156">
        <v>19</v>
      </c>
      <c r="GE156">
        <v>285.81400000000002</v>
      </c>
      <c r="GF156">
        <v>581.94200000000001</v>
      </c>
      <c r="GG156">
        <v>24.0885</v>
      </c>
      <c r="GH156">
        <v>26.091999999999999</v>
      </c>
      <c r="GI156">
        <v>30.000299999999999</v>
      </c>
      <c r="GJ156">
        <v>26.2532</v>
      </c>
      <c r="GK156">
        <v>26.239599999999999</v>
      </c>
      <c r="GL156">
        <v>35.539700000000003</v>
      </c>
      <c r="GM156">
        <v>-30</v>
      </c>
      <c r="GN156">
        <v>-30</v>
      </c>
      <c r="GO156">
        <v>24.0671</v>
      </c>
      <c r="GP156">
        <v>800</v>
      </c>
      <c r="GQ156">
        <v>12.5298</v>
      </c>
      <c r="GR156">
        <v>99.748500000000007</v>
      </c>
      <c r="GS156">
        <v>99.584500000000006</v>
      </c>
    </row>
    <row r="157" spans="1:201" x14ac:dyDescent="0.25">
      <c r="A157">
        <v>141</v>
      </c>
      <c r="B157">
        <v>1690219575.0999999</v>
      </c>
      <c r="C157">
        <v>1554.599999904633</v>
      </c>
      <c r="D157" t="s">
        <v>611</v>
      </c>
      <c r="E157" t="s">
        <v>612</v>
      </c>
      <c r="F157" t="s">
        <v>330</v>
      </c>
      <c r="H157">
        <v>1690219575.0999999</v>
      </c>
      <c r="I157">
        <f t="shared" si="60"/>
        <v>1.730678363396515E-3</v>
      </c>
      <c r="J157">
        <f t="shared" si="61"/>
        <v>1.730678363396515</v>
      </c>
      <c r="K157">
        <f t="shared" si="62"/>
        <v>29.192142713267589</v>
      </c>
      <c r="L157">
        <f t="shared" si="63"/>
        <v>475.97699999999998</v>
      </c>
      <c r="M157">
        <f t="shared" si="64"/>
        <v>99.282623771957972</v>
      </c>
      <c r="N157">
        <f t="shared" si="65"/>
        <v>9.8452738190720464</v>
      </c>
      <c r="O157">
        <f t="shared" si="66"/>
        <v>47.199839393285998</v>
      </c>
      <c r="P157">
        <f t="shared" si="67"/>
        <v>0.12975141529011697</v>
      </c>
      <c r="Q157">
        <f t="shared" si="68"/>
        <v>2.131082038854514</v>
      </c>
      <c r="R157">
        <f t="shared" si="69"/>
        <v>0.12551697378669119</v>
      </c>
      <c r="S157">
        <f t="shared" si="70"/>
        <v>7.8817044476907377E-2</v>
      </c>
      <c r="T157">
        <f t="shared" si="71"/>
        <v>276.11639789399993</v>
      </c>
      <c r="U157">
        <f t="shared" si="72"/>
        <v>27.563746698476088</v>
      </c>
      <c r="V157">
        <f t="shared" si="73"/>
        <v>27.563746698476088</v>
      </c>
      <c r="W157">
        <f t="shared" si="74"/>
        <v>3.6993931000582618</v>
      </c>
      <c r="X157">
        <f t="shared" si="75"/>
        <v>70.424677135376641</v>
      </c>
      <c r="Y157">
        <f t="shared" si="76"/>
        <v>2.3739493192727998</v>
      </c>
      <c r="Z157">
        <f t="shared" si="77"/>
        <v>3.3709055061897999</v>
      </c>
      <c r="AA157">
        <f t="shared" si="78"/>
        <v>1.325443780785462</v>
      </c>
      <c r="AB157">
        <f t="shared" si="79"/>
        <v>-76.322915825786311</v>
      </c>
      <c r="AC157">
        <f t="shared" si="80"/>
        <v>-181.59042458553137</v>
      </c>
      <c r="AD157">
        <f t="shared" si="81"/>
        <v>-18.347909998359906</v>
      </c>
      <c r="AE157">
        <f t="shared" si="82"/>
        <v>-0.14485251567765545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52576.065866352568</v>
      </c>
      <c r="AK157">
        <f t="shared" si="86"/>
        <v>1800</v>
      </c>
      <c r="AL157">
        <f t="shared" si="87"/>
        <v>1499.1115464</v>
      </c>
      <c r="AM157">
        <f t="shared" si="88"/>
        <v>0.83283974799999994</v>
      </c>
      <c r="AN157">
        <f t="shared" si="89"/>
        <v>0.15339799882999997</v>
      </c>
      <c r="AO157">
        <v>32.4</v>
      </c>
      <c r="AP157">
        <v>0.5</v>
      </c>
      <c r="AQ157" t="s">
        <v>331</v>
      </c>
      <c r="AR157">
        <v>2</v>
      </c>
      <c r="AS157">
        <v>1690219575.0999999</v>
      </c>
      <c r="AT157">
        <v>475.97699999999998</v>
      </c>
      <c r="AU157">
        <v>799.94899999999996</v>
      </c>
      <c r="AV157">
        <v>23.939599999999999</v>
      </c>
      <c r="AW157">
        <v>5.7069799999999997</v>
      </c>
      <c r="AX157">
        <v>476.02100000000002</v>
      </c>
      <c r="AY157">
        <v>23.749500000000001</v>
      </c>
      <c r="AZ157">
        <v>300.185</v>
      </c>
      <c r="BA157">
        <v>99.064099999999996</v>
      </c>
      <c r="BB157">
        <v>0.100018</v>
      </c>
      <c r="BC157">
        <v>25.9832</v>
      </c>
      <c r="BD157">
        <v>27.0397</v>
      </c>
      <c r="BE157">
        <v>27.247</v>
      </c>
      <c r="BF157">
        <v>0</v>
      </c>
      <c r="BG157">
        <v>0</v>
      </c>
      <c r="BH157">
        <v>10003.1</v>
      </c>
      <c r="BI157">
        <v>1067.17</v>
      </c>
      <c r="BJ157">
        <v>1.7380500000000001</v>
      </c>
      <c r="BK157">
        <v>-323.971</v>
      </c>
      <c r="BL157">
        <v>487.65199999999999</v>
      </c>
      <c r="BM157">
        <v>804.54</v>
      </c>
      <c r="BN157">
        <v>18.232600000000001</v>
      </c>
      <c r="BO157">
        <v>799.94899999999996</v>
      </c>
      <c r="BP157">
        <v>5.7069799999999997</v>
      </c>
      <c r="BQ157">
        <v>2.37155</v>
      </c>
      <c r="BR157">
        <v>0.565357</v>
      </c>
      <c r="BS157">
        <v>20.1708</v>
      </c>
      <c r="BT157">
        <v>-1.1232899999999999</v>
      </c>
      <c r="BU157">
        <v>1800</v>
      </c>
      <c r="BV157">
        <v>0.90998599999999996</v>
      </c>
      <c r="BW157">
        <v>3.3993700000000002E-2</v>
      </c>
      <c r="BX157">
        <v>2.2008900000000001E-2</v>
      </c>
      <c r="BY157">
        <v>3.4010899999999997E-2</v>
      </c>
      <c r="BZ157">
        <v>25.666699999999999</v>
      </c>
      <c r="CA157">
        <v>33528.199999999997</v>
      </c>
      <c r="CB157">
        <v>1690217592</v>
      </c>
      <c r="CC157" t="s">
        <v>332</v>
      </c>
      <c r="CD157">
        <v>1690217586.5</v>
      </c>
      <c r="CE157">
        <v>1690217592</v>
      </c>
      <c r="CF157">
        <v>9</v>
      </c>
      <c r="CG157">
        <v>0.11600000000000001</v>
      </c>
      <c r="CH157">
        <v>-3.0000000000000001E-3</v>
      </c>
      <c r="CI157">
        <v>-0.27300000000000002</v>
      </c>
      <c r="CJ157">
        <v>-6.9000000000000006E-2</v>
      </c>
      <c r="CK157">
        <v>800</v>
      </c>
      <c r="CL157">
        <v>6</v>
      </c>
      <c r="CM157">
        <v>0.01</v>
      </c>
      <c r="CN157">
        <v>0.01</v>
      </c>
      <c r="CO157">
        <v>-321.74922500000002</v>
      </c>
      <c r="CP157">
        <v>-12.76938461538356</v>
      </c>
      <c r="CQ157">
        <v>1.228872318174266</v>
      </c>
      <c r="CR157">
        <v>-1</v>
      </c>
      <c r="CS157">
        <v>18.143360000000001</v>
      </c>
      <c r="CT157">
        <v>0.51791144465285521</v>
      </c>
      <c r="CU157">
        <v>4.9854692858345893E-2</v>
      </c>
      <c r="CV157">
        <v>-1</v>
      </c>
      <c r="CW157">
        <v>0</v>
      </c>
      <c r="CX157">
        <v>0</v>
      </c>
      <c r="CY157" t="s">
        <v>333</v>
      </c>
      <c r="CZ157">
        <v>2.36469</v>
      </c>
      <c r="DA157">
        <v>2.7138100000000001</v>
      </c>
      <c r="DB157">
        <v>0.10197199999999999</v>
      </c>
      <c r="DC157">
        <v>0.146088</v>
      </c>
      <c r="DD157">
        <v>0.113704</v>
      </c>
      <c r="DE157">
        <v>3.7872099999999999E-2</v>
      </c>
      <c r="DF157">
        <v>32794.800000000003</v>
      </c>
      <c r="DG157">
        <v>27524.799999999999</v>
      </c>
      <c r="DH157">
        <v>31175.599999999999</v>
      </c>
      <c r="DI157">
        <v>28086.9</v>
      </c>
      <c r="DJ157">
        <v>37508.6</v>
      </c>
      <c r="DK157">
        <v>38428.199999999997</v>
      </c>
      <c r="DL157">
        <v>44366.7</v>
      </c>
      <c r="DM157">
        <v>42568.3</v>
      </c>
      <c r="DN157">
        <v>1.4839500000000001</v>
      </c>
      <c r="DO157">
        <v>2.036</v>
      </c>
      <c r="DP157">
        <v>0.132687</v>
      </c>
      <c r="DQ157">
        <v>0.154145</v>
      </c>
      <c r="DR157">
        <v>24.866</v>
      </c>
      <c r="DS157">
        <v>24.722000000000001</v>
      </c>
      <c r="DT157">
        <v>16.7</v>
      </c>
      <c r="DU157">
        <v>29.8</v>
      </c>
      <c r="DV157">
        <v>7.1005099999999999</v>
      </c>
      <c r="DW157">
        <v>61.524099999999997</v>
      </c>
      <c r="DX157">
        <v>36.25</v>
      </c>
      <c r="DY157">
        <v>1</v>
      </c>
      <c r="DZ157">
        <v>-0.101616</v>
      </c>
      <c r="EA157">
        <v>0.33507900000000002</v>
      </c>
      <c r="EB157">
        <v>20.189299999999999</v>
      </c>
      <c r="EC157">
        <v>5.2413999999999996</v>
      </c>
      <c r="ED157">
        <v>12.039899999999999</v>
      </c>
      <c r="EE157">
        <v>5.0168999999999997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1.86897</v>
      </c>
      <c r="EL157">
        <v>1.86466</v>
      </c>
      <c r="EM157">
        <v>1.8692</v>
      </c>
      <c r="EN157">
        <v>1.8672599999999999</v>
      </c>
      <c r="EO157">
        <v>1.8633999999999999</v>
      </c>
      <c r="EP157">
        <v>1.8646</v>
      </c>
      <c r="EQ157">
        <v>1.8702300000000001</v>
      </c>
      <c r="ER157">
        <v>1.8694900000000001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-4.3999999999999997E-2</v>
      </c>
      <c r="FG157">
        <v>0.19009999999999999</v>
      </c>
      <c r="FH157">
        <v>0.27827353915413472</v>
      </c>
      <c r="FI157">
        <v>-6.1462078757559423E-4</v>
      </c>
      <c r="FJ157">
        <v>-1.8861989874597051E-7</v>
      </c>
      <c r="FK157">
        <v>1.1980462299894961E-10</v>
      </c>
      <c r="FL157">
        <v>0.19010266435860859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33.1</v>
      </c>
      <c r="FU157">
        <v>33.1</v>
      </c>
      <c r="FV157">
        <v>1.7773399999999999</v>
      </c>
      <c r="FW157">
        <v>2.5842299999999998</v>
      </c>
      <c r="FX157">
        <v>1.5490699999999999</v>
      </c>
      <c r="FY157">
        <v>2.3290999999999999</v>
      </c>
      <c r="FZ157">
        <v>1.50146</v>
      </c>
      <c r="GA157">
        <v>2.34741</v>
      </c>
      <c r="GB157">
        <v>33.850900000000003</v>
      </c>
      <c r="GC157">
        <v>23.973700000000001</v>
      </c>
      <c r="GD157">
        <v>19</v>
      </c>
      <c r="GE157">
        <v>285.75</v>
      </c>
      <c r="GF157">
        <v>581.71799999999996</v>
      </c>
      <c r="GG157">
        <v>24.045300000000001</v>
      </c>
      <c r="GH157">
        <v>26.091999999999999</v>
      </c>
      <c r="GI157">
        <v>30.0002</v>
      </c>
      <c r="GJ157">
        <v>26.251100000000001</v>
      </c>
      <c r="GK157">
        <v>26.2379</v>
      </c>
      <c r="GL157">
        <v>35.541499999999999</v>
      </c>
      <c r="GM157">
        <v>-30</v>
      </c>
      <c r="GN157">
        <v>-30</v>
      </c>
      <c r="GO157">
        <v>24.002800000000001</v>
      </c>
      <c r="GP157">
        <v>800</v>
      </c>
      <c r="GQ157">
        <v>12.5298</v>
      </c>
      <c r="GR157">
        <v>99.749700000000004</v>
      </c>
      <c r="GS157">
        <v>99.583699999999993</v>
      </c>
    </row>
    <row r="158" spans="1:201" x14ac:dyDescent="0.25">
      <c r="A158">
        <v>142</v>
      </c>
      <c r="B158">
        <v>1690219585.0999999</v>
      </c>
      <c r="C158">
        <v>1564.599999904633</v>
      </c>
      <c r="D158" t="s">
        <v>613</v>
      </c>
      <c r="E158" t="s">
        <v>614</v>
      </c>
      <c r="F158" t="s">
        <v>330</v>
      </c>
      <c r="H158">
        <v>1690219585.0999999</v>
      </c>
      <c r="I158">
        <f t="shared" si="60"/>
        <v>1.7374169394488281E-3</v>
      </c>
      <c r="J158">
        <f t="shared" si="61"/>
        <v>1.7374169394488281</v>
      </c>
      <c r="K158">
        <f t="shared" si="62"/>
        <v>29.38732901458113</v>
      </c>
      <c r="L158">
        <f t="shared" si="63"/>
        <v>473.85199999999998</v>
      </c>
      <c r="M158">
        <f t="shared" si="64"/>
        <v>98.11407376827546</v>
      </c>
      <c r="N158">
        <f t="shared" si="65"/>
        <v>9.7291797376556826</v>
      </c>
      <c r="O158">
        <f t="shared" si="66"/>
        <v>46.988073168135998</v>
      </c>
      <c r="P158">
        <f t="shared" si="67"/>
        <v>0.1309724800862053</v>
      </c>
      <c r="Q158">
        <f t="shared" si="68"/>
        <v>2.1281419949940656</v>
      </c>
      <c r="R158">
        <f t="shared" si="69"/>
        <v>0.1266536430973132</v>
      </c>
      <c r="S158">
        <f t="shared" si="70"/>
        <v>7.9534693468309894E-2</v>
      </c>
      <c r="T158">
        <f t="shared" si="71"/>
        <v>276.11638765200001</v>
      </c>
      <c r="U158">
        <f t="shared" si="72"/>
        <v>27.563976252165364</v>
      </c>
      <c r="V158">
        <f t="shared" si="73"/>
        <v>27.563976252165364</v>
      </c>
      <c r="W158">
        <f t="shared" si="74"/>
        <v>3.6994427673200696</v>
      </c>
      <c r="X158">
        <f t="shared" si="75"/>
        <v>70.627114155482701</v>
      </c>
      <c r="Y158">
        <f t="shared" si="76"/>
        <v>2.3808578187963998</v>
      </c>
      <c r="Z158">
        <f t="shared" si="77"/>
        <v>3.3710252036562594</v>
      </c>
      <c r="AA158">
        <f t="shared" si="78"/>
        <v>1.3185849485236698</v>
      </c>
      <c r="AB158">
        <f t="shared" si="79"/>
        <v>-76.620087029693323</v>
      </c>
      <c r="AC158">
        <f t="shared" si="80"/>
        <v>-181.29739998230232</v>
      </c>
      <c r="AD158">
        <f t="shared" si="81"/>
        <v>-18.34368572357868</v>
      </c>
      <c r="AE158">
        <f t="shared" si="82"/>
        <v>-0.14478508357430542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52448.8317263793</v>
      </c>
      <c r="AK158">
        <f t="shared" si="86"/>
        <v>1800</v>
      </c>
      <c r="AL158">
        <f t="shared" si="87"/>
        <v>1499.1118362</v>
      </c>
      <c r="AM158">
        <f t="shared" si="88"/>
        <v>0.83283990900000004</v>
      </c>
      <c r="AN158">
        <f t="shared" si="89"/>
        <v>0.15339799313999999</v>
      </c>
      <c r="AO158">
        <v>32.4</v>
      </c>
      <c r="AP158">
        <v>0.5</v>
      </c>
      <c r="AQ158" t="s">
        <v>331</v>
      </c>
      <c r="AR158">
        <v>2</v>
      </c>
      <c r="AS158">
        <v>1690219585.0999999</v>
      </c>
      <c r="AT158">
        <v>473.85199999999998</v>
      </c>
      <c r="AU158">
        <v>799.93200000000002</v>
      </c>
      <c r="AV158">
        <v>24.009799999999998</v>
      </c>
      <c r="AW158">
        <v>5.7071399999999999</v>
      </c>
      <c r="AX158">
        <v>473.89499999999998</v>
      </c>
      <c r="AY158">
        <v>23.819700000000001</v>
      </c>
      <c r="AZ158">
        <v>300.17899999999997</v>
      </c>
      <c r="BA158">
        <v>99.061899999999994</v>
      </c>
      <c r="BB158">
        <v>0.100018</v>
      </c>
      <c r="BC158">
        <v>25.983799999999999</v>
      </c>
      <c r="BD158">
        <v>27.0276</v>
      </c>
      <c r="BE158">
        <v>27.267700000000001</v>
      </c>
      <c r="BF158">
        <v>0</v>
      </c>
      <c r="BG158">
        <v>0</v>
      </c>
      <c r="BH158">
        <v>9978.1200000000008</v>
      </c>
      <c r="BI158">
        <v>1067.23</v>
      </c>
      <c r="BJ158">
        <v>1.7380500000000001</v>
      </c>
      <c r="BK158">
        <v>-326.08</v>
      </c>
      <c r="BL158">
        <v>485.50900000000001</v>
      </c>
      <c r="BM158">
        <v>804.524</v>
      </c>
      <c r="BN158">
        <v>18.302700000000002</v>
      </c>
      <c r="BO158">
        <v>799.93200000000002</v>
      </c>
      <c r="BP158">
        <v>5.7071399999999999</v>
      </c>
      <c r="BQ158">
        <v>2.37846</v>
      </c>
      <c r="BR158">
        <v>0.565361</v>
      </c>
      <c r="BS158">
        <v>20.2179</v>
      </c>
      <c r="BT158">
        <v>-1.1231899999999999</v>
      </c>
      <c r="BU158">
        <v>1800</v>
      </c>
      <c r="BV158">
        <v>0.90998699999999999</v>
      </c>
      <c r="BW158">
        <v>3.3993299999999997E-2</v>
      </c>
      <c r="BX158">
        <v>2.2008699999999999E-2</v>
      </c>
      <c r="BY158">
        <v>3.4010600000000002E-2</v>
      </c>
      <c r="BZ158">
        <v>25.666699999999999</v>
      </c>
      <c r="CA158">
        <v>33528.199999999997</v>
      </c>
      <c r="CB158">
        <v>1690217592</v>
      </c>
      <c r="CC158" t="s">
        <v>332</v>
      </c>
      <c r="CD158">
        <v>1690217586.5</v>
      </c>
      <c r="CE158">
        <v>1690217592</v>
      </c>
      <c r="CF158">
        <v>9</v>
      </c>
      <c r="CG158">
        <v>0.11600000000000001</v>
      </c>
      <c r="CH158">
        <v>-3.0000000000000001E-3</v>
      </c>
      <c r="CI158">
        <v>-0.27300000000000002</v>
      </c>
      <c r="CJ158">
        <v>-6.9000000000000006E-2</v>
      </c>
      <c r="CK158">
        <v>800</v>
      </c>
      <c r="CL158">
        <v>6</v>
      </c>
      <c r="CM158">
        <v>0.01</v>
      </c>
      <c r="CN158">
        <v>0.01</v>
      </c>
      <c r="CO158">
        <v>-323.9070487804878</v>
      </c>
      <c r="CP158">
        <v>-12.37565853658548</v>
      </c>
      <c r="CQ158">
        <v>1.220566920482671</v>
      </c>
      <c r="CR158">
        <v>-1</v>
      </c>
      <c r="CS158">
        <v>18.226665853658531</v>
      </c>
      <c r="CT158">
        <v>0.45503623693377648</v>
      </c>
      <c r="CU158">
        <v>4.4902749167594028E-2</v>
      </c>
      <c r="CV158">
        <v>-1</v>
      </c>
      <c r="CW158">
        <v>0</v>
      </c>
      <c r="CX158">
        <v>0</v>
      </c>
      <c r="CY158" t="s">
        <v>333</v>
      </c>
      <c r="CZ158">
        <v>2.3646600000000002</v>
      </c>
      <c r="DA158">
        <v>2.7137899999999999</v>
      </c>
      <c r="DB158">
        <v>0.101635</v>
      </c>
      <c r="DC158">
        <v>0.14608399999999999</v>
      </c>
      <c r="DD158">
        <v>0.113938</v>
      </c>
      <c r="DE158">
        <v>3.7872400000000001E-2</v>
      </c>
      <c r="DF158">
        <v>32806.9</v>
      </c>
      <c r="DG158">
        <v>27524.5</v>
      </c>
      <c r="DH158">
        <v>31175.3</v>
      </c>
      <c r="DI158">
        <v>28086.6</v>
      </c>
      <c r="DJ158">
        <v>37498.6</v>
      </c>
      <c r="DK158">
        <v>38427.699999999997</v>
      </c>
      <c r="DL158">
        <v>44366.7</v>
      </c>
      <c r="DM158">
        <v>42567.7</v>
      </c>
      <c r="DN158">
        <v>1.4841200000000001</v>
      </c>
      <c r="DO158">
        <v>2.0362499999999999</v>
      </c>
      <c r="DP158">
        <v>0.131853</v>
      </c>
      <c r="DQ158">
        <v>0.155281</v>
      </c>
      <c r="DR158">
        <v>24.867599999999999</v>
      </c>
      <c r="DS158">
        <v>24.724</v>
      </c>
      <c r="DT158">
        <v>16.8</v>
      </c>
      <c r="DU158">
        <v>29.8</v>
      </c>
      <c r="DV158">
        <v>7.1425799999999997</v>
      </c>
      <c r="DW158">
        <v>61.844099999999997</v>
      </c>
      <c r="DX158">
        <v>36.129800000000003</v>
      </c>
      <c r="DY158">
        <v>1</v>
      </c>
      <c r="DZ158">
        <v>-0.101133</v>
      </c>
      <c r="EA158">
        <v>0.40957199999999999</v>
      </c>
      <c r="EB158">
        <v>20.1891</v>
      </c>
      <c r="EC158">
        <v>5.2411000000000003</v>
      </c>
      <c r="ED158">
        <v>12.039899999999999</v>
      </c>
      <c r="EE158">
        <v>5.0168499999999998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1.86896</v>
      </c>
      <c r="EL158">
        <v>1.86466</v>
      </c>
      <c r="EM158">
        <v>1.8692</v>
      </c>
      <c r="EN158">
        <v>1.8672599999999999</v>
      </c>
      <c r="EO158">
        <v>1.8633999999999999</v>
      </c>
      <c r="EP158">
        <v>1.8645799999999999</v>
      </c>
      <c r="EQ158">
        <v>1.8702300000000001</v>
      </c>
      <c r="ER158">
        <v>1.8694599999999999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-4.2999999999999997E-2</v>
      </c>
      <c r="FG158">
        <v>0.19009999999999999</v>
      </c>
      <c r="FH158">
        <v>0.27827353915413472</v>
      </c>
      <c r="FI158">
        <v>-6.1462078757559423E-4</v>
      </c>
      <c r="FJ158">
        <v>-1.8861989874597051E-7</v>
      </c>
      <c r="FK158">
        <v>1.1980462299894961E-10</v>
      </c>
      <c r="FL158">
        <v>0.19010266435860859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33.299999999999997</v>
      </c>
      <c r="FU158">
        <v>33.200000000000003</v>
      </c>
      <c r="FV158">
        <v>1.7773399999999999</v>
      </c>
      <c r="FW158">
        <v>2.5866699999999998</v>
      </c>
      <c r="FX158">
        <v>1.5490699999999999</v>
      </c>
      <c r="FY158">
        <v>2.3290999999999999</v>
      </c>
      <c r="FZ158">
        <v>1.50146</v>
      </c>
      <c r="GA158">
        <v>2.3791500000000001</v>
      </c>
      <c r="GB158">
        <v>33.850900000000003</v>
      </c>
      <c r="GC158">
        <v>23.982399999999998</v>
      </c>
      <c r="GD158">
        <v>19</v>
      </c>
      <c r="GE158">
        <v>285.815</v>
      </c>
      <c r="GF158">
        <v>581.9</v>
      </c>
      <c r="GG158">
        <v>23.972300000000001</v>
      </c>
      <c r="GH158">
        <v>26.0898</v>
      </c>
      <c r="GI158">
        <v>30.000299999999999</v>
      </c>
      <c r="GJ158">
        <v>26.248899999999999</v>
      </c>
      <c r="GK158">
        <v>26.235800000000001</v>
      </c>
      <c r="GL158">
        <v>35.542000000000002</v>
      </c>
      <c r="GM158">
        <v>-30</v>
      </c>
      <c r="GN158">
        <v>-30</v>
      </c>
      <c r="GO158">
        <v>23.937799999999999</v>
      </c>
      <c r="GP158">
        <v>800</v>
      </c>
      <c r="GQ158">
        <v>12.5298</v>
      </c>
      <c r="GR158">
        <v>99.749399999999994</v>
      </c>
      <c r="GS158">
        <v>99.582400000000007</v>
      </c>
    </row>
    <row r="159" spans="1:201" x14ac:dyDescent="0.25">
      <c r="A159">
        <v>143</v>
      </c>
      <c r="B159">
        <v>1690219595.0999999</v>
      </c>
      <c r="C159">
        <v>1574.599999904633</v>
      </c>
      <c r="D159" t="s">
        <v>615</v>
      </c>
      <c r="E159" t="s">
        <v>616</v>
      </c>
      <c r="F159" t="s">
        <v>330</v>
      </c>
      <c r="H159">
        <v>1690219595.0999999</v>
      </c>
      <c r="I159">
        <f t="shared" si="60"/>
        <v>1.7440399599230616E-3</v>
      </c>
      <c r="J159">
        <f t="shared" si="61"/>
        <v>1.7440399599230616</v>
      </c>
      <c r="K159">
        <f t="shared" si="62"/>
        <v>29.573379437873434</v>
      </c>
      <c r="L159">
        <f t="shared" si="63"/>
        <v>472.00200000000001</v>
      </c>
      <c r="M159">
        <f t="shared" si="64"/>
        <v>98.118632326032284</v>
      </c>
      <c r="N159">
        <f t="shared" si="65"/>
        <v>9.7294507441095206</v>
      </c>
      <c r="O159">
        <f t="shared" si="66"/>
        <v>46.803752776145998</v>
      </c>
      <c r="P159">
        <f t="shared" si="67"/>
        <v>0.13248568100832994</v>
      </c>
      <c r="Q159">
        <f t="shared" si="68"/>
        <v>2.1284115922725246</v>
      </c>
      <c r="R159">
        <f t="shared" si="69"/>
        <v>0.12806882208061218</v>
      </c>
      <c r="S159">
        <f t="shared" si="70"/>
        <v>8.0427584161679055E-2</v>
      </c>
      <c r="T159">
        <f t="shared" si="71"/>
        <v>276.11629873200002</v>
      </c>
      <c r="U159">
        <f t="shared" si="72"/>
        <v>27.549198198655539</v>
      </c>
      <c r="V159">
        <f t="shared" si="73"/>
        <v>27.549198198655539</v>
      </c>
      <c r="W159">
        <f t="shared" si="74"/>
        <v>3.6962465084870608</v>
      </c>
      <c r="X159">
        <f t="shared" si="75"/>
        <v>70.870042291087302</v>
      </c>
      <c r="Y159">
        <f t="shared" si="76"/>
        <v>2.3873085054968999</v>
      </c>
      <c r="Z159">
        <f t="shared" si="77"/>
        <v>3.3685721474405423</v>
      </c>
      <c r="AA159">
        <f t="shared" si="78"/>
        <v>1.3089380029901609</v>
      </c>
      <c r="AB159">
        <f t="shared" si="79"/>
        <v>-76.912162232607017</v>
      </c>
      <c r="AC159">
        <f t="shared" si="80"/>
        <v>-181.03601807690922</v>
      </c>
      <c r="AD159">
        <f t="shared" si="81"/>
        <v>-18.312437103307715</v>
      </c>
      <c r="AE159">
        <f t="shared" si="82"/>
        <v>-0.14431868082394317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52462.594122423936</v>
      </c>
      <c r="AK159">
        <f t="shared" si="86"/>
        <v>1800</v>
      </c>
      <c r="AL159">
        <f t="shared" si="87"/>
        <v>1499.1121152000003</v>
      </c>
      <c r="AM159">
        <f t="shared" si="88"/>
        <v>0.8328400640000001</v>
      </c>
      <c r="AN159">
        <f t="shared" si="89"/>
        <v>0.15339794374000001</v>
      </c>
      <c r="AO159">
        <v>32.4</v>
      </c>
      <c r="AP159">
        <v>0.5</v>
      </c>
      <c r="AQ159" t="s">
        <v>331</v>
      </c>
      <c r="AR159">
        <v>2</v>
      </c>
      <c r="AS159">
        <v>1690219595.0999999</v>
      </c>
      <c r="AT159">
        <v>472.00200000000001</v>
      </c>
      <c r="AU159">
        <v>800.02800000000002</v>
      </c>
      <c r="AV159">
        <v>24.075299999999999</v>
      </c>
      <c r="AW159">
        <v>5.7075300000000002</v>
      </c>
      <c r="AX159">
        <v>472.04399999999998</v>
      </c>
      <c r="AY159">
        <v>23.885200000000001</v>
      </c>
      <c r="AZ159">
        <v>300.23500000000001</v>
      </c>
      <c r="BA159">
        <v>99.06</v>
      </c>
      <c r="BB159">
        <v>0.100073</v>
      </c>
      <c r="BC159">
        <v>25.971499999999999</v>
      </c>
      <c r="BD159">
        <v>26.9848</v>
      </c>
      <c r="BE159">
        <v>27.244900000000001</v>
      </c>
      <c r="BF159">
        <v>0</v>
      </c>
      <c r="BG159">
        <v>0</v>
      </c>
      <c r="BH159">
        <v>9980.6200000000008</v>
      </c>
      <c r="BI159">
        <v>1067.1500000000001</v>
      </c>
      <c r="BJ159">
        <v>1.7380500000000001</v>
      </c>
      <c r="BK159">
        <v>-328.02499999999998</v>
      </c>
      <c r="BL159">
        <v>483.64600000000002</v>
      </c>
      <c r="BM159">
        <v>804.62</v>
      </c>
      <c r="BN159">
        <v>18.367799999999999</v>
      </c>
      <c r="BO159">
        <v>800.02800000000002</v>
      </c>
      <c r="BP159">
        <v>5.7075300000000002</v>
      </c>
      <c r="BQ159">
        <v>2.3849</v>
      </c>
      <c r="BR159">
        <v>0.56538699999999997</v>
      </c>
      <c r="BS159">
        <v>20.261600000000001</v>
      </c>
      <c r="BT159">
        <v>-1.1225499999999999</v>
      </c>
      <c r="BU159">
        <v>1800</v>
      </c>
      <c r="BV159">
        <v>0.90998900000000005</v>
      </c>
      <c r="BW159">
        <v>3.3992599999999998E-2</v>
      </c>
      <c r="BX159">
        <v>2.2008199999999999E-2</v>
      </c>
      <c r="BY159">
        <v>3.40098E-2</v>
      </c>
      <c r="BZ159">
        <v>25.791699999999999</v>
      </c>
      <c r="CA159">
        <v>33528.199999999997</v>
      </c>
      <c r="CB159">
        <v>1690217592</v>
      </c>
      <c r="CC159" t="s">
        <v>332</v>
      </c>
      <c r="CD159">
        <v>1690217586.5</v>
      </c>
      <c r="CE159">
        <v>1690217592</v>
      </c>
      <c r="CF159">
        <v>9</v>
      </c>
      <c r="CG159">
        <v>0.11600000000000001</v>
      </c>
      <c r="CH159">
        <v>-3.0000000000000001E-3</v>
      </c>
      <c r="CI159">
        <v>-0.27300000000000002</v>
      </c>
      <c r="CJ159">
        <v>-6.9000000000000006E-2</v>
      </c>
      <c r="CK159">
        <v>800</v>
      </c>
      <c r="CL159">
        <v>6</v>
      </c>
      <c r="CM159">
        <v>0.01</v>
      </c>
      <c r="CN159">
        <v>0.01</v>
      </c>
      <c r="CO159">
        <v>-325.95217073170733</v>
      </c>
      <c r="CP159">
        <v>-12.168376306621029</v>
      </c>
      <c r="CQ159">
        <v>1.2002321706793271</v>
      </c>
      <c r="CR159">
        <v>-1</v>
      </c>
      <c r="CS159">
        <v>18.298426829268291</v>
      </c>
      <c r="CT159">
        <v>0.40465714285713639</v>
      </c>
      <c r="CU159">
        <v>3.9909941449867009E-2</v>
      </c>
      <c r="CV159">
        <v>-1</v>
      </c>
      <c r="CW159">
        <v>0</v>
      </c>
      <c r="CX159">
        <v>0</v>
      </c>
      <c r="CY159" t="s">
        <v>333</v>
      </c>
      <c r="CZ159">
        <v>2.3648600000000002</v>
      </c>
      <c r="DA159">
        <v>2.7138499999999999</v>
      </c>
      <c r="DB159">
        <v>0.10134</v>
      </c>
      <c r="DC159">
        <v>0.146093</v>
      </c>
      <c r="DD159">
        <v>0.11415599999999999</v>
      </c>
      <c r="DE159">
        <v>3.7873999999999998E-2</v>
      </c>
      <c r="DF159">
        <v>32817.800000000003</v>
      </c>
      <c r="DG159">
        <v>27524.7</v>
      </c>
      <c r="DH159">
        <v>31175.5</v>
      </c>
      <c r="DI159">
        <v>28087</v>
      </c>
      <c r="DJ159">
        <v>37489.300000000003</v>
      </c>
      <c r="DK159">
        <v>38428</v>
      </c>
      <c r="DL159">
        <v>44366.7</v>
      </c>
      <c r="DM159">
        <v>42568.2</v>
      </c>
      <c r="DN159">
        <v>1.4843500000000001</v>
      </c>
      <c r="DO159">
        <v>2.0360800000000001</v>
      </c>
      <c r="DP159">
        <v>0.12920400000000001</v>
      </c>
      <c r="DQ159">
        <v>0.15376100000000001</v>
      </c>
      <c r="DR159">
        <v>24.868099999999998</v>
      </c>
      <c r="DS159">
        <v>24.726099999999999</v>
      </c>
      <c r="DT159">
        <v>16.8</v>
      </c>
      <c r="DU159">
        <v>29.8</v>
      </c>
      <c r="DV159">
        <v>7.1434300000000004</v>
      </c>
      <c r="DW159">
        <v>61.924100000000003</v>
      </c>
      <c r="DX159">
        <v>36.089700000000001</v>
      </c>
      <c r="DY159">
        <v>1</v>
      </c>
      <c r="DZ159">
        <v>-0.101428</v>
      </c>
      <c r="EA159">
        <v>0.35387299999999999</v>
      </c>
      <c r="EB159">
        <v>20.189399999999999</v>
      </c>
      <c r="EC159">
        <v>5.2408000000000001</v>
      </c>
      <c r="ED159">
        <v>12.039899999999999</v>
      </c>
      <c r="EE159">
        <v>5.0168999999999997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1.8689899999999999</v>
      </c>
      <c r="EL159">
        <v>1.86469</v>
      </c>
      <c r="EM159">
        <v>1.8692</v>
      </c>
      <c r="EN159">
        <v>1.8672800000000001</v>
      </c>
      <c r="EO159">
        <v>1.86341</v>
      </c>
      <c r="EP159">
        <v>1.8646100000000001</v>
      </c>
      <c r="EQ159">
        <v>1.87026</v>
      </c>
      <c r="ER159">
        <v>1.8694900000000001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-4.2000000000000003E-2</v>
      </c>
      <c r="FG159">
        <v>0.19009999999999999</v>
      </c>
      <c r="FH159">
        <v>0.27827353915413472</v>
      </c>
      <c r="FI159">
        <v>-6.1462078757559423E-4</v>
      </c>
      <c r="FJ159">
        <v>-1.8861989874597051E-7</v>
      </c>
      <c r="FK159">
        <v>1.1980462299894961E-10</v>
      </c>
      <c r="FL159">
        <v>0.19010266435860859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33.5</v>
      </c>
      <c r="FU159">
        <v>33.4</v>
      </c>
      <c r="FV159">
        <v>1.7773399999999999</v>
      </c>
      <c r="FW159">
        <v>2.5842299999999998</v>
      </c>
      <c r="FX159">
        <v>1.5490699999999999</v>
      </c>
      <c r="FY159">
        <v>2.3290999999999999</v>
      </c>
      <c r="FZ159">
        <v>1.50146</v>
      </c>
      <c r="GA159">
        <v>2.3718300000000001</v>
      </c>
      <c r="GB159">
        <v>33.850900000000003</v>
      </c>
      <c r="GC159">
        <v>23.982399999999998</v>
      </c>
      <c r="GD159">
        <v>19</v>
      </c>
      <c r="GE159">
        <v>285.90600000000001</v>
      </c>
      <c r="GF159">
        <v>581.73</v>
      </c>
      <c r="GG159">
        <v>23.918199999999999</v>
      </c>
      <c r="GH159">
        <v>26.0898</v>
      </c>
      <c r="GI159">
        <v>30.0002</v>
      </c>
      <c r="GJ159">
        <v>26.247599999999998</v>
      </c>
      <c r="GK159">
        <v>26.233599999999999</v>
      </c>
      <c r="GL159">
        <v>35.540100000000002</v>
      </c>
      <c r="GM159">
        <v>-30</v>
      </c>
      <c r="GN159">
        <v>-30</v>
      </c>
      <c r="GO159">
        <v>23.999199999999998</v>
      </c>
      <c r="GP159">
        <v>800</v>
      </c>
      <c r="GQ159">
        <v>12.5298</v>
      </c>
      <c r="GR159">
        <v>99.749600000000001</v>
      </c>
      <c r="GS159">
        <v>99.583600000000004</v>
      </c>
    </row>
    <row r="160" spans="1:201" x14ac:dyDescent="0.25">
      <c r="A160">
        <v>144</v>
      </c>
      <c r="B160">
        <v>1690219605.0999999</v>
      </c>
      <c r="C160">
        <v>1584.599999904633</v>
      </c>
      <c r="D160" t="s">
        <v>617</v>
      </c>
      <c r="E160" t="s">
        <v>618</v>
      </c>
      <c r="F160" t="s">
        <v>330</v>
      </c>
      <c r="H160">
        <v>1690219605.0999999</v>
      </c>
      <c r="I160">
        <f t="shared" si="60"/>
        <v>1.7514011899574821E-3</v>
      </c>
      <c r="J160">
        <f t="shared" si="61"/>
        <v>1.7514011899574822</v>
      </c>
      <c r="K160">
        <f t="shared" si="62"/>
        <v>29.738751187327154</v>
      </c>
      <c r="L160">
        <f t="shared" si="63"/>
        <v>470.05</v>
      </c>
      <c r="M160">
        <f t="shared" si="64"/>
        <v>98.087714655067614</v>
      </c>
      <c r="N160">
        <f t="shared" si="65"/>
        <v>9.7263850338786177</v>
      </c>
      <c r="O160">
        <f t="shared" si="66"/>
        <v>46.610192736695005</v>
      </c>
      <c r="P160">
        <f t="shared" si="67"/>
        <v>0.1339449230654933</v>
      </c>
      <c r="Q160">
        <f t="shared" si="68"/>
        <v>2.1290699937637849</v>
      </c>
      <c r="R160">
        <f t="shared" si="69"/>
        <v>0.12943335907024914</v>
      </c>
      <c r="S160">
        <f t="shared" si="70"/>
        <v>8.128853626663092E-2</v>
      </c>
      <c r="T160">
        <f t="shared" si="71"/>
        <v>276.11625689999994</v>
      </c>
      <c r="U160">
        <f t="shared" si="72"/>
        <v>27.548380938429617</v>
      </c>
      <c r="V160">
        <f t="shared" si="73"/>
        <v>27.548380938429617</v>
      </c>
      <c r="W160">
        <f t="shared" si="74"/>
        <v>3.6960698183914187</v>
      </c>
      <c r="X160">
        <f t="shared" si="75"/>
        <v>71.104520879792787</v>
      </c>
      <c r="Y160">
        <f t="shared" si="76"/>
        <v>2.39551898128359</v>
      </c>
      <c r="Z160">
        <f t="shared" si="77"/>
        <v>3.3690107909360418</v>
      </c>
      <c r="AA160">
        <f t="shared" si="78"/>
        <v>1.3005508371078287</v>
      </c>
      <c r="AB160">
        <f t="shared" si="79"/>
        <v>-77.236792477124965</v>
      </c>
      <c r="AC160">
        <f t="shared" si="80"/>
        <v>-180.74569120881674</v>
      </c>
      <c r="AD160">
        <f t="shared" si="81"/>
        <v>-18.277541565485816</v>
      </c>
      <c r="AE160">
        <f t="shared" si="82"/>
        <v>-0.14376835142758182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52490.656561916061</v>
      </c>
      <c r="AK160">
        <f t="shared" si="86"/>
        <v>1800</v>
      </c>
      <c r="AL160">
        <f t="shared" si="87"/>
        <v>1499.1129450000001</v>
      </c>
      <c r="AM160">
        <f t="shared" si="88"/>
        <v>0.83284052500000005</v>
      </c>
      <c r="AN160">
        <f t="shared" si="89"/>
        <v>0.15339792049999998</v>
      </c>
      <c r="AO160">
        <v>32.4</v>
      </c>
      <c r="AP160">
        <v>0.5</v>
      </c>
      <c r="AQ160" t="s">
        <v>331</v>
      </c>
      <c r="AR160">
        <v>2</v>
      </c>
      <c r="AS160">
        <v>1690219605.0999999</v>
      </c>
      <c r="AT160">
        <v>470.05</v>
      </c>
      <c r="AU160">
        <v>799.98099999999999</v>
      </c>
      <c r="AV160">
        <v>24.158100000000001</v>
      </c>
      <c r="AW160">
        <v>5.7076700000000002</v>
      </c>
      <c r="AX160">
        <v>470.089</v>
      </c>
      <c r="AY160">
        <v>23.968</v>
      </c>
      <c r="AZ160">
        <v>300.12599999999998</v>
      </c>
      <c r="BA160">
        <v>99.060100000000006</v>
      </c>
      <c r="BB160">
        <v>9.9973900000000004E-2</v>
      </c>
      <c r="BC160">
        <v>25.973700000000001</v>
      </c>
      <c r="BD160">
        <v>26.981400000000001</v>
      </c>
      <c r="BE160">
        <v>27.249500000000001</v>
      </c>
      <c r="BF160">
        <v>0</v>
      </c>
      <c r="BG160">
        <v>0</v>
      </c>
      <c r="BH160">
        <v>9986.25</v>
      </c>
      <c r="BI160">
        <v>1067.2</v>
      </c>
      <c r="BJ160">
        <v>1.7380500000000001</v>
      </c>
      <c r="BK160">
        <v>-329.93200000000002</v>
      </c>
      <c r="BL160">
        <v>481.68599999999998</v>
      </c>
      <c r="BM160">
        <v>804.57399999999996</v>
      </c>
      <c r="BN160">
        <v>18.450399999999998</v>
      </c>
      <c r="BO160">
        <v>799.98099999999999</v>
      </c>
      <c r="BP160">
        <v>5.7076700000000002</v>
      </c>
      <c r="BQ160">
        <v>2.3931</v>
      </c>
      <c r="BR160">
        <v>0.56540199999999996</v>
      </c>
      <c r="BS160">
        <v>20.3172</v>
      </c>
      <c r="BT160">
        <v>-1.1222000000000001</v>
      </c>
      <c r="BU160">
        <v>1800</v>
      </c>
      <c r="BV160">
        <v>0.90999200000000002</v>
      </c>
      <c r="BW160">
        <v>3.3991599999999997E-2</v>
      </c>
      <c r="BX160">
        <v>2.2007499999999999E-2</v>
      </c>
      <c r="BY160">
        <v>3.4008799999999999E-2</v>
      </c>
      <c r="BZ160">
        <v>25.875</v>
      </c>
      <c r="CA160">
        <v>33528.400000000001</v>
      </c>
      <c r="CB160">
        <v>1690217592</v>
      </c>
      <c r="CC160" t="s">
        <v>332</v>
      </c>
      <c r="CD160">
        <v>1690217586.5</v>
      </c>
      <c r="CE160">
        <v>1690217592</v>
      </c>
      <c r="CF160">
        <v>9</v>
      </c>
      <c r="CG160">
        <v>0.11600000000000001</v>
      </c>
      <c r="CH160">
        <v>-3.0000000000000001E-3</v>
      </c>
      <c r="CI160">
        <v>-0.27300000000000002</v>
      </c>
      <c r="CJ160">
        <v>-6.9000000000000006E-2</v>
      </c>
      <c r="CK160">
        <v>800</v>
      </c>
      <c r="CL160">
        <v>6</v>
      </c>
      <c r="CM160">
        <v>0.01</v>
      </c>
      <c r="CN160">
        <v>0.01</v>
      </c>
      <c r="CO160">
        <v>-327.92541463414631</v>
      </c>
      <c r="CP160">
        <v>-11.55307317073183</v>
      </c>
      <c r="CQ160">
        <v>1.139612342638133</v>
      </c>
      <c r="CR160">
        <v>-1</v>
      </c>
      <c r="CS160">
        <v>18.366900000000001</v>
      </c>
      <c r="CT160">
        <v>0.42497560975612769</v>
      </c>
      <c r="CU160">
        <v>4.2008646032256507E-2</v>
      </c>
      <c r="CV160">
        <v>-1</v>
      </c>
      <c r="CW160">
        <v>0</v>
      </c>
      <c r="CX160">
        <v>0</v>
      </c>
      <c r="CY160" t="s">
        <v>333</v>
      </c>
      <c r="CZ160">
        <v>2.3645100000000001</v>
      </c>
      <c r="DA160">
        <v>2.7137500000000001</v>
      </c>
      <c r="DB160">
        <v>0.101031</v>
      </c>
      <c r="DC160">
        <v>0.146089</v>
      </c>
      <c r="DD160">
        <v>0.11443300000000001</v>
      </c>
      <c r="DE160">
        <v>3.7875100000000002E-2</v>
      </c>
      <c r="DF160">
        <v>32829.5</v>
      </c>
      <c r="DG160">
        <v>27525.4</v>
      </c>
      <c r="DH160">
        <v>31175.8</v>
      </c>
      <c r="DI160">
        <v>28087.599999999999</v>
      </c>
      <c r="DJ160">
        <v>37477.699999999997</v>
      </c>
      <c r="DK160">
        <v>38429.1</v>
      </c>
      <c r="DL160">
        <v>44367.1</v>
      </c>
      <c r="DM160">
        <v>42569.4</v>
      </c>
      <c r="DN160">
        <v>1.4841</v>
      </c>
      <c r="DO160">
        <v>2.0363000000000002</v>
      </c>
      <c r="DP160">
        <v>0.128742</v>
      </c>
      <c r="DQ160">
        <v>0.15390999999999999</v>
      </c>
      <c r="DR160">
        <v>24.872299999999999</v>
      </c>
      <c r="DS160">
        <v>24.728200000000001</v>
      </c>
      <c r="DT160">
        <v>16.8</v>
      </c>
      <c r="DU160">
        <v>29.8</v>
      </c>
      <c r="DV160">
        <v>7.1420700000000004</v>
      </c>
      <c r="DW160">
        <v>61.914099999999998</v>
      </c>
      <c r="DX160">
        <v>36.298099999999998</v>
      </c>
      <c r="DY160">
        <v>1</v>
      </c>
      <c r="DZ160">
        <v>-0.10248500000000001</v>
      </c>
      <c r="EA160">
        <v>0.133796</v>
      </c>
      <c r="EB160">
        <v>20.190100000000001</v>
      </c>
      <c r="EC160">
        <v>5.2413999999999996</v>
      </c>
      <c r="ED160">
        <v>12.039899999999999</v>
      </c>
      <c r="EE160">
        <v>5.0166500000000003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1.86897</v>
      </c>
      <c r="EL160">
        <v>1.86469</v>
      </c>
      <c r="EM160">
        <v>1.8692</v>
      </c>
      <c r="EN160">
        <v>1.8672599999999999</v>
      </c>
      <c r="EO160">
        <v>1.86341</v>
      </c>
      <c r="EP160">
        <v>1.8646</v>
      </c>
      <c r="EQ160">
        <v>1.87026</v>
      </c>
      <c r="ER160">
        <v>1.86947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-3.9E-2</v>
      </c>
      <c r="FG160">
        <v>0.19009999999999999</v>
      </c>
      <c r="FH160">
        <v>0.27827353915413472</v>
      </c>
      <c r="FI160">
        <v>-6.1462078757559423E-4</v>
      </c>
      <c r="FJ160">
        <v>-1.8861989874597051E-7</v>
      </c>
      <c r="FK160">
        <v>1.1980462299894961E-10</v>
      </c>
      <c r="FL160">
        <v>0.19010266435860859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33.6</v>
      </c>
      <c r="FU160">
        <v>33.6</v>
      </c>
      <c r="FV160">
        <v>1.7773399999999999</v>
      </c>
      <c r="FW160">
        <v>2.5854499999999998</v>
      </c>
      <c r="FX160">
        <v>1.5490699999999999</v>
      </c>
      <c r="FY160">
        <v>2.3290999999999999</v>
      </c>
      <c r="FZ160">
        <v>1.50146</v>
      </c>
      <c r="GA160">
        <v>2.3913600000000002</v>
      </c>
      <c r="GB160">
        <v>33.850900000000003</v>
      </c>
      <c r="GC160">
        <v>23.982399999999998</v>
      </c>
      <c r="GD160">
        <v>19</v>
      </c>
      <c r="GE160">
        <v>285.79500000000002</v>
      </c>
      <c r="GF160">
        <v>581.89099999999996</v>
      </c>
      <c r="GG160">
        <v>24.001200000000001</v>
      </c>
      <c r="GH160">
        <v>26.087599999999998</v>
      </c>
      <c r="GI160">
        <v>29.9999</v>
      </c>
      <c r="GJ160">
        <v>26.246600000000001</v>
      </c>
      <c r="GK160">
        <v>26.231400000000001</v>
      </c>
      <c r="GL160">
        <v>35.542999999999999</v>
      </c>
      <c r="GM160">
        <v>-30</v>
      </c>
      <c r="GN160">
        <v>-30</v>
      </c>
      <c r="GO160">
        <v>24.011600000000001</v>
      </c>
      <c r="GP160">
        <v>800</v>
      </c>
      <c r="GQ160">
        <v>12.5298</v>
      </c>
      <c r="GR160">
        <v>99.750699999999995</v>
      </c>
      <c r="GS160">
        <v>99.586100000000002</v>
      </c>
    </row>
    <row r="161" spans="1:201" x14ac:dyDescent="0.25">
      <c r="A161">
        <v>145</v>
      </c>
      <c r="B161">
        <v>1690219615.0999999</v>
      </c>
      <c r="C161">
        <v>1594.599999904633</v>
      </c>
      <c r="D161" t="s">
        <v>619</v>
      </c>
      <c r="E161" t="s">
        <v>620</v>
      </c>
      <c r="F161" t="s">
        <v>330</v>
      </c>
      <c r="H161">
        <v>1690219615.0999999</v>
      </c>
      <c r="I161">
        <f t="shared" si="60"/>
        <v>1.7600741467265952E-3</v>
      </c>
      <c r="J161">
        <f t="shared" si="61"/>
        <v>1.7600741467265952</v>
      </c>
      <c r="K161">
        <f t="shared" si="62"/>
        <v>29.915673332138628</v>
      </c>
      <c r="L161">
        <f t="shared" si="63"/>
        <v>468.11200000000002</v>
      </c>
      <c r="M161">
        <f t="shared" si="64"/>
        <v>98.351633747963206</v>
      </c>
      <c r="N161">
        <f t="shared" si="65"/>
        <v>9.7523500206092972</v>
      </c>
      <c r="O161">
        <f t="shared" si="66"/>
        <v>46.417043610543999</v>
      </c>
      <c r="P161">
        <f t="shared" si="67"/>
        <v>0.13558437994164396</v>
      </c>
      <c r="Q161">
        <f t="shared" si="68"/>
        <v>2.1285351797282752</v>
      </c>
      <c r="R161">
        <f t="shared" si="69"/>
        <v>0.13096263041011613</v>
      </c>
      <c r="S161">
        <f t="shared" si="70"/>
        <v>8.2253765158318642E-2</v>
      </c>
      <c r="T161">
        <f t="shared" si="71"/>
        <v>276.11616097800004</v>
      </c>
      <c r="U161">
        <f t="shared" si="72"/>
        <v>27.548806230580762</v>
      </c>
      <c r="V161">
        <f t="shared" si="73"/>
        <v>27.548806230580762</v>
      </c>
      <c r="W161">
        <f t="shared" si="74"/>
        <v>3.6961617648201539</v>
      </c>
      <c r="X161">
        <f t="shared" si="75"/>
        <v>71.358648549242957</v>
      </c>
      <c r="Y161">
        <f t="shared" si="76"/>
        <v>2.4045216899578006</v>
      </c>
      <c r="Z161">
        <f t="shared" si="77"/>
        <v>3.3696289641731307</v>
      </c>
      <c r="AA161">
        <f t="shared" si="78"/>
        <v>1.2916400748623533</v>
      </c>
      <c r="AB161">
        <f t="shared" si="79"/>
        <v>-77.619269870642853</v>
      </c>
      <c r="AC161">
        <f t="shared" si="80"/>
        <v>-180.39335627565248</v>
      </c>
      <c r="AD161">
        <f t="shared" si="81"/>
        <v>-18.246817308620447</v>
      </c>
      <c r="AE161">
        <f t="shared" si="82"/>
        <v>-0.14328247691574347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52466.96007539671</v>
      </c>
      <c r="AK161">
        <f t="shared" si="86"/>
        <v>1800</v>
      </c>
      <c r="AL161">
        <f t="shared" si="87"/>
        <v>1499.1128388000002</v>
      </c>
      <c r="AM161">
        <f t="shared" si="88"/>
        <v>0.83284046600000006</v>
      </c>
      <c r="AN161">
        <f t="shared" si="89"/>
        <v>0.15339786721000001</v>
      </c>
      <c r="AO161">
        <v>32.4</v>
      </c>
      <c r="AP161">
        <v>0.5</v>
      </c>
      <c r="AQ161" t="s">
        <v>331</v>
      </c>
      <c r="AR161">
        <v>2</v>
      </c>
      <c r="AS161">
        <v>1690219615.0999999</v>
      </c>
      <c r="AT161">
        <v>468.11200000000002</v>
      </c>
      <c r="AU161">
        <v>799.99</v>
      </c>
      <c r="AV161">
        <v>24.249400000000001</v>
      </c>
      <c r="AW161">
        <v>5.7076700000000002</v>
      </c>
      <c r="AX161">
        <v>468.15100000000001</v>
      </c>
      <c r="AY161">
        <v>24.0593</v>
      </c>
      <c r="AZ161">
        <v>300.09899999999999</v>
      </c>
      <c r="BA161">
        <v>99.058000000000007</v>
      </c>
      <c r="BB161">
        <v>9.9987000000000006E-2</v>
      </c>
      <c r="BC161">
        <v>25.976800000000001</v>
      </c>
      <c r="BD161">
        <v>26.995999999999999</v>
      </c>
      <c r="BE161">
        <v>27.2363</v>
      </c>
      <c r="BF161">
        <v>0</v>
      </c>
      <c r="BG161">
        <v>0</v>
      </c>
      <c r="BH161">
        <v>9981.8799999999992</v>
      </c>
      <c r="BI161">
        <v>1067.1199999999999</v>
      </c>
      <c r="BJ161">
        <v>1.7380500000000001</v>
      </c>
      <c r="BK161">
        <v>-331.87700000000001</v>
      </c>
      <c r="BL161">
        <v>479.74599999999998</v>
      </c>
      <c r="BM161">
        <v>804.58199999999999</v>
      </c>
      <c r="BN161">
        <v>18.541799999999999</v>
      </c>
      <c r="BO161">
        <v>799.99</v>
      </c>
      <c r="BP161">
        <v>5.7076700000000002</v>
      </c>
      <c r="BQ161">
        <v>2.4020999999999999</v>
      </c>
      <c r="BR161">
        <v>0.56539099999999998</v>
      </c>
      <c r="BS161">
        <v>20.3779</v>
      </c>
      <c r="BT161">
        <v>-1.1224700000000001</v>
      </c>
      <c r="BU161">
        <v>1800</v>
      </c>
      <c r="BV161">
        <v>0.90999300000000005</v>
      </c>
      <c r="BW161">
        <v>3.3991100000000003E-2</v>
      </c>
      <c r="BX161">
        <v>2.20073E-2</v>
      </c>
      <c r="BY161">
        <v>3.4008299999999998E-2</v>
      </c>
      <c r="BZ161">
        <v>25.916699999999999</v>
      </c>
      <c r="CA161">
        <v>33528.300000000003</v>
      </c>
      <c r="CB161">
        <v>1690217592</v>
      </c>
      <c r="CC161" t="s">
        <v>332</v>
      </c>
      <c r="CD161">
        <v>1690217586.5</v>
      </c>
      <c r="CE161">
        <v>1690217592</v>
      </c>
      <c r="CF161">
        <v>9</v>
      </c>
      <c r="CG161">
        <v>0.11600000000000001</v>
      </c>
      <c r="CH161">
        <v>-3.0000000000000001E-3</v>
      </c>
      <c r="CI161">
        <v>-0.27300000000000002</v>
      </c>
      <c r="CJ161">
        <v>-6.9000000000000006E-2</v>
      </c>
      <c r="CK161">
        <v>800</v>
      </c>
      <c r="CL161">
        <v>6</v>
      </c>
      <c r="CM161">
        <v>0.01</v>
      </c>
      <c r="CN161">
        <v>0.01</v>
      </c>
      <c r="CO161">
        <v>-329.68775609756102</v>
      </c>
      <c r="CP161">
        <v>-11.903770034842429</v>
      </c>
      <c r="CQ161">
        <v>1.1742813636430609</v>
      </c>
      <c r="CR161">
        <v>-1</v>
      </c>
      <c r="CS161">
        <v>18.43837073170732</v>
      </c>
      <c r="CT161">
        <v>0.52679372822299653</v>
      </c>
      <c r="CU161">
        <v>5.2025473328691237E-2</v>
      </c>
      <c r="CV161">
        <v>-1</v>
      </c>
      <c r="CW161">
        <v>0</v>
      </c>
      <c r="CX161">
        <v>0</v>
      </c>
      <c r="CY161" t="s">
        <v>333</v>
      </c>
      <c r="CZ161">
        <v>2.36443</v>
      </c>
      <c r="DA161">
        <v>2.7137600000000002</v>
      </c>
      <c r="DB161">
        <v>0.10072200000000001</v>
      </c>
      <c r="DC161">
        <v>0.14608699999999999</v>
      </c>
      <c r="DD161">
        <v>0.114736</v>
      </c>
      <c r="DE161">
        <v>3.78743E-2</v>
      </c>
      <c r="DF161">
        <v>32841.1</v>
      </c>
      <c r="DG161">
        <v>27525.7</v>
      </c>
      <c r="DH161">
        <v>31176.2</v>
      </c>
      <c r="DI161">
        <v>28087.8</v>
      </c>
      <c r="DJ161">
        <v>37465.4</v>
      </c>
      <c r="DK161">
        <v>38429.300000000003</v>
      </c>
      <c r="DL161">
        <v>44367.9</v>
      </c>
      <c r="DM161">
        <v>42569.5</v>
      </c>
      <c r="DN161">
        <v>1.4843500000000001</v>
      </c>
      <c r="DO161">
        <v>2.0363199999999999</v>
      </c>
      <c r="DP161">
        <v>0.12950999999999999</v>
      </c>
      <c r="DQ161">
        <v>0.15301300000000001</v>
      </c>
      <c r="DR161">
        <v>24.874400000000001</v>
      </c>
      <c r="DS161">
        <v>24.729800000000001</v>
      </c>
      <c r="DT161">
        <v>16.8</v>
      </c>
      <c r="DU161">
        <v>29.8</v>
      </c>
      <c r="DV161">
        <v>7.1436999999999999</v>
      </c>
      <c r="DW161">
        <v>61.7241</v>
      </c>
      <c r="DX161">
        <v>36.614600000000003</v>
      </c>
      <c r="DY161">
        <v>1</v>
      </c>
      <c r="DZ161">
        <v>-0.10276399999999999</v>
      </c>
      <c r="EA161">
        <v>0.14820800000000001</v>
      </c>
      <c r="EB161">
        <v>20.190000000000001</v>
      </c>
      <c r="EC161">
        <v>5.2409499999999998</v>
      </c>
      <c r="ED161">
        <v>12.039899999999999</v>
      </c>
      <c r="EE161">
        <v>5.0167000000000002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1.869</v>
      </c>
      <c r="EL161">
        <v>1.8647</v>
      </c>
      <c r="EM161">
        <v>1.8692</v>
      </c>
      <c r="EN161">
        <v>1.8672599999999999</v>
      </c>
      <c r="EO161">
        <v>1.86341</v>
      </c>
      <c r="EP161">
        <v>1.86459</v>
      </c>
      <c r="EQ161">
        <v>1.8702700000000001</v>
      </c>
      <c r="ER161">
        <v>1.86947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-3.9E-2</v>
      </c>
      <c r="FG161">
        <v>0.19009999999999999</v>
      </c>
      <c r="FH161">
        <v>0.27827353915413472</v>
      </c>
      <c r="FI161">
        <v>-6.1462078757559423E-4</v>
      </c>
      <c r="FJ161">
        <v>-1.8861989874597051E-7</v>
      </c>
      <c r="FK161">
        <v>1.1980462299894961E-10</v>
      </c>
      <c r="FL161">
        <v>0.19010266435860859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33.799999999999997</v>
      </c>
      <c r="FU161">
        <v>33.700000000000003</v>
      </c>
      <c r="FV161">
        <v>1.7773399999999999</v>
      </c>
      <c r="FW161">
        <v>2.5830099999999998</v>
      </c>
      <c r="FX161">
        <v>1.5490699999999999</v>
      </c>
      <c r="FY161">
        <v>2.3290999999999999</v>
      </c>
      <c r="FZ161">
        <v>1.50146</v>
      </c>
      <c r="GA161">
        <v>2.3815900000000001</v>
      </c>
      <c r="GB161">
        <v>33.828299999999999</v>
      </c>
      <c r="GC161">
        <v>23.982399999999998</v>
      </c>
      <c r="GD161">
        <v>19</v>
      </c>
      <c r="GE161">
        <v>285.89299999999997</v>
      </c>
      <c r="GF161">
        <v>581.91200000000003</v>
      </c>
      <c r="GG161">
        <v>24.028500000000001</v>
      </c>
      <c r="GH161">
        <v>26.087599999999998</v>
      </c>
      <c r="GI161">
        <v>29.9999</v>
      </c>
      <c r="GJ161">
        <v>26.244399999999999</v>
      </c>
      <c r="GK161">
        <v>26.231400000000001</v>
      </c>
      <c r="GL161">
        <v>35.540900000000001</v>
      </c>
      <c r="GM161">
        <v>-30</v>
      </c>
      <c r="GN161">
        <v>-30</v>
      </c>
      <c r="GO161">
        <v>24.0138</v>
      </c>
      <c r="GP161">
        <v>800</v>
      </c>
      <c r="GQ161">
        <v>12.5298</v>
      </c>
      <c r="GR161">
        <v>99.752200000000002</v>
      </c>
      <c r="GS161">
        <v>99.586699999999993</v>
      </c>
    </row>
    <row r="162" spans="1:201" x14ac:dyDescent="0.25">
      <c r="A162">
        <v>146</v>
      </c>
      <c r="B162">
        <v>1690219625.0999999</v>
      </c>
      <c r="C162">
        <v>1604.599999904633</v>
      </c>
      <c r="D162" t="s">
        <v>621</v>
      </c>
      <c r="E162" t="s">
        <v>622</v>
      </c>
      <c r="F162" t="s">
        <v>330</v>
      </c>
      <c r="H162">
        <v>1690219625.0999999</v>
      </c>
      <c r="I162">
        <f t="shared" si="60"/>
        <v>1.7683088228494723E-3</v>
      </c>
      <c r="J162">
        <f t="shared" si="61"/>
        <v>1.7683088228494723</v>
      </c>
      <c r="K162">
        <f t="shared" si="62"/>
        <v>30.100666260847181</v>
      </c>
      <c r="L162">
        <f t="shared" si="63"/>
        <v>466.28</v>
      </c>
      <c r="M162">
        <f t="shared" si="64"/>
        <v>98.167696282170851</v>
      </c>
      <c r="N162">
        <f t="shared" si="65"/>
        <v>9.7342199412084653</v>
      </c>
      <c r="O162">
        <f t="shared" si="66"/>
        <v>46.235902909856001</v>
      </c>
      <c r="P162">
        <f t="shared" si="67"/>
        <v>0.13705891719572527</v>
      </c>
      <c r="Q162">
        <f t="shared" si="68"/>
        <v>2.1321879276223195</v>
      </c>
      <c r="R162">
        <f t="shared" si="69"/>
        <v>0.13234576571172232</v>
      </c>
      <c r="S162">
        <f t="shared" si="70"/>
        <v>8.3126059282683865E-2</v>
      </c>
      <c r="T162">
        <f t="shared" si="71"/>
        <v>276.116128758</v>
      </c>
      <c r="U162">
        <f t="shared" si="72"/>
        <v>27.549478045326339</v>
      </c>
      <c r="V162">
        <f t="shared" si="73"/>
        <v>27.549478045326339</v>
      </c>
      <c r="W162">
        <f t="shared" si="74"/>
        <v>3.696307012495446</v>
      </c>
      <c r="X162">
        <f t="shared" si="75"/>
        <v>71.561797751728975</v>
      </c>
      <c r="Y162">
        <f t="shared" si="76"/>
        <v>2.4122234771113598</v>
      </c>
      <c r="Z162">
        <f t="shared" si="77"/>
        <v>3.3708257099411383</v>
      </c>
      <c r="AA162">
        <f t="shared" si="78"/>
        <v>1.2840835353840863</v>
      </c>
      <c r="AB162">
        <f t="shared" si="79"/>
        <v>-77.982419087661725</v>
      </c>
      <c r="AC162">
        <f t="shared" si="80"/>
        <v>-180.09044901735555</v>
      </c>
      <c r="AD162">
        <f t="shared" si="81"/>
        <v>-18.185577500410851</v>
      </c>
      <c r="AE162">
        <f t="shared" si="82"/>
        <v>-0.14231684742810558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52623.880320899028</v>
      </c>
      <c r="AK162">
        <f t="shared" si="86"/>
        <v>1800</v>
      </c>
      <c r="AL162">
        <f t="shared" si="87"/>
        <v>1499.1133878000001</v>
      </c>
      <c r="AM162">
        <f t="shared" si="88"/>
        <v>0.83284077099999998</v>
      </c>
      <c r="AN162">
        <f t="shared" si="89"/>
        <v>0.15339784931</v>
      </c>
      <c r="AO162">
        <v>32.4</v>
      </c>
      <c r="AP162">
        <v>0.5</v>
      </c>
      <c r="AQ162" t="s">
        <v>331</v>
      </c>
      <c r="AR162">
        <v>2</v>
      </c>
      <c r="AS162">
        <v>1690219625.0999999</v>
      </c>
      <c r="AT162">
        <v>466.28</v>
      </c>
      <c r="AU162">
        <v>800.01400000000001</v>
      </c>
      <c r="AV162">
        <v>24.326799999999999</v>
      </c>
      <c r="AW162">
        <v>5.7080500000000001</v>
      </c>
      <c r="AX162">
        <v>466.31700000000001</v>
      </c>
      <c r="AY162">
        <v>24.136700000000001</v>
      </c>
      <c r="AZ162">
        <v>300.23200000000003</v>
      </c>
      <c r="BA162">
        <v>99.059100000000001</v>
      </c>
      <c r="BB162">
        <v>9.9995200000000006E-2</v>
      </c>
      <c r="BC162">
        <v>25.982800000000001</v>
      </c>
      <c r="BD162">
        <v>26.991299999999999</v>
      </c>
      <c r="BE162">
        <v>27.240100000000002</v>
      </c>
      <c r="BF162">
        <v>0</v>
      </c>
      <c r="BG162">
        <v>0</v>
      </c>
      <c r="BH162">
        <v>10013.1</v>
      </c>
      <c r="BI162">
        <v>1067.18</v>
      </c>
      <c r="BJ162">
        <v>1.7380500000000001</v>
      </c>
      <c r="BK162">
        <v>-333.73399999999998</v>
      </c>
      <c r="BL162">
        <v>477.90499999999997</v>
      </c>
      <c r="BM162">
        <v>804.60699999999997</v>
      </c>
      <c r="BN162">
        <v>18.6188</v>
      </c>
      <c r="BO162">
        <v>800.01400000000001</v>
      </c>
      <c r="BP162">
        <v>5.7080500000000001</v>
      </c>
      <c r="BQ162">
        <v>2.4097900000000001</v>
      </c>
      <c r="BR162">
        <v>0.56543399999999999</v>
      </c>
      <c r="BS162">
        <v>20.4297</v>
      </c>
      <c r="BT162">
        <v>-1.12141</v>
      </c>
      <c r="BU162">
        <v>1800</v>
      </c>
      <c r="BV162">
        <v>0.909995</v>
      </c>
      <c r="BW162">
        <v>3.3990399999999997E-2</v>
      </c>
      <c r="BX162">
        <v>2.20068E-2</v>
      </c>
      <c r="BY162">
        <v>3.4007700000000002E-2</v>
      </c>
      <c r="BZ162">
        <v>26</v>
      </c>
      <c r="CA162">
        <v>33528.199999999997</v>
      </c>
      <c r="CB162">
        <v>1690217592</v>
      </c>
      <c r="CC162" t="s">
        <v>332</v>
      </c>
      <c r="CD162">
        <v>1690217586.5</v>
      </c>
      <c r="CE162">
        <v>1690217592</v>
      </c>
      <c r="CF162">
        <v>9</v>
      </c>
      <c r="CG162">
        <v>0.11600000000000001</v>
      </c>
      <c r="CH162">
        <v>-3.0000000000000001E-3</v>
      </c>
      <c r="CI162">
        <v>-0.27300000000000002</v>
      </c>
      <c r="CJ162">
        <v>-6.9000000000000006E-2</v>
      </c>
      <c r="CK162">
        <v>800</v>
      </c>
      <c r="CL162">
        <v>6</v>
      </c>
      <c r="CM162">
        <v>0.01</v>
      </c>
      <c r="CN162">
        <v>0.01</v>
      </c>
      <c r="CO162">
        <v>-331.739825</v>
      </c>
      <c r="CP162">
        <v>-11.055681050656441</v>
      </c>
      <c r="CQ162">
        <v>1.064433273801132</v>
      </c>
      <c r="CR162">
        <v>-1</v>
      </c>
      <c r="CS162">
        <v>18.532322499999999</v>
      </c>
      <c r="CT162">
        <v>0.51003264540330717</v>
      </c>
      <c r="CU162">
        <v>4.9099396572157533E-2</v>
      </c>
      <c r="CV162">
        <v>-1</v>
      </c>
      <c r="CW162">
        <v>0</v>
      </c>
      <c r="CX162">
        <v>0</v>
      </c>
      <c r="CY162" t="s">
        <v>333</v>
      </c>
      <c r="CZ162">
        <v>2.3648500000000001</v>
      </c>
      <c r="DA162">
        <v>2.7138</v>
      </c>
      <c r="DB162">
        <v>0.10043100000000001</v>
      </c>
      <c r="DC162">
        <v>0.146092</v>
      </c>
      <c r="DD162">
        <v>0.114996</v>
      </c>
      <c r="DE162">
        <v>3.7877000000000001E-2</v>
      </c>
      <c r="DF162">
        <v>32851.800000000003</v>
      </c>
      <c r="DG162">
        <v>27525.1</v>
      </c>
      <c r="DH162">
        <v>31176.2</v>
      </c>
      <c r="DI162">
        <v>28087.3</v>
      </c>
      <c r="DJ162">
        <v>37454</v>
      </c>
      <c r="DK162">
        <v>38428.5</v>
      </c>
      <c r="DL162">
        <v>44367.7</v>
      </c>
      <c r="DM162">
        <v>42568.800000000003</v>
      </c>
      <c r="DN162">
        <v>1.48465</v>
      </c>
      <c r="DO162">
        <v>2.0360999999999998</v>
      </c>
      <c r="DP162">
        <v>0.12909200000000001</v>
      </c>
      <c r="DQ162">
        <v>0.15321699999999999</v>
      </c>
      <c r="DR162">
        <v>24.8765</v>
      </c>
      <c r="DS162">
        <v>24.7303</v>
      </c>
      <c r="DT162">
        <v>16.8</v>
      </c>
      <c r="DU162">
        <v>29.8</v>
      </c>
      <c r="DV162">
        <v>7.1422600000000003</v>
      </c>
      <c r="DW162">
        <v>61.6541</v>
      </c>
      <c r="DX162">
        <v>36.682699999999997</v>
      </c>
      <c r="DY162">
        <v>1</v>
      </c>
      <c r="DZ162">
        <v>-0.102434</v>
      </c>
      <c r="EA162">
        <v>0.219306</v>
      </c>
      <c r="EB162">
        <v>20.189900000000002</v>
      </c>
      <c r="EC162">
        <v>5.2413999999999996</v>
      </c>
      <c r="ED162">
        <v>12.039899999999999</v>
      </c>
      <c r="EE162">
        <v>5.0167999999999999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1.8690100000000001</v>
      </c>
      <c r="EL162">
        <v>1.8646799999999999</v>
      </c>
      <c r="EM162">
        <v>1.8692</v>
      </c>
      <c r="EN162">
        <v>1.8672800000000001</v>
      </c>
      <c r="EO162">
        <v>1.8633999999999999</v>
      </c>
      <c r="EP162">
        <v>1.86459</v>
      </c>
      <c r="EQ162">
        <v>1.87026</v>
      </c>
      <c r="ER162">
        <v>1.86947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-3.6999999999999998E-2</v>
      </c>
      <c r="FG162">
        <v>0.19009999999999999</v>
      </c>
      <c r="FH162">
        <v>0.27827353915413472</v>
      </c>
      <c r="FI162">
        <v>-6.1462078757559423E-4</v>
      </c>
      <c r="FJ162">
        <v>-1.8861989874597051E-7</v>
      </c>
      <c r="FK162">
        <v>1.1980462299894961E-10</v>
      </c>
      <c r="FL162">
        <v>0.19010266435860859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34</v>
      </c>
      <c r="FU162">
        <v>33.9</v>
      </c>
      <c r="FV162">
        <v>1.7773399999999999</v>
      </c>
      <c r="FW162">
        <v>2.5793499999999998</v>
      </c>
      <c r="FX162">
        <v>1.5490699999999999</v>
      </c>
      <c r="FY162">
        <v>2.3290999999999999</v>
      </c>
      <c r="FZ162">
        <v>1.50146</v>
      </c>
      <c r="GA162">
        <v>2.36938</v>
      </c>
      <c r="GB162">
        <v>33.828299999999999</v>
      </c>
      <c r="GC162">
        <v>23.982399999999998</v>
      </c>
      <c r="GD162">
        <v>19</v>
      </c>
      <c r="GE162">
        <v>286.01900000000001</v>
      </c>
      <c r="GF162">
        <v>581.702</v>
      </c>
      <c r="GG162">
        <v>24.020800000000001</v>
      </c>
      <c r="GH162">
        <v>26.0854</v>
      </c>
      <c r="GI162">
        <v>30</v>
      </c>
      <c r="GJ162">
        <v>26.2437</v>
      </c>
      <c r="GK162">
        <v>26.229199999999999</v>
      </c>
      <c r="GL162">
        <v>35.5411</v>
      </c>
      <c r="GM162">
        <v>-30</v>
      </c>
      <c r="GN162">
        <v>-30</v>
      </c>
      <c r="GO162">
        <v>24.0197</v>
      </c>
      <c r="GP162">
        <v>800</v>
      </c>
      <c r="GQ162">
        <v>12.5298</v>
      </c>
      <c r="GR162">
        <v>99.751900000000006</v>
      </c>
      <c r="GS162">
        <v>99.584900000000005</v>
      </c>
    </row>
    <row r="163" spans="1:201" x14ac:dyDescent="0.25">
      <c r="A163">
        <v>147</v>
      </c>
      <c r="B163">
        <v>1690219635.0999999</v>
      </c>
      <c r="C163">
        <v>1614.599999904633</v>
      </c>
      <c r="D163" t="s">
        <v>623</v>
      </c>
      <c r="E163" t="s">
        <v>624</v>
      </c>
      <c r="F163" t="s">
        <v>330</v>
      </c>
      <c r="H163">
        <v>1690219635.0999999</v>
      </c>
      <c r="I163">
        <f t="shared" si="60"/>
        <v>1.7749078694194397E-3</v>
      </c>
      <c r="J163">
        <f t="shared" si="61"/>
        <v>1.7749078694194398</v>
      </c>
      <c r="K163">
        <f t="shared" si="62"/>
        <v>30.258748364734789</v>
      </c>
      <c r="L163">
        <f t="shared" si="63"/>
        <v>464.52699999999999</v>
      </c>
      <c r="M163">
        <f t="shared" si="64"/>
        <v>97.787098793517131</v>
      </c>
      <c r="N163">
        <f t="shared" si="65"/>
        <v>9.6965912073978817</v>
      </c>
      <c r="O163">
        <f t="shared" si="66"/>
        <v>46.062604161210004</v>
      </c>
      <c r="P163">
        <f t="shared" si="67"/>
        <v>0.13832588991970177</v>
      </c>
      <c r="Q163">
        <f t="shared" si="68"/>
        <v>2.1292170445731911</v>
      </c>
      <c r="R163">
        <f t="shared" si="69"/>
        <v>0.13352039465762469</v>
      </c>
      <c r="S163">
        <f t="shared" si="70"/>
        <v>8.3868093226470389E-2</v>
      </c>
      <c r="T163">
        <f t="shared" si="71"/>
        <v>276.11600236199996</v>
      </c>
      <c r="U163">
        <f t="shared" si="72"/>
        <v>27.550957072231515</v>
      </c>
      <c r="V163">
        <f t="shared" si="73"/>
        <v>27.550957072231515</v>
      </c>
      <c r="W163">
        <f t="shared" si="74"/>
        <v>3.6966267985882899</v>
      </c>
      <c r="X163">
        <f t="shared" si="75"/>
        <v>71.758833356141054</v>
      </c>
      <c r="Y163">
        <f t="shared" si="76"/>
        <v>2.4191228871029997</v>
      </c>
      <c r="Z163">
        <f t="shared" si="77"/>
        <v>3.3711848060528333</v>
      </c>
      <c r="AA163">
        <f t="shared" si="78"/>
        <v>1.2775039114852902</v>
      </c>
      <c r="AB163">
        <f t="shared" si="79"/>
        <v>-78.273437041397287</v>
      </c>
      <c r="AC163">
        <f t="shared" si="80"/>
        <v>-179.80267546099225</v>
      </c>
      <c r="AD163">
        <f t="shared" si="81"/>
        <v>-18.182150006896642</v>
      </c>
      <c r="AE163">
        <f t="shared" si="82"/>
        <v>-0.14226014728620839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52495.099567314704</v>
      </c>
      <c r="AK163">
        <f t="shared" si="86"/>
        <v>1800</v>
      </c>
      <c r="AL163">
        <f t="shared" si="87"/>
        <v>1499.1128351999998</v>
      </c>
      <c r="AM163">
        <f t="shared" si="88"/>
        <v>0.83284046399999989</v>
      </c>
      <c r="AN163">
        <f t="shared" si="89"/>
        <v>0.15339777908999999</v>
      </c>
      <c r="AO163">
        <v>32.4</v>
      </c>
      <c r="AP163">
        <v>0.5</v>
      </c>
      <c r="AQ163" t="s">
        <v>331</v>
      </c>
      <c r="AR163">
        <v>2</v>
      </c>
      <c r="AS163">
        <v>1690219635.0999999</v>
      </c>
      <c r="AT163">
        <v>464.52699999999999</v>
      </c>
      <c r="AU163">
        <v>799.99900000000002</v>
      </c>
      <c r="AV163">
        <v>24.396100000000001</v>
      </c>
      <c r="AW163">
        <v>5.7073900000000002</v>
      </c>
      <c r="AX163">
        <v>464.56299999999999</v>
      </c>
      <c r="AY163">
        <v>24.206</v>
      </c>
      <c r="AZ163">
        <v>300.20299999999997</v>
      </c>
      <c r="BA163">
        <v>99.060199999999995</v>
      </c>
      <c r="BB163">
        <v>0.10002999999999999</v>
      </c>
      <c r="BC163">
        <v>25.9846</v>
      </c>
      <c r="BD163">
        <v>27.004999999999999</v>
      </c>
      <c r="BE163">
        <v>27.244299999999999</v>
      </c>
      <c r="BF163">
        <v>0</v>
      </c>
      <c r="BG163">
        <v>0</v>
      </c>
      <c r="BH163">
        <v>9987.5</v>
      </c>
      <c r="BI163">
        <v>1067.24</v>
      </c>
      <c r="BJ163">
        <v>1.7380500000000001</v>
      </c>
      <c r="BK163">
        <v>-335.471</v>
      </c>
      <c r="BL163">
        <v>476.14299999999997</v>
      </c>
      <c r="BM163">
        <v>804.59100000000001</v>
      </c>
      <c r="BN163">
        <v>18.688700000000001</v>
      </c>
      <c r="BO163">
        <v>799.99900000000002</v>
      </c>
      <c r="BP163">
        <v>5.7073900000000002</v>
      </c>
      <c r="BQ163">
        <v>2.4166799999999999</v>
      </c>
      <c r="BR163">
        <v>0.56537599999999999</v>
      </c>
      <c r="BS163">
        <v>20.475999999999999</v>
      </c>
      <c r="BT163">
        <v>-1.1228199999999999</v>
      </c>
      <c r="BU163">
        <v>1800</v>
      </c>
      <c r="BV163">
        <v>0.909995</v>
      </c>
      <c r="BW163">
        <v>3.3990300000000001E-2</v>
      </c>
      <c r="BX163">
        <v>2.2006700000000001E-2</v>
      </c>
      <c r="BY163">
        <v>3.4007500000000003E-2</v>
      </c>
      <c r="BZ163">
        <v>25.833300000000001</v>
      </c>
      <c r="CA163">
        <v>33528.400000000001</v>
      </c>
      <c r="CB163">
        <v>1690217592</v>
      </c>
      <c r="CC163" t="s">
        <v>332</v>
      </c>
      <c r="CD163">
        <v>1690217586.5</v>
      </c>
      <c r="CE163">
        <v>1690217592</v>
      </c>
      <c r="CF163">
        <v>9</v>
      </c>
      <c r="CG163">
        <v>0.11600000000000001</v>
      </c>
      <c r="CH163">
        <v>-3.0000000000000001E-3</v>
      </c>
      <c r="CI163">
        <v>-0.27300000000000002</v>
      </c>
      <c r="CJ163">
        <v>-6.9000000000000006E-2</v>
      </c>
      <c r="CK163">
        <v>800</v>
      </c>
      <c r="CL163">
        <v>6</v>
      </c>
      <c r="CM163">
        <v>0.01</v>
      </c>
      <c r="CN163">
        <v>0.01</v>
      </c>
      <c r="CO163">
        <v>-333.61900000000003</v>
      </c>
      <c r="CP163">
        <v>-11.05300348432119</v>
      </c>
      <c r="CQ163">
        <v>1.090244971353215</v>
      </c>
      <c r="CR163">
        <v>-1</v>
      </c>
      <c r="CS163">
        <v>18.61394878048781</v>
      </c>
      <c r="CT163">
        <v>0.44633728222999403</v>
      </c>
      <c r="CU163">
        <v>4.4023891085610417E-2</v>
      </c>
      <c r="CV163">
        <v>-1</v>
      </c>
      <c r="CW163">
        <v>0</v>
      </c>
      <c r="CX163">
        <v>0</v>
      </c>
      <c r="CY163" t="s">
        <v>333</v>
      </c>
      <c r="CZ163">
        <v>2.3647399999999998</v>
      </c>
      <c r="DA163">
        <v>2.7138100000000001</v>
      </c>
      <c r="DB163">
        <v>0.10015300000000001</v>
      </c>
      <c r="DC163">
        <v>0.146092</v>
      </c>
      <c r="DD163">
        <v>0.115228</v>
      </c>
      <c r="DE163">
        <v>3.7874100000000001E-2</v>
      </c>
      <c r="DF163">
        <v>32862</v>
      </c>
      <c r="DG163">
        <v>27525.200000000001</v>
      </c>
      <c r="DH163">
        <v>31176.2</v>
      </c>
      <c r="DI163">
        <v>28087.5</v>
      </c>
      <c r="DJ163">
        <v>37444.199999999997</v>
      </c>
      <c r="DK163">
        <v>38428.9</v>
      </c>
      <c r="DL163">
        <v>44367.9</v>
      </c>
      <c r="DM163">
        <v>42569.1</v>
      </c>
      <c r="DN163">
        <v>1.4845200000000001</v>
      </c>
      <c r="DO163">
        <v>2.0366</v>
      </c>
      <c r="DP163">
        <v>0.1298</v>
      </c>
      <c r="DQ163">
        <v>0.15334800000000001</v>
      </c>
      <c r="DR163">
        <v>24.878499999999999</v>
      </c>
      <c r="DS163">
        <v>24.732299999999999</v>
      </c>
      <c r="DT163">
        <v>16.8</v>
      </c>
      <c r="DU163">
        <v>29.8</v>
      </c>
      <c r="DV163">
        <v>7.1428000000000003</v>
      </c>
      <c r="DW163">
        <v>62.004100000000001</v>
      </c>
      <c r="DX163">
        <v>37.135399999999997</v>
      </c>
      <c r="DY163">
        <v>1</v>
      </c>
      <c r="DZ163">
        <v>-0.102434</v>
      </c>
      <c r="EA163">
        <v>0.20163400000000001</v>
      </c>
      <c r="EB163">
        <v>20.189699999999998</v>
      </c>
      <c r="EC163">
        <v>5.2409499999999998</v>
      </c>
      <c r="ED163">
        <v>12.039899999999999</v>
      </c>
      <c r="EE163">
        <v>5.0167999999999999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1.8689800000000001</v>
      </c>
      <c r="EL163">
        <v>1.86469</v>
      </c>
      <c r="EM163">
        <v>1.8692</v>
      </c>
      <c r="EN163">
        <v>1.8672899999999999</v>
      </c>
      <c r="EO163">
        <v>1.8634200000000001</v>
      </c>
      <c r="EP163">
        <v>1.8646100000000001</v>
      </c>
      <c r="EQ163">
        <v>1.8702700000000001</v>
      </c>
      <c r="ER163">
        <v>1.8694500000000001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-3.5999999999999997E-2</v>
      </c>
      <c r="FG163">
        <v>0.19009999999999999</v>
      </c>
      <c r="FH163">
        <v>0.27827353915413472</v>
      </c>
      <c r="FI163">
        <v>-6.1462078757559423E-4</v>
      </c>
      <c r="FJ163">
        <v>-1.8861989874597051E-7</v>
      </c>
      <c r="FK163">
        <v>1.1980462299894961E-10</v>
      </c>
      <c r="FL163">
        <v>0.19010266435860859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34.1</v>
      </c>
      <c r="FU163">
        <v>34.1</v>
      </c>
      <c r="FV163">
        <v>1.7773399999999999</v>
      </c>
      <c r="FW163">
        <v>2.5830099999999998</v>
      </c>
      <c r="FX163">
        <v>1.5490699999999999</v>
      </c>
      <c r="FY163">
        <v>2.3290999999999999</v>
      </c>
      <c r="FZ163">
        <v>1.50146</v>
      </c>
      <c r="GA163">
        <v>2.3889200000000002</v>
      </c>
      <c r="GB163">
        <v>33.828299999999999</v>
      </c>
      <c r="GC163">
        <v>23.982399999999998</v>
      </c>
      <c r="GD163">
        <v>19</v>
      </c>
      <c r="GE163">
        <v>285.95699999999999</v>
      </c>
      <c r="GF163">
        <v>582.08900000000006</v>
      </c>
      <c r="GG163">
        <v>24.0245</v>
      </c>
      <c r="GH163">
        <v>26.0854</v>
      </c>
      <c r="GI163">
        <v>30.0001</v>
      </c>
      <c r="GJ163">
        <v>26.2423</v>
      </c>
      <c r="GK163">
        <v>26.2271</v>
      </c>
      <c r="GL163">
        <v>35.542099999999998</v>
      </c>
      <c r="GM163">
        <v>-30</v>
      </c>
      <c r="GN163">
        <v>-30</v>
      </c>
      <c r="GO163">
        <v>24.021999999999998</v>
      </c>
      <c r="GP163">
        <v>800</v>
      </c>
      <c r="GQ163">
        <v>12.5298</v>
      </c>
      <c r="GR163">
        <v>99.752200000000002</v>
      </c>
      <c r="GS163">
        <v>99.585700000000003</v>
      </c>
    </row>
    <row r="164" spans="1:201" x14ac:dyDescent="0.25">
      <c r="A164">
        <v>148</v>
      </c>
      <c r="B164">
        <v>1690219645.0999999</v>
      </c>
      <c r="C164">
        <v>1624.599999904633</v>
      </c>
      <c r="D164" t="s">
        <v>625</v>
      </c>
      <c r="E164" t="s">
        <v>626</v>
      </c>
      <c r="F164" t="s">
        <v>330</v>
      </c>
      <c r="H164">
        <v>1690219645.0999999</v>
      </c>
      <c r="I164">
        <f t="shared" si="60"/>
        <v>1.7819959315497791E-3</v>
      </c>
      <c r="J164">
        <f t="shared" si="61"/>
        <v>1.7819959315497791</v>
      </c>
      <c r="K164">
        <f t="shared" si="62"/>
        <v>30.439239486794307</v>
      </c>
      <c r="L164">
        <f t="shared" si="63"/>
        <v>462.67</v>
      </c>
      <c r="M164">
        <f t="shared" si="64"/>
        <v>97.562936386578656</v>
      </c>
      <c r="N164">
        <f t="shared" si="65"/>
        <v>9.674421359078595</v>
      </c>
      <c r="O164">
        <f t="shared" si="66"/>
        <v>45.878739365419996</v>
      </c>
      <c r="P164">
        <f t="shared" si="67"/>
        <v>0.13979013117107889</v>
      </c>
      <c r="Q164">
        <f t="shared" si="68"/>
        <v>2.1365661145832142</v>
      </c>
      <c r="R164">
        <f t="shared" si="69"/>
        <v>0.13490054131035858</v>
      </c>
      <c r="S164">
        <f t="shared" si="70"/>
        <v>8.4737900130666066E-2</v>
      </c>
      <c r="T164">
        <f t="shared" si="71"/>
        <v>276.11615111400005</v>
      </c>
      <c r="U164">
        <f t="shared" si="72"/>
        <v>27.545889923641301</v>
      </c>
      <c r="V164">
        <f t="shared" si="73"/>
        <v>27.545889923641301</v>
      </c>
      <c r="W164">
        <f t="shared" si="74"/>
        <v>3.695531311235424</v>
      </c>
      <c r="X164">
        <f t="shared" si="75"/>
        <v>71.955369578632386</v>
      </c>
      <c r="Y164">
        <f t="shared" si="76"/>
        <v>2.4260786849986</v>
      </c>
      <c r="Z164">
        <f t="shared" si="77"/>
        <v>3.3716436997066577</v>
      </c>
      <c r="AA164">
        <f t="shared" si="78"/>
        <v>1.269452626236824</v>
      </c>
      <c r="AB164">
        <f t="shared" si="79"/>
        <v>-78.586020581345267</v>
      </c>
      <c r="AC164">
        <f t="shared" si="80"/>
        <v>-179.57467448289177</v>
      </c>
      <c r="AD164">
        <f t="shared" si="81"/>
        <v>-18.096380992815885</v>
      </c>
      <c r="AE164">
        <f t="shared" si="82"/>
        <v>-0.1409249430529087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52812.923091760073</v>
      </c>
      <c r="AK164">
        <f t="shared" si="86"/>
        <v>1800</v>
      </c>
      <c r="AL164">
        <f t="shared" si="87"/>
        <v>1499.1111954</v>
      </c>
      <c r="AM164">
        <f t="shared" si="88"/>
        <v>0.83283955300000001</v>
      </c>
      <c r="AN164">
        <f t="shared" si="89"/>
        <v>0.15339786173000003</v>
      </c>
      <c r="AO164">
        <v>32.4</v>
      </c>
      <c r="AP164">
        <v>0.5</v>
      </c>
      <c r="AQ164" t="s">
        <v>331</v>
      </c>
      <c r="AR164">
        <v>2</v>
      </c>
      <c r="AS164">
        <v>1690219645.0999999</v>
      </c>
      <c r="AT164">
        <v>462.67</v>
      </c>
      <c r="AU164">
        <v>800.02800000000002</v>
      </c>
      <c r="AV164">
        <v>24.466100000000001</v>
      </c>
      <c r="AW164">
        <v>5.7075399999999998</v>
      </c>
      <c r="AX164">
        <v>462.70400000000001</v>
      </c>
      <c r="AY164">
        <v>24.276</v>
      </c>
      <c r="AZ164">
        <v>300.25799999999998</v>
      </c>
      <c r="BA164">
        <v>99.0608</v>
      </c>
      <c r="BB164">
        <v>0.100026</v>
      </c>
      <c r="BC164">
        <v>25.986899999999999</v>
      </c>
      <c r="BD164">
        <v>27.005600000000001</v>
      </c>
      <c r="BE164">
        <v>27.238</v>
      </c>
      <c r="BF164">
        <v>0</v>
      </c>
      <c r="BG164">
        <v>0</v>
      </c>
      <c r="BH164">
        <v>10050.6</v>
      </c>
      <c r="BI164">
        <v>1067.28</v>
      </c>
      <c r="BJ164">
        <v>1.7380500000000001</v>
      </c>
      <c r="BK164">
        <v>-337.358</v>
      </c>
      <c r="BL164">
        <v>474.27300000000002</v>
      </c>
      <c r="BM164">
        <v>804.62</v>
      </c>
      <c r="BN164">
        <v>18.758500000000002</v>
      </c>
      <c r="BO164">
        <v>800.02800000000002</v>
      </c>
      <c r="BP164">
        <v>5.7075399999999998</v>
      </c>
      <c r="BQ164">
        <v>2.4236300000000002</v>
      </c>
      <c r="BR164">
        <v>0.56539399999999995</v>
      </c>
      <c r="BS164">
        <v>20.522500000000001</v>
      </c>
      <c r="BT164">
        <v>-1.12239</v>
      </c>
      <c r="BU164">
        <v>1800</v>
      </c>
      <c r="BV164">
        <v>0.90998800000000002</v>
      </c>
      <c r="BW164">
        <v>3.3998199999999999E-2</v>
      </c>
      <c r="BX164">
        <v>2.2006399999999999E-2</v>
      </c>
      <c r="BY164">
        <v>3.4007099999999998E-2</v>
      </c>
      <c r="BZ164">
        <v>25.75</v>
      </c>
      <c r="CA164">
        <v>33528.199999999997</v>
      </c>
      <c r="CB164">
        <v>1690217592</v>
      </c>
      <c r="CC164" t="s">
        <v>332</v>
      </c>
      <c r="CD164">
        <v>1690217586.5</v>
      </c>
      <c r="CE164">
        <v>1690217592</v>
      </c>
      <c r="CF164">
        <v>9</v>
      </c>
      <c r="CG164">
        <v>0.11600000000000001</v>
      </c>
      <c r="CH164">
        <v>-3.0000000000000001E-3</v>
      </c>
      <c r="CI164">
        <v>-0.27300000000000002</v>
      </c>
      <c r="CJ164">
        <v>-6.9000000000000006E-2</v>
      </c>
      <c r="CK164">
        <v>800</v>
      </c>
      <c r="CL164">
        <v>6</v>
      </c>
      <c r="CM164">
        <v>0.01</v>
      </c>
      <c r="CN164">
        <v>0.01</v>
      </c>
      <c r="CO164">
        <v>-335.39709756097562</v>
      </c>
      <c r="CP164">
        <v>-10.39952613240437</v>
      </c>
      <c r="CQ164">
        <v>1.026377332907469</v>
      </c>
      <c r="CR164">
        <v>-1</v>
      </c>
      <c r="CS164">
        <v>18.684907317073169</v>
      </c>
      <c r="CT164">
        <v>0.40826759581879751</v>
      </c>
      <c r="CU164">
        <v>4.0267776806020332E-2</v>
      </c>
      <c r="CV164">
        <v>-1</v>
      </c>
      <c r="CW164">
        <v>0</v>
      </c>
      <c r="CX164">
        <v>0</v>
      </c>
      <c r="CY164" t="s">
        <v>333</v>
      </c>
      <c r="CZ164">
        <v>2.3649300000000002</v>
      </c>
      <c r="DA164">
        <v>2.7138599999999999</v>
      </c>
      <c r="DB164">
        <v>9.9858100000000005E-2</v>
      </c>
      <c r="DC164">
        <v>0.14609800000000001</v>
      </c>
      <c r="DD164">
        <v>0.115463</v>
      </c>
      <c r="DE164">
        <v>3.7875399999999997E-2</v>
      </c>
      <c r="DF164">
        <v>32872.6</v>
      </c>
      <c r="DG164">
        <v>27524.9</v>
      </c>
      <c r="DH164">
        <v>31176.1</v>
      </c>
      <c r="DI164">
        <v>28087.4</v>
      </c>
      <c r="DJ164">
        <v>37433.800000000003</v>
      </c>
      <c r="DK164">
        <v>38428.5</v>
      </c>
      <c r="DL164">
        <v>44367.5</v>
      </c>
      <c r="DM164">
        <v>42568.800000000003</v>
      </c>
      <c r="DN164">
        <v>1.48458</v>
      </c>
      <c r="DO164">
        <v>2.0363000000000002</v>
      </c>
      <c r="DP164">
        <v>0.12964800000000001</v>
      </c>
      <c r="DQ164">
        <v>0.15273300000000001</v>
      </c>
      <c r="DR164">
        <v>24.881699999999999</v>
      </c>
      <c r="DS164">
        <v>24.7361</v>
      </c>
      <c r="DT164">
        <v>16.8</v>
      </c>
      <c r="DU164">
        <v>29.8</v>
      </c>
      <c r="DV164">
        <v>7.14276</v>
      </c>
      <c r="DW164">
        <v>61.484099999999998</v>
      </c>
      <c r="DX164">
        <v>37.263599999999997</v>
      </c>
      <c r="DY164">
        <v>1</v>
      </c>
      <c r="DZ164">
        <v>-0.102256</v>
      </c>
      <c r="EA164">
        <v>0.28507900000000003</v>
      </c>
      <c r="EB164">
        <v>20.189399999999999</v>
      </c>
      <c r="EC164">
        <v>5.2409499999999998</v>
      </c>
      <c r="ED164">
        <v>12.039899999999999</v>
      </c>
      <c r="EE164">
        <v>5.0167000000000002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1.86896</v>
      </c>
      <c r="EL164">
        <v>1.86467</v>
      </c>
      <c r="EM164">
        <v>1.8692</v>
      </c>
      <c r="EN164">
        <v>1.8672500000000001</v>
      </c>
      <c r="EO164">
        <v>1.86341</v>
      </c>
      <c r="EP164">
        <v>1.8645799999999999</v>
      </c>
      <c r="EQ164">
        <v>1.87026</v>
      </c>
      <c r="ER164">
        <v>1.8694599999999999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-3.4000000000000002E-2</v>
      </c>
      <c r="FG164">
        <v>0.19009999999999999</v>
      </c>
      <c r="FH164">
        <v>0.27827353915413472</v>
      </c>
      <c r="FI164">
        <v>-6.1462078757559423E-4</v>
      </c>
      <c r="FJ164">
        <v>-1.8861989874597051E-7</v>
      </c>
      <c r="FK164">
        <v>1.1980462299894961E-10</v>
      </c>
      <c r="FL164">
        <v>0.19010266435860859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34.299999999999997</v>
      </c>
      <c r="FU164">
        <v>34.200000000000003</v>
      </c>
      <c r="FV164">
        <v>1.7773399999999999</v>
      </c>
      <c r="FW164">
        <v>2.5793499999999998</v>
      </c>
      <c r="FX164">
        <v>1.5490699999999999</v>
      </c>
      <c r="FY164">
        <v>2.3290999999999999</v>
      </c>
      <c r="FZ164">
        <v>1.50146</v>
      </c>
      <c r="GA164">
        <v>2.32544</v>
      </c>
      <c r="GB164">
        <v>33.828299999999999</v>
      </c>
      <c r="GC164">
        <v>23.982399999999998</v>
      </c>
      <c r="GD164">
        <v>19</v>
      </c>
      <c r="GE164">
        <v>285.96899999999999</v>
      </c>
      <c r="GF164">
        <v>581.83500000000004</v>
      </c>
      <c r="GG164">
        <v>24.014099999999999</v>
      </c>
      <c r="GH164">
        <v>26.0854</v>
      </c>
      <c r="GI164">
        <v>30.0002</v>
      </c>
      <c r="GJ164">
        <v>26.24</v>
      </c>
      <c r="GK164">
        <v>26.226500000000001</v>
      </c>
      <c r="GL164">
        <v>35.5411</v>
      </c>
      <c r="GM164">
        <v>-30</v>
      </c>
      <c r="GN164">
        <v>-30</v>
      </c>
      <c r="GO164">
        <v>23.994299999999999</v>
      </c>
      <c r="GP164">
        <v>800</v>
      </c>
      <c r="GQ164">
        <v>12.5298</v>
      </c>
      <c r="GR164">
        <v>99.751599999999996</v>
      </c>
      <c r="GS164">
        <v>99.584999999999994</v>
      </c>
    </row>
    <row r="165" spans="1:201" x14ac:dyDescent="0.25">
      <c r="A165">
        <v>149</v>
      </c>
      <c r="B165">
        <v>1690219655.0999999</v>
      </c>
      <c r="C165">
        <v>1634.599999904633</v>
      </c>
      <c r="D165" t="s">
        <v>627</v>
      </c>
      <c r="E165" t="s">
        <v>628</v>
      </c>
      <c r="F165" t="s">
        <v>330</v>
      </c>
      <c r="H165">
        <v>1690219655.0999999</v>
      </c>
      <c r="I165">
        <f t="shared" si="60"/>
        <v>1.7880796858978816E-3</v>
      </c>
      <c r="J165">
        <f t="shared" si="61"/>
        <v>1.7880796858978816</v>
      </c>
      <c r="K165">
        <f t="shared" si="62"/>
        <v>30.586424097590079</v>
      </c>
      <c r="L165">
        <f t="shared" si="63"/>
        <v>460.96499999999997</v>
      </c>
      <c r="M165">
        <f t="shared" si="64"/>
        <v>97.292518439233675</v>
      </c>
      <c r="N165">
        <f t="shared" si="65"/>
        <v>9.6472084683617094</v>
      </c>
      <c r="O165">
        <f t="shared" si="66"/>
        <v>45.707784349275002</v>
      </c>
      <c r="P165">
        <f t="shared" si="67"/>
        <v>0.14105475715691745</v>
      </c>
      <c r="Q165">
        <f t="shared" si="68"/>
        <v>2.1328230958523684</v>
      </c>
      <c r="R165">
        <f t="shared" si="69"/>
        <v>0.13606959127998336</v>
      </c>
      <c r="S165">
        <f t="shared" si="70"/>
        <v>8.5476713630603524E-2</v>
      </c>
      <c r="T165">
        <f t="shared" si="71"/>
        <v>276.11609661</v>
      </c>
      <c r="U165">
        <f t="shared" si="72"/>
        <v>27.545456639401152</v>
      </c>
      <c r="V165">
        <f t="shared" si="73"/>
        <v>27.545456639401152</v>
      </c>
      <c r="W165">
        <f t="shared" si="74"/>
        <v>3.6954376509123446</v>
      </c>
      <c r="X165">
        <f t="shared" si="75"/>
        <v>72.154916013849999</v>
      </c>
      <c r="Y165">
        <f t="shared" si="76"/>
        <v>2.432691505143</v>
      </c>
      <c r="Z165">
        <f t="shared" si="77"/>
        <v>3.3714840783350777</v>
      </c>
      <c r="AA165">
        <f t="shared" si="78"/>
        <v>1.2627461457693445</v>
      </c>
      <c r="AB165">
        <f t="shared" si="79"/>
        <v>-78.854314148096577</v>
      </c>
      <c r="AC165">
        <f t="shared" si="80"/>
        <v>-179.30224697676121</v>
      </c>
      <c r="AD165">
        <f t="shared" si="81"/>
        <v>-18.100526096553438</v>
      </c>
      <c r="AE165">
        <f t="shared" si="82"/>
        <v>-0.14099061141124025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52650.743667625742</v>
      </c>
      <c r="AK165">
        <f t="shared" si="86"/>
        <v>1800</v>
      </c>
      <c r="AL165">
        <f t="shared" si="87"/>
        <v>1499.1106409999998</v>
      </c>
      <c r="AM165">
        <f t="shared" si="88"/>
        <v>0.83283924499999984</v>
      </c>
      <c r="AN165">
        <f t="shared" si="89"/>
        <v>0.15339783144999999</v>
      </c>
      <c r="AO165">
        <v>32.4</v>
      </c>
      <c r="AP165">
        <v>0.5</v>
      </c>
      <c r="AQ165" t="s">
        <v>331</v>
      </c>
      <c r="AR165">
        <v>2</v>
      </c>
      <c r="AS165">
        <v>1690219655.0999999</v>
      </c>
      <c r="AT165">
        <v>460.96499999999997</v>
      </c>
      <c r="AU165">
        <v>799.99</v>
      </c>
      <c r="AV165">
        <v>24.533799999999999</v>
      </c>
      <c r="AW165">
        <v>5.7079899999999997</v>
      </c>
      <c r="AX165">
        <v>460.99900000000002</v>
      </c>
      <c r="AY165">
        <v>24.343699999999998</v>
      </c>
      <c r="AZ165">
        <v>300.18599999999998</v>
      </c>
      <c r="BA165">
        <v>99.056700000000006</v>
      </c>
      <c r="BB165">
        <v>0.100035</v>
      </c>
      <c r="BC165">
        <v>25.9861</v>
      </c>
      <c r="BD165">
        <v>26.9968</v>
      </c>
      <c r="BE165">
        <v>27.243099999999998</v>
      </c>
      <c r="BF165">
        <v>0</v>
      </c>
      <c r="BG165">
        <v>0</v>
      </c>
      <c r="BH165">
        <v>10018.799999999999</v>
      </c>
      <c r="BI165">
        <v>1067.33</v>
      </c>
      <c r="BJ165">
        <v>1.7380500000000001</v>
      </c>
      <c r="BK165">
        <v>-339.02499999999998</v>
      </c>
      <c r="BL165">
        <v>472.55900000000003</v>
      </c>
      <c r="BM165">
        <v>804.58299999999997</v>
      </c>
      <c r="BN165">
        <v>18.825800000000001</v>
      </c>
      <c r="BO165">
        <v>799.99</v>
      </c>
      <c r="BP165">
        <v>5.7079899999999997</v>
      </c>
      <c r="BQ165">
        <v>2.43024</v>
      </c>
      <c r="BR165">
        <v>0.565415</v>
      </c>
      <c r="BS165">
        <v>20.566700000000001</v>
      </c>
      <c r="BT165">
        <v>-1.1218900000000001</v>
      </c>
      <c r="BU165">
        <v>1800</v>
      </c>
      <c r="BV165">
        <v>0.90998699999999999</v>
      </c>
      <c r="BW165">
        <v>3.4000099999999998E-2</v>
      </c>
      <c r="BX165">
        <v>2.2006000000000001E-2</v>
      </c>
      <c r="BY165">
        <v>3.4006500000000002E-2</v>
      </c>
      <c r="BZ165">
        <v>25.958300000000001</v>
      </c>
      <c r="CA165">
        <v>33528.199999999997</v>
      </c>
      <c r="CB165">
        <v>1690217592</v>
      </c>
      <c r="CC165" t="s">
        <v>332</v>
      </c>
      <c r="CD165">
        <v>1690217586.5</v>
      </c>
      <c r="CE165">
        <v>1690217592</v>
      </c>
      <c r="CF165">
        <v>9</v>
      </c>
      <c r="CG165">
        <v>0.11600000000000001</v>
      </c>
      <c r="CH165">
        <v>-3.0000000000000001E-3</v>
      </c>
      <c r="CI165">
        <v>-0.27300000000000002</v>
      </c>
      <c r="CJ165">
        <v>-6.9000000000000006E-2</v>
      </c>
      <c r="CK165">
        <v>800</v>
      </c>
      <c r="CL165">
        <v>6</v>
      </c>
      <c r="CM165">
        <v>0.01</v>
      </c>
      <c r="CN165">
        <v>0.01</v>
      </c>
      <c r="CO165">
        <v>-337.14980487804883</v>
      </c>
      <c r="CP165">
        <v>-10.65117073170823</v>
      </c>
      <c r="CQ165">
        <v>1.0517796351668971</v>
      </c>
      <c r="CR165">
        <v>-1</v>
      </c>
      <c r="CS165">
        <v>18.754034146341461</v>
      </c>
      <c r="CT165">
        <v>0.41720278745643691</v>
      </c>
      <c r="CU165">
        <v>4.1165789785470051E-2</v>
      </c>
      <c r="CV165">
        <v>-1</v>
      </c>
      <c r="CW165">
        <v>0</v>
      </c>
      <c r="CX165">
        <v>0</v>
      </c>
      <c r="CY165" t="s">
        <v>333</v>
      </c>
      <c r="CZ165">
        <v>2.3647100000000001</v>
      </c>
      <c r="DA165">
        <v>2.7138399999999998</v>
      </c>
      <c r="DB165">
        <v>9.9580600000000005E-2</v>
      </c>
      <c r="DC165">
        <v>0.14608699999999999</v>
      </c>
      <c r="DD165">
        <v>0.11568299999999999</v>
      </c>
      <c r="DE165">
        <v>3.7876199999999999E-2</v>
      </c>
      <c r="DF165">
        <v>32882.5</v>
      </c>
      <c r="DG165">
        <v>27525.9</v>
      </c>
      <c r="DH165">
        <v>31175.9</v>
      </c>
      <c r="DI165">
        <v>28088</v>
      </c>
      <c r="DJ165">
        <v>37424</v>
      </c>
      <c r="DK165">
        <v>38429.5</v>
      </c>
      <c r="DL165">
        <v>44367.1</v>
      </c>
      <c r="DM165">
        <v>42569.9</v>
      </c>
      <c r="DN165">
        <v>1.4848699999999999</v>
      </c>
      <c r="DO165">
        <v>2.0367299999999999</v>
      </c>
      <c r="DP165">
        <v>0.12892100000000001</v>
      </c>
      <c r="DQ165">
        <v>0.15281900000000001</v>
      </c>
      <c r="DR165">
        <v>24.884799999999998</v>
      </c>
      <c r="DS165">
        <v>24.739699999999999</v>
      </c>
      <c r="DT165">
        <v>16.8</v>
      </c>
      <c r="DU165">
        <v>29.8</v>
      </c>
      <c r="DV165">
        <v>7.1439899999999996</v>
      </c>
      <c r="DW165">
        <v>61.444099999999999</v>
      </c>
      <c r="DX165">
        <v>37.419899999999998</v>
      </c>
      <c r="DY165">
        <v>1</v>
      </c>
      <c r="DZ165">
        <v>-0.101961</v>
      </c>
      <c r="EA165">
        <v>0.29213</v>
      </c>
      <c r="EB165">
        <v>20.189399999999999</v>
      </c>
      <c r="EC165">
        <v>5.2408000000000001</v>
      </c>
      <c r="ED165">
        <v>12.039899999999999</v>
      </c>
      <c r="EE165">
        <v>5.0171000000000001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1.86897</v>
      </c>
      <c r="EL165">
        <v>1.86466</v>
      </c>
      <c r="EM165">
        <v>1.8692</v>
      </c>
      <c r="EN165">
        <v>1.8672899999999999</v>
      </c>
      <c r="EO165">
        <v>1.86344</v>
      </c>
      <c r="EP165">
        <v>1.86459</v>
      </c>
      <c r="EQ165">
        <v>1.87026</v>
      </c>
      <c r="ER165">
        <v>1.8694900000000001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-3.4000000000000002E-2</v>
      </c>
      <c r="FG165">
        <v>0.19009999999999999</v>
      </c>
      <c r="FH165">
        <v>0.27827353915413472</v>
      </c>
      <c r="FI165">
        <v>-6.1462078757559423E-4</v>
      </c>
      <c r="FJ165">
        <v>-1.8861989874597051E-7</v>
      </c>
      <c r="FK165">
        <v>1.1980462299894961E-10</v>
      </c>
      <c r="FL165">
        <v>0.19010266435860859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34.5</v>
      </c>
      <c r="FU165">
        <v>34.4</v>
      </c>
      <c r="FV165">
        <v>1.7773399999999999</v>
      </c>
      <c r="FW165">
        <v>2.5817899999999998</v>
      </c>
      <c r="FX165">
        <v>1.5490699999999999</v>
      </c>
      <c r="FY165">
        <v>2.3290999999999999</v>
      </c>
      <c r="FZ165">
        <v>1.50146</v>
      </c>
      <c r="GA165">
        <v>2.31812</v>
      </c>
      <c r="GB165">
        <v>33.828299999999999</v>
      </c>
      <c r="GC165">
        <v>23.982399999999998</v>
      </c>
      <c r="GD165">
        <v>19</v>
      </c>
      <c r="GE165">
        <v>286.09800000000001</v>
      </c>
      <c r="GF165">
        <v>582.16700000000003</v>
      </c>
      <c r="GG165">
        <v>23.985499999999998</v>
      </c>
      <c r="GH165">
        <v>26.083300000000001</v>
      </c>
      <c r="GI165">
        <v>30.000299999999999</v>
      </c>
      <c r="GJ165">
        <v>26.239899999999999</v>
      </c>
      <c r="GK165">
        <v>26.224900000000002</v>
      </c>
      <c r="GL165">
        <v>35.542299999999997</v>
      </c>
      <c r="GM165">
        <v>-30</v>
      </c>
      <c r="GN165">
        <v>-30</v>
      </c>
      <c r="GO165">
        <v>23.9849</v>
      </c>
      <c r="GP165">
        <v>800</v>
      </c>
      <c r="GQ165">
        <v>12.5298</v>
      </c>
      <c r="GR165">
        <v>99.750600000000006</v>
      </c>
      <c r="GS165">
        <v>99.587500000000006</v>
      </c>
    </row>
    <row r="166" spans="1:201" x14ac:dyDescent="0.25">
      <c r="A166">
        <v>150</v>
      </c>
      <c r="B166">
        <v>1690219665.0999999</v>
      </c>
      <c r="C166">
        <v>1644.599999904633</v>
      </c>
      <c r="D166" t="s">
        <v>629</v>
      </c>
      <c r="E166" t="s">
        <v>630</v>
      </c>
      <c r="F166" t="s">
        <v>330</v>
      </c>
      <c r="H166">
        <v>1690219665.0999999</v>
      </c>
      <c r="I166">
        <f t="shared" si="60"/>
        <v>1.7940745501868252E-3</v>
      </c>
      <c r="J166">
        <f t="shared" si="61"/>
        <v>1.7940745501868252</v>
      </c>
      <c r="K166">
        <f t="shared" si="62"/>
        <v>30.743383568142011</v>
      </c>
      <c r="L166">
        <f t="shared" si="63"/>
        <v>459.23599999999999</v>
      </c>
      <c r="M166">
        <f t="shared" si="64"/>
        <v>96.988814679252769</v>
      </c>
      <c r="N166">
        <f t="shared" si="65"/>
        <v>9.6171266572710508</v>
      </c>
      <c r="O166">
        <f t="shared" si="66"/>
        <v>45.536496060749201</v>
      </c>
      <c r="P166">
        <f t="shared" si="67"/>
        <v>0.14237035153184557</v>
      </c>
      <c r="Q166">
        <f t="shared" si="68"/>
        <v>2.129909690500341</v>
      </c>
      <c r="R166">
        <f t="shared" si="69"/>
        <v>0.13728688331906269</v>
      </c>
      <c r="S166">
        <f t="shared" si="70"/>
        <v>8.6245909495688944E-2</v>
      </c>
      <c r="T166">
        <f t="shared" si="71"/>
        <v>276.1148575420471</v>
      </c>
      <c r="U166">
        <f t="shared" si="72"/>
        <v>27.542496887851904</v>
      </c>
      <c r="V166">
        <f t="shared" si="73"/>
        <v>27.542496887851904</v>
      </c>
      <c r="W166">
        <f t="shared" si="74"/>
        <v>3.694797915479378</v>
      </c>
      <c r="X166">
        <f t="shared" si="75"/>
        <v>72.356552053320343</v>
      </c>
      <c r="Y166">
        <f t="shared" si="76"/>
        <v>2.4390854318945396</v>
      </c>
      <c r="Z166">
        <f t="shared" si="77"/>
        <v>3.3709254555097519</v>
      </c>
      <c r="AA166">
        <f t="shared" si="78"/>
        <v>1.2557124835848383</v>
      </c>
      <c r="AB166">
        <f t="shared" si="79"/>
        <v>-79.118687663238987</v>
      </c>
      <c r="AC166">
        <f t="shared" si="80"/>
        <v>-179.03897881166881</v>
      </c>
      <c r="AD166">
        <f t="shared" si="81"/>
        <v>-18.098150106097364</v>
      </c>
      <c r="AE166">
        <f t="shared" si="82"/>
        <v>-0.1409590389580444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52525.199006652474</v>
      </c>
      <c r="AK166">
        <f t="shared" si="86"/>
        <v>1799.99</v>
      </c>
      <c r="AL166">
        <f t="shared" si="87"/>
        <v>1499.10128481326</v>
      </c>
      <c r="AM166">
        <f t="shared" si="88"/>
        <v>0.832838674</v>
      </c>
      <c r="AN166">
        <f t="shared" si="89"/>
        <v>0.15339799529000001</v>
      </c>
      <c r="AO166">
        <v>32.4</v>
      </c>
      <c r="AP166">
        <v>0.5</v>
      </c>
      <c r="AQ166" t="s">
        <v>331</v>
      </c>
      <c r="AR166">
        <v>2</v>
      </c>
      <c r="AS166">
        <v>1690219665.0999999</v>
      </c>
      <c r="AT166">
        <v>459.23599999999999</v>
      </c>
      <c r="AU166">
        <v>799.99800000000005</v>
      </c>
      <c r="AV166">
        <v>24.598199999999999</v>
      </c>
      <c r="AW166">
        <v>5.7079399999999998</v>
      </c>
      <c r="AX166">
        <v>459.26799999999997</v>
      </c>
      <c r="AY166">
        <v>24.408100000000001</v>
      </c>
      <c r="AZ166">
        <v>300.14499999999998</v>
      </c>
      <c r="BA166">
        <v>99.057100000000005</v>
      </c>
      <c r="BB166">
        <v>9.9969699999999995E-2</v>
      </c>
      <c r="BC166">
        <v>25.9833</v>
      </c>
      <c r="BD166">
        <v>27.016200000000001</v>
      </c>
      <c r="BE166">
        <v>27.240300000000001</v>
      </c>
      <c r="BF166">
        <v>0</v>
      </c>
      <c r="BG166">
        <v>0</v>
      </c>
      <c r="BH166">
        <v>9993.75</v>
      </c>
      <c r="BI166">
        <v>1067.32</v>
      </c>
      <c r="BJ166">
        <v>1.7380500000000001</v>
      </c>
      <c r="BK166">
        <v>-340.762</v>
      </c>
      <c r="BL166">
        <v>470.81700000000001</v>
      </c>
      <c r="BM166">
        <v>804.59</v>
      </c>
      <c r="BN166">
        <v>18.8902</v>
      </c>
      <c r="BO166">
        <v>799.99800000000005</v>
      </c>
      <c r="BP166">
        <v>5.7079399999999998</v>
      </c>
      <c r="BQ166">
        <v>2.43662</v>
      </c>
      <c r="BR166">
        <v>0.56541200000000003</v>
      </c>
      <c r="BS166">
        <v>20.609200000000001</v>
      </c>
      <c r="BT166">
        <v>-1.12195</v>
      </c>
      <c r="BU166">
        <v>1799.99</v>
      </c>
      <c r="BV166">
        <v>0.90998000000000001</v>
      </c>
      <c r="BW166">
        <v>3.4008700000000003E-2</v>
      </c>
      <c r="BX166">
        <v>2.20057E-2</v>
      </c>
      <c r="BY166">
        <v>3.4005899999999999E-2</v>
      </c>
      <c r="BZ166">
        <v>26</v>
      </c>
      <c r="CA166">
        <v>33528.1</v>
      </c>
      <c r="CB166">
        <v>1690217592</v>
      </c>
      <c r="CC166" t="s">
        <v>332</v>
      </c>
      <c r="CD166">
        <v>1690217586.5</v>
      </c>
      <c r="CE166">
        <v>1690217592</v>
      </c>
      <c r="CF166">
        <v>9</v>
      </c>
      <c r="CG166">
        <v>0.11600000000000001</v>
      </c>
      <c r="CH166">
        <v>-3.0000000000000001E-3</v>
      </c>
      <c r="CI166">
        <v>-0.27300000000000002</v>
      </c>
      <c r="CJ166">
        <v>-6.9000000000000006E-2</v>
      </c>
      <c r="CK166">
        <v>800</v>
      </c>
      <c r="CL166">
        <v>6</v>
      </c>
      <c r="CM166">
        <v>0.01</v>
      </c>
      <c r="CN166">
        <v>0.01</v>
      </c>
      <c r="CO166">
        <v>-338.93417073170741</v>
      </c>
      <c r="CP166">
        <v>-10.49604878048768</v>
      </c>
      <c r="CQ166">
        <v>1.036245213056445</v>
      </c>
      <c r="CR166">
        <v>-1</v>
      </c>
      <c r="CS166">
        <v>18.82175365853659</v>
      </c>
      <c r="CT166">
        <v>0.38763763066204721</v>
      </c>
      <c r="CU166">
        <v>3.8233264137594883E-2</v>
      </c>
      <c r="CV166">
        <v>-1</v>
      </c>
      <c r="CW166">
        <v>0</v>
      </c>
      <c r="CX166">
        <v>0</v>
      </c>
      <c r="CY166" t="s">
        <v>333</v>
      </c>
      <c r="CZ166">
        <v>2.3645700000000001</v>
      </c>
      <c r="DA166">
        <v>2.7137600000000002</v>
      </c>
      <c r="DB166">
        <v>9.9304000000000003E-2</v>
      </c>
      <c r="DC166">
        <v>0.146089</v>
      </c>
      <c r="DD166">
        <v>0.115898</v>
      </c>
      <c r="DE166">
        <v>3.7876300000000002E-2</v>
      </c>
      <c r="DF166">
        <v>32892.699999999997</v>
      </c>
      <c r="DG166">
        <v>27525.7</v>
      </c>
      <c r="DH166">
        <v>31176</v>
      </c>
      <c r="DI166">
        <v>28087.9</v>
      </c>
      <c r="DJ166">
        <v>37415.1</v>
      </c>
      <c r="DK166">
        <v>38429.5</v>
      </c>
      <c r="DL166">
        <v>44367.5</v>
      </c>
      <c r="DM166">
        <v>42569.9</v>
      </c>
      <c r="DN166">
        <v>1.48438</v>
      </c>
      <c r="DO166">
        <v>2.0363799999999999</v>
      </c>
      <c r="DP166">
        <v>0.12997900000000001</v>
      </c>
      <c r="DQ166">
        <v>0.15246499999999999</v>
      </c>
      <c r="DR166">
        <v>24.886900000000001</v>
      </c>
      <c r="DS166">
        <v>24.742799999999999</v>
      </c>
      <c r="DT166">
        <v>16.8</v>
      </c>
      <c r="DU166">
        <v>29.8</v>
      </c>
      <c r="DV166">
        <v>7.1428000000000003</v>
      </c>
      <c r="DW166">
        <v>61.734099999999998</v>
      </c>
      <c r="DX166">
        <v>37.283700000000003</v>
      </c>
      <c r="DY166">
        <v>1</v>
      </c>
      <c r="DZ166">
        <v>-0.102561</v>
      </c>
      <c r="EA166">
        <v>0.190498</v>
      </c>
      <c r="EB166">
        <v>20.189499999999999</v>
      </c>
      <c r="EC166">
        <v>5.2404999999999999</v>
      </c>
      <c r="ED166">
        <v>12.039899999999999</v>
      </c>
      <c r="EE166">
        <v>5.0171999999999999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1.86897</v>
      </c>
      <c r="EL166">
        <v>1.86469</v>
      </c>
      <c r="EM166">
        <v>1.8691899999999999</v>
      </c>
      <c r="EN166">
        <v>1.86731</v>
      </c>
      <c r="EO166">
        <v>1.8633999999999999</v>
      </c>
      <c r="EP166">
        <v>1.8646100000000001</v>
      </c>
      <c r="EQ166">
        <v>1.8702700000000001</v>
      </c>
      <c r="ER166">
        <v>1.8694999999999999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-3.2000000000000001E-2</v>
      </c>
      <c r="FG166">
        <v>0.19009999999999999</v>
      </c>
      <c r="FH166">
        <v>0.27827353915413472</v>
      </c>
      <c r="FI166">
        <v>-6.1462078757559423E-4</v>
      </c>
      <c r="FJ166">
        <v>-1.8861989874597051E-7</v>
      </c>
      <c r="FK166">
        <v>1.1980462299894961E-10</v>
      </c>
      <c r="FL166">
        <v>0.19010266435860859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34.6</v>
      </c>
      <c r="FU166">
        <v>34.6</v>
      </c>
      <c r="FV166">
        <v>1.7773399999999999</v>
      </c>
      <c r="FW166">
        <v>2.5842299999999998</v>
      </c>
      <c r="FX166">
        <v>1.5490699999999999</v>
      </c>
      <c r="FY166">
        <v>2.3290999999999999</v>
      </c>
      <c r="FZ166">
        <v>1.50024</v>
      </c>
      <c r="GA166">
        <v>2.3168899999999999</v>
      </c>
      <c r="GB166">
        <v>33.828299999999999</v>
      </c>
      <c r="GC166">
        <v>23.973700000000001</v>
      </c>
      <c r="GD166">
        <v>19</v>
      </c>
      <c r="GE166">
        <v>285.87299999999999</v>
      </c>
      <c r="GF166">
        <v>581.85400000000004</v>
      </c>
      <c r="GG166">
        <v>23.9925</v>
      </c>
      <c r="GH166">
        <v>26.083300000000001</v>
      </c>
      <c r="GI166">
        <v>29.9998</v>
      </c>
      <c r="GJ166">
        <v>26.2379</v>
      </c>
      <c r="GK166">
        <v>26.2227</v>
      </c>
      <c r="GL166">
        <v>35.542299999999997</v>
      </c>
      <c r="GM166">
        <v>-30</v>
      </c>
      <c r="GN166">
        <v>-30</v>
      </c>
      <c r="GO166">
        <v>23.9971</v>
      </c>
      <c r="GP166">
        <v>800</v>
      </c>
      <c r="GQ166">
        <v>12.5298</v>
      </c>
      <c r="GR166">
        <v>99.751300000000001</v>
      </c>
      <c r="GS166">
        <v>99.587199999999996</v>
      </c>
    </row>
    <row r="167" spans="1:201" x14ac:dyDescent="0.25">
      <c r="A167">
        <v>151</v>
      </c>
      <c r="B167">
        <v>1690219675.0999999</v>
      </c>
      <c r="C167">
        <v>1654.599999904633</v>
      </c>
      <c r="D167" t="s">
        <v>631</v>
      </c>
      <c r="E167" t="s">
        <v>632</v>
      </c>
      <c r="F167" t="s">
        <v>330</v>
      </c>
      <c r="H167">
        <v>1690219675.0999999</v>
      </c>
      <c r="I167">
        <f t="shared" si="60"/>
        <v>1.8005006996821876E-3</v>
      </c>
      <c r="J167">
        <f t="shared" si="61"/>
        <v>1.8005006996821877</v>
      </c>
      <c r="K167">
        <f t="shared" si="62"/>
        <v>30.896855644990001</v>
      </c>
      <c r="L167">
        <f t="shared" si="63"/>
        <v>457.60300000000001</v>
      </c>
      <c r="M167">
        <f t="shared" si="64"/>
        <v>96.640400449088574</v>
      </c>
      <c r="N167">
        <f t="shared" si="65"/>
        <v>9.5827778381024302</v>
      </c>
      <c r="O167">
        <f t="shared" si="66"/>
        <v>45.375514450183999</v>
      </c>
      <c r="P167">
        <f t="shared" si="67"/>
        <v>0.14361646731710498</v>
      </c>
      <c r="Q167">
        <f t="shared" si="68"/>
        <v>2.1303704940388148</v>
      </c>
      <c r="R167">
        <f t="shared" si="69"/>
        <v>0.13844643607257476</v>
      </c>
      <c r="S167">
        <f t="shared" si="70"/>
        <v>8.6978023482771463E-2</v>
      </c>
      <c r="T167">
        <f t="shared" si="71"/>
        <v>276.11629235999999</v>
      </c>
      <c r="U167">
        <f t="shared" si="72"/>
        <v>27.54435288143813</v>
      </c>
      <c r="V167">
        <f t="shared" si="73"/>
        <v>27.54435288143813</v>
      </c>
      <c r="W167">
        <f t="shared" si="74"/>
        <v>3.6951990678705022</v>
      </c>
      <c r="X167">
        <f t="shared" si="75"/>
        <v>72.529781134881361</v>
      </c>
      <c r="Y167">
        <f t="shared" si="76"/>
        <v>2.445561573864</v>
      </c>
      <c r="Z167">
        <f t="shared" si="77"/>
        <v>3.371803327678689</v>
      </c>
      <c r="AA167">
        <f t="shared" si="78"/>
        <v>1.2496374940065023</v>
      </c>
      <c r="AB167">
        <f t="shared" si="79"/>
        <v>-79.40208085598448</v>
      </c>
      <c r="AC167">
        <f t="shared" si="80"/>
        <v>-178.78552810772908</v>
      </c>
      <c r="AD167">
        <f t="shared" si="81"/>
        <v>-18.069186161079241</v>
      </c>
      <c r="AE167">
        <f t="shared" si="82"/>
        <v>-0.14050276479281365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52544.392248932571</v>
      </c>
      <c r="AK167">
        <f t="shared" si="86"/>
        <v>1800</v>
      </c>
      <c r="AL167">
        <f t="shared" si="87"/>
        <v>1499.1101819999999</v>
      </c>
      <c r="AM167">
        <f t="shared" si="88"/>
        <v>0.83283898999999995</v>
      </c>
      <c r="AN167">
        <f t="shared" si="89"/>
        <v>0.1533979402</v>
      </c>
      <c r="AO167">
        <v>32.4</v>
      </c>
      <c r="AP167">
        <v>0.5</v>
      </c>
      <c r="AQ167" t="s">
        <v>331</v>
      </c>
      <c r="AR167">
        <v>2</v>
      </c>
      <c r="AS167">
        <v>1690219675.0999999</v>
      </c>
      <c r="AT167">
        <v>457.60300000000001</v>
      </c>
      <c r="AU167">
        <v>799.99900000000002</v>
      </c>
      <c r="AV167">
        <v>24.663</v>
      </c>
      <c r="AW167">
        <v>5.7076000000000002</v>
      </c>
      <c r="AX167">
        <v>457.63499999999999</v>
      </c>
      <c r="AY167">
        <v>24.472899999999999</v>
      </c>
      <c r="AZ167">
        <v>300.16500000000002</v>
      </c>
      <c r="BA167">
        <v>99.059100000000001</v>
      </c>
      <c r="BB167">
        <v>0.10002800000000001</v>
      </c>
      <c r="BC167">
        <v>25.9877</v>
      </c>
      <c r="BD167">
        <v>27.028400000000001</v>
      </c>
      <c r="BE167">
        <v>27.238900000000001</v>
      </c>
      <c r="BF167">
        <v>0</v>
      </c>
      <c r="BG167">
        <v>0</v>
      </c>
      <c r="BH167">
        <v>9997.5</v>
      </c>
      <c r="BI167">
        <v>1067.27</v>
      </c>
      <c r="BJ167">
        <v>1.7380500000000001</v>
      </c>
      <c r="BK167">
        <v>-342.39600000000002</v>
      </c>
      <c r="BL167">
        <v>469.17500000000001</v>
      </c>
      <c r="BM167">
        <v>804.59100000000001</v>
      </c>
      <c r="BN167">
        <v>18.955400000000001</v>
      </c>
      <c r="BO167">
        <v>799.99900000000002</v>
      </c>
      <c r="BP167">
        <v>5.7076000000000002</v>
      </c>
      <c r="BQ167">
        <v>2.4430999999999998</v>
      </c>
      <c r="BR167">
        <v>0.56538900000000003</v>
      </c>
      <c r="BS167">
        <v>20.6523</v>
      </c>
      <c r="BT167">
        <v>-1.12249</v>
      </c>
      <c r="BU167">
        <v>1800</v>
      </c>
      <c r="BV167">
        <v>0.90998299999999999</v>
      </c>
      <c r="BW167">
        <v>3.4007599999999999E-2</v>
      </c>
      <c r="BX167">
        <v>2.2005E-2</v>
      </c>
      <c r="BY167">
        <v>3.4004800000000002E-2</v>
      </c>
      <c r="BZ167">
        <v>26</v>
      </c>
      <c r="CA167">
        <v>33528.300000000003</v>
      </c>
      <c r="CB167">
        <v>1690217592</v>
      </c>
      <c r="CC167" t="s">
        <v>332</v>
      </c>
      <c r="CD167">
        <v>1690217586.5</v>
      </c>
      <c r="CE167">
        <v>1690217592</v>
      </c>
      <c r="CF167">
        <v>9</v>
      </c>
      <c r="CG167">
        <v>0.11600000000000001</v>
      </c>
      <c r="CH167">
        <v>-3.0000000000000001E-3</v>
      </c>
      <c r="CI167">
        <v>-0.27300000000000002</v>
      </c>
      <c r="CJ167">
        <v>-6.9000000000000006E-2</v>
      </c>
      <c r="CK167">
        <v>800</v>
      </c>
      <c r="CL167">
        <v>6</v>
      </c>
      <c r="CM167">
        <v>0.01</v>
      </c>
      <c r="CN167">
        <v>0.01</v>
      </c>
      <c r="CO167">
        <v>-340.47431707317071</v>
      </c>
      <c r="CP167">
        <v>-10.194459930314011</v>
      </c>
      <c r="CQ167">
        <v>1.0062511551642981</v>
      </c>
      <c r="CR167">
        <v>-1</v>
      </c>
      <c r="CS167">
        <v>18.880360975609751</v>
      </c>
      <c r="CT167">
        <v>0.39042229965161751</v>
      </c>
      <c r="CU167">
        <v>3.8501915556076217E-2</v>
      </c>
      <c r="CV167">
        <v>-1</v>
      </c>
      <c r="CW167">
        <v>0</v>
      </c>
      <c r="CX167">
        <v>0</v>
      </c>
      <c r="CY167" t="s">
        <v>333</v>
      </c>
      <c r="CZ167">
        <v>2.3646099999999999</v>
      </c>
      <c r="DA167">
        <v>2.7138200000000001</v>
      </c>
      <c r="DB167">
        <v>9.9044300000000002E-2</v>
      </c>
      <c r="DC167">
        <v>0.146092</v>
      </c>
      <c r="DD167">
        <v>0.116116</v>
      </c>
      <c r="DE167">
        <v>3.7875199999999998E-2</v>
      </c>
      <c r="DF167">
        <v>32902.6</v>
      </c>
      <c r="DG167">
        <v>27526</v>
      </c>
      <c r="DH167">
        <v>31176.3</v>
      </c>
      <c r="DI167">
        <v>28088.3</v>
      </c>
      <c r="DJ167">
        <v>37406.1</v>
      </c>
      <c r="DK167">
        <v>38429.800000000003</v>
      </c>
      <c r="DL167">
        <v>44367.9</v>
      </c>
      <c r="DM167">
        <v>42570.2</v>
      </c>
      <c r="DN167">
        <v>1.4844200000000001</v>
      </c>
      <c r="DO167">
        <v>2.0364300000000002</v>
      </c>
      <c r="DP167">
        <v>0.13059399999999999</v>
      </c>
      <c r="DQ167">
        <v>0.152253</v>
      </c>
      <c r="DR167">
        <v>24.888999999999999</v>
      </c>
      <c r="DS167">
        <v>24.744900000000001</v>
      </c>
      <c r="DT167">
        <v>16.8</v>
      </c>
      <c r="DU167">
        <v>29.8</v>
      </c>
      <c r="DV167">
        <v>7.1425099999999997</v>
      </c>
      <c r="DW167">
        <v>61.844099999999997</v>
      </c>
      <c r="DX167">
        <v>37.0473</v>
      </c>
      <c r="DY167">
        <v>1</v>
      </c>
      <c r="DZ167">
        <v>-0.102856</v>
      </c>
      <c r="EA167">
        <v>0.24649199999999999</v>
      </c>
      <c r="EB167">
        <v>20.189399999999999</v>
      </c>
      <c r="EC167">
        <v>5.2406499999999996</v>
      </c>
      <c r="ED167">
        <v>12.039899999999999</v>
      </c>
      <c r="EE167">
        <v>5.0171000000000001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1.8689800000000001</v>
      </c>
      <c r="EL167">
        <v>1.8646499999999999</v>
      </c>
      <c r="EM167">
        <v>1.8691899999999999</v>
      </c>
      <c r="EN167">
        <v>1.86727</v>
      </c>
      <c r="EO167">
        <v>1.8634299999999999</v>
      </c>
      <c r="EP167">
        <v>1.8645700000000001</v>
      </c>
      <c r="EQ167">
        <v>1.8702399999999999</v>
      </c>
      <c r="ER167">
        <v>1.86948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-3.2000000000000001E-2</v>
      </c>
      <c r="FG167">
        <v>0.19009999999999999</v>
      </c>
      <c r="FH167">
        <v>0.27827353915413472</v>
      </c>
      <c r="FI167">
        <v>-6.1462078757559423E-4</v>
      </c>
      <c r="FJ167">
        <v>-1.8861989874597051E-7</v>
      </c>
      <c r="FK167">
        <v>1.1980462299894961E-10</v>
      </c>
      <c r="FL167">
        <v>0.19010266435860859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34.799999999999997</v>
      </c>
      <c r="FU167">
        <v>34.700000000000003</v>
      </c>
      <c r="FV167">
        <v>1.7773399999999999</v>
      </c>
      <c r="FW167">
        <v>2.5939899999999998</v>
      </c>
      <c r="FX167">
        <v>1.5490699999999999</v>
      </c>
      <c r="FY167">
        <v>2.3290999999999999</v>
      </c>
      <c r="FZ167">
        <v>1.50146</v>
      </c>
      <c r="GA167">
        <v>2.2875999999999999</v>
      </c>
      <c r="GB167">
        <v>33.828299999999999</v>
      </c>
      <c r="GC167">
        <v>23.973700000000001</v>
      </c>
      <c r="GD167">
        <v>19</v>
      </c>
      <c r="GE167">
        <v>285.887</v>
      </c>
      <c r="GF167">
        <v>581.89499999999998</v>
      </c>
      <c r="GG167">
        <v>23.996600000000001</v>
      </c>
      <c r="GH167">
        <v>26.083300000000001</v>
      </c>
      <c r="GI167">
        <v>30</v>
      </c>
      <c r="GJ167">
        <v>26.236000000000001</v>
      </c>
      <c r="GK167">
        <v>26.2226</v>
      </c>
      <c r="GL167">
        <v>35.541499999999999</v>
      </c>
      <c r="GM167">
        <v>-30</v>
      </c>
      <c r="GN167">
        <v>-30</v>
      </c>
      <c r="GO167">
        <v>23.982099999999999</v>
      </c>
      <c r="GP167">
        <v>800</v>
      </c>
      <c r="GQ167">
        <v>12.5298</v>
      </c>
      <c r="GR167">
        <v>99.752300000000005</v>
      </c>
      <c r="GS167">
        <v>99.588300000000004</v>
      </c>
    </row>
    <row r="168" spans="1:201" x14ac:dyDescent="0.25">
      <c r="A168">
        <v>152</v>
      </c>
      <c r="B168">
        <v>1690219685.0999999</v>
      </c>
      <c r="C168">
        <v>1664.599999904633</v>
      </c>
      <c r="D168" t="s">
        <v>633</v>
      </c>
      <c r="E168" t="s">
        <v>634</v>
      </c>
      <c r="F168" t="s">
        <v>330</v>
      </c>
      <c r="H168">
        <v>1690219685.0999999</v>
      </c>
      <c r="I168">
        <f t="shared" si="60"/>
        <v>1.8073527502936971E-3</v>
      </c>
      <c r="J168">
        <f t="shared" si="61"/>
        <v>1.807352750293697</v>
      </c>
      <c r="K168">
        <f t="shared" si="62"/>
        <v>31.049461982735895</v>
      </c>
      <c r="L168">
        <f t="shared" si="63"/>
        <v>455.98</v>
      </c>
      <c r="M168">
        <f t="shared" si="64"/>
        <v>96.797619177123877</v>
      </c>
      <c r="N168">
        <f t="shared" si="65"/>
        <v>9.5984434962107326</v>
      </c>
      <c r="O168">
        <f t="shared" si="66"/>
        <v>45.214937129740001</v>
      </c>
      <c r="P168">
        <f t="shared" si="67"/>
        <v>0.14507503420910145</v>
      </c>
      <c r="Q168">
        <f t="shared" si="68"/>
        <v>2.1317653424695528</v>
      </c>
      <c r="R168">
        <f t="shared" si="69"/>
        <v>0.13980484608181951</v>
      </c>
      <c r="S168">
        <f t="shared" si="70"/>
        <v>8.7835583654238214E-2</v>
      </c>
      <c r="T168">
        <f t="shared" si="71"/>
        <v>276.11605767599997</v>
      </c>
      <c r="U168">
        <f t="shared" si="72"/>
        <v>27.540935625877665</v>
      </c>
      <c r="V168">
        <f t="shared" si="73"/>
        <v>27.540935625877665</v>
      </c>
      <c r="W168">
        <f t="shared" si="74"/>
        <v>3.6944604954824762</v>
      </c>
      <c r="X168">
        <f t="shared" si="75"/>
        <v>72.729587656120572</v>
      </c>
      <c r="Y168">
        <f t="shared" si="76"/>
        <v>2.4522841444377996</v>
      </c>
      <c r="Z168">
        <f t="shared" si="77"/>
        <v>3.3717833738212142</v>
      </c>
      <c r="AA168">
        <f t="shared" si="78"/>
        <v>1.2421763510446766</v>
      </c>
      <c r="AB168">
        <f t="shared" si="79"/>
        <v>-79.704256287952049</v>
      </c>
      <c r="AC168">
        <f t="shared" si="80"/>
        <v>-178.52134229272264</v>
      </c>
      <c r="AD168">
        <f t="shared" si="81"/>
        <v>-18.03036254294317</v>
      </c>
      <c r="AE168">
        <f t="shared" si="82"/>
        <v>-0.13990344761788265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52604.762059817658</v>
      </c>
      <c r="AK168">
        <f t="shared" si="86"/>
        <v>1800</v>
      </c>
      <c r="AL168">
        <f t="shared" si="87"/>
        <v>1499.1095015999999</v>
      </c>
      <c r="AM168">
        <f t="shared" si="88"/>
        <v>0.83283861199999998</v>
      </c>
      <c r="AN168">
        <f t="shared" si="89"/>
        <v>0.15339780981999998</v>
      </c>
      <c r="AO168">
        <v>32.4</v>
      </c>
      <c r="AP168">
        <v>0.5</v>
      </c>
      <c r="AQ168" t="s">
        <v>331</v>
      </c>
      <c r="AR168">
        <v>2</v>
      </c>
      <c r="AS168">
        <v>1690219685.0999999</v>
      </c>
      <c r="AT168">
        <v>455.98</v>
      </c>
      <c r="AU168">
        <v>799.97500000000002</v>
      </c>
      <c r="AV168">
        <v>24.730599999999999</v>
      </c>
      <c r="AW168">
        <v>5.7071699999999996</v>
      </c>
      <c r="AX168">
        <v>456.01</v>
      </c>
      <c r="AY168">
        <v>24.540500000000002</v>
      </c>
      <c r="AZ168">
        <v>300.209</v>
      </c>
      <c r="BA168">
        <v>99.059799999999996</v>
      </c>
      <c r="BB168">
        <v>0.10011299999999999</v>
      </c>
      <c r="BC168">
        <v>25.9876</v>
      </c>
      <c r="BD168">
        <v>27.000399999999999</v>
      </c>
      <c r="BE168">
        <v>27.219799999999999</v>
      </c>
      <c r="BF168">
        <v>0</v>
      </c>
      <c r="BG168">
        <v>0</v>
      </c>
      <c r="BH168">
        <v>10009.4</v>
      </c>
      <c r="BI168">
        <v>1067.19</v>
      </c>
      <c r="BJ168">
        <v>1.7380500000000001</v>
      </c>
      <c r="BK168">
        <v>-343.995</v>
      </c>
      <c r="BL168">
        <v>467.54300000000001</v>
      </c>
      <c r="BM168">
        <v>804.56700000000001</v>
      </c>
      <c r="BN168">
        <v>19.023399999999999</v>
      </c>
      <c r="BO168">
        <v>799.97500000000002</v>
      </c>
      <c r="BP168">
        <v>5.7071699999999996</v>
      </c>
      <c r="BQ168">
        <v>2.4498099999999998</v>
      </c>
      <c r="BR168">
        <v>0.56535100000000005</v>
      </c>
      <c r="BS168">
        <v>20.6968</v>
      </c>
      <c r="BT168">
        <v>-1.1234299999999999</v>
      </c>
      <c r="BU168">
        <v>1800</v>
      </c>
      <c r="BV168">
        <v>0.90998400000000002</v>
      </c>
      <c r="BW168">
        <v>3.4007000000000003E-2</v>
      </c>
      <c r="BX168">
        <v>2.2004599999999999E-2</v>
      </c>
      <c r="BY168">
        <v>3.4004199999999998E-2</v>
      </c>
      <c r="BZ168">
        <v>26</v>
      </c>
      <c r="CA168">
        <v>33528.199999999997</v>
      </c>
      <c r="CB168">
        <v>1690217592</v>
      </c>
      <c r="CC168" t="s">
        <v>332</v>
      </c>
      <c r="CD168">
        <v>1690217586.5</v>
      </c>
      <c r="CE168">
        <v>1690217592</v>
      </c>
      <c r="CF168">
        <v>9</v>
      </c>
      <c r="CG168">
        <v>0.11600000000000001</v>
      </c>
      <c r="CH168">
        <v>-3.0000000000000001E-3</v>
      </c>
      <c r="CI168">
        <v>-0.27300000000000002</v>
      </c>
      <c r="CJ168">
        <v>-6.9000000000000006E-2</v>
      </c>
      <c r="CK168">
        <v>800</v>
      </c>
      <c r="CL168">
        <v>6</v>
      </c>
      <c r="CM168">
        <v>0.01</v>
      </c>
      <c r="CN168">
        <v>0.01</v>
      </c>
      <c r="CO168">
        <v>-342.15141463414642</v>
      </c>
      <c r="CP168">
        <v>-9.8671149825786753</v>
      </c>
      <c r="CQ168">
        <v>0.97427866939572094</v>
      </c>
      <c r="CR168">
        <v>-1</v>
      </c>
      <c r="CS168">
        <v>18.946536585365848</v>
      </c>
      <c r="CT168">
        <v>0.40249965156796269</v>
      </c>
      <c r="CU168">
        <v>3.9693648543334202E-2</v>
      </c>
      <c r="CV168">
        <v>-1</v>
      </c>
      <c r="CW168">
        <v>0</v>
      </c>
      <c r="CX168">
        <v>0</v>
      </c>
      <c r="CY168" t="s">
        <v>333</v>
      </c>
      <c r="CZ168">
        <v>2.36477</v>
      </c>
      <c r="DA168">
        <v>2.7139099999999998</v>
      </c>
      <c r="DB168">
        <v>9.8783899999999994E-2</v>
      </c>
      <c r="DC168">
        <v>0.146091</v>
      </c>
      <c r="DD168">
        <v>0.11634</v>
      </c>
      <c r="DE168">
        <v>3.7873400000000002E-2</v>
      </c>
      <c r="DF168">
        <v>32911.9</v>
      </c>
      <c r="DG168">
        <v>27526.400000000001</v>
      </c>
      <c r="DH168">
        <v>31176.1</v>
      </c>
      <c r="DI168">
        <v>28088.7</v>
      </c>
      <c r="DJ168">
        <v>37396.199999999997</v>
      </c>
      <c r="DK168">
        <v>38430.300000000003</v>
      </c>
      <c r="DL168">
        <v>44367.5</v>
      </c>
      <c r="DM168">
        <v>42570.6</v>
      </c>
      <c r="DN168">
        <v>1.48485</v>
      </c>
      <c r="DO168">
        <v>2.0363799999999999</v>
      </c>
      <c r="DP168">
        <v>0.12878300000000001</v>
      </c>
      <c r="DQ168">
        <v>0.15079600000000001</v>
      </c>
      <c r="DR168">
        <v>24.890599999999999</v>
      </c>
      <c r="DS168">
        <v>24.749600000000001</v>
      </c>
      <c r="DT168">
        <v>16.8</v>
      </c>
      <c r="DU168">
        <v>29.8</v>
      </c>
      <c r="DV168">
        <v>7.1430300000000004</v>
      </c>
      <c r="DW168">
        <v>61.624099999999999</v>
      </c>
      <c r="DX168">
        <v>36.847000000000001</v>
      </c>
      <c r="DY168">
        <v>1</v>
      </c>
      <c r="DZ168">
        <v>-0.10241400000000001</v>
      </c>
      <c r="EA168">
        <v>0.28097</v>
      </c>
      <c r="EB168">
        <v>20.189499999999999</v>
      </c>
      <c r="EC168">
        <v>5.2406499999999996</v>
      </c>
      <c r="ED168">
        <v>12.039899999999999</v>
      </c>
      <c r="EE168">
        <v>5.01715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1.8689899999999999</v>
      </c>
      <c r="EL168">
        <v>1.86466</v>
      </c>
      <c r="EM168">
        <v>1.8692</v>
      </c>
      <c r="EN168">
        <v>1.8672500000000001</v>
      </c>
      <c r="EO168">
        <v>1.8633999999999999</v>
      </c>
      <c r="EP168">
        <v>1.8645799999999999</v>
      </c>
      <c r="EQ168">
        <v>1.87026</v>
      </c>
      <c r="ER168">
        <v>1.86948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-0.03</v>
      </c>
      <c r="FG168">
        <v>0.19009999999999999</v>
      </c>
      <c r="FH168">
        <v>0.27827353915413472</v>
      </c>
      <c r="FI168">
        <v>-6.1462078757559423E-4</v>
      </c>
      <c r="FJ168">
        <v>-1.8861989874597051E-7</v>
      </c>
      <c r="FK168">
        <v>1.1980462299894961E-10</v>
      </c>
      <c r="FL168">
        <v>0.19010266435860859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35</v>
      </c>
      <c r="FU168">
        <v>34.9</v>
      </c>
      <c r="FV168">
        <v>1.7773399999999999</v>
      </c>
      <c r="FW168">
        <v>2.5952099999999998</v>
      </c>
      <c r="FX168">
        <v>1.5490699999999999</v>
      </c>
      <c r="FY168">
        <v>2.3290999999999999</v>
      </c>
      <c r="FZ168">
        <v>1.50146</v>
      </c>
      <c r="GA168">
        <v>2.2888199999999999</v>
      </c>
      <c r="GB168">
        <v>33.828299999999999</v>
      </c>
      <c r="GC168">
        <v>23.973700000000001</v>
      </c>
      <c r="GD168">
        <v>19</v>
      </c>
      <c r="GE168">
        <v>286.06700000000001</v>
      </c>
      <c r="GF168">
        <v>581.82899999999995</v>
      </c>
      <c r="GG168">
        <v>23.978000000000002</v>
      </c>
      <c r="GH168">
        <v>26.081</v>
      </c>
      <c r="GI168">
        <v>30.000299999999999</v>
      </c>
      <c r="GJ168">
        <v>26.235700000000001</v>
      </c>
      <c r="GK168">
        <v>26.220500000000001</v>
      </c>
      <c r="GL168">
        <v>35.540599999999998</v>
      </c>
      <c r="GM168">
        <v>-30</v>
      </c>
      <c r="GN168">
        <v>-30</v>
      </c>
      <c r="GO168">
        <v>23.987500000000001</v>
      </c>
      <c r="GP168">
        <v>800</v>
      </c>
      <c r="GQ168">
        <v>12.5298</v>
      </c>
      <c r="GR168">
        <v>99.751599999999996</v>
      </c>
      <c r="GS168">
        <v>99.589399999999998</v>
      </c>
    </row>
    <row r="169" spans="1:201" x14ac:dyDescent="0.25">
      <c r="A169">
        <v>153</v>
      </c>
      <c r="B169">
        <v>1690219695.0999999</v>
      </c>
      <c r="C169">
        <v>1674.599999904633</v>
      </c>
      <c r="D169" t="s">
        <v>635</v>
      </c>
      <c r="E169" t="s">
        <v>636</v>
      </c>
      <c r="F169" t="s">
        <v>330</v>
      </c>
      <c r="H169">
        <v>1690219695.0999999</v>
      </c>
      <c r="I169">
        <f t="shared" si="60"/>
        <v>1.8129158474213944E-3</v>
      </c>
      <c r="J169">
        <f t="shared" si="61"/>
        <v>1.8129158474213944</v>
      </c>
      <c r="K169">
        <f t="shared" si="62"/>
        <v>31.199346119395791</v>
      </c>
      <c r="L169">
        <f t="shared" si="63"/>
        <v>454.32600000000002</v>
      </c>
      <c r="M169">
        <f t="shared" si="64"/>
        <v>96.661742729900894</v>
      </c>
      <c r="N169">
        <f t="shared" si="65"/>
        <v>9.584638382084572</v>
      </c>
      <c r="O169">
        <f t="shared" si="66"/>
        <v>45.049367977429803</v>
      </c>
      <c r="P169">
        <f t="shared" si="67"/>
        <v>0.14641966490957789</v>
      </c>
      <c r="Q169">
        <f t="shared" si="68"/>
        <v>2.1341930149537602</v>
      </c>
      <c r="R169">
        <f t="shared" si="69"/>
        <v>0.14105913810976398</v>
      </c>
      <c r="S169">
        <f t="shared" si="70"/>
        <v>8.8627232608045142E-2</v>
      </c>
      <c r="T169">
        <f t="shared" si="71"/>
        <v>276.116047434</v>
      </c>
      <c r="U169">
        <f t="shared" si="72"/>
        <v>27.535294132029023</v>
      </c>
      <c r="V169">
        <f t="shared" si="73"/>
        <v>27.535294132029023</v>
      </c>
      <c r="W169">
        <f t="shared" si="74"/>
        <v>3.6932414797436173</v>
      </c>
      <c r="X169">
        <f t="shared" si="75"/>
        <v>72.919931338179424</v>
      </c>
      <c r="Y169">
        <f t="shared" si="76"/>
        <v>2.45839658131213</v>
      </c>
      <c r="Z169">
        <f t="shared" si="77"/>
        <v>3.3713643666377981</v>
      </c>
      <c r="AA169">
        <f t="shared" si="78"/>
        <v>1.2348448984314873</v>
      </c>
      <c r="AB169">
        <f t="shared" si="79"/>
        <v>-79.949588871283495</v>
      </c>
      <c r="AC169">
        <f t="shared" si="80"/>
        <v>-178.31716454101922</v>
      </c>
      <c r="AD169">
        <f t="shared" si="81"/>
        <v>-17.988557205178555</v>
      </c>
      <c r="AE169">
        <f t="shared" si="82"/>
        <v>-0.13926318348126188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52710.181474839075</v>
      </c>
      <c r="AK169">
        <f t="shared" si="86"/>
        <v>1800</v>
      </c>
      <c r="AL169">
        <f t="shared" si="87"/>
        <v>1499.1097914000002</v>
      </c>
      <c r="AM169">
        <f t="shared" si="88"/>
        <v>0.83283877300000009</v>
      </c>
      <c r="AN169">
        <f t="shared" si="89"/>
        <v>0.15339780413000001</v>
      </c>
      <c r="AO169">
        <v>32.4</v>
      </c>
      <c r="AP169">
        <v>0.5</v>
      </c>
      <c r="AQ169" t="s">
        <v>331</v>
      </c>
      <c r="AR169">
        <v>2</v>
      </c>
      <c r="AS169">
        <v>1690219695.0999999</v>
      </c>
      <c r="AT169">
        <v>454.32600000000002</v>
      </c>
      <c r="AU169">
        <v>800.02</v>
      </c>
      <c r="AV169">
        <v>24.793099999999999</v>
      </c>
      <c r="AW169">
        <v>5.7075699999999996</v>
      </c>
      <c r="AX169">
        <v>454.35399999999998</v>
      </c>
      <c r="AY169">
        <v>24.603000000000002</v>
      </c>
      <c r="AZ169">
        <v>300.13400000000001</v>
      </c>
      <c r="BA169">
        <v>99.0565</v>
      </c>
      <c r="BB169">
        <v>9.9982299999999996E-2</v>
      </c>
      <c r="BC169">
        <v>25.985499999999998</v>
      </c>
      <c r="BD169">
        <v>26.9833</v>
      </c>
      <c r="BE169">
        <v>27.233799999999999</v>
      </c>
      <c r="BF169">
        <v>0</v>
      </c>
      <c r="BG169">
        <v>0</v>
      </c>
      <c r="BH169">
        <v>10030.6</v>
      </c>
      <c r="BI169">
        <v>1067.1199999999999</v>
      </c>
      <c r="BJ169">
        <v>1.7380500000000001</v>
      </c>
      <c r="BK169">
        <v>-345.69400000000002</v>
      </c>
      <c r="BL169">
        <v>465.87599999999998</v>
      </c>
      <c r="BM169">
        <v>804.61199999999997</v>
      </c>
      <c r="BN169">
        <v>19.0855</v>
      </c>
      <c r="BO169">
        <v>800.02</v>
      </c>
      <c r="BP169">
        <v>5.7075699999999996</v>
      </c>
      <c r="BQ169">
        <v>2.4559199999999999</v>
      </c>
      <c r="BR169">
        <v>0.56537099999999996</v>
      </c>
      <c r="BS169">
        <v>20.737300000000001</v>
      </c>
      <c r="BT169">
        <v>-1.12293</v>
      </c>
      <c r="BU169">
        <v>1800</v>
      </c>
      <c r="BV169">
        <v>0.90998500000000004</v>
      </c>
      <c r="BW169">
        <v>3.4006599999999998E-2</v>
      </c>
      <c r="BX169">
        <v>2.20044E-2</v>
      </c>
      <c r="BY169">
        <v>3.4003899999999997E-2</v>
      </c>
      <c r="BZ169">
        <v>26</v>
      </c>
      <c r="CA169">
        <v>33528.300000000003</v>
      </c>
      <c r="CB169">
        <v>1690217592</v>
      </c>
      <c r="CC169" t="s">
        <v>332</v>
      </c>
      <c r="CD169">
        <v>1690217586.5</v>
      </c>
      <c r="CE169">
        <v>1690217592</v>
      </c>
      <c r="CF169">
        <v>9</v>
      </c>
      <c r="CG169">
        <v>0.11600000000000001</v>
      </c>
      <c r="CH169">
        <v>-3.0000000000000001E-3</v>
      </c>
      <c r="CI169">
        <v>-0.27300000000000002</v>
      </c>
      <c r="CJ169">
        <v>-6.9000000000000006E-2</v>
      </c>
      <c r="CK169">
        <v>800</v>
      </c>
      <c r="CL169">
        <v>6</v>
      </c>
      <c r="CM169">
        <v>0.01</v>
      </c>
      <c r="CN169">
        <v>0.01</v>
      </c>
      <c r="CO169">
        <v>-343.89347500000002</v>
      </c>
      <c r="CP169">
        <v>-9.5679287054406377</v>
      </c>
      <c r="CQ169">
        <v>0.92186319450068177</v>
      </c>
      <c r="CR169">
        <v>-1</v>
      </c>
      <c r="CS169">
        <v>19.016369999999998</v>
      </c>
      <c r="CT169">
        <v>0.37471969981235081</v>
      </c>
      <c r="CU169">
        <v>3.6079427656214122E-2</v>
      </c>
      <c r="CV169">
        <v>-1</v>
      </c>
      <c r="CW169">
        <v>0</v>
      </c>
      <c r="CX169">
        <v>0</v>
      </c>
      <c r="CY169" t="s">
        <v>333</v>
      </c>
      <c r="CZ169">
        <v>2.3645399999999999</v>
      </c>
      <c r="DA169">
        <v>2.7138</v>
      </c>
      <c r="DB169">
        <v>9.8514500000000005E-2</v>
      </c>
      <c r="DC169">
        <v>0.146092</v>
      </c>
      <c r="DD169">
        <v>0.11654399999999999</v>
      </c>
      <c r="DE169">
        <v>3.7874499999999998E-2</v>
      </c>
      <c r="DF169">
        <v>32921.9</v>
      </c>
      <c r="DG169">
        <v>27525.599999999999</v>
      </c>
      <c r="DH169">
        <v>31176.3</v>
      </c>
      <c r="DI169">
        <v>28087.9</v>
      </c>
      <c r="DJ169">
        <v>37387.800000000003</v>
      </c>
      <c r="DK169">
        <v>38429.4</v>
      </c>
      <c r="DL169">
        <v>44367.9</v>
      </c>
      <c r="DM169">
        <v>42569.7</v>
      </c>
      <c r="DN169">
        <v>1.48458</v>
      </c>
      <c r="DO169">
        <v>2.0363000000000002</v>
      </c>
      <c r="DP169">
        <v>0.12758</v>
      </c>
      <c r="DQ169">
        <v>0.15142900000000001</v>
      </c>
      <c r="DR169">
        <v>24.8933</v>
      </c>
      <c r="DS169">
        <v>24.753299999999999</v>
      </c>
      <c r="DT169">
        <v>16.8</v>
      </c>
      <c r="DU169">
        <v>29.8</v>
      </c>
      <c r="DV169">
        <v>7.1420599999999999</v>
      </c>
      <c r="DW169">
        <v>61.464100000000002</v>
      </c>
      <c r="DX169">
        <v>36.622599999999998</v>
      </c>
      <c r="DY169">
        <v>1</v>
      </c>
      <c r="DZ169">
        <v>-0.102995</v>
      </c>
      <c r="EA169">
        <v>0.246778</v>
      </c>
      <c r="EB169">
        <v>20.189499999999999</v>
      </c>
      <c r="EC169">
        <v>5.24125</v>
      </c>
      <c r="ED169">
        <v>12.039899999999999</v>
      </c>
      <c r="EE169">
        <v>5.0171999999999999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1.8689499999999999</v>
      </c>
      <c r="EL169">
        <v>1.8646799999999999</v>
      </c>
      <c r="EM169">
        <v>1.8692</v>
      </c>
      <c r="EN169">
        <v>1.8672800000000001</v>
      </c>
      <c r="EO169">
        <v>1.8634200000000001</v>
      </c>
      <c r="EP169">
        <v>1.8645799999999999</v>
      </c>
      <c r="EQ169">
        <v>1.87026</v>
      </c>
      <c r="ER169">
        <v>1.86948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-2.8000000000000001E-2</v>
      </c>
      <c r="FG169">
        <v>0.19009999999999999</v>
      </c>
      <c r="FH169">
        <v>0.27827353915413472</v>
      </c>
      <c r="FI169">
        <v>-6.1462078757559423E-4</v>
      </c>
      <c r="FJ169">
        <v>-1.8861989874597051E-7</v>
      </c>
      <c r="FK169">
        <v>1.1980462299894961E-10</v>
      </c>
      <c r="FL169">
        <v>0.19010266435860859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35.1</v>
      </c>
      <c r="FU169">
        <v>35.1</v>
      </c>
      <c r="FV169">
        <v>1.7773399999999999</v>
      </c>
      <c r="FW169">
        <v>2.5891099999999998</v>
      </c>
      <c r="FX169">
        <v>1.5490699999999999</v>
      </c>
      <c r="FY169">
        <v>2.3290999999999999</v>
      </c>
      <c r="FZ169">
        <v>1.50146</v>
      </c>
      <c r="GA169">
        <v>2.32178</v>
      </c>
      <c r="GB169">
        <v>33.828299999999999</v>
      </c>
      <c r="GC169">
        <v>23.973700000000001</v>
      </c>
      <c r="GD169">
        <v>19</v>
      </c>
      <c r="GE169">
        <v>285.93900000000002</v>
      </c>
      <c r="GF169">
        <v>581.74900000000002</v>
      </c>
      <c r="GG169">
        <v>23.9847</v>
      </c>
      <c r="GH169">
        <v>26.081</v>
      </c>
      <c r="GI169">
        <v>29.9999</v>
      </c>
      <c r="GJ169">
        <v>26.2334</v>
      </c>
      <c r="GK169">
        <v>26.218800000000002</v>
      </c>
      <c r="GL169">
        <v>35.542200000000001</v>
      </c>
      <c r="GM169">
        <v>-30</v>
      </c>
      <c r="GN169">
        <v>-30</v>
      </c>
      <c r="GO169">
        <v>23.9847</v>
      </c>
      <c r="GP169">
        <v>800</v>
      </c>
      <c r="GQ169">
        <v>12.5298</v>
      </c>
      <c r="GR169">
        <v>99.752300000000005</v>
      </c>
      <c r="GS169">
        <v>99.587000000000003</v>
      </c>
    </row>
    <row r="170" spans="1:201" x14ac:dyDescent="0.25">
      <c r="A170">
        <v>154</v>
      </c>
      <c r="B170">
        <v>1690219705.0999999</v>
      </c>
      <c r="C170">
        <v>1684.599999904633</v>
      </c>
      <c r="D170" t="s">
        <v>637</v>
      </c>
      <c r="E170" t="s">
        <v>638</v>
      </c>
      <c r="F170" t="s">
        <v>330</v>
      </c>
      <c r="H170">
        <v>1690219705.0999999</v>
      </c>
      <c r="I170">
        <f t="shared" si="60"/>
        <v>1.8190261095863594E-3</v>
      </c>
      <c r="J170">
        <f t="shared" si="61"/>
        <v>1.8190261095863594</v>
      </c>
      <c r="K170">
        <f t="shared" si="62"/>
        <v>31.345954517868329</v>
      </c>
      <c r="L170">
        <f t="shared" si="63"/>
        <v>452.779</v>
      </c>
      <c r="M170">
        <f t="shared" si="64"/>
        <v>96.24268403983686</v>
      </c>
      <c r="N170">
        <f t="shared" si="65"/>
        <v>9.5431761470227183</v>
      </c>
      <c r="O170">
        <f t="shared" si="66"/>
        <v>44.896397017401</v>
      </c>
      <c r="P170">
        <f t="shared" si="67"/>
        <v>0.14761064379167882</v>
      </c>
      <c r="Q170">
        <f t="shared" si="68"/>
        <v>2.1291117500357033</v>
      </c>
      <c r="R170">
        <f t="shared" si="69"/>
        <v>0.1421518209830272</v>
      </c>
      <c r="S170">
        <f t="shared" si="70"/>
        <v>8.9318522353344976E-2</v>
      </c>
      <c r="T170">
        <f t="shared" si="71"/>
        <v>276.11592103800007</v>
      </c>
      <c r="U170">
        <f t="shared" si="72"/>
        <v>27.537619499980586</v>
      </c>
      <c r="V170">
        <f t="shared" si="73"/>
        <v>27.537619499980586</v>
      </c>
      <c r="W170">
        <f t="shared" si="74"/>
        <v>3.6937439034416646</v>
      </c>
      <c r="X170">
        <f t="shared" si="75"/>
        <v>73.089979086568434</v>
      </c>
      <c r="Y170">
        <f t="shared" si="76"/>
        <v>2.4642899242137002</v>
      </c>
      <c r="Z170">
        <f t="shared" si="77"/>
        <v>3.3715838409188388</v>
      </c>
      <c r="AA170">
        <f t="shared" si="78"/>
        <v>1.2294539792279644</v>
      </c>
      <c r="AB170">
        <f t="shared" si="79"/>
        <v>-80.219051432758448</v>
      </c>
      <c r="AC170">
        <f t="shared" si="80"/>
        <v>-178.0332656068401</v>
      </c>
      <c r="AD170">
        <f t="shared" si="81"/>
        <v>-18.003088895347631</v>
      </c>
      <c r="AE170">
        <f t="shared" si="82"/>
        <v>-0.13948489694610089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52490.138140680407</v>
      </c>
      <c r="AK170">
        <f t="shared" si="86"/>
        <v>1800</v>
      </c>
      <c r="AL170">
        <f t="shared" si="87"/>
        <v>1499.1092388000002</v>
      </c>
      <c r="AM170">
        <f t="shared" si="88"/>
        <v>0.83283846600000011</v>
      </c>
      <c r="AN170">
        <f t="shared" si="89"/>
        <v>0.15339773391000003</v>
      </c>
      <c r="AO170">
        <v>32.4</v>
      </c>
      <c r="AP170">
        <v>0.5</v>
      </c>
      <c r="AQ170" t="s">
        <v>331</v>
      </c>
      <c r="AR170">
        <v>2</v>
      </c>
      <c r="AS170">
        <v>1690219705.0999999</v>
      </c>
      <c r="AT170">
        <v>452.779</v>
      </c>
      <c r="AU170">
        <v>799.98699999999997</v>
      </c>
      <c r="AV170">
        <v>24.8523</v>
      </c>
      <c r="AW170">
        <v>5.7073700000000001</v>
      </c>
      <c r="AX170">
        <v>452.80700000000002</v>
      </c>
      <c r="AY170">
        <v>24.662199999999999</v>
      </c>
      <c r="AZ170">
        <v>300.19299999999998</v>
      </c>
      <c r="BA170">
        <v>99.057400000000001</v>
      </c>
      <c r="BB170">
        <v>0.100019</v>
      </c>
      <c r="BC170">
        <v>25.986599999999999</v>
      </c>
      <c r="BD170">
        <v>26.9831</v>
      </c>
      <c r="BE170">
        <v>27.235800000000001</v>
      </c>
      <c r="BF170">
        <v>0</v>
      </c>
      <c r="BG170">
        <v>0</v>
      </c>
      <c r="BH170">
        <v>9986.8799999999992</v>
      </c>
      <c r="BI170">
        <v>1067.21</v>
      </c>
      <c r="BJ170">
        <v>1.7380500000000001</v>
      </c>
      <c r="BK170">
        <v>-347.20699999999999</v>
      </c>
      <c r="BL170">
        <v>464.31900000000002</v>
      </c>
      <c r="BM170">
        <v>804.57899999999995</v>
      </c>
      <c r="BN170">
        <v>19.1449</v>
      </c>
      <c r="BO170">
        <v>799.98699999999997</v>
      </c>
      <c r="BP170">
        <v>5.7073700000000001</v>
      </c>
      <c r="BQ170">
        <v>2.4618000000000002</v>
      </c>
      <c r="BR170">
        <v>0.565357</v>
      </c>
      <c r="BS170">
        <v>20.7761</v>
      </c>
      <c r="BT170">
        <v>-1.12327</v>
      </c>
      <c r="BU170">
        <v>1800</v>
      </c>
      <c r="BV170">
        <v>0.90998500000000004</v>
      </c>
      <c r="BW170">
        <v>3.4006500000000002E-2</v>
      </c>
      <c r="BX170">
        <v>2.2004300000000001E-2</v>
      </c>
      <c r="BY170">
        <v>3.4003699999999998E-2</v>
      </c>
      <c r="BZ170">
        <v>26</v>
      </c>
      <c r="CA170">
        <v>33528.300000000003</v>
      </c>
      <c r="CB170">
        <v>1690217592</v>
      </c>
      <c r="CC170" t="s">
        <v>332</v>
      </c>
      <c r="CD170">
        <v>1690217586.5</v>
      </c>
      <c r="CE170">
        <v>1690217592</v>
      </c>
      <c r="CF170">
        <v>9</v>
      </c>
      <c r="CG170">
        <v>0.11600000000000001</v>
      </c>
      <c r="CH170">
        <v>-3.0000000000000001E-3</v>
      </c>
      <c r="CI170">
        <v>-0.27300000000000002</v>
      </c>
      <c r="CJ170">
        <v>-6.9000000000000006E-2</v>
      </c>
      <c r="CK170">
        <v>800</v>
      </c>
      <c r="CL170">
        <v>6</v>
      </c>
      <c r="CM170">
        <v>0.01</v>
      </c>
      <c r="CN170">
        <v>0.01</v>
      </c>
      <c r="CO170">
        <v>-345.47502500000002</v>
      </c>
      <c r="CP170">
        <v>-9.4796960600363835</v>
      </c>
      <c r="CQ170">
        <v>0.91414062067878821</v>
      </c>
      <c r="CR170">
        <v>-1</v>
      </c>
      <c r="CS170">
        <v>19.07893</v>
      </c>
      <c r="CT170">
        <v>0.36847429643526991</v>
      </c>
      <c r="CU170">
        <v>3.5496811124381397E-2</v>
      </c>
      <c r="CV170">
        <v>-1</v>
      </c>
      <c r="CW170">
        <v>0</v>
      </c>
      <c r="CX170">
        <v>0</v>
      </c>
      <c r="CY170" t="s">
        <v>333</v>
      </c>
      <c r="CZ170">
        <v>2.3647399999999998</v>
      </c>
      <c r="DA170">
        <v>2.7138</v>
      </c>
      <c r="DB170">
        <v>9.8265699999999997E-2</v>
      </c>
      <c r="DC170">
        <v>0.14609</v>
      </c>
      <c r="DD170">
        <v>0.116741</v>
      </c>
      <c r="DE170">
        <v>3.7873799999999999E-2</v>
      </c>
      <c r="DF170">
        <v>32931.4</v>
      </c>
      <c r="DG170">
        <v>27525.8</v>
      </c>
      <c r="DH170">
        <v>31176.7</v>
      </c>
      <c r="DI170">
        <v>28088</v>
      </c>
      <c r="DJ170">
        <v>37379.699999999997</v>
      </c>
      <c r="DK170">
        <v>38429.699999999997</v>
      </c>
      <c r="DL170">
        <v>44368.4</v>
      </c>
      <c r="DM170">
        <v>42570</v>
      </c>
      <c r="DN170">
        <v>1.48495</v>
      </c>
      <c r="DO170">
        <v>2.0363799999999999</v>
      </c>
      <c r="DP170">
        <v>0.12731200000000001</v>
      </c>
      <c r="DQ170">
        <v>0.151396</v>
      </c>
      <c r="DR170">
        <v>24.897400000000001</v>
      </c>
      <c r="DS170">
        <v>24.755800000000001</v>
      </c>
      <c r="DT170">
        <v>16.8</v>
      </c>
      <c r="DU170">
        <v>29.8</v>
      </c>
      <c r="DV170">
        <v>7.1432099999999998</v>
      </c>
      <c r="DW170">
        <v>61.514099999999999</v>
      </c>
      <c r="DX170">
        <v>36.310099999999998</v>
      </c>
      <c r="DY170">
        <v>1</v>
      </c>
      <c r="DZ170">
        <v>-0.10302600000000001</v>
      </c>
      <c r="EA170">
        <v>0.18945799999999999</v>
      </c>
      <c r="EB170">
        <v>20.189699999999998</v>
      </c>
      <c r="EC170">
        <v>5.2411000000000003</v>
      </c>
      <c r="ED170">
        <v>12.039899999999999</v>
      </c>
      <c r="EE170">
        <v>5.01675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1.86896</v>
      </c>
      <c r="EL170">
        <v>1.86466</v>
      </c>
      <c r="EM170">
        <v>1.8692</v>
      </c>
      <c r="EN170">
        <v>1.86727</v>
      </c>
      <c r="EO170">
        <v>1.86341</v>
      </c>
      <c r="EP170">
        <v>1.86459</v>
      </c>
      <c r="EQ170">
        <v>1.87026</v>
      </c>
      <c r="ER170">
        <v>1.86948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-2.8000000000000001E-2</v>
      </c>
      <c r="FG170">
        <v>0.19009999999999999</v>
      </c>
      <c r="FH170">
        <v>0.27827353915413472</v>
      </c>
      <c r="FI170">
        <v>-6.1462078757559423E-4</v>
      </c>
      <c r="FJ170">
        <v>-1.8861989874597051E-7</v>
      </c>
      <c r="FK170">
        <v>1.1980462299894961E-10</v>
      </c>
      <c r="FL170">
        <v>0.19010266435860859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35.299999999999997</v>
      </c>
      <c r="FU170">
        <v>35.200000000000003</v>
      </c>
      <c r="FV170">
        <v>1.7773399999999999</v>
      </c>
      <c r="FW170">
        <v>2.5891099999999998</v>
      </c>
      <c r="FX170">
        <v>1.5490699999999999</v>
      </c>
      <c r="FY170">
        <v>2.3290999999999999</v>
      </c>
      <c r="FZ170">
        <v>1.50146</v>
      </c>
      <c r="GA170">
        <v>2.3327599999999999</v>
      </c>
      <c r="GB170">
        <v>33.828299999999999</v>
      </c>
      <c r="GC170">
        <v>23.973700000000001</v>
      </c>
      <c r="GD170">
        <v>19</v>
      </c>
      <c r="GE170">
        <v>286.101</v>
      </c>
      <c r="GF170">
        <v>581.80399999999997</v>
      </c>
      <c r="GG170">
        <v>23.995100000000001</v>
      </c>
      <c r="GH170">
        <v>26.080300000000001</v>
      </c>
      <c r="GI170">
        <v>29.9999</v>
      </c>
      <c r="GJ170">
        <v>26.2334</v>
      </c>
      <c r="GK170">
        <v>26.218299999999999</v>
      </c>
      <c r="GL170">
        <v>35.542700000000004</v>
      </c>
      <c r="GM170">
        <v>-30</v>
      </c>
      <c r="GN170">
        <v>-30</v>
      </c>
      <c r="GO170">
        <v>24.014099999999999</v>
      </c>
      <c r="GP170">
        <v>800</v>
      </c>
      <c r="GQ170">
        <v>12.5298</v>
      </c>
      <c r="GR170">
        <v>99.753399999999999</v>
      </c>
      <c r="GS170">
        <v>99.587599999999995</v>
      </c>
    </row>
    <row r="171" spans="1:201" x14ac:dyDescent="0.25">
      <c r="A171">
        <v>155</v>
      </c>
      <c r="B171">
        <v>1690219715.0999999</v>
      </c>
      <c r="C171">
        <v>1694.599999904633</v>
      </c>
      <c r="D171" t="s">
        <v>639</v>
      </c>
      <c r="E171" t="s">
        <v>640</v>
      </c>
      <c r="F171" t="s">
        <v>330</v>
      </c>
      <c r="H171">
        <v>1690219715.0999999</v>
      </c>
      <c r="I171">
        <f t="shared" si="60"/>
        <v>1.8253498403401562E-3</v>
      </c>
      <c r="J171">
        <f t="shared" si="61"/>
        <v>1.8253498403401562</v>
      </c>
      <c r="K171">
        <f t="shared" si="62"/>
        <v>31.477210268820482</v>
      </c>
      <c r="L171">
        <f t="shared" si="63"/>
        <v>451.37700000000001</v>
      </c>
      <c r="M171">
        <f t="shared" si="64"/>
        <v>96.020373946894864</v>
      </c>
      <c r="N171">
        <f t="shared" si="65"/>
        <v>9.5209489570543244</v>
      </c>
      <c r="O171">
        <f t="shared" si="66"/>
        <v>44.756515734516</v>
      </c>
      <c r="P171">
        <f t="shared" si="67"/>
        <v>0.14874201923053412</v>
      </c>
      <c r="Q171">
        <f t="shared" si="68"/>
        <v>2.1320058529623962</v>
      </c>
      <c r="R171">
        <f t="shared" si="69"/>
        <v>0.14320810678518667</v>
      </c>
      <c r="S171">
        <f t="shared" si="70"/>
        <v>8.9985112923179622E-2</v>
      </c>
      <c r="T171">
        <f t="shared" si="71"/>
        <v>276.11444439034244</v>
      </c>
      <c r="U171">
        <f t="shared" si="72"/>
        <v>27.54527216840658</v>
      </c>
      <c r="V171">
        <f t="shared" si="73"/>
        <v>27.54527216840658</v>
      </c>
      <c r="W171">
        <f t="shared" si="74"/>
        <v>3.6953977756089365</v>
      </c>
      <c r="X171">
        <f t="shared" si="75"/>
        <v>73.233280098816238</v>
      </c>
      <c r="Y171">
        <f t="shared" si="76"/>
        <v>2.4708461883012003</v>
      </c>
      <c r="Z171">
        <f t="shared" si="77"/>
        <v>3.3739389864378611</v>
      </c>
      <c r="AA171">
        <f t="shared" si="78"/>
        <v>1.2245515873077362</v>
      </c>
      <c r="AB171">
        <f t="shared" si="79"/>
        <v>-80.49792795900089</v>
      </c>
      <c r="AC171">
        <f t="shared" si="80"/>
        <v>-177.79856914320212</v>
      </c>
      <c r="AD171">
        <f t="shared" si="81"/>
        <v>-17.956696884737077</v>
      </c>
      <c r="AE171">
        <f t="shared" si="82"/>
        <v>-0.13874959659764841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52613.175939321278</v>
      </c>
      <c r="AK171">
        <f t="shared" si="86"/>
        <v>1799.99</v>
      </c>
      <c r="AL171">
        <f t="shared" si="87"/>
        <v>1499.1011714138901</v>
      </c>
      <c r="AM171">
        <f t="shared" si="88"/>
        <v>0.83283861100000012</v>
      </c>
      <c r="AN171">
        <f t="shared" si="89"/>
        <v>0.15339776576000003</v>
      </c>
      <c r="AO171">
        <v>32.4</v>
      </c>
      <c r="AP171">
        <v>0.5</v>
      </c>
      <c r="AQ171" t="s">
        <v>331</v>
      </c>
      <c r="AR171">
        <v>2</v>
      </c>
      <c r="AS171">
        <v>1690219715.0999999</v>
      </c>
      <c r="AT171">
        <v>451.37700000000001</v>
      </c>
      <c r="AU171">
        <v>800.02700000000004</v>
      </c>
      <c r="AV171">
        <v>24.918900000000001</v>
      </c>
      <c r="AW171">
        <v>5.7075100000000001</v>
      </c>
      <c r="AX171">
        <v>451.404</v>
      </c>
      <c r="AY171">
        <v>24.7288</v>
      </c>
      <c r="AZ171">
        <v>300.17399999999998</v>
      </c>
      <c r="BA171">
        <v>99.055499999999995</v>
      </c>
      <c r="BB171">
        <v>0.100008</v>
      </c>
      <c r="BC171">
        <v>25.9984</v>
      </c>
      <c r="BD171">
        <v>26.9817</v>
      </c>
      <c r="BE171">
        <v>27.243500000000001</v>
      </c>
      <c r="BF171">
        <v>0</v>
      </c>
      <c r="BG171">
        <v>0</v>
      </c>
      <c r="BH171">
        <v>10011.9</v>
      </c>
      <c r="BI171">
        <v>1067.33</v>
      </c>
      <c r="BJ171">
        <v>1.7380500000000001</v>
      </c>
      <c r="BK171">
        <v>-348.65</v>
      </c>
      <c r="BL171">
        <v>462.91300000000001</v>
      </c>
      <c r="BM171">
        <v>804.62</v>
      </c>
      <c r="BN171">
        <v>19.211400000000001</v>
      </c>
      <c r="BO171">
        <v>800.02700000000004</v>
      </c>
      <c r="BP171">
        <v>5.7075100000000001</v>
      </c>
      <c r="BQ171">
        <v>2.46835</v>
      </c>
      <c r="BR171">
        <v>0.565361</v>
      </c>
      <c r="BS171">
        <v>20.819299999999998</v>
      </c>
      <c r="BT171">
        <v>-1.1231899999999999</v>
      </c>
      <c r="BU171">
        <v>1799.99</v>
      </c>
      <c r="BV171">
        <v>0.90998500000000004</v>
      </c>
      <c r="BW171">
        <v>3.4006599999999998E-2</v>
      </c>
      <c r="BX171">
        <v>2.2004300000000001E-2</v>
      </c>
      <c r="BY171">
        <v>3.4003800000000001E-2</v>
      </c>
      <c r="BZ171">
        <v>26</v>
      </c>
      <c r="CA171">
        <v>33528.199999999997</v>
      </c>
      <c r="CB171">
        <v>1690217592</v>
      </c>
      <c r="CC171" t="s">
        <v>332</v>
      </c>
      <c r="CD171">
        <v>1690217586.5</v>
      </c>
      <c r="CE171">
        <v>1690217592</v>
      </c>
      <c r="CF171">
        <v>9</v>
      </c>
      <c r="CG171">
        <v>0.11600000000000001</v>
      </c>
      <c r="CH171">
        <v>-3.0000000000000001E-3</v>
      </c>
      <c r="CI171">
        <v>-0.27300000000000002</v>
      </c>
      <c r="CJ171">
        <v>-6.9000000000000006E-2</v>
      </c>
      <c r="CK171">
        <v>800</v>
      </c>
      <c r="CL171">
        <v>6</v>
      </c>
      <c r="CM171">
        <v>0.01</v>
      </c>
      <c r="CN171">
        <v>0.01</v>
      </c>
      <c r="CO171">
        <v>-347.03205000000003</v>
      </c>
      <c r="CP171">
        <v>-9.0932983114438315</v>
      </c>
      <c r="CQ171">
        <v>0.87635343754674488</v>
      </c>
      <c r="CR171">
        <v>-1</v>
      </c>
      <c r="CS171">
        <v>19.141482499999999</v>
      </c>
      <c r="CT171">
        <v>0.37173996247646368</v>
      </c>
      <c r="CU171">
        <v>3.5813795439048307E-2</v>
      </c>
      <c r="CV171">
        <v>-1</v>
      </c>
      <c r="CW171">
        <v>0</v>
      </c>
      <c r="CX171">
        <v>0</v>
      </c>
      <c r="CY171" t="s">
        <v>333</v>
      </c>
      <c r="CZ171">
        <v>2.3646500000000001</v>
      </c>
      <c r="DA171">
        <v>2.7138100000000001</v>
      </c>
      <c r="DB171">
        <v>9.8037799999999994E-2</v>
      </c>
      <c r="DC171">
        <v>0.146093</v>
      </c>
      <c r="DD171">
        <v>0.11695899999999999</v>
      </c>
      <c r="DE171">
        <v>3.7874100000000001E-2</v>
      </c>
      <c r="DF171">
        <v>32939.599999999999</v>
      </c>
      <c r="DG171">
        <v>27526</v>
      </c>
      <c r="DH171">
        <v>31176.5</v>
      </c>
      <c r="DI171">
        <v>28088.3</v>
      </c>
      <c r="DJ171">
        <v>37370.1</v>
      </c>
      <c r="DK171">
        <v>38430</v>
      </c>
      <c r="DL171">
        <v>44368.1</v>
      </c>
      <c r="DM171">
        <v>42570.400000000001</v>
      </c>
      <c r="DN171">
        <v>1.48472</v>
      </c>
      <c r="DO171">
        <v>2.0364</v>
      </c>
      <c r="DP171">
        <v>0.126999</v>
      </c>
      <c r="DQ171">
        <v>0.151675</v>
      </c>
      <c r="DR171">
        <v>24.9011</v>
      </c>
      <c r="DS171">
        <v>24.759</v>
      </c>
      <c r="DT171">
        <v>16.8</v>
      </c>
      <c r="DU171">
        <v>29.7</v>
      </c>
      <c r="DV171">
        <v>7.1021999999999998</v>
      </c>
      <c r="DW171">
        <v>61.684100000000001</v>
      </c>
      <c r="DX171">
        <v>36.234000000000002</v>
      </c>
      <c r="DY171">
        <v>1</v>
      </c>
      <c r="DZ171">
        <v>-0.103577</v>
      </c>
      <c r="EA171">
        <v>0.11945799999999999</v>
      </c>
      <c r="EB171">
        <v>20.189900000000002</v>
      </c>
      <c r="EC171">
        <v>5.2409499999999998</v>
      </c>
      <c r="ED171">
        <v>12.039899999999999</v>
      </c>
      <c r="EE171">
        <v>5.0174500000000002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1.8689800000000001</v>
      </c>
      <c r="EL171">
        <v>1.86466</v>
      </c>
      <c r="EM171">
        <v>1.8691899999999999</v>
      </c>
      <c r="EN171">
        <v>1.8672800000000001</v>
      </c>
      <c r="EO171">
        <v>1.86341</v>
      </c>
      <c r="EP171">
        <v>1.86459</v>
      </c>
      <c r="EQ171">
        <v>1.87026</v>
      </c>
      <c r="ER171">
        <v>1.86947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-2.7E-2</v>
      </c>
      <c r="FG171">
        <v>0.19009999999999999</v>
      </c>
      <c r="FH171">
        <v>0.27827353915413472</v>
      </c>
      <c r="FI171">
        <v>-6.1462078757559423E-4</v>
      </c>
      <c r="FJ171">
        <v>-1.8861989874597051E-7</v>
      </c>
      <c r="FK171">
        <v>1.1980462299894961E-10</v>
      </c>
      <c r="FL171">
        <v>0.19010266435860859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35.5</v>
      </c>
      <c r="FU171">
        <v>35.4</v>
      </c>
      <c r="FV171">
        <v>1.7773399999999999</v>
      </c>
      <c r="FW171">
        <v>2.5878899999999998</v>
      </c>
      <c r="FX171">
        <v>1.5490699999999999</v>
      </c>
      <c r="FY171">
        <v>2.3290999999999999</v>
      </c>
      <c r="FZ171">
        <v>1.50146</v>
      </c>
      <c r="GA171">
        <v>2.35229</v>
      </c>
      <c r="GB171">
        <v>33.850900000000003</v>
      </c>
      <c r="GC171">
        <v>23.973700000000001</v>
      </c>
      <c r="GD171">
        <v>19</v>
      </c>
      <c r="GE171">
        <v>285.99400000000003</v>
      </c>
      <c r="GF171">
        <v>581.79999999999995</v>
      </c>
      <c r="GG171">
        <v>24.030999999999999</v>
      </c>
      <c r="GH171">
        <v>26.078800000000001</v>
      </c>
      <c r="GI171">
        <v>29.9999</v>
      </c>
      <c r="GJ171">
        <v>26.231200000000001</v>
      </c>
      <c r="GK171">
        <v>26.216100000000001</v>
      </c>
      <c r="GL171">
        <v>35.541800000000002</v>
      </c>
      <c r="GM171">
        <v>-30</v>
      </c>
      <c r="GN171">
        <v>-30</v>
      </c>
      <c r="GO171">
        <v>24.056699999999999</v>
      </c>
      <c r="GP171">
        <v>800</v>
      </c>
      <c r="GQ171">
        <v>12.5298</v>
      </c>
      <c r="GR171">
        <v>99.752799999999993</v>
      </c>
      <c r="GS171">
        <v>99.588499999999996</v>
      </c>
    </row>
    <row r="172" spans="1:201" x14ac:dyDescent="0.25">
      <c r="A172">
        <v>156</v>
      </c>
      <c r="B172">
        <v>1690219725.0999999</v>
      </c>
      <c r="C172">
        <v>1704.599999904633</v>
      </c>
      <c r="D172" t="s">
        <v>641</v>
      </c>
      <c r="E172" t="s">
        <v>642</v>
      </c>
      <c r="F172" t="s">
        <v>330</v>
      </c>
      <c r="H172">
        <v>1690219725.0999999</v>
      </c>
      <c r="I172">
        <f t="shared" si="60"/>
        <v>1.8326449910575815E-3</v>
      </c>
      <c r="J172">
        <f t="shared" si="61"/>
        <v>1.8326449910575815</v>
      </c>
      <c r="K172">
        <f t="shared" si="62"/>
        <v>31.623829134487945</v>
      </c>
      <c r="L172">
        <f t="shared" si="63"/>
        <v>449.83800000000002</v>
      </c>
      <c r="M172">
        <f t="shared" si="64"/>
        <v>96.522681583538102</v>
      </c>
      <c r="N172">
        <f t="shared" si="65"/>
        <v>9.570876758426035</v>
      </c>
      <c r="O172">
        <f t="shared" si="66"/>
        <v>44.604480404232007</v>
      </c>
      <c r="P172">
        <f t="shared" si="67"/>
        <v>0.15033897943264732</v>
      </c>
      <c r="Q172">
        <f t="shared" si="68"/>
        <v>2.1341256282574892</v>
      </c>
      <c r="R172">
        <f t="shared" si="69"/>
        <v>0.14469341435338437</v>
      </c>
      <c r="S172">
        <f t="shared" si="70"/>
        <v>9.092295194466897E-2</v>
      </c>
      <c r="T172">
        <f t="shared" si="71"/>
        <v>276.11591779800005</v>
      </c>
      <c r="U172">
        <f t="shared" si="72"/>
        <v>27.542943178761362</v>
      </c>
      <c r="V172">
        <f t="shared" si="73"/>
        <v>27.542943178761362</v>
      </c>
      <c r="W172">
        <f t="shared" si="74"/>
        <v>3.694894372829916</v>
      </c>
      <c r="X172">
        <f t="shared" si="75"/>
        <v>73.441206232569058</v>
      </c>
      <c r="Y172">
        <f t="shared" si="76"/>
        <v>2.4780960988588006</v>
      </c>
      <c r="Z172">
        <f t="shared" si="77"/>
        <v>3.3742584387997652</v>
      </c>
      <c r="AA172">
        <f t="shared" si="78"/>
        <v>1.2167982739711154</v>
      </c>
      <c r="AB172">
        <f t="shared" si="79"/>
        <v>-80.819644105639341</v>
      </c>
      <c r="AC172">
        <f t="shared" si="80"/>
        <v>-177.52329791683871</v>
      </c>
      <c r="AD172">
        <f t="shared" si="81"/>
        <v>-17.91102169766852</v>
      </c>
      <c r="AE172">
        <f t="shared" si="82"/>
        <v>-0.13804592214648892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52704.710054853917</v>
      </c>
      <c r="AK172">
        <f t="shared" si="86"/>
        <v>1800</v>
      </c>
      <c r="AL172">
        <f t="shared" si="87"/>
        <v>1499.1099138000002</v>
      </c>
      <c r="AM172">
        <f t="shared" si="88"/>
        <v>0.83283884100000005</v>
      </c>
      <c r="AN172">
        <f t="shared" si="89"/>
        <v>0.15339773211000002</v>
      </c>
      <c r="AO172">
        <v>32.4</v>
      </c>
      <c r="AP172">
        <v>0.5</v>
      </c>
      <c r="AQ172" t="s">
        <v>331</v>
      </c>
      <c r="AR172">
        <v>2</v>
      </c>
      <c r="AS172">
        <v>1690219725.0999999</v>
      </c>
      <c r="AT172">
        <v>449.83800000000002</v>
      </c>
      <c r="AU172">
        <v>800.029</v>
      </c>
      <c r="AV172">
        <v>24.991700000000002</v>
      </c>
      <c r="AW172">
        <v>5.7075399999999998</v>
      </c>
      <c r="AX172">
        <v>449.863</v>
      </c>
      <c r="AY172">
        <v>24.801600000000001</v>
      </c>
      <c r="AZ172">
        <v>300.214</v>
      </c>
      <c r="BA172">
        <v>99.056700000000006</v>
      </c>
      <c r="BB172">
        <v>0.100064</v>
      </c>
      <c r="BC172">
        <v>26</v>
      </c>
      <c r="BD172">
        <v>26.989100000000001</v>
      </c>
      <c r="BE172">
        <v>27.230399999999999</v>
      </c>
      <c r="BF172">
        <v>0</v>
      </c>
      <c r="BG172">
        <v>0</v>
      </c>
      <c r="BH172">
        <v>10030</v>
      </c>
      <c r="BI172">
        <v>1067.4000000000001</v>
      </c>
      <c r="BJ172">
        <v>1.60209</v>
      </c>
      <c r="BK172">
        <v>-350.19099999999997</v>
      </c>
      <c r="BL172">
        <v>461.36799999999999</v>
      </c>
      <c r="BM172">
        <v>804.62099999999998</v>
      </c>
      <c r="BN172">
        <v>19.284199999999998</v>
      </c>
      <c r="BO172">
        <v>800.029</v>
      </c>
      <c r="BP172">
        <v>5.7075399999999998</v>
      </c>
      <c r="BQ172">
        <v>2.4756</v>
      </c>
      <c r="BR172">
        <v>0.56537000000000004</v>
      </c>
      <c r="BS172">
        <v>20.867000000000001</v>
      </c>
      <c r="BT172">
        <v>-1.12297</v>
      </c>
      <c r="BU172">
        <v>1800</v>
      </c>
      <c r="BV172">
        <v>0.90998699999999999</v>
      </c>
      <c r="BW172">
        <v>3.4005899999999999E-2</v>
      </c>
      <c r="BX172">
        <v>2.20038E-2</v>
      </c>
      <c r="BY172">
        <v>3.4003100000000001E-2</v>
      </c>
      <c r="BZ172">
        <v>26</v>
      </c>
      <c r="CA172">
        <v>33528.199999999997</v>
      </c>
      <c r="CB172">
        <v>1690217592</v>
      </c>
      <c r="CC172" t="s">
        <v>332</v>
      </c>
      <c r="CD172">
        <v>1690217586.5</v>
      </c>
      <c r="CE172">
        <v>1690217592</v>
      </c>
      <c r="CF172">
        <v>9</v>
      </c>
      <c r="CG172">
        <v>0.11600000000000001</v>
      </c>
      <c r="CH172">
        <v>-3.0000000000000001E-3</v>
      </c>
      <c r="CI172">
        <v>-0.27300000000000002</v>
      </c>
      <c r="CJ172">
        <v>-6.9000000000000006E-2</v>
      </c>
      <c r="CK172">
        <v>800</v>
      </c>
      <c r="CL172">
        <v>6</v>
      </c>
      <c r="CM172">
        <v>0.01</v>
      </c>
      <c r="CN172">
        <v>0.01</v>
      </c>
      <c r="CO172">
        <v>-348.54455000000002</v>
      </c>
      <c r="CP172">
        <v>-8.9642251407127347</v>
      </c>
      <c r="CQ172">
        <v>0.86298505056576413</v>
      </c>
      <c r="CR172">
        <v>-1</v>
      </c>
      <c r="CS172">
        <v>19.206804999999999</v>
      </c>
      <c r="CT172">
        <v>0.41172157598496478</v>
      </c>
      <c r="CU172">
        <v>3.9626032794111657E-2</v>
      </c>
      <c r="CV172">
        <v>-1</v>
      </c>
      <c r="CW172">
        <v>0</v>
      </c>
      <c r="CX172">
        <v>0</v>
      </c>
      <c r="CY172" t="s">
        <v>333</v>
      </c>
      <c r="CZ172">
        <v>2.3647800000000001</v>
      </c>
      <c r="DA172">
        <v>2.7138800000000001</v>
      </c>
      <c r="DB172">
        <v>9.7789699999999993E-2</v>
      </c>
      <c r="DC172">
        <v>0.146095</v>
      </c>
      <c r="DD172">
        <v>0.117201</v>
      </c>
      <c r="DE172">
        <v>3.7874699999999997E-2</v>
      </c>
      <c r="DF172">
        <v>32948.5</v>
      </c>
      <c r="DG172">
        <v>27526.3</v>
      </c>
      <c r="DH172">
        <v>31176.400000000001</v>
      </c>
      <c r="DI172">
        <v>28088.6</v>
      </c>
      <c r="DJ172">
        <v>37359.599999999999</v>
      </c>
      <c r="DK172">
        <v>38430.300000000003</v>
      </c>
      <c r="DL172">
        <v>44368</v>
      </c>
      <c r="DM172">
        <v>42570.7</v>
      </c>
      <c r="DN172">
        <v>1.48563</v>
      </c>
      <c r="DO172">
        <v>2.0365000000000002</v>
      </c>
      <c r="DP172">
        <v>0.12729699999999999</v>
      </c>
      <c r="DQ172">
        <v>0.15071399999999999</v>
      </c>
      <c r="DR172">
        <v>24.903700000000001</v>
      </c>
      <c r="DS172">
        <v>24.761600000000001</v>
      </c>
      <c r="DT172">
        <v>16.8</v>
      </c>
      <c r="DU172">
        <v>29.8</v>
      </c>
      <c r="DV172">
        <v>7.1419300000000003</v>
      </c>
      <c r="DW172">
        <v>61.524099999999997</v>
      </c>
      <c r="DX172">
        <v>36.193899999999999</v>
      </c>
      <c r="DY172">
        <v>1</v>
      </c>
      <c r="DZ172">
        <v>-0.103537</v>
      </c>
      <c r="EA172">
        <v>0.12277200000000001</v>
      </c>
      <c r="EB172">
        <v>20.189900000000002</v>
      </c>
      <c r="EC172">
        <v>5.2411000000000003</v>
      </c>
      <c r="ED172">
        <v>12.039899999999999</v>
      </c>
      <c r="EE172">
        <v>5.0172499999999998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1.869</v>
      </c>
      <c r="EL172">
        <v>1.86469</v>
      </c>
      <c r="EM172">
        <v>1.8692</v>
      </c>
      <c r="EN172">
        <v>1.8672899999999999</v>
      </c>
      <c r="EO172">
        <v>1.8634200000000001</v>
      </c>
      <c r="EP172">
        <v>1.8646</v>
      </c>
      <c r="EQ172">
        <v>1.87026</v>
      </c>
      <c r="ER172">
        <v>1.8694999999999999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-2.5000000000000001E-2</v>
      </c>
      <c r="FG172">
        <v>0.19009999999999999</v>
      </c>
      <c r="FH172">
        <v>0.27827353915413472</v>
      </c>
      <c r="FI172">
        <v>-6.1462078757559423E-4</v>
      </c>
      <c r="FJ172">
        <v>-1.8861989874597051E-7</v>
      </c>
      <c r="FK172">
        <v>1.1980462299894961E-10</v>
      </c>
      <c r="FL172">
        <v>0.19010266435860859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35.6</v>
      </c>
      <c r="FU172">
        <v>35.6</v>
      </c>
      <c r="FV172">
        <v>1.7773399999999999</v>
      </c>
      <c r="FW172">
        <v>2.5891099999999998</v>
      </c>
      <c r="FX172">
        <v>1.5490699999999999</v>
      </c>
      <c r="FY172">
        <v>2.3290999999999999</v>
      </c>
      <c r="FZ172">
        <v>1.50146</v>
      </c>
      <c r="GA172">
        <v>2.3706100000000001</v>
      </c>
      <c r="GB172">
        <v>33.828299999999999</v>
      </c>
      <c r="GC172">
        <v>23.982399999999998</v>
      </c>
      <c r="GD172">
        <v>19</v>
      </c>
      <c r="GE172">
        <v>286.38099999999997</v>
      </c>
      <c r="GF172">
        <v>581.88199999999995</v>
      </c>
      <c r="GG172">
        <v>24.0703</v>
      </c>
      <c r="GH172">
        <v>26.078800000000001</v>
      </c>
      <c r="GI172">
        <v>30</v>
      </c>
      <c r="GJ172">
        <v>26.231200000000001</v>
      </c>
      <c r="GK172">
        <v>26.216000000000001</v>
      </c>
      <c r="GL172">
        <v>35.539099999999998</v>
      </c>
      <c r="GM172">
        <v>-30</v>
      </c>
      <c r="GN172">
        <v>-30</v>
      </c>
      <c r="GO172">
        <v>24.069199999999999</v>
      </c>
      <c r="GP172">
        <v>800</v>
      </c>
      <c r="GQ172">
        <v>12.5298</v>
      </c>
      <c r="GR172">
        <v>99.752499999999998</v>
      </c>
      <c r="GS172">
        <v>99.589399999999998</v>
      </c>
    </row>
    <row r="173" spans="1:201" x14ac:dyDescent="0.25">
      <c r="A173">
        <v>157</v>
      </c>
      <c r="B173">
        <v>1690219735.0999999</v>
      </c>
      <c r="C173">
        <v>1714.599999904633</v>
      </c>
      <c r="D173" t="s">
        <v>643</v>
      </c>
      <c r="E173" t="s">
        <v>644</v>
      </c>
      <c r="F173" t="s">
        <v>330</v>
      </c>
      <c r="H173">
        <v>1690219735.0999999</v>
      </c>
      <c r="I173">
        <f t="shared" si="60"/>
        <v>1.8391252564879822E-3</v>
      </c>
      <c r="J173">
        <f t="shared" si="61"/>
        <v>1.8391252564879821</v>
      </c>
      <c r="K173">
        <f t="shared" si="62"/>
        <v>31.756099794250055</v>
      </c>
      <c r="L173">
        <f t="shared" si="63"/>
        <v>448.4</v>
      </c>
      <c r="M173">
        <f t="shared" si="64"/>
        <v>96.442626020298263</v>
      </c>
      <c r="N173">
        <f t="shared" si="65"/>
        <v>9.5628567316028565</v>
      </c>
      <c r="O173">
        <f t="shared" si="66"/>
        <v>44.461511837599993</v>
      </c>
      <c r="P173">
        <f t="shared" si="67"/>
        <v>0.15159799579555822</v>
      </c>
      <c r="Q173">
        <f t="shared" si="68"/>
        <v>2.1277069629375283</v>
      </c>
      <c r="R173">
        <f t="shared" si="69"/>
        <v>0.14584281354846626</v>
      </c>
      <c r="S173">
        <f t="shared" si="70"/>
        <v>9.1650634696669245E-2</v>
      </c>
      <c r="T173">
        <f t="shared" si="71"/>
        <v>276.11589794400004</v>
      </c>
      <c r="U173">
        <f t="shared" si="72"/>
        <v>27.548004487691536</v>
      </c>
      <c r="V173">
        <f t="shared" si="73"/>
        <v>27.548004487691536</v>
      </c>
      <c r="W173">
        <f t="shared" si="74"/>
        <v>3.6959884329423636</v>
      </c>
      <c r="X173">
        <f t="shared" si="75"/>
        <v>73.619549240988789</v>
      </c>
      <c r="Y173">
        <f t="shared" si="76"/>
        <v>2.4845695682808002</v>
      </c>
      <c r="Z173">
        <f t="shared" si="77"/>
        <v>3.3748774529272434</v>
      </c>
      <c r="AA173">
        <f t="shared" si="78"/>
        <v>1.2114188646615633</v>
      </c>
      <c r="AB173">
        <f t="shared" si="79"/>
        <v>-81.105423811120019</v>
      </c>
      <c r="AC173">
        <f t="shared" si="80"/>
        <v>-177.2143527637476</v>
      </c>
      <c r="AD173">
        <f t="shared" si="81"/>
        <v>-17.93452193745205</v>
      </c>
      <c r="AE173">
        <f t="shared" si="82"/>
        <v>-0.13840056831966763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52426.532734078588</v>
      </c>
      <c r="AK173">
        <f t="shared" si="86"/>
        <v>1800</v>
      </c>
      <c r="AL173">
        <f t="shared" si="87"/>
        <v>1499.1104844000001</v>
      </c>
      <c r="AM173">
        <f t="shared" si="88"/>
        <v>0.83283915800000008</v>
      </c>
      <c r="AN173">
        <f t="shared" si="89"/>
        <v>0.15339772108000002</v>
      </c>
      <c r="AO173">
        <v>32.4</v>
      </c>
      <c r="AP173">
        <v>0.5</v>
      </c>
      <c r="AQ173" t="s">
        <v>331</v>
      </c>
      <c r="AR173">
        <v>2</v>
      </c>
      <c r="AS173">
        <v>1690219735.0999999</v>
      </c>
      <c r="AT173">
        <v>448.4</v>
      </c>
      <c r="AU173">
        <v>799.99800000000005</v>
      </c>
      <c r="AV173">
        <v>25.057200000000002</v>
      </c>
      <c r="AW173">
        <v>5.7074400000000001</v>
      </c>
      <c r="AX173">
        <v>448.42399999999998</v>
      </c>
      <c r="AY173">
        <v>24.867100000000001</v>
      </c>
      <c r="AZ173">
        <v>300.23399999999998</v>
      </c>
      <c r="BA173">
        <v>99.055899999999994</v>
      </c>
      <c r="BB173">
        <v>0.10001400000000001</v>
      </c>
      <c r="BC173">
        <v>26.0031</v>
      </c>
      <c r="BD173">
        <v>26.994800000000001</v>
      </c>
      <c r="BE173">
        <v>27.225100000000001</v>
      </c>
      <c r="BF173">
        <v>0</v>
      </c>
      <c r="BG173">
        <v>0</v>
      </c>
      <c r="BH173">
        <v>9975</v>
      </c>
      <c r="BI173">
        <v>1067.43</v>
      </c>
      <c r="BJ173">
        <v>1.42828</v>
      </c>
      <c r="BK173">
        <v>-351.59899999999999</v>
      </c>
      <c r="BL173">
        <v>459.92399999999998</v>
      </c>
      <c r="BM173">
        <v>804.59100000000001</v>
      </c>
      <c r="BN173">
        <v>19.349699999999999</v>
      </c>
      <c r="BO173">
        <v>799.99800000000005</v>
      </c>
      <c r="BP173">
        <v>5.7074400000000001</v>
      </c>
      <c r="BQ173">
        <v>2.4820600000000002</v>
      </c>
      <c r="BR173">
        <v>0.56535599999999997</v>
      </c>
      <c r="BS173">
        <v>20.909400000000002</v>
      </c>
      <c r="BT173">
        <v>-1.1233</v>
      </c>
      <c r="BU173">
        <v>1800</v>
      </c>
      <c r="BV173">
        <v>0.90998900000000005</v>
      </c>
      <c r="BW173">
        <v>3.4005199999999999E-2</v>
      </c>
      <c r="BX173">
        <v>2.2003399999999999E-2</v>
      </c>
      <c r="BY173">
        <v>3.4002400000000002E-2</v>
      </c>
      <c r="BZ173">
        <v>26</v>
      </c>
      <c r="CA173">
        <v>33528.199999999997</v>
      </c>
      <c r="CB173">
        <v>1690217592</v>
      </c>
      <c r="CC173" t="s">
        <v>332</v>
      </c>
      <c r="CD173">
        <v>1690217586.5</v>
      </c>
      <c r="CE173">
        <v>1690217592</v>
      </c>
      <c r="CF173">
        <v>9</v>
      </c>
      <c r="CG173">
        <v>0.11600000000000001</v>
      </c>
      <c r="CH173">
        <v>-3.0000000000000001E-3</v>
      </c>
      <c r="CI173">
        <v>-0.27300000000000002</v>
      </c>
      <c r="CJ173">
        <v>-6.9000000000000006E-2</v>
      </c>
      <c r="CK173">
        <v>800</v>
      </c>
      <c r="CL173">
        <v>6</v>
      </c>
      <c r="CM173">
        <v>0.01</v>
      </c>
      <c r="CN173">
        <v>0.01</v>
      </c>
      <c r="CO173">
        <v>-350.08436585365848</v>
      </c>
      <c r="CP173">
        <v>-8.9767317073173523</v>
      </c>
      <c r="CQ173">
        <v>0.88565694939110839</v>
      </c>
      <c r="CR173">
        <v>-1</v>
      </c>
      <c r="CS173">
        <v>19.278997560975611</v>
      </c>
      <c r="CT173">
        <v>0.42965226480838631</v>
      </c>
      <c r="CU173">
        <v>4.2389698977664633E-2</v>
      </c>
      <c r="CV173">
        <v>-1</v>
      </c>
      <c r="CW173">
        <v>0</v>
      </c>
      <c r="CX173">
        <v>0</v>
      </c>
      <c r="CY173" t="s">
        <v>333</v>
      </c>
      <c r="CZ173">
        <v>2.3648799999999999</v>
      </c>
      <c r="DA173">
        <v>2.7137799999999999</v>
      </c>
      <c r="DB173">
        <v>9.7556299999999999E-2</v>
      </c>
      <c r="DC173">
        <v>0.14609</v>
      </c>
      <c r="DD173">
        <v>0.11741600000000001</v>
      </c>
      <c r="DE173">
        <v>3.7874100000000001E-2</v>
      </c>
      <c r="DF173">
        <v>32956.5</v>
      </c>
      <c r="DG173">
        <v>27526.5</v>
      </c>
      <c r="DH173">
        <v>31175.9</v>
      </c>
      <c r="DI173">
        <v>28088.7</v>
      </c>
      <c r="DJ173">
        <v>37349.9</v>
      </c>
      <c r="DK173">
        <v>38430.300000000003</v>
      </c>
      <c r="DL173">
        <v>44367.4</v>
      </c>
      <c r="DM173">
        <v>42570.7</v>
      </c>
      <c r="DN173">
        <v>1.4850300000000001</v>
      </c>
      <c r="DO173">
        <v>2.0362</v>
      </c>
      <c r="DP173">
        <v>0.12745300000000001</v>
      </c>
      <c r="DQ173">
        <v>0.15014</v>
      </c>
      <c r="DR173">
        <v>24.9069</v>
      </c>
      <c r="DS173">
        <v>24.765699999999999</v>
      </c>
      <c r="DT173">
        <v>16.7</v>
      </c>
      <c r="DU173">
        <v>29.8</v>
      </c>
      <c r="DV173">
        <v>7.09971</v>
      </c>
      <c r="DW173">
        <v>61.964100000000002</v>
      </c>
      <c r="DX173">
        <v>36.133800000000001</v>
      </c>
      <c r="DY173">
        <v>1</v>
      </c>
      <c r="DZ173">
        <v>-0.103686</v>
      </c>
      <c r="EA173">
        <v>0.10882600000000001</v>
      </c>
      <c r="EB173">
        <v>20.189800000000002</v>
      </c>
      <c r="EC173">
        <v>5.2411000000000003</v>
      </c>
      <c r="ED173">
        <v>12.039899999999999</v>
      </c>
      <c r="EE173">
        <v>5.0173500000000004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1.86896</v>
      </c>
      <c r="EL173">
        <v>1.8646499999999999</v>
      </c>
      <c r="EM173">
        <v>1.8692</v>
      </c>
      <c r="EN173">
        <v>1.8672800000000001</v>
      </c>
      <c r="EO173">
        <v>1.86341</v>
      </c>
      <c r="EP173">
        <v>1.8645700000000001</v>
      </c>
      <c r="EQ173">
        <v>1.8702399999999999</v>
      </c>
      <c r="ER173">
        <v>1.86948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-2.4E-2</v>
      </c>
      <c r="FG173">
        <v>0.19009999999999999</v>
      </c>
      <c r="FH173">
        <v>0.27827353915413472</v>
      </c>
      <c r="FI173">
        <v>-6.1462078757559423E-4</v>
      </c>
      <c r="FJ173">
        <v>-1.8861989874597051E-7</v>
      </c>
      <c r="FK173">
        <v>1.1980462299894961E-10</v>
      </c>
      <c r="FL173">
        <v>0.19010266435860859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35.799999999999997</v>
      </c>
      <c r="FU173">
        <v>35.700000000000003</v>
      </c>
      <c r="FV173">
        <v>1.7773399999999999</v>
      </c>
      <c r="FW173">
        <v>2.5830099999999998</v>
      </c>
      <c r="FX173">
        <v>1.5490699999999999</v>
      </c>
      <c r="FY173">
        <v>2.3290999999999999</v>
      </c>
      <c r="FZ173">
        <v>1.50146</v>
      </c>
      <c r="GA173">
        <v>2.3962400000000001</v>
      </c>
      <c r="GB173">
        <v>33.828299999999999</v>
      </c>
      <c r="GC173">
        <v>23.982399999999998</v>
      </c>
      <c r="GD173">
        <v>19</v>
      </c>
      <c r="GE173">
        <v>286.11500000000001</v>
      </c>
      <c r="GF173">
        <v>581.61</v>
      </c>
      <c r="GG173">
        <v>24.089099999999998</v>
      </c>
      <c r="GH173">
        <v>26.077500000000001</v>
      </c>
      <c r="GI173">
        <v>29.9999</v>
      </c>
      <c r="GJ173">
        <v>26.229399999999998</v>
      </c>
      <c r="GK173">
        <v>26.213899999999999</v>
      </c>
      <c r="GL173">
        <v>35.540199999999999</v>
      </c>
      <c r="GM173">
        <v>-30</v>
      </c>
      <c r="GN173">
        <v>-30</v>
      </c>
      <c r="GO173">
        <v>24.111599999999999</v>
      </c>
      <c r="GP173">
        <v>800</v>
      </c>
      <c r="GQ173">
        <v>12.5298</v>
      </c>
      <c r="GR173">
        <v>99.751099999999994</v>
      </c>
      <c r="GS173">
        <v>99.589600000000004</v>
      </c>
    </row>
    <row r="174" spans="1:201" x14ac:dyDescent="0.25">
      <c r="A174">
        <v>158</v>
      </c>
      <c r="B174">
        <v>1690219745.0999999</v>
      </c>
      <c r="C174">
        <v>1724.599999904633</v>
      </c>
      <c r="D174" t="s">
        <v>645</v>
      </c>
      <c r="E174" t="s">
        <v>646</v>
      </c>
      <c r="F174" t="s">
        <v>330</v>
      </c>
      <c r="H174">
        <v>1690219745.0999999</v>
      </c>
      <c r="I174">
        <f t="shared" si="60"/>
        <v>1.8449169357002055E-3</v>
      </c>
      <c r="J174">
        <f t="shared" si="61"/>
        <v>1.8449169357002055</v>
      </c>
      <c r="K174">
        <f t="shared" si="62"/>
        <v>31.880239533700916</v>
      </c>
      <c r="L174">
        <f t="shared" si="63"/>
        <v>447.03800000000001</v>
      </c>
      <c r="M174">
        <f t="shared" si="64"/>
        <v>96.520142629479835</v>
      </c>
      <c r="N174">
        <f t="shared" si="65"/>
        <v>9.5707172772140261</v>
      </c>
      <c r="O174">
        <f t="shared" si="66"/>
        <v>44.327268833360002</v>
      </c>
      <c r="P174">
        <f t="shared" si="67"/>
        <v>0.15284257692299369</v>
      </c>
      <c r="Q174">
        <f t="shared" si="68"/>
        <v>2.1304997445319778</v>
      </c>
      <c r="R174">
        <f t="shared" si="69"/>
        <v>0.14700182103390652</v>
      </c>
      <c r="S174">
        <f t="shared" si="70"/>
        <v>9.2382309957203826E-2</v>
      </c>
      <c r="T174">
        <f t="shared" si="71"/>
        <v>276.11599598999999</v>
      </c>
      <c r="U174">
        <f t="shared" si="72"/>
        <v>27.55043481158997</v>
      </c>
      <c r="V174">
        <f t="shared" si="73"/>
        <v>27.55043481158997</v>
      </c>
      <c r="W174">
        <f t="shared" si="74"/>
        <v>3.6965138758499623</v>
      </c>
      <c r="X174">
        <f t="shared" si="75"/>
        <v>73.779070815231947</v>
      </c>
      <c r="Y174">
        <f t="shared" si="76"/>
        <v>2.4908815894880001</v>
      </c>
      <c r="Z174">
        <f t="shared" si="77"/>
        <v>3.3761357549839848</v>
      </c>
      <c r="AA174">
        <f t="shared" si="78"/>
        <v>1.2056322863619622</v>
      </c>
      <c r="AB174">
        <f t="shared" si="79"/>
        <v>-81.360836864379067</v>
      </c>
      <c r="AC174">
        <f t="shared" si="80"/>
        <v>-177.00249137402321</v>
      </c>
      <c r="AD174">
        <f t="shared" si="81"/>
        <v>-17.890380462840493</v>
      </c>
      <c r="AE174">
        <f t="shared" si="82"/>
        <v>-0.13771271124275586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52546.137296051718</v>
      </c>
      <c r="AK174">
        <f t="shared" si="86"/>
        <v>1800</v>
      </c>
      <c r="AL174">
        <f t="shared" si="87"/>
        <v>1499.1109020000001</v>
      </c>
      <c r="AM174">
        <f t="shared" si="88"/>
        <v>0.83283939000000007</v>
      </c>
      <c r="AN174">
        <f t="shared" si="89"/>
        <v>0.15339777555</v>
      </c>
      <c r="AO174">
        <v>32.4</v>
      </c>
      <c r="AP174">
        <v>0.5</v>
      </c>
      <c r="AQ174" t="s">
        <v>331</v>
      </c>
      <c r="AR174">
        <v>2</v>
      </c>
      <c r="AS174">
        <v>1690219745.0999999</v>
      </c>
      <c r="AT174">
        <v>447.03800000000001</v>
      </c>
      <c r="AU174">
        <v>800.053</v>
      </c>
      <c r="AV174">
        <v>25.1204</v>
      </c>
      <c r="AW174">
        <v>5.7067600000000001</v>
      </c>
      <c r="AX174">
        <v>447.06099999999998</v>
      </c>
      <c r="AY174">
        <v>24.930299999999999</v>
      </c>
      <c r="AZ174">
        <v>300.16899999999998</v>
      </c>
      <c r="BA174">
        <v>99.057699999999997</v>
      </c>
      <c r="BB174">
        <v>0.10002</v>
      </c>
      <c r="BC174">
        <v>26.009399999999999</v>
      </c>
      <c r="BD174">
        <v>27.017600000000002</v>
      </c>
      <c r="BE174">
        <v>27.241</v>
      </c>
      <c r="BF174">
        <v>0</v>
      </c>
      <c r="BG174">
        <v>0</v>
      </c>
      <c r="BH174">
        <v>9998.75</v>
      </c>
      <c r="BI174">
        <v>1067.44</v>
      </c>
      <c r="BJ174">
        <v>1.56985</v>
      </c>
      <c r="BK174">
        <v>-353.01499999999999</v>
      </c>
      <c r="BL174">
        <v>458.55700000000002</v>
      </c>
      <c r="BM174">
        <v>804.64499999999998</v>
      </c>
      <c r="BN174">
        <v>19.413599999999999</v>
      </c>
      <c r="BO174">
        <v>800.053</v>
      </c>
      <c r="BP174">
        <v>5.7067600000000001</v>
      </c>
      <c r="BQ174">
        <v>2.4883600000000001</v>
      </c>
      <c r="BR174">
        <v>0.56529799999999997</v>
      </c>
      <c r="BS174">
        <v>20.950600000000001</v>
      </c>
      <c r="BT174">
        <v>-1.1247</v>
      </c>
      <c r="BU174">
        <v>1800</v>
      </c>
      <c r="BV174">
        <v>0.90998900000000005</v>
      </c>
      <c r="BW174">
        <v>3.4005300000000002E-2</v>
      </c>
      <c r="BX174">
        <v>2.2003499999999999E-2</v>
      </c>
      <c r="BY174">
        <v>3.4002499999999998E-2</v>
      </c>
      <c r="BZ174">
        <v>26</v>
      </c>
      <c r="CA174">
        <v>33528.199999999997</v>
      </c>
      <c r="CB174">
        <v>1690217592</v>
      </c>
      <c r="CC174" t="s">
        <v>332</v>
      </c>
      <c r="CD174">
        <v>1690217586.5</v>
      </c>
      <c r="CE174">
        <v>1690217592</v>
      </c>
      <c r="CF174">
        <v>9</v>
      </c>
      <c r="CG174">
        <v>0.11600000000000001</v>
      </c>
      <c r="CH174">
        <v>-3.0000000000000001E-3</v>
      </c>
      <c r="CI174">
        <v>-0.27300000000000002</v>
      </c>
      <c r="CJ174">
        <v>-6.9000000000000006E-2</v>
      </c>
      <c r="CK174">
        <v>800</v>
      </c>
      <c r="CL174">
        <v>6</v>
      </c>
      <c r="CM174">
        <v>0.01</v>
      </c>
      <c r="CN174">
        <v>0.01</v>
      </c>
      <c r="CO174">
        <v>-351.37719512195122</v>
      </c>
      <c r="CP174">
        <v>-8.2358048780488939</v>
      </c>
      <c r="CQ174">
        <v>0.8129016446524413</v>
      </c>
      <c r="CR174">
        <v>-1</v>
      </c>
      <c r="CS174">
        <v>19.340075609756099</v>
      </c>
      <c r="CT174">
        <v>0.38389965156790973</v>
      </c>
      <c r="CU174">
        <v>3.7878295352015617E-2</v>
      </c>
      <c r="CV174">
        <v>-1</v>
      </c>
      <c r="CW174">
        <v>0</v>
      </c>
      <c r="CX174">
        <v>0</v>
      </c>
      <c r="CY174" t="s">
        <v>333</v>
      </c>
      <c r="CZ174">
        <v>2.3646500000000001</v>
      </c>
      <c r="DA174">
        <v>2.7138100000000001</v>
      </c>
      <c r="DB174">
        <v>9.7336900000000004E-2</v>
      </c>
      <c r="DC174">
        <v>0.14609900000000001</v>
      </c>
      <c r="DD174">
        <v>0.11762599999999999</v>
      </c>
      <c r="DE174">
        <v>3.7871000000000002E-2</v>
      </c>
      <c r="DF174">
        <v>32964.9</v>
      </c>
      <c r="DG174">
        <v>27526.3</v>
      </c>
      <c r="DH174">
        <v>31176.2</v>
      </c>
      <c r="DI174">
        <v>28088.799999999999</v>
      </c>
      <c r="DJ174">
        <v>37341</v>
      </c>
      <c r="DK174">
        <v>38430.699999999997</v>
      </c>
      <c r="DL174">
        <v>44367.6</v>
      </c>
      <c r="DM174">
        <v>42570.9</v>
      </c>
      <c r="DN174">
        <v>1.4850699999999999</v>
      </c>
      <c r="DO174">
        <v>2.0363500000000001</v>
      </c>
      <c r="DP174">
        <v>0.12868599999999999</v>
      </c>
      <c r="DQ174">
        <v>0.15098600000000001</v>
      </c>
      <c r="DR174">
        <v>24.909500000000001</v>
      </c>
      <c r="DS174">
        <v>24.767800000000001</v>
      </c>
      <c r="DT174">
        <v>16.8</v>
      </c>
      <c r="DU174">
        <v>29.8</v>
      </c>
      <c r="DV174">
        <v>7.1423100000000002</v>
      </c>
      <c r="DW174">
        <v>61.984099999999998</v>
      </c>
      <c r="DX174">
        <v>36.241999999999997</v>
      </c>
      <c r="DY174">
        <v>1</v>
      </c>
      <c r="DZ174">
        <v>-0.103128</v>
      </c>
      <c r="EA174">
        <v>0.38488600000000001</v>
      </c>
      <c r="EB174">
        <v>20.189299999999999</v>
      </c>
      <c r="EC174">
        <v>5.2409499999999998</v>
      </c>
      <c r="ED174">
        <v>12.039899999999999</v>
      </c>
      <c r="EE174">
        <v>5.0171999999999999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1.86896</v>
      </c>
      <c r="EL174">
        <v>1.86467</v>
      </c>
      <c r="EM174">
        <v>1.8691899999999999</v>
      </c>
      <c r="EN174">
        <v>1.8672599999999999</v>
      </c>
      <c r="EO174">
        <v>1.86341</v>
      </c>
      <c r="EP174">
        <v>1.8645700000000001</v>
      </c>
      <c r="EQ174">
        <v>1.8702399999999999</v>
      </c>
      <c r="ER174">
        <v>1.86948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-2.3E-2</v>
      </c>
      <c r="FG174">
        <v>0.19009999999999999</v>
      </c>
      <c r="FH174">
        <v>0.27827353915413472</v>
      </c>
      <c r="FI174">
        <v>-6.1462078757559423E-4</v>
      </c>
      <c r="FJ174">
        <v>-1.8861989874597051E-7</v>
      </c>
      <c r="FK174">
        <v>1.1980462299894961E-10</v>
      </c>
      <c r="FL174">
        <v>0.19010266435860859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36</v>
      </c>
      <c r="FU174">
        <v>35.9</v>
      </c>
      <c r="FV174">
        <v>1.7773399999999999</v>
      </c>
      <c r="FW174">
        <v>2.5842299999999998</v>
      </c>
      <c r="FX174">
        <v>1.5490699999999999</v>
      </c>
      <c r="FY174">
        <v>2.3290999999999999</v>
      </c>
      <c r="FZ174">
        <v>1.50146</v>
      </c>
      <c r="GA174">
        <v>2.3791500000000001</v>
      </c>
      <c r="GB174">
        <v>33.828299999999999</v>
      </c>
      <c r="GC174">
        <v>23.982399999999998</v>
      </c>
      <c r="GD174">
        <v>19</v>
      </c>
      <c r="GE174">
        <v>286.13499999999999</v>
      </c>
      <c r="GF174">
        <v>581.73400000000004</v>
      </c>
      <c r="GG174">
        <v>24.077400000000001</v>
      </c>
      <c r="GH174">
        <v>26.076599999999999</v>
      </c>
      <c r="GI174">
        <v>30.000499999999999</v>
      </c>
      <c r="GJ174">
        <v>26.228999999999999</v>
      </c>
      <c r="GK174">
        <v>26.213899999999999</v>
      </c>
      <c r="GL174">
        <v>35.540300000000002</v>
      </c>
      <c r="GM174">
        <v>-30</v>
      </c>
      <c r="GN174">
        <v>-30</v>
      </c>
      <c r="GO174">
        <v>24.023099999999999</v>
      </c>
      <c r="GP174">
        <v>800</v>
      </c>
      <c r="GQ174">
        <v>12.5298</v>
      </c>
      <c r="GR174">
        <v>99.751800000000003</v>
      </c>
      <c r="GS174">
        <v>99.59</v>
      </c>
    </row>
    <row r="175" spans="1:201" x14ac:dyDescent="0.25">
      <c r="A175">
        <v>159</v>
      </c>
      <c r="B175">
        <v>1690219755.0999999</v>
      </c>
      <c r="C175">
        <v>1734.599999904633</v>
      </c>
      <c r="D175" t="s">
        <v>647</v>
      </c>
      <c r="E175" t="s">
        <v>648</v>
      </c>
      <c r="F175" t="s">
        <v>330</v>
      </c>
      <c r="H175">
        <v>1690219755.0999999</v>
      </c>
      <c r="I175">
        <f t="shared" si="60"/>
        <v>1.8482942404242561E-3</v>
      </c>
      <c r="J175">
        <f t="shared" si="61"/>
        <v>1.8482942404242562</v>
      </c>
      <c r="K175">
        <f t="shared" si="62"/>
        <v>32.005548518386711</v>
      </c>
      <c r="L175">
        <f t="shared" si="63"/>
        <v>445.59699999999998</v>
      </c>
      <c r="M175">
        <f t="shared" si="64"/>
        <v>95.765377482562357</v>
      </c>
      <c r="N175">
        <f t="shared" si="65"/>
        <v>9.4958237672699184</v>
      </c>
      <c r="O175">
        <f t="shared" si="66"/>
        <v>44.184137257691496</v>
      </c>
      <c r="P175">
        <f t="shared" si="67"/>
        <v>0.15376745492330712</v>
      </c>
      <c r="Q175">
        <f t="shared" si="68"/>
        <v>2.1275026044639804</v>
      </c>
      <c r="R175">
        <f t="shared" si="69"/>
        <v>0.14784928684303331</v>
      </c>
      <c r="S175">
        <f t="shared" si="70"/>
        <v>9.2918549691453745E-2</v>
      </c>
      <c r="T175">
        <f t="shared" si="71"/>
        <v>276.11734237071335</v>
      </c>
      <c r="U175">
        <f t="shared" si="72"/>
        <v>27.545646173573168</v>
      </c>
      <c r="V175">
        <f t="shared" si="73"/>
        <v>27.545646173573168</v>
      </c>
      <c r="W175">
        <f t="shared" si="74"/>
        <v>3.695478621064737</v>
      </c>
      <c r="X175">
        <f t="shared" si="75"/>
        <v>73.913286190515308</v>
      </c>
      <c r="Y175">
        <f t="shared" si="76"/>
        <v>2.49458615456405</v>
      </c>
      <c r="Z175">
        <f t="shared" si="77"/>
        <v>3.3750172440366479</v>
      </c>
      <c r="AA175">
        <f t="shared" si="78"/>
        <v>1.200892466500687</v>
      </c>
      <c r="AB175">
        <f t="shared" si="79"/>
        <v>-81.5097760027097</v>
      </c>
      <c r="AC175">
        <f t="shared" si="80"/>
        <v>-176.84654970382957</v>
      </c>
      <c r="AD175">
        <f t="shared" si="81"/>
        <v>-17.898869520692593</v>
      </c>
      <c r="AE175">
        <f t="shared" si="82"/>
        <v>-0.13785285651852064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52417.614686103123</v>
      </c>
      <c r="AK175">
        <f t="shared" si="86"/>
        <v>1800.01</v>
      </c>
      <c r="AL175">
        <f t="shared" si="87"/>
        <v>1499.1191007931798</v>
      </c>
      <c r="AM175">
        <f t="shared" si="88"/>
        <v>0.83283931799999988</v>
      </c>
      <c r="AN175">
        <f t="shared" si="89"/>
        <v>0.15339767133000001</v>
      </c>
      <c r="AO175">
        <v>32.4</v>
      </c>
      <c r="AP175">
        <v>0.5</v>
      </c>
      <c r="AQ175" t="s">
        <v>331</v>
      </c>
      <c r="AR175">
        <v>2</v>
      </c>
      <c r="AS175">
        <v>1690219755.0999999</v>
      </c>
      <c r="AT175">
        <v>445.59699999999998</v>
      </c>
      <c r="AU175">
        <v>799.98400000000004</v>
      </c>
      <c r="AV175">
        <v>25.157900000000001</v>
      </c>
      <c r="AW175">
        <v>5.7077200000000001</v>
      </c>
      <c r="AX175">
        <v>445.62</v>
      </c>
      <c r="AY175">
        <v>24.9678</v>
      </c>
      <c r="AZ175">
        <v>300.142</v>
      </c>
      <c r="BA175">
        <v>99.057199999999995</v>
      </c>
      <c r="BB175">
        <v>9.9969500000000003E-2</v>
      </c>
      <c r="BC175">
        <v>26.003799999999998</v>
      </c>
      <c r="BD175">
        <v>27.000599999999999</v>
      </c>
      <c r="BE175">
        <v>27.230799999999999</v>
      </c>
      <c r="BF175">
        <v>0</v>
      </c>
      <c r="BG175">
        <v>0</v>
      </c>
      <c r="BH175">
        <v>9973.1200000000008</v>
      </c>
      <c r="BI175">
        <v>1067.3599999999999</v>
      </c>
      <c r="BJ175">
        <v>1.1773899999999999</v>
      </c>
      <c r="BK175">
        <v>-354.387</v>
      </c>
      <c r="BL175">
        <v>457.09699999999998</v>
      </c>
      <c r="BM175">
        <v>804.57600000000002</v>
      </c>
      <c r="BN175">
        <v>19.450199999999999</v>
      </c>
      <c r="BO175">
        <v>799.98400000000004</v>
      </c>
      <c r="BP175">
        <v>5.7077200000000001</v>
      </c>
      <c r="BQ175">
        <v>2.49207</v>
      </c>
      <c r="BR175">
        <v>0.56539099999999998</v>
      </c>
      <c r="BS175">
        <v>20.974799999999998</v>
      </c>
      <c r="BT175">
        <v>-1.12246</v>
      </c>
      <c r="BU175">
        <v>1800.01</v>
      </c>
      <c r="BV175">
        <v>0.90999099999999999</v>
      </c>
      <c r="BW175">
        <v>3.4004399999999997E-2</v>
      </c>
      <c r="BX175">
        <v>2.2002899999999999E-2</v>
      </c>
      <c r="BY175">
        <v>3.4001700000000003E-2</v>
      </c>
      <c r="BZ175">
        <v>26</v>
      </c>
      <c r="CA175">
        <v>33528.400000000001</v>
      </c>
      <c r="CB175">
        <v>1690217592</v>
      </c>
      <c r="CC175" t="s">
        <v>332</v>
      </c>
      <c r="CD175">
        <v>1690217586.5</v>
      </c>
      <c r="CE175">
        <v>1690217592</v>
      </c>
      <c r="CF175">
        <v>9</v>
      </c>
      <c r="CG175">
        <v>0.11600000000000001</v>
      </c>
      <c r="CH175">
        <v>-3.0000000000000001E-3</v>
      </c>
      <c r="CI175">
        <v>-0.27300000000000002</v>
      </c>
      <c r="CJ175">
        <v>-6.9000000000000006E-2</v>
      </c>
      <c r="CK175">
        <v>800</v>
      </c>
      <c r="CL175">
        <v>6</v>
      </c>
      <c r="CM175">
        <v>0.01</v>
      </c>
      <c r="CN175">
        <v>0.01</v>
      </c>
      <c r="CO175">
        <v>-352.8526</v>
      </c>
      <c r="CP175">
        <v>-8.1985891181984414</v>
      </c>
      <c r="CQ175">
        <v>0.78996398019150649</v>
      </c>
      <c r="CR175">
        <v>-1</v>
      </c>
      <c r="CS175">
        <v>19.403617499999999</v>
      </c>
      <c r="CT175">
        <v>0.31973020637894678</v>
      </c>
      <c r="CU175">
        <v>3.1027776970804419E-2</v>
      </c>
      <c r="CV175">
        <v>-1</v>
      </c>
      <c r="CW175">
        <v>0</v>
      </c>
      <c r="CX175">
        <v>0</v>
      </c>
      <c r="CY175" t="s">
        <v>333</v>
      </c>
      <c r="CZ175">
        <v>2.3645700000000001</v>
      </c>
      <c r="DA175">
        <v>2.71374</v>
      </c>
      <c r="DB175">
        <v>9.7102599999999997E-2</v>
      </c>
      <c r="DC175">
        <v>0.146091</v>
      </c>
      <c r="DD175">
        <v>0.11774999999999999</v>
      </c>
      <c r="DE175">
        <v>3.7876399999999998E-2</v>
      </c>
      <c r="DF175">
        <v>32973.300000000003</v>
      </c>
      <c r="DG175">
        <v>27526.6</v>
      </c>
      <c r="DH175">
        <v>31176.1</v>
      </c>
      <c r="DI175">
        <v>28088.799999999999</v>
      </c>
      <c r="DJ175">
        <v>37335.599999999999</v>
      </c>
      <c r="DK175">
        <v>38430.6</v>
      </c>
      <c r="DL175">
        <v>44367.4</v>
      </c>
      <c r="DM175">
        <v>42571.1</v>
      </c>
      <c r="DN175">
        <v>1.4844999999999999</v>
      </c>
      <c r="DO175">
        <v>2.0366300000000002</v>
      </c>
      <c r="DP175">
        <v>0.12755</v>
      </c>
      <c r="DQ175">
        <v>0.15023400000000001</v>
      </c>
      <c r="DR175">
        <v>24.911100000000001</v>
      </c>
      <c r="DS175">
        <v>24.7699</v>
      </c>
      <c r="DT175">
        <v>16.7</v>
      </c>
      <c r="DU175">
        <v>29.8</v>
      </c>
      <c r="DV175">
        <v>7.10161</v>
      </c>
      <c r="DW175">
        <v>61.944099999999999</v>
      </c>
      <c r="DX175">
        <v>36.442300000000003</v>
      </c>
      <c r="DY175">
        <v>1</v>
      </c>
      <c r="DZ175">
        <v>-0.102769</v>
      </c>
      <c r="EA175">
        <v>0.37515799999999999</v>
      </c>
      <c r="EB175">
        <v>20.1891</v>
      </c>
      <c r="EC175">
        <v>5.2409499999999998</v>
      </c>
      <c r="ED175">
        <v>12.039899999999999</v>
      </c>
      <c r="EE175">
        <v>5.0168999999999997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1.8689899999999999</v>
      </c>
      <c r="EL175">
        <v>1.86467</v>
      </c>
      <c r="EM175">
        <v>1.8692</v>
      </c>
      <c r="EN175">
        <v>1.8672899999999999</v>
      </c>
      <c r="EO175">
        <v>1.86341</v>
      </c>
      <c r="EP175">
        <v>1.86459</v>
      </c>
      <c r="EQ175">
        <v>1.87026</v>
      </c>
      <c r="ER175">
        <v>1.86951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-2.3E-2</v>
      </c>
      <c r="FG175">
        <v>0.19009999999999999</v>
      </c>
      <c r="FH175">
        <v>0.27827353915413472</v>
      </c>
      <c r="FI175">
        <v>-6.1462078757559423E-4</v>
      </c>
      <c r="FJ175">
        <v>-1.8861989874597051E-7</v>
      </c>
      <c r="FK175">
        <v>1.1980462299894961E-10</v>
      </c>
      <c r="FL175">
        <v>0.19010266435860859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36.1</v>
      </c>
      <c r="FU175">
        <v>36.1</v>
      </c>
      <c r="FV175">
        <v>1.7773399999999999</v>
      </c>
      <c r="FW175">
        <v>2.5817899999999998</v>
      </c>
      <c r="FX175">
        <v>1.5490699999999999</v>
      </c>
      <c r="FY175">
        <v>2.3290999999999999</v>
      </c>
      <c r="FZ175">
        <v>1.50146</v>
      </c>
      <c r="GA175">
        <v>2.4084500000000002</v>
      </c>
      <c r="GB175">
        <v>33.850900000000003</v>
      </c>
      <c r="GC175">
        <v>23.982399999999998</v>
      </c>
      <c r="GD175">
        <v>19</v>
      </c>
      <c r="GE175">
        <v>285.87799999999999</v>
      </c>
      <c r="GF175">
        <v>581.93600000000004</v>
      </c>
      <c r="GG175">
        <v>24.000800000000002</v>
      </c>
      <c r="GH175">
        <v>26.076599999999999</v>
      </c>
      <c r="GI175">
        <v>30.0002</v>
      </c>
      <c r="GJ175">
        <v>26.226800000000001</v>
      </c>
      <c r="GK175">
        <v>26.2117</v>
      </c>
      <c r="GL175">
        <v>35.543300000000002</v>
      </c>
      <c r="GM175">
        <v>-30</v>
      </c>
      <c r="GN175">
        <v>-30</v>
      </c>
      <c r="GO175">
        <v>23.973700000000001</v>
      </c>
      <c r="GP175">
        <v>800</v>
      </c>
      <c r="GQ175">
        <v>12.5298</v>
      </c>
      <c r="GR175">
        <v>99.751400000000004</v>
      </c>
      <c r="GS175">
        <v>99.590199999999996</v>
      </c>
    </row>
    <row r="176" spans="1:201" x14ac:dyDescent="0.25">
      <c r="A176">
        <v>160</v>
      </c>
      <c r="B176">
        <v>1690219765.0999999</v>
      </c>
      <c r="C176">
        <v>1744.599999904633</v>
      </c>
      <c r="D176" t="s">
        <v>649</v>
      </c>
      <c r="E176" t="s">
        <v>650</v>
      </c>
      <c r="F176" t="s">
        <v>330</v>
      </c>
      <c r="H176">
        <v>1690219765.0999999</v>
      </c>
      <c r="I176">
        <f t="shared" si="60"/>
        <v>1.8523550349189416E-3</v>
      </c>
      <c r="J176">
        <f t="shared" si="61"/>
        <v>1.8523550349189417</v>
      </c>
      <c r="K176">
        <f t="shared" si="62"/>
        <v>32.136151485705128</v>
      </c>
      <c r="L176">
        <f t="shared" si="63"/>
        <v>444.35899999999998</v>
      </c>
      <c r="M176">
        <f t="shared" si="64"/>
        <v>95.509571777798811</v>
      </c>
      <c r="N176">
        <f t="shared" si="65"/>
        <v>9.4703471947089906</v>
      </c>
      <c r="O176">
        <f t="shared" si="66"/>
        <v>44.060861448358999</v>
      </c>
      <c r="P176">
        <f t="shared" si="67"/>
        <v>0.15484278791561232</v>
      </c>
      <c r="Q176">
        <f t="shared" si="68"/>
        <v>2.1323027816514077</v>
      </c>
      <c r="R176">
        <f t="shared" si="69"/>
        <v>0.14885623711043</v>
      </c>
      <c r="S176">
        <f t="shared" si="70"/>
        <v>9.3553731148674629E-2</v>
      </c>
      <c r="T176">
        <f t="shared" si="71"/>
        <v>276.11581752000006</v>
      </c>
      <c r="U176">
        <f t="shared" si="72"/>
        <v>27.536769401946156</v>
      </c>
      <c r="V176">
        <f t="shared" si="73"/>
        <v>27.536769401946156</v>
      </c>
      <c r="W176">
        <f t="shared" si="74"/>
        <v>3.6935602226262891</v>
      </c>
      <c r="X176">
        <f t="shared" si="75"/>
        <v>74.039073846100834</v>
      </c>
      <c r="Y176">
        <f t="shared" si="76"/>
        <v>2.4981957827946002</v>
      </c>
      <c r="Z176">
        <f t="shared" si="77"/>
        <v>3.3741586070990057</v>
      </c>
      <c r="AA176">
        <f t="shared" si="78"/>
        <v>1.1953644398316889</v>
      </c>
      <c r="AB176">
        <f t="shared" si="79"/>
        <v>-81.688857039925324</v>
      </c>
      <c r="AC176">
        <f t="shared" si="80"/>
        <v>-176.7194290872099</v>
      </c>
      <c r="AD176">
        <f t="shared" si="81"/>
        <v>-17.84456173536789</v>
      </c>
      <c r="AE176">
        <f t="shared" si="82"/>
        <v>-0.137030342503067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52625.844436471292</v>
      </c>
      <c r="AK176">
        <f t="shared" si="86"/>
        <v>1800</v>
      </c>
      <c r="AL176">
        <f t="shared" si="87"/>
        <v>1499.1114690000002</v>
      </c>
      <c r="AM176">
        <f t="shared" si="88"/>
        <v>0.83283970500000004</v>
      </c>
      <c r="AN176">
        <f t="shared" si="89"/>
        <v>0.15339767640000004</v>
      </c>
      <c r="AO176">
        <v>32.4</v>
      </c>
      <c r="AP176">
        <v>0.5</v>
      </c>
      <c r="AQ176" t="s">
        <v>331</v>
      </c>
      <c r="AR176">
        <v>2</v>
      </c>
      <c r="AS176">
        <v>1690219765.0999999</v>
      </c>
      <c r="AT176">
        <v>444.35899999999998</v>
      </c>
      <c r="AU176">
        <v>800.05700000000002</v>
      </c>
      <c r="AV176">
        <v>25.194600000000001</v>
      </c>
      <c r="AW176">
        <v>5.7075500000000003</v>
      </c>
      <c r="AX176">
        <v>444.38099999999997</v>
      </c>
      <c r="AY176">
        <v>25.0045</v>
      </c>
      <c r="AZ176">
        <v>300.221</v>
      </c>
      <c r="BA176">
        <v>99.055999999999997</v>
      </c>
      <c r="BB176">
        <v>0.10000100000000001</v>
      </c>
      <c r="BC176">
        <v>25.999500000000001</v>
      </c>
      <c r="BD176">
        <v>26.9787</v>
      </c>
      <c r="BE176">
        <v>27.223099999999999</v>
      </c>
      <c r="BF176">
        <v>0</v>
      </c>
      <c r="BG176">
        <v>0</v>
      </c>
      <c r="BH176">
        <v>10014.4</v>
      </c>
      <c r="BI176">
        <v>1067.31</v>
      </c>
      <c r="BJ176">
        <v>1.0204</v>
      </c>
      <c r="BK176">
        <v>-355.69799999999998</v>
      </c>
      <c r="BL176">
        <v>455.84399999999999</v>
      </c>
      <c r="BM176">
        <v>804.649</v>
      </c>
      <c r="BN176">
        <v>19.486999999999998</v>
      </c>
      <c r="BO176">
        <v>800.05700000000002</v>
      </c>
      <c r="BP176">
        <v>5.7075500000000003</v>
      </c>
      <c r="BQ176">
        <v>2.4956700000000001</v>
      </c>
      <c r="BR176">
        <v>0.56536799999999998</v>
      </c>
      <c r="BS176">
        <v>20.9983</v>
      </c>
      <c r="BT176">
        <v>-1.1230199999999999</v>
      </c>
      <c r="BU176">
        <v>1800</v>
      </c>
      <c r="BV176">
        <v>0.90999300000000005</v>
      </c>
      <c r="BW176">
        <v>3.4003800000000001E-2</v>
      </c>
      <c r="BX176">
        <v>2.2002500000000001E-2</v>
      </c>
      <c r="BY176">
        <v>3.4001000000000003E-2</v>
      </c>
      <c r="BZ176">
        <v>26</v>
      </c>
      <c r="CA176">
        <v>33528.300000000003</v>
      </c>
      <c r="CB176">
        <v>1690217592</v>
      </c>
      <c r="CC176" t="s">
        <v>332</v>
      </c>
      <c r="CD176">
        <v>1690217586.5</v>
      </c>
      <c r="CE176">
        <v>1690217592</v>
      </c>
      <c r="CF176">
        <v>9</v>
      </c>
      <c r="CG176">
        <v>0.11600000000000001</v>
      </c>
      <c r="CH176">
        <v>-3.0000000000000001E-3</v>
      </c>
      <c r="CI176">
        <v>-0.27300000000000002</v>
      </c>
      <c r="CJ176">
        <v>-6.9000000000000006E-2</v>
      </c>
      <c r="CK176">
        <v>800</v>
      </c>
      <c r="CL176">
        <v>6</v>
      </c>
      <c r="CM176">
        <v>0.01</v>
      </c>
      <c r="CN176">
        <v>0.01</v>
      </c>
      <c r="CO176">
        <v>-354.24890243902428</v>
      </c>
      <c r="CP176">
        <v>-7.9115540069679477</v>
      </c>
      <c r="CQ176">
        <v>0.78181916706745047</v>
      </c>
      <c r="CR176">
        <v>-1</v>
      </c>
      <c r="CS176">
        <v>19.449219512195121</v>
      </c>
      <c r="CT176">
        <v>0.21280975609753019</v>
      </c>
      <c r="CU176">
        <v>2.099845777742608E-2</v>
      </c>
      <c r="CV176">
        <v>-1</v>
      </c>
      <c r="CW176">
        <v>0</v>
      </c>
      <c r="CX176">
        <v>0</v>
      </c>
      <c r="CY176" t="s">
        <v>333</v>
      </c>
      <c r="CZ176">
        <v>2.3648099999999999</v>
      </c>
      <c r="DA176">
        <v>2.7138100000000001</v>
      </c>
      <c r="DB176">
        <v>9.6899700000000005E-2</v>
      </c>
      <c r="DC176">
        <v>0.14609900000000001</v>
      </c>
      <c r="DD176">
        <v>0.117869</v>
      </c>
      <c r="DE176">
        <v>3.7875100000000002E-2</v>
      </c>
      <c r="DF176">
        <v>32980.1</v>
      </c>
      <c r="DG176">
        <v>27526</v>
      </c>
      <c r="DH176">
        <v>31175.5</v>
      </c>
      <c r="DI176">
        <v>28088.5</v>
      </c>
      <c r="DJ176">
        <v>37329.9</v>
      </c>
      <c r="DK176">
        <v>38430.1</v>
      </c>
      <c r="DL176">
        <v>44366.8</v>
      </c>
      <c r="DM176">
        <v>42570.5</v>
      </c>
      <c r="DN176">
        <v>1.48522</v>
      </c>
      <c r="DO176">
        <v>2.03647</v>
      </c>
      <c r="DP176">
        <v>0.126082</v>
      </c>
      <c r="DQ176">
        <v>0.149727</v>
      </c>
      <c r="DR176">
        <v>24.9132</v>
      </c>
      <c r="DS176">
        <v>24.770399999999999</v>
      </c>
      <c r="DT176">
        <v>16.8</v>
      </c>
      <c r="DU176">
        <v>29.7</v>
      </c>
      <c r="DV176">
        <v>7.1023699999999996</v>
      </c>
      <c r="DW176">
        <v>61.844099999999997</v>
      </c>
      <c r="DX176">
        <v>36.582500000000003</v>
      </c>
      <c r="DY176">
        <v>1</v>
      </c>
      <c r="DZ176">
        <v>-0.103336</v>
      </c>
      <c r="EA176">
        <v>0.16348599999999999</v>
      </c>
      <c r="EB176">
        <v>20.189800000000002</v>
      </c>
      <c r="EC176">
        <v>5.2411000000000003</v>
      </c>
      <c r="ED176">
        <v>12.039899999999999</v>
      </c>
      <c r="EE176">
        <v>5.0172999999999996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1.869</v>
      </c>
      <c r="EL176">
        <v>1.8646799999999999</v>
      </c>
      <c r="EM176">
        <v>1.8691899999999999</v>
      </c>
      <c r="EN176">
        <v>1.86727</v>
      </c>
      <c r="EO176">
        <v>1.86341</v>
      </c>
      <c r="EP176">
        <v>1.8646</v>
      </c>
      <c r="EQ176">
        <v>1.8702700000000001</v>
      </c>
      <c r="ER176">
        <v>1.8694999999999999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-2.1999999999999999E-2</v>
      </c>
      <c r="FG176">
        <v>0.19009999999999999</v>
      </c>
      <c r="FH176">
        <v>0.27827353915413472</v>
      </c>
      <c r="FI176">
        <v>-6.1462078757559423E-4</v>
      </c>
      <c r="FJ176">
        <v>-1.8861989874597051E-7</v>
      </c>
      <c r="FK176">
        <v>1.1980462299894961E-10</v>
      </c>
      <c r="FL176">
        <v>0.19010266435860859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36.299999999999997</v>
      </c>
      <c r="FU176">
        <v>36.200000000000003</v>
      </c>
      <c r="FV176">
        <v>1.7773399999999999</v>
      </c>
      <c r="FW176">
        <v>2.5830099999999998</v>
      </c>
      <c r="FX176">
        <v>1.5490699999999999</v>
      </c>
      <c r="FY176">
        <v>2.3290999999999999</v>
      </c>
      <c r="FZ176">
        <v>1.50146</v>
      </c>
      <c r="GA176">
        <v>2.3864700000000001</v>
      </c>
      <c r="GB176">
        <v>33.850900000000003</v>
      </c>
      <c r="GC176">
        <v>23.991199999999999</v>
      </c>
      <c r="GD176">
        <v>19</v>
      </c>
      <c r="GE176">
        <v>286.18900000000002</v>
      </c>
      <c r="GF176">
        <v>581.81200000000001</v>
      </c>
      <c r="GG176">
        <v>23.985600000000002</v>
      </c>
      <c r="GH176">
        <v>26.076599999999999</v>
      </c>
      <c r="GI176">
        <v>29.999700000000001</v>
      </c>
      <c r="GJ176">
        <v>26.226800000000001</v>
      </c>
      <c r="GK176">
        <v>26.2117</v>
      </c>
      <c r="GL176">
        <v>35.542299999999997</v>
      </c>
      <c r="GM176">
        <v>-30</v>
      </c>
      <c r="GN176">
        <v>-30</v>
      </c>
      <c r="GO176">
        <v>24.032699999999998</v>
      </c>
      <c r="GP176">
        <v>800</v>
      </c>
      <c r="GQ176">
        <v>12.5298</v>
      </c>
      <c r="GR176">
        <v>99.749799999999993</v>
      </c>
      <c r="GS176">
        <v>99.588899999999995</v>
      </c>
    </row>
    <row r="177" spans="1:201" x14ac:dyDescent="0.25">
      <c r="A177">
        <v>161</v>
      </c>
      <c r="B177">
        <v>1690219775.0999999</v>
      </c>
      <c r="C177">
        <v>1754.599999904633</v>
      </c>
      <c r="D177" t="s">
        <v>651</v>
      </c>
      <c r="E177" t="s">
        <v>652</v>
      </c>
      <c r="F177" t="s">
        <v>330</v>
      </c>
      <c r="H177">
        <v>1690219775.0999999</v>
      </c>
      <c r="I177">
        <f t="shared" si="60"/>
        <v>1.8575157143396676E-3</v>
      </c>
      <c r="J177">
        <f t="shared" si="61"/>
        <v>1.8575157143396677</v>
      </c>
      <c r="K177">
        <f t="shared" si="62"/>
        <v>32.238077384940844</v>
      </c>
      <c r="L177">
        <f t="shared" si="63"/>
        <v>443.03899999999999</v>
      </c>
      <c r="M177">
        <f t="shared" si="64"/>
        <v>95.833294139062431</v>
      </c>
      <c r="N177">
        <f t="shared" si="65"/>
        <v>9.5030822838093592</v>
      </c>
      <c r="O177">
        <f t="shared" si="66"/>
        <v>43.932916109793702</v>
      </c>
      <c r="P177">
        <f t="shared" si="67"/>
        <v>0.15610326985321929</v>
      </c>
      <c r="Q177">
        <f t="shared" si="68"/>
        <v>2.1334753619887703</v>
      </c>
      <c r="R177">
        <f t="shared" si="69"/>
        <v>0.15002411829417822</v>
      </c>
      <c r="S177">
        <f t="shared" si="70"/>
        <v>9.429153585179284E-2</v>
      </c>
      <c r="T177">
        <f t="shared" si="71"/>
        <v>276.11558283599999</v>
      </c>
      <c r="U177">
        <f t="shared" si="72"/>
        <v>27.538095544785136</v>
      </c>
      <c r="V177">
        <f t="shared" si="73"/>
        <v>27.538095544785136</v>
      </c>
      <c r="W177">
        <f t="shared" si="74"/>
        <v>3.6938467659988485</v>
      </c>
      <c r="X177">
        <f t="shared" si="75"/>
        <v>74.207056529648995</v>
      </c>
      <c r="Y177">
        <f t="shared" si="76"/>
        <v>2.5044416766409703</v>
      </c>
      <c r="Z177">
        <f t="shared" si="77"/>
        <v>3.3749373627834642</v>
      </c>
      <c r="AA177">
        <f t="shared" si="78"/>
        <v>1.1894050893578783</v>
      </c>
      <c r="AB177">
        <f t="shared" si="79"/>
        <v>-81.916443002379339</v>
      </c>
      <c r="AC177">
        <f t="shared" si="80"/>
        <v>-176.52056448776341</v>
      </c>
      <c r="AD177">
        <f t="shared" si="81"/>
        <v>-17.815149985019282</v>
      </c>
      <c r="AE177">
        <f t="shared" si="82"/>
        <v>-0.13657463916203483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52676.074650524279</v>
      </c>
      <c r="AK177">
        <f t="shared" si="86"/>
        <v>1800</v>
      </c>
      <c r="AL177">
        <f t="shared" si="87"/>
        <v>1499.1107886</v>
      </c>
      <c r="AM177">
        <f t="shared" si="88"/>
        <v>0.83283932699999996</v>
      </c>
      <c r="AN177">
        <f t="shared" si="89"/>
        <v>0.15339754602</v>
      </c>
      <c r="AO177">
        <v>32.4</v>
      </c>
      <c r="AP177">
        <v>0.5</v>
      </c>
      <c r="AQ177" t="s">
        <v>331</v>
      </c>
      <c r="AR177">
        <v>2</v>
      </c>
      <c r="AS177">
        <v>1690219775.0999999</v>
      </c>
      <c r="AT177">
        <v>443.03899999999999</v>
      </c>
      <c r="AU177">
        <v>799.97199999999998</v>
      </c>
      <c r="AV177">
        <v>25.2559</v>
      </c>
      <c r="AW177">
        <v>5.7083000000000004</v>
      </c>
      <c r="AX177">
        <v>443.06</v>
      </c>
      <c r="AY177">
        <v>25.065799999999999</v>
      </c>
      <c r="AZ177">
        <v>300.10599999999999</v>
      </c>
      <c r="BA177">
        <v>99.062700000000007</v>
      </c>
      <c r="BB177">
        <v>9.9938299999999994E-2</v>
      </c>
      <c r="BC177">
        <v>26.003399999999999</v>
      </c>
      <c r="BD177">
        <v>26.9619</v>
      </c>
      <c r="BE177">
        <v>27.253399999999999</v>
      </c>
      <c r="BF177">
        <v>0</v>
      </c>
      <c r="BG177">
        <v>0</v>
      </c>
      <c r="BH177">
        <v>10023.799999999999</v>
      </c>
      <c r="BI177">
        <v>1067.04</v>
      </c>
      <c r="BJ177">
        <v>1.3708199999999999</v>
      </c>
      <c r="BK177">
        <v>-356.93200000000002</v>
      </c>
      <c r="BL177">
        <v>454.51900000000001</v>
      </c>
      <c r="BM177">
        <v>804.56399999999996</v>
      </c>
      <c r="BN177">
        <v>19.547699999999999</v>
      </c>
      <c r="BO177">
        <v>799.97199999999998</v>
      </c>
      <c r="BP177">
        <v>5.7083000000000004</v>
      </c>
      <c r="BQ177">
        <v>2.5019200000000001</v>
      </c>
      <c r="BR177">
        <v>0.56547899999999995</v>
      </c>
      <c r="BS177">
        <v>21.039000000000001</v>
      </c>
      <c r="BT177">
        <v>-1.12033</v>
      </c>
      <c r="BU177">
        <v>1800</v>
      </c>
      <c r="BV177">
        <v>0.90999399999999997</v>
      </c>
      <c r="BW177">
        <v>3.4003199999999997E-2</v>
      </c>
      <c r="BX177">
        <v>2.20021E-2</v>
      </c>
      <c r="BY177">
        <v>3.40004E-2</v>
      </c>
      <c r="BZ177">
        <v>26</v>
      </c>
      <c r="CA177">
        <v>33528.300000000003</v>
      </c>
      <c r="CB177">
        <v>1690217592</v>
      </c>
      <c r="CC177" t="s">
        <v>332</v>
      </c>
      <c r="CD177">
        <v>1690217586.5</v>
      </c>
      <c r="CE177">
        <v>1690217592</v>
      </c>
      <c r="CF177">
        <v>9</v>
      </c>
      <c r="CG177">
        <v>0.11600000000000001</v>
      </c>
      <c r="CH177">
        <v>-3.0000000000000001E-3</v>
      </c>
      <c r="CI177">
        <v>-0.27300000000000002</v>
      </c>
      <c r="CJ177">
        <v>-6.9000000000000006E-2</v>
      </c>
      <c r="CK177">
        <v>800</v>
      </c>
      <c r="CL177">
        <v>6</v>
      </c>
      <c r="CM177">
        <v>0.01</v>
      </c>
      <c r="CN177">
        <v>0.01</v>
      </c>
      <c r="CO177">
        <v>-355.47790243902438</v>
      </c>
      <c r="CP177">
        <v>-8.0067804878049778</v>
      </c>
      <c r="CQ177">
        <v>0.79147663185626427</v>
      </c>
      <c r="CR177">
        <v>-1</v>
      </c>
      <c r="CS177">
        <v>19.485717073170729</v>
      </c>
      <c r="CT177">
        <v>0.27085296167249773</v>
      </c>
      <c r="CU177">
        <v>2.6922534784795751E-2</v>
      </c>
      <c r="CV177">
        <v>-1</v>
      </c>
      <c r="CW177">
        <v>0</v>
      </c>
      <c r="CX177">
        <v>0</v>
      </c>
      <c r="CY177" t="s">
        <v>333</v>
      </c>
      <c r="CZ177">
        <v>2.36443</v>
      </c>
      <c r="DA177">
        <v>2.7137500000000001</v>
      </c>
      <c r="DB177">
        <v>9.6691299999999994E-2</v>
      </c>
      <c r="DC177">
        <v>0.14609800000000001</v>
      </c>
      <c r="DD177">
        <v>0.118079</v>
      </c>
      <c r="DE177">
        <v>3.78818E-2</v>
      </c>
      <c r="DF177">
        <v>32987.5</v>
      </c>
      <c r="DG177">
        <v>27525.8</v>
      </c>
      <c r="DH177">
        <v>31175.3</v>
      </c>
      <c r="DI177">
        <v>28088.2</v>
      </c>
      <c r="DJ177">
        <v>37320.6</v>
      </c>
      <c r="DK177">
        <v>38429.599999999999</v>
      </c>
      <c r="DL177">
        <v>44366.400000000001</v>
      </c>
      <c r="DM177">
        <v>42570.2</v>
      </c>
      <c r="DN177">
        <v>1.48472</v>
      </c>
      <c r="DO177">
        <v>2.0366200000000001</v>
      </c>
      <c r="DP177">
        <v>0.12499499999999999</v>
      </c>
      <c r="DQ177">
        <v>0.15142600000000001</v>
      </c>
      <c r="DR177">
        <v>24.914200000000001</v>
      </c>
      <c r="DS177">
        <v>24.773</v>
      </c>
      <c r="DT177">
        <v>16.8</v>
      </c>
      <c r="DU177">
        <v>29.8</v>
      </c>
      <c r="DV177">
        <v>7.1425400000000003</v>
      </c>
      <c r="DW177">
        <v>61.624099999999999</v>
      </c>
      <c r="DX177">
        <v>37.183500000000002</v>
      </c>
      <c r="DY177">
        <v>1</v>
      </c>
      <c r="DZ177">
        <v>-0.103631</v>
      </c>
      <c r="EA177">
        <v>0.113957</v>
      </c>
      <c r="EB177">
        <v>20.189800000000002</v>
      </c>
      <c r="EC177">
        <v>5.24125</v>
      </c>
      <c r="ED177">
        <v>12.039899999999999</v>
      </c>
      <c r="EE177">
        <v>5.0175999999999998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1.86897</v>
      </c>
      <c r="EL177">
        <v>1.86466</v>
      </c>
      <c r="EM177">
        <v>1.8691899999999999</v>
      </c>
      <c r="EN177">
        <v>1.8672599999999999</v>
      </c>
      <c r="EO177">
        <v>1.8633999999999999</v>
      </c>
      <c r="EP177">
        <v>1.8645700000000001</v>
      </c>
      <c r="EQ177">
        <v>1.8702399999999999</v>
      </c>
      <c r="ER177">
        <v>1.8694900000000001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-2.1000000000000001E-2</v>
      </c>
      <c r="FG177">
        <v>0.19009999999999999</v>
      </c>
      <c r="FH177">
        <v>0.27827353915413472</v>
      </c>
      <c r="FI177">
        <v>-6.1462078757559423E-4</v>
      </c>
      <c r="FJ177">
        <v>-1.8861989874597051E-7</v>
      </c>
      <c r="FK177">
        <v>1.1980462299894961E-10</v>
      </c>
      <c r="FL177">
        <v>0.19010266435860859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36.5</v>
      </c>
      <c r="FU177">
        <v>36.4</v>
      </c>
      <c r="FV177">
        <v>1.7773399999999999</v>
      </c>
      <c r="FW177">
        <v>2.5805699999999998</v>
      </c>
      <c r="FX177">
        <v>1.5490699999999999</v>
      </c>
      <c r="FY177">
        <v>2.3290999999999999</v>
      </c>
      <c r="FZ177">
        <v>1.50146</v>
      </c>
      <c r="GA177">
        <v>2.3938000000000001</v>
      </c>
      <c r="GB177">
        <v>33.828299999999999</v>
      </c>
      <c r="GC177">
        <v>23.982399999999998</v>
      </c>
      <c r="GD177">
        <v>19</v>
      </c>
      <c r="GE177">
        <v>285.96499999999997</v>
      </c>
      <c r="GF177">
        <v>581.91099999999994</v>
      </c>
      <c r="GG177">
        <v>24.0472</v>
      </c>
      <c r="GH177">
        <v>26.075900000000001</v>
      </c>
      <c r="GI177">
        <v>30</v>
      </c>
      <c r="GJ177">
        <v>26.224599999999999</v>
      </c>
      <c r="GK177">
        <v>26.209499999999998</v>
      </c>
      <c r="GL177">
        <v>35.5428</v>
      </c>
      <c r="GM177">
        <v>-30</v>
      </c>
      <c r="GN177">
        <v>-30</v>
      </c>
      <c r="GO177">
        <v>24.0808</v>
      </c>
      <c r="GP177">
        <v>800</v>
      </c>
      <c r="GQ177">
        <v>12.5298</v>
      </c>
      <c r="GR177">
        <v>99.748999999999995</v>
      </c>
      <c r="GS177">
        <v>99.588300000000004</v>
      </c>
    </row>
    <row r="178" spans="1:201" x14ac:dyDescent="0.25">
      <c r="A178">
        <v>162</v>
      </c>
      <c r="B178">
        <v>1690219785.0999999</v>
      </c>
      <c r="C178">
        <v>1764.599999904633</v>
      </c>
      <c r="D178" t="s">
        <v>653</v>
      </c>
      <c r="E178" t="s">
        <v>654</v>
      </c>
      <c r="F178" t="s">
        <v>330</v>
      </c>
      <c r="H178">
        <v>1690219785.0999999</v>
      </c>
      <c r="I178">
        <f t="shared" si="60"/>
        <v>1.8651804794627168E-3</v>
      </c>
      <c r="J178">
        <f t="shared" si="61"/>
        <v>1.8651804794627169</v>
      </c>
      <c r="K178">
        <f t="shared" si="62"/>
        <v>32.372262755469947</v>
      </c>
      <c r="L178">
        <f t="shared" si="63"/>
        <v>441.68200000000002</v>
      </c>
      <c r="M178">
        <f t="shared" si="64"/>
        <v>96.057077841942913</v>
      </c>
      <c r="N178">
        <f t="shared" si="65"/>
        <v>9.5244809586003658</v>
      </c>
      <c r="O178">
        <f t="shared" si="66"/>
        <v>43.794709283980005</v>
      </c>
      <c r="P178">
        <f t="shared" si="67"/>
        <v>0.15752714565207612</v>
      </c>
      <c r="Q178">
        <f t="shared" si="68"/>
        <v>2.1277617461296372</v>
      </c>
      <c r="R178">
        <f t="shared" si="69"/>
        <v>0.15132303887488413</v>
      </c>
      <c r="S178">
        <f t="shared" si="70"/>
        <v>9.5113954068260301E-2</v>
      </c>
      <c r="T178">
        <f t="shared" si="71"/>
        <v>276.11546493599997</v>
      </c>
      <c r="U178">
        <f t="shared" si="72"/>
        <v>27.546451593353851</v>
      </c>
      <c r="V178">
        <f t="shared" si="73"/>
        <v>27.546451593353851</v>
      </c>
      <c r="W178">
        <f t="shared" si="74"/>
        <v>3.6956527269200099</v>
      </c>
      <c r="X178">
        <f t="shared" si="75"/>
        <v>74.391441825657679</v>
      </c>
      <c r="Y178">
        <f t="shared" si="76"/>
        <v>2.5117492611630006</v>
      </c>
      <c r="Z178">
        <f t="shared" si="77"/>
        <v>3.3763954556083036</v>
      </c>
      <c r="AA178">
        <f t="shared" si="78"/>
        <v>1.1839034657570093</v>
      </c>
      <c r="AB178">
        <f t="shared" si="79"/>
        <v>-82.254459144305812</v>
      </c>
      <c r="AC178">
        <f t="shared" si="80"/>
        <v>-176.16896977509512</v>
      </c>
      <c r="AD178">
        <f t="shared" si="81"/>
        <v>-17.828805667206105</v>
      </c>
      <c r="AE178">
        <f t="shared" si="82"/>
        <v>-0.13676965060707857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52427.53354139287</v>
      </c>
      <c r="AK178">
        <f t="shared" si="86"/>
        <v>1800</v>
      </c>
      <c r="AL178">
        <f t="shared" si="87"/>
        <v>1499.1109415999999</v>
      </c>
      <c r="AM178">
        <f t="shared" si="88"/>
        <v>0.832839412</v>
      </c>
      <c r="AN178">
        <f t="shared" si="89"/>
        <v>0.15339748051999999</v>
      </c>
      <c r="AO178">
        <v>32.4</v>
      </c>
      <c r="AP178">
        <v>0.5</v>
      </c>
      <c r="AQ178" t="s">
        <v>331</v>
      </c>
      <c r="AR178">
        <v>2</v>
      </c>
      <c r="AS178">
        <v>1690219785.0999999</v>
      </c>
      <c r="AT178">
        <v>441.68200000000002</v>
      </c>
      <c r="AU178">
        <v>799.99900000000002</v>
      </c>
      <c r="AV178">
        <v>25.331700000000001</v>
      </c>
      <c r="AW178">
        <v>5.7090199999999998</v>
      </c>
      <c r="AX178">
        <v>441.702</v>
      </c>
      <c r="AY178">
        <v>25.1416</v>
      </c>
      <c r="AZ178">
        <v>300.16800000000001</v>
      </c>
      <c r="BA178">
        <v>99.054400000000001</v>
      </c>
      <c r="BB178">
        <v>9.9989999999999996E-2</v>
      </c>
      <c r="BC178">
        <v>26.0107</v>
      </c>
      <c r="BD178">
        <v>27.0078</v>
      </c>
      <c r="BE178">
        <v>27.241099999999999</v>
      </c>
      <c r="BF178">
        <v>0</v>
      </c>
      <c r="BG178">
        <v>0</v>
      </c>
      <c r="BH178">
        <v>9975.6200000000008</v>
      </c>
      <c r="BI178">
        <v>1067.08</v>
      </c>
      <c r="BJ178">
        <v>1.62592</v>
      </c>
      <c r="BK178">
        <v>-358.31700000000001</v>
      </c>
      <c r="BL178">
        <v>453.16199999999998</v>
      </c>
      <c r="BM178">
        <v>804.59199999999998</v>
      </c>
      <c r="BN178">
        <v>19.622599999999998</v>
      </c>
      <c r="BO178">
        <v>799.99900000000002</v>
      </c>
      <c r="BP178">
        <v>5.7090199999999998</v>
      </c>
      <c r="BQ178">
        <v>2.5092099999999999</v>
      </c>
      <c r="BR178">
        <v>0.56550299999999998</v>
      </c>
      <c r="BS178">
        <v>21.086400000000001</v>
      </c>
      <c r="BT178">
        <v>-1.1197600000000001</v>
      </c>
      <c r="BU178">
        <v>1800</v>
      </c>
      <c r="BV178">
        <v>0.90999600000000003</v>
      </c>
      <c r="BW178">
        <v>3.4002400000000002E-2</v>
      </c>
      <c r="BX178">
        <v>2.20016E-2</v>
      </c>
      <c r="BY178">
        <v>3.3999599999999998E-2</v>
      </c>
      <c r="BZ178">
        <v>26</v>
      </c>
      <c r="CA178">
        <v>33528.300000000003</v>
      </c>
      <c r="CB178">
        <v>1690217592</v>
      </c>
      <c r="CC178" t="s">
        <v>332</v>
      </c>
      <c r="CD178">
        <v>1690217586.5</v>
      </c>
      <c r="CE178">
        <v>1690217592</v>
      </c>
      <c r="CF178">
        <v>9</v>
      </c>
      <c r="CG178">
        <v>0.11600000000000001</v>
      </c>
      <c r="CH178">
        <v>-3.0000000000000001E-3</v>
      </c>
      <c r="CI178">
        <v>-0.27300000000000002</v>
      </c>
      <c r="CJ178">
        <v>-6.9000000000000006E-2</v>
      </c>
      <c r="CK178">
        <v>800</v>
      </c>
      <c r="CL178">
        <v>6</v>
      </c>
      <c r="CM178">
        <v>0.01</v>
      </c>
      <c r="CN178">
        <v>0.01</v>
      </c>
      <c r="CO178">
        <v>-356.91497500000003</v>
      </c>
      <c r="CP178">
        <v>-7.9543001876169646</v>
      </c>
      <c r="CQ178">
        <v>0.76773287957140357</v>
      </c>
      <c r="CR178">
        <v>-1</v>
      </c>
      <c r="CS178">
        <v>19.545500000000001</v>
      </c>
      <c r="CT178">
        <v>0.40085628517818772</v>
      </c>
      <c r="CU178">
        <v>3.8637527094781909E-2</v>
      </c>
      <c r="CV178">
        <v>-1</v>
      </c>
      <c r="CW178">
        <v>0</v>
      </c>
      <c r="CX178">
        <v>0</v>
      </c>
      <c r="CY178" t="s">
        <v>333</v>
      </c>
      <c r="CZ178">
        <v>2.3646500000000001</v>
      </c>
      <c r="DA178">
        <v>2.7137600000000002</v>
      </c>
      <c r="DB178">
        <v>9.64613E-2</v>
      </c>
      <c r="DC178">
        <v>0.146089</v>
      </c>
      <c r="DD178">
        <v>0.11831700000000001</v>
      </c>
      <c r="DE178">
        <v>3.7882300000000001E-2</v>
      </c>
      <c r="DF178">
        <v>32996.1</v>
      </c>
      <c r="DG178">
        <v>27526</v>
      </c>
      <c r="DH178">
        <v>31175.5</v>
      </c>
      <c r="DI178">
        <v>28088.1</v>
      </c>
      <c r="DJ178">
        <v>37310.5</v>
      </c>
      <c r="DK178">
        <v>38429.5</v>
      </c>
      <c r="DL178">
        <v>44366.6</v>
      </c>
      <c r="DM178">
        <v>42570.1</v>
      </c>
      <c r="DN178">
        <v>1.4852799999999999</v>
      </c>
      <c r="DO178">
        <v>2.0366</v>
      </c>
      <c r="DP178">
        <v>0.12757299999999999</v>
      </c>
      <c r="DQ178">
        <v>0.150479</v>
      </c>
      <c r="DR178">
        <v>24.917899999999999</v>
      </c>
      <c r="DS178">
        <v>24.776199999999999</v>
      </c>
      <c r="DT178">
        <v>16.8</v>
      </c>
      <c r="DU178">
        <v>29.8</v>
      </c>
      <c r="DV178">
        <v>7.1443500000000002</v>
      </c>
      <c r="DW178">
        <v>61.944099999999999</v>
      </c>
      <c r="DX178">
        <v>37.147399999999998</v>
      </c>
      <c r="DY178">
        <v>1</v>
      </c>
      <c r="DZ178">
        <v>-0.103974</v>
      </c>
      <c r="EA178">
        <v>0.10385900000000001</v>
      </c>
      <c r="EB178">
        <v>20.190000000000001</v>
      </c>
      <c r="EC178">
        <v>5.2418500000000003</v>
      </c>
      <c r="ED178">
        <v>12.039899999999999</v>
      </c>
      <c r="EE178">
        <v>5.0174000000000003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1.8689499999999999</v>
      </c>
      <c r="EL178">
        <v>1.8646400000000001</v>
      </c>
      <c r="EM178">
        <v>1.8692</v>
      </c>
      <c r="EN178">
        <v>1.8672500000000001</v>
      </c>
      <c r="EO178">
        <v>1.8633999999999999</v>
      </c>
      <c r="EP178">
        <v>1.8645700000000001</v>
      </c>
      <c r="EQ178">
        <v>1.8702099999999999</v>
      </c>
      <c r="ER178">
        <v>1.86947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-0.02</v>
      </c>
      <c r="FG178">
        <v>0.19009999999999999</v>
      </c>
      <c r="FH178">
        <v>0.27827353915413472</v>
      </c>
      <c r="FI178">
        <v>-6.1462078757559423E-4</v>
      </c>
      <c r="FJ178">
        <v>-1.8861989874597051E-7</v>
      </c>
      <c r="FK178">
        <v>1.1980462299894961E-10</v>
      </c>
      <c r="FL178">
        <v>0.19010266435860859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36.6</v>
      </c>
      <c r="FU178">
        <v>36.6</v>
      </c>
      <c r="FV178">
        <v>1.7773399999999999</v>
      </c>
      <c r="FW178">
        <v>2.5817899999999998</v>
      </c>
      <c r="FX178">
        <v>1.5490699999999999</v>
      </c>
      <c r="FY178">
        <v>2.3290999999999999</v>
      </c>
      <c r="FZ178">
        <v>1.50146</v>
      </c>
      <c r="GA178">
        <v>2.3828100000000001</v>
      </c>
      <c r="GB178">
        <v>33.828299999999999</v>
      </c>
      <c r="GC178">
        <v>23.982399999999998</v>
      </c>
      <c r="GD178">
        <v>19</v>
      </c>
      <c r="GE178">
        <v>286.20100000000002</v>
      </c>
      <c r="GF178">
        <v>581.89099999999996</v>
      </c>
      <c r="GG178">
        <v>24.0991</v>
      </c>
      <c r="GH178">
        <v>26.074400000000001</v>
      </c>
      <c r="GI178">
        <v>30.0001</v>
      </c>
      <c r="GJ178">
        <v>26.224599999999999</v>
      </c>
      <c r="GK178">
        <v>26.209499999999998</v>
      </c>
      <c r="GL178">
        <v>35.541800000000002</v>
      </c>
      <c r="GM178">
        <v>-30</v>
      </c>
      <c r="GN178">
        <v>-30</v>
      </c>
      <c r="GO178">
        <v>24.0977</v>
      </c>
      <c r="GP178">
        <v>800</v>
      </c>
      <c r="GQ178">
        <v>12.5298</v>
      </c>
      <c r="GR178">
        <v>99.749499999999998</v>
      </c>
      <c r="GS178">
        <v>99.587999999999994</v>
      </c>
    </row>
    <row r="179" spans="1:201" x14ac:dyDescent="0.25">
      <c r="A179">
        <v>163</v>
      </c>
      <c r="B179">
        <v>1690219795.0999999</v>
      </c>
      <c r="C179">
        <v>1774.599999904633</v>
      </c>
      <c r="D179" t="s">
        <v>655</v>
      </c>
      <c r="E179" t="s">
        <v>656</v>
      </c>
      <c r="F179" t="s">
        <v>330</v>
      </c>
      <c r="H179">
        <v>1690219795.0999999</v>
      </c>
      <c r="I179">
        <f t="shared" si="60"/>
        <v>1.8704282981316896E-3</v>
      </c>
      <c r="J179">
        <f t="shared" si="61"/>
        <v>1.8704282981316895</v>
      </c>
      <c r="K179">
        <f t="shared" si="62"/>
        <v>32.486339080047024</v>
      </c>
      <c r="L179">
        <f t="shared" si="63"/>
        <v>440.43599999999998</v>
      </c>
      <c r="M179">
        <f t="shared" si="64"/>
        <v>95.75677491873644</v>
      </c>
      <c r="N179">
        <f t="shared" si="65"/>
        <v>9.4947612551426541</v>
      </c>
      <c r="O179">
        <f t="shared" si="66"/>
        <v>43.671423475977598</v>
      </c>
      <c r="P179">
        <f t="shared" si="67"/>
        <v>0.15852945431878609</v>
      </c>
      <c r="Q179">
        <f t="shared" si="68"/>
        <v>2.1325017007127962</v>
      </c>
      <c r="R179">
        <f t="shared" si="69"/>
        <v>0.15226120724550274</v>
      </c>
      <c r="S179">
        <f t="shared" si="70"/>
        <v>9.5705780184461409E-2</v>
      </c>
      <c r="T179">
        <f t="shared" si="71"/>
        <v>276.11392984520097</v>
      </c>
      <c r="U179">
        <f t="shared" si="72"/>
        <v>27.552791342771012</v>
      </c>
      <c r="V179">
        <f t="shared" si="73"/>
        <v>27.552791342771012</v>
      </c>
      <c r="W179">
        <f t="shared" si="74"/>
        <v>3.6970234268108739</v>
      </c>
      <c r="X179">
        <f t="shared" si="75"/>
        <v>74.501229011297212</v>
      </c>
      <c r="Y179">
        <f t="shared" si="76"/>
        <v>2.5171384473994398</v>
      </c>
      <c r="Z179">
        <f t="shared" si="77"/>
        <v>3.3786535884095903</v>
      </c>
      <c r="AA179">
        <f t="shared" si="78"/>
        <v>1.1798849794114341</v>
      </c>
      <c r="AB179">
        <f t="shared" si="79"/>
        <v>-82.485887947607509</v>
      </c>
      <c r="AC179">
        <f t="shared" si="80"/>
        <v>-175.99114912987628</v>
      </c>
      <c r="AD179">
        <f t="shared" si="81"/>
        <v>-17.772789105380511</v>
      </c>
      <c r="AE179">
        <f t="shared" si="82"/>
        <v>-0.13589633766335396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52630.474613622937</v>
      </c>
      <c r="AK179">
        <f t="shared" si="86"/>
        <v>1799.99</v>
      </c>
      <c r="AL179">
        <f t="shared" si="87"/>
        <v>1499.1035996004</v>
      </c>
      <c r="AM179">
        <f t="shared" si="88"/>
        <v>0.83283995999999993</v>
      </c>
      <c r="AN179">
        <f t="shared" si="89"/>
        <v>0.15339747989999999</v>
      </c>
      <c r="AO179">
        <v>32.4</v>
      </c>
      <c r="AP179">
        <v>0.5</v>
      </c>
      <c r="AQ179" t="s">
        <v>331</v>
      </c>
      <c r="AR179">
        <v>2</v>
      </c>
      <c r="AS179">
        <v>1690219795.0999999</v>
      </c>
      <c r="AT179">
        <v>440.43599999999998</v>
      </c>
      <c r="AU179">
        <v>799.98299999999995</v>
      </c>
      <c r="AV179">
        <v>25.385899999999999</v>
      </c>
      <c r="AW179">
        <v>5.7091700000000003</v>
      </c>
      <c r="AX179">
        <v>440.45499999999998</v>
      </c>
      <c r="AY179">
        <v>25.195799999999998</v>
      </c>
      <c r="AZ179">
        <v>300.16899999999998</v>
      </c>
      <c r="BA179">
        <v>99.055099999999996</v>
      </c>
      <c r="BB179">
        <v>9.9881600000000001E-2</v>
      </c>
      <c r="BC179">
        <v>26.021999999999998</v>
      </c>
      <c r="BD179">
        <v>27.016400000000001</v>
      </c>
      <c r="BE179">
        <v>27.242899999999999</v>
      </c>
      <c r="BF179">
        <v>0</v>
      </c>
      <c r="BG179">
        <v>0</v>
      </c>
      <c r="BH179">
        <v>10016.200000000001</v>
      </c>
      <c r="BI179">
        <v>1067.0899999999999</v>
      </c>
      <c r="BJ179">
        <v>1.68198</v>
      </c>
      <c r="BK179">
        <v>-359.54599999999999</v>
      </c>
      <c r="BL179">
        <v>451.90800000000002</v>
      </c>
      <c r="BM179">
        <v>804.57600000000002</v>
      </c>
      <c r="BN179">
        <v>19.6767</v>
      </c>
      <c r="BO179">
        <v>799.98299999999995</v>
      </c>
      <c r="BP179">
        <v>5.7091700000000003</v>
      </c>
      <c r="BQ179">
        <v>2.5146000000000002</v>
      </c>
      <c r="BR179">
        <v>0.565523</v>
      </c>
      <c r="BS179">
        <v>21.121300000000002</v>
      </c>
      <c r="BT179">
        <v>-1.1192800000000001</v>
      </c>
      <c r="BU179">
        <v>1799.99</v>
      </c>
      <c r="BV179">
        <v>0.909999</v>
      </c>
      <c r="BW179">
        <v>3.4001400000000001E-2</v>
      </c>
      <c r="BX179">
        <v>2.2001E-2</v>
      </c>
      <c r="BY179">
        <v>3.3998599999999997E-2</v>
      </c>
      <c r="BZ179">
        <v>26</v>
      </c>
      <c r="CA179">
        <v>33528.199999999997</v>
      </c>
      <c r="CB179">
        <v>1690217592</v>
      </c>
      <c r="CC179" t="s">
        <v>332</v>
      </c>
      <c r="CD179">
        <v>1690217586.5</v>
      </c>
      <c r="CE179">
        <v>1690217592</v>
      </c>
      <c r="CF179">
        <v>9</v>
      </c>
      <c r="CG179">
        <v>0.11600000000000001</v>
      </c>
      <c r="CH179">
        <v>-3.0000000000000001E-3</v>
      </c>
      <c r="CI179">
        <v>-0.27300000000000002</v>
      </c>
      <c r="CJ179">
        <v>-6.9000000000000006E-2</v>
      </c>
      <c r="CK179">
        <v>800</v>
      </c>
      <c r="CL179">
        <v>6</v>
      </c>
      <c r="CM179">
        <v>0.01</v>
      </c>
      <c r="CN179">
        <v>0.01</v>
      </c>
      <c r="CO179">
        <v>-358.05117073170732</v>
      </c>
      <c r="CP179">
        <v>-7.334759581882019</v>
      </c>
      <c r="CQ179">
        <v>0.72837878454655169</v>
      </c>
      <c r="CR179">
        <v>-1</v>
      </c>
      <c r="CS179">
        <v>19.607387804878051</v>
      </c>
      <c r="CT179">
        <v>0.40400069686410561</v>
      </c>
      <c r="CU179">
        <v>3.9970563529176863E-2</v>
      </c>
      <c r="CV179">
        <v>-1</v>
      </c>
      <c r="CW179">
        <v>0</v>
      </c>
      <c r="CX179">
        <v>0</v>
      </c>
      <c r="CY179" t="s">
        <v>333</v>
      </c>
      <c r="CZ179">
        <v>2.3646600000000002</v>
      </c>
      <c r="DA179">
        <v>2.7136900000000002</v>
      </c>
      <c r="DB179">
        <v>9.62591E-2</v>
      </c>
      <c r="DC179">
        <v>0.14609</v>
      </c>
      <c r="DD179">
        <v>0.118496</v>
      </c>
      <c r="DE179">
        <v>3.7884099999999997E-2</v>
      </c>
      <c r="DF179">
        <v>33003.599999999999</v>
      </c>
      <c r="DG179">
        <v>27525.9</v>
      </c>
      <c r="DH179">
        <v>31175.599999999999</v>
      </c>
      <c r="DI179">
        <v>28088.1</v>
      </c>
      <c r="DJ179">
        <v>37303.199999999997</v>
      </c>
      <c r="DK179">
        <v>38429.300000000003</v>
      </c>
      <c r="DL179">
        <v>44367</v>
      </c>
      <c r="DM179">
        <v>42570</v>
      </c>
      <c r="DN179">
        <v>1.48505</v>
      </c>
      <c r="DO179">
        <v>2.0365000000000002</v>
      </c>
      <c r="DP179">
        <v>0.12784499999999999</v>
      </c>
      <c r="DQ179">
        <v>0.150338</v>
      </c>
      <c r="DR179">
        <v>24.9221</v>
      </c>
      <c r="DS179">
        <v>24.7803</v>
      </c>
      <c r="DT179">
        <v>16.8</v>
      </c>
      <c r="DU179">
        <v>29.8</v>
      </c>
      <c r="DV179">
        <v>7.1441299999999996</v>
      </c>
      <c r="DW179">
        <v>61.634099999999997</v>
      </c>
      <c r="DX179">
        <v>37.407899999999998</v>
      </c>
      <c r="DY179">
        <v>1</v>
      </c>
      <c r="DZ179">
        <v>-0.102858</v>
      </c>
      <c r="EA179">
        <v>0.33191399999999999</v>
      </c>
      <c r="EB179">
        <v>20.1892</v>
      </c>
      <c r="EC179">
        <v>5.24125</v>
      </c>
      <c r="ED179">
        <v>12.039899999999999</v>
      </c>
      <c r="EE179">
        <v>5.0172999999999996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1.86894</v>
      </c>
      <c r="EL179">
        <v>1.86466</v>
      </c>
      <c r="EM179">
        <v>1.8691899999999999</v>
      </c>
      <c r="EN179">
        <v>1.8672800000000001</v>
      </c>
      <c r="EO179">
        <v>1.86341</v>
      </c>
      <c r="EP179">
        <v>1.8645700000000001</v>
      </c>
      <c r="EQ179">
        <v>1.8702099999999999</v>
      </c>
      <c r="ER179">
        <v>1.8694900000000001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-1.9E-2</v>
      </c>
      <c r="FG179">
        <v>0.19009999999999999</v>
      </c>
      <c r="FH179">
        <v>0.27827353915413472</v>
      </c>
      <c r="FI179">
        <v>-6.1462078757559423E-4</v>
      </c>
      <c r="FJ179">
        <v>-1.8861989874597051E-7</v>
      </c>
      <c r="FK179">
        <v>1.1980462299894961E-10</v>
      </c>
      <c r="FL179">
        <v>0.19010266435860859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36.799999999999997</v>
      </c>
      <c r="FU179">
        <v>36.700000000000003</v>
      </c>
      <c r="FV179">
        <v>1.7773399999999999</v>
      </c>
      <c r="FW179">
        <v>2.5817899999999998</v>
      </c>
      <c r="FX179">
        <v>1.5490699999999999</v>
      </c>
      <c r="FY179">
        <v>2.3290999999999999</v>
      </c>
      <c r="FZ179">
        <v>1.50146</v>
      </c>
      <c r="GA179">
        <v>2.3852500000000001</v>
      </c>
      <c r="GB179">
        <v>33.828299999999999</v>
      </c>
      <c r="GC179">
        <v>23.982399999999998</v>
      </c>
      <c r="GD179">
        <v>19</v>
      </c>
      <c r="GE179">
        <v>286.10399999999998</v>
      </c>
      <c r="GF179">
        <v>581.78300000000002</v>
      </c>
      <c r="GG179">
        <v>24.079000000000001</v>
      </c>
      <c r="GH179">
        <v>26.074400000000001</v>
      </c>
      <c r="GI179">
        <v>30.000699999999998</v>
      </c>
      <c r="GJ179">
        <v>26.224599999999999</v>
      </c>
      <c r="GK179">
        <v>26.2073</v>
      </c>
      <c r="GL179">
        <v>35.5426</v>
      </c>
      <c r="GM179">
        <v>-30</v>
      </c>
      <c r="GN179">
        <v>-30</v>
      </c>
      <c r="GO179">
        <v>24.0411</v>
      </c>
      <c r="GP179">
        <v>800</v>
      </c>
      <c r="GQ179">
        <v>12.5298</v>
      </c>
      <c r="GR179">
        <v>99.750200000000007</v>
      </c>
      <c r="GS179">
        <v>99.587800000000001</v>
      </c>
    </row>
    <row r="180" spans="1:201" x14ac:dyDescent="0.25">
      <c r="A180">
        <v>164</v>
      </c>
      <c r="B180">
        <v>1690219805.0999999</v>
      </c>
      <c r="C180">
        <v>1784.599999904633</v>
      </c>
      <c r="D180" t="s">
        <v>657</v>
      </c>
      <c r="E180" t="s">
        <v>658</v>
      </c>
      <c r="F180" t="s">
        <v>330</v>
      </c>
      <c r="H180">
        <v>1690219805.0999999</v>
      </c>
      <c r="I180">
        <f t="shared" si="60"/>
        <v>1.8746196642315078E-3</v>
      </c>
      <c r="J180">
        <f t="shared" si="61"/>
        <v>1.8746196642315078</v>
      </c>
      <c r="K180">
        <f t="shared" si="62"/>
        <v>32.615461058534549</v>
      </c>
      <c r="L180">
        <f t="shared" si="63"/>
        <v>439.12599999999998</v>
      </c>
      <c r="M180">
        <f t="shared" si="64"/>
        <v>95.493803552825341</v>
      </c>
      <c r="N180">
        <f t="shared" si="65"/>
        <v>9.4686847489972727</v>
      </c>
      <c r="O180">
        <f t="shared" si="66"/>
        <v>43.541523160589996</v>
      </c>
      <c r="P180">
        <f t="shared" si="67"/>
        <v>0.15966900952359933</v>
      </c>
      <c r="Q180">
        <f t="shared" si="68"/>
        <v>2.1337440551917708</v>
      </c>
      <c r="R180">
        <f t="shared" si="69"/>
        <v>0.15331580845561885</v>
      </c>
      <c r="S180">
        <f t="shared" si="70"/>
        <v>9.6372126358477861E-2</v>
      </c>
      <c r="T180">
        <f t="shared" si="71"/>
        <v>276.11378996797811</v>
      </c>
      <c r="U180">
        <f t="shared" si="72"/>
        <v>27.545127092269929</v>
      </c>
      <c r="V180">
        <f t="shared" si="73"/>
        <v>27.545127092269929</v>
      </c>
      <c r="W180">
        <f t="shared" si="74"/>
        <v>3.6953664161731465</v>
      </c>
      <c r="X180">
        <f t="shared" si="75"/>
        <v>74.638927307845165</v>
      </c>
      <c r="Y180">
        <f t="shared" si="76"/>
        <v>2.5209852386355003</v>
      </c>
      <c r="Z180">
        <f t="shared" si="77"/>
        <v>3.3775743161980354</v>
      </c>
      <c r="AA180">
        <f t="shared" si="78"/>
        <v>1.1743811775376463</v>
      </c>
      <c r="AB180">
        <f t="shared" si="79"/>
        <v>-82.67072719260949</v>
      </c>
      <c r="AC180">
        <f t="shared" si="80"/>
        <v>-175.83321146937124</v>
      </c>
      <c r="AD180">
        <f t="shared" si="81"/>
        <v>-17.745340353542566</v>
      </c>
      <c r="AE180">
        <f t="shared" si="82"/>
        <v>-0.13548904754520663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52685.214868640775</v>
      </c>
      <c r="AK180">
        <f t="shared" si="86"/>
        <v>1799.99</v>
      </c>
      <c r="AL180">
        <f t="shared" si="87"/>
        <v>1499.1040117981099</v>
      </c>
      <c r="AM180">
        <f t="shared" si="88"/>
        <v>0.83284018900000001</v>
      </c>
      <c r="AN180">
        <f t="shared" si="89"/>
        <v>0.15339740219</v>
      </c>
      <c r="AO180">
        <v>32.4</v>
      </c>
      <c r="AP180">
        <v>0.5</v>
      </c>
      <c r="AQ180" t="s">
        <v>331</v>
      </c>
      <c r="AR180">
        <v>2</v>
      </c>
      <c r="AS180">
        <v>1690219805.0999999</v>
      </c>
      <c r="AT180">
        <v>439.12599999999998</v>
      </c>
      <c r="AU180">
        <v>799.976</v>
      </c>
      <c r="AV180">
        <v>25.424700000000001</v>
      </c>
      <c r="AW180">
        <v>5.7092599999999996</v>
      </c>
      <c r="AX180">
        <v>439.14400000000001</v>
      </c>
      <c r="AY180">
        <v>25.2346</v>
      </c>
      <c r="AZ180">
        <v>300.23899999999998</v>
      </c>
      <c r="BA180">
        <v>99.054900000000004</v>
      </c>
      <c r="BB180">
        <v>0.100065</v>
      </c>
      <c r="BC180">
        <v>26.0166</v>
      </c>
      <c r="BD180">
        <v>27.020299999999999</v>
      </c>
      <c r="BE180">
        <v>27.255099999999999</v>
      </c>
      <c r="BF180">
        <v>0</v>
      </c>
      <c r="BG180">
        <v>0</v>
      </c>
      <c r="BH180">
        <v>10026.9</v>
      </c>
      <c r="BI180">
        <v>1067.08</v>
      </c>
      <c r="BJ180">
        <v>1.62452</v>
      </c>
      <c r="BK180">
        <v>-360.85</v>
      </c>
      <c r="BL180">
        <v>450.58199999999999</v>
      </c>
      <c r="BM180">
        <v>804.56899999999996</v>
      </c>
      <c r="BN180">
        <v>19.715399999999999</v>
      </c>
      <c r="BO180">
        <v>799.976</v>
      </c>
      <c r="BP180">
        <v>5.7092599999999996</v>
      </c>
      <c r="BQ180">
        <v>2.51844</v>
      </c>
      <c r="BR180">
        <v>0.56552999999999998</v>
      </c>
      <c r="BS180">
        <v>21.1462</v>
      </c>
      <c r="BT180">
        <v>-1.1191</v>
      </c>
      <c r="BU180">
        <v>1799.99</v>
      </c>
      <c r="BV180">
        <v>0.91000199999999998</v>
      </c>
      <c r="BW180">
        <v>3.4000299999999997E-2</v>
      </c>
      <c r="BX180">
        <v>2.2000200000000001E-2</v>
      </c>
      <c r="BY180">
        <v>3.39975E-2</v>
      </c>
      <c r="BZ180">
        <v>26</v>
      </c>
      <c r="CA180">
        <v>33528.1</v>
      </c>
      <c r="CB180">
        <v>1690217592</v>
      </c>
      <c r="CC180" t="s">
        <v>332</v>
      </c>
      <c r="CD180">
        <v>1690217586.5</v>
      </c>
      <c r="CE180">
        <v>1690217592</v>
      </c>
      <c r="CF180">
        <v>9</v>
      </c>
      <c r="CG180">
        <v>0.11600000000000001</v>
      </c>
      <c r="CH180">
        <v>-3.0000000000000001E-3</v>
      </c>
      <c r="CI180">
        <v>-0.27300000000000002</v>
      </c>
      <c r="CJ180">
        <v>-6.9000000000000006E-2</v>
      </c>
      <c r="CK180">
        <v>800</v>
      </c>
      <c r="CL180">
        <v>6</v>
      </c>
      <c r="CM180">
        <v>0.01</v>
      </c>
      <c r="CN180">
        <v>0.01</v>
      </c>
      <c r="CO180">
        <v>-359.40204999999997</v>
      </c>
      <c r="CP180">
        <v>-7.8526604127570634</v>
      </c>
      <c r="CQ180">
        <v>0.75816825144554689</v>
      </c>
      <c r="CR180">
        <v>-1</v>
      </c>
      <c r="CS180">
        <v>19.669777499999999</v>
      </c>
      <c r="CT180">
        <v>0.28116360225138259</v>
      </c>
      <c r="CU180">
        <v>2.7180033917381399E-2</v>
      </c>
      <c r="CV180">
        <v>-1</v>
      </c>
      <c r="CW180">
        <v>0</v>
      </c>
      <c r="CX180">
        <v>0</v>
      </c>
      <c r="CY180" t="s">
        <v>333</v>
      </c>
      <c r="CZ180">
        <v>2.3648500000000001</v>
      </c>
      <c r="DA180">
        <v>2.7138800000000001</v>
      </c>
      <c r="DB180">
        <v>9.6043500000000004E-2</v>
      </c>
      <c r="DC180">
        <v>0.14608699999999999</v>
      </c>
      <c r="DD180">
        <v>0.11862200000000001</v>
      </c>
      <c r="DE180">
        <v>3.7884000000000001E-2</v>
      </c>
      <c r="DF180">
        <v>33011.300000000003</v>
      </c>
      <c r="DG180">
        <v>27526.3</v>
      </c>
      <c r="DH180">
        <v>31175.5</v>
      </c>
      <c r="DI180">
        <v>28088.400000000001</v>
      </c>
      <c r="DJ180">
        <v>37297.5</v>
      </c>
      <c r="DK180">
        <v>38429.5</v>
      </c>
      <c r="DL180">
        <v>44366.7</v>
      </c>
      <c r="DM180">
        <v>42570.2</v>
      </c>
      <c r="DN180">
        <v>1.4854700000000001</v>
      </c>
      <c r="DO180">
        <v>2.03653</v>
      </c>
      <c r="DP180">
        <v>0.127859</v>
      </c>
      <c r="DQ180">
        <v>0.15082999999999999</v>
      </c>
      <c r="DR180">
        <v>24.925799999999999</v>
      </c>
      <c r="DS180">
        <v>24.784500000000001</v>
      </c>
      <c r="DT180">
        <v>16.8</v>
      </c>
      <c r="DU180">
        <v>29.8</v>
      </c>
      <c r="DV180">
        <v>7.1428700000000003</v>
      </c>
      <c r="DW180">
        <v>61.384099999999997</v>
      </c>
      <c r="DX180">
        <v>37.343800000000002</v>
      </c>
      <c r="DY180">
        <v>1</v>
      </c>
      <c r="DZ180">
        <v>-0.102955</v>
      </c>
      <c r="EA180">
        <v>0.33255699999999999</v>
      </c>
      <c r="EB180">
        <v>20.189499999999999</v>
      </c>
      <c r="EC180">
        <v>5.2413999999999996</v>
      </c>
      <c r="ED180">
        <v>12.039899999999999</v>
      </c>
      <c r="EE180">
        <v>5.0175999999999998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1.86896</v>
      </c>
      <c r="EL180">
        <v>1.8646799999999999</v>
      </c>
      <c r="EM180">
        <v>1.8692</v>
      </c>
      <c r="EN180">
        <v>1.8672599999999999</v>
      </c>
      <c r="EO180">
        <v>1.86341</v>
      </c>
      <c r="EP180">
        <v>1.8646</v>
      </c>
      <c r="EQ180">
        <v>1.8702099999999999</v>
      </c>
      <c r="ER180">
        <v>1.86951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-1.7999999999999999E-2</v>
      </c>
      <c r="FG180">
        <v>0.19009999999999999</v>
      </c>
      <c r="FH180">
        <v>0.27827353915413472</v>
      </c>
      <c r="FI180">
        <v>-6.1462078757559423E-4</v>
      </c>
      <c r="FJ180">
        <v>-1.8861989874597051E-7</v>
      </c>
      <c r="FK180">
        <v>1.1980462299894961E-10</v>
      </c>
      <c r="FL180">
        <v>0.19010266435860859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37</v>
      </c>
      <c r="FU180">
        <v>36.9</v>
      </c>
      <c r="FV180">
        <v>1.7773399999999999</v>
      </c>
      <c r="FW180">
        <v>2.5805699999999998</v>
      </c>
      <c r="FX180">
        <v>1.5490699999999999</v>
      </c>
      <c r="FY180">
        <v>2.3290999999999999</v>
      </c>
      <c r="FZ180">
        <v>1.50146</v>
      </c>
      <c r="GA180">
        <v>2.3107899999999999</v>
      </c>
      <c r="GB180">
        <v>33.828299999999999</v>
      </c>
      <c r="GC180">
        <v>23.982399999999998</v>
      </c>
      <c r="GD180">
        <v>19</v>
      </c>
      <c r="GE180">
        <v>286.27699999999999</v>
      </c>
      <c r="GF180">
        <v>581.80399999999997</v>
      </c>
      <c r="GG180">
        <v>24.023900000000001</v>
      </c>
      <c r="GH180">
        <v>26.074400000000001</v>
      </c>
      <c r="GI180">
        <v>30.0002</v>
      </c>
      <c r="GJ180">
        <v>26.2224</v>
      </c>
      <c r="GK180">
        <v>26.2073</v>
      </c>
      <c r="GL180">
        <v>35.5411</v>
      </c>
      <c r="GM180">
        <v>-30</v>
      </c>
      <c r="GN180">
        <v>-30</v>
      </c>
      <c r="GO180">
        <v>23.9937</v>
      </c>
      <c r="GP180">
        <v>800</v>
      </c>
      <c r="GQ180">
        <v>12.5298</v>
      </c>
      <c r="GR180">
        <v>99.749600000000001</v>
      </c>
      <c r="GS180">
        <v>99.588499999999996</v>
      </c>
    </row>
    <row r="181" spans="1:201" x14ac:dyDescent="0.25">
      <c r="A181">
        <v>165</v>
      </c>
      <c r="B181">
        <v>1690219815.0999999</v>
      </c>
      <c r="C181">
        <v>1794.599999904633</v>
      </c>
      <c r="D181" t="s">
        <v>659</v>
      </c>
      <c r="E181" t="s">
        <v>660</v>
      </c>
      <c r="F181" t="s">
        <v>330</v>
      </c>
      <c r="H181">
        <v>1690219815.0999999</v>
      </c>
      <c r="I181">
        <f t="shared" si="60"/>
        <v>1.8777501481358576E-3</v>
      </c>
      <c r="J181">
        <f t="shared" si="61"/>
        <v>1.8777501481358576</v>
      </c>
      <c r="K181">
        <f t="shared" si="62"/>
        <v>32.714589619168869</v>
      </c>
      <c r="L181">
        <f t="shared" si="63"/>
        <v>437.959</v>
      </c>
      <c r="M181">
        <f t="shared" si="64"/>
        <v>94.778596209854925</v>
      </c>
      <c r="N181">
        <f t="shared" si="65"/>
        <v>9.3975831925603028</v>
      </c>
      <c r="O181">
        <f t="shared" si="66"/>
        <v>43.424953544548998</v>
      </c>
      <c r="P181">
        <f t="shared" si="67"/>
        <v>0.16038821259790767</v>
      </c>
      <c r="Q181">
        <f t="shared" si="68"/>
        <v>2.1297879721489181</v>
      </c>
      <c r="R181">
        <f t="shared" si="69"/>
        <v>0.15396749125225903</v>
      </c>
      <c r="S181">
        <f t="shared" si="70"/>
        <v>9.6785140708616935E-2</v>
      </c>
      <c r="T181">
        <f t="shared" si="71"/>
        <v>276.11520604200007</v>
      </c>
      <c r="U181">
        <f t="shared" si="72"/>
        <v>27.548223694132822</v>
      </c>
      <c r="V181">
        <f t="shared" si="73"/>
        <v>27.548223694132822</v>
      </c>
      <c r="W181">
        <f t="shared" si="74"/>
        <v>3.6960358233211266</v>
      </c>
      <c r="X181">
        <f t="shared" si="75"/>
        <v>74.742521585911533</v>
      </c>
      <c r="Y181">
        <f t="shared" si="76"/>
        <v>2.5247232037918996</v>
      </c>
      <c r="Z181">
        <f t="shared" si="77"/>
        <v>3.3778940691610186</v>
      </c>
      <c r="AA181">
        <f t="shared" si="78"/>
        <v>1.1713126195292269</v>
      </c>
      <c r="AB181">
        <f t="shared" si="79"/>
        <v>-82.808781532791315</v>
      </c>
      <c r="AC181">
        <f t="shared" si="80"/>
        <v>-175.67904819345847</v>
      </c>
      <c r="AD181">
        <f t="shared" si="81"/>
        <v>-17.763132714489565</v>
      </c>
      <c r="AE181">
        <f t="shared" si="82"/>
        <v>-0.13575639873931777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52513.71888721401</v>
      </c>
      <c r="AK181">
        <f t="shared" si="86"/>
        <v>1800</v>
      </c>
      <c r="AL181">
        <f t="shared" si="87"/>
        <v>1499.1124931999998</v>
      </c>
      <c r="AM181">
        <f t="shared" si="88"/>
        <v>0.83284027399999994</v>
      </c>
      <c r="AN181">
        <f t="shared" si="89"/>
        <v>0.15339733669000002</v>
      </c>
      <c r="AO181">
        <v>32.4</v>
      </c>
      <c r="AP181">
        <v>0.5</v>
      </c>
      <c r="AQ181" t="s">
        <v>331</v>
      </c>
      <c r="AR181">
        <v>2</v>
      </c>
      <c r="AS181">
        <v>1690219815.0999999</v>
      </c>
      <c r="AT181">
        <v>437.959</v>
      </c>
      <c r="AU181">
        <v>799.97</v>
      </c>
      <c r="AV181">
        <v>25.462900000000001</v>
      </c>
      <c r="AW181">
        <v>5.7098500000000003</v>
      </c>
      <c r="AX181">
        <v>437.976</v>
      </c>
      <c r="AY181">
        <v>25.2728</v>
      </c>
      <c r="AZ181">
        <v>300.15600000000001</v>
      </c>
      <c r="BA181">
        <v>99.052999999999997</v>
      </c>
      <c r="BB181">
        <v>0.100011</v>
      </c>
      <c r="BC181">
        <v>26.0182</v>
      </c>
      <c r="BD181">
        <v>26.989699999999999</v>
      </c>
      <c r="BE181">
        <v>27.251100000000001</v>
      </c>
      <c r="BF181">
        <v>0</v>
      </c>
      <c r="BG181">
        <v>0</v>
      </c>
      <c r="BH181">
        <v>9993.1200000000008</v>
      </c>
      <c r="BI181">
        <v>1067.01</v>
      </c>
      <c r="BJ181">
        <v>1.68198</v>
      </c>
      <c r="BK181">
        <v>-362.012</v>
      </c>
      <c r="BL181">
        <v>449.40199999999999</v>
      </c>
      <c r="BM181">
        <v>804.56399999999996</v>
      </c>
      <c r="BN181">
        <v>19.753</v>
      </c>
      <c r="BO181">
        <v>799.97</v>
      </c>
      <c r="BP181">
        <v>5.7098500000000003</v>
      </c>
      <c r="BQ181">
        <v>2.52217</v>
      </c>
      <c r="BR181">
        <v>0.56557800000000003</v>
      </c>
      <c r="BS181">
        <v>21.170300000000001</v>
      </c>
      <c r="BT181">
        <v>-1.1179399999999999</v>
      </c>
      <c r="BU181">
        <v>1800</v>
      </c>
      <c r="BV181">
        <v>0.91000400000000004</v>
      </c>
      <c r="BW181">
        <v>3.3999500000000002E-2</v>
      </c>
      <c r="BX181">
        <v>2.1999700000000001E-2</v>
      </c>
      <c r="BY181">
        <v>3.3996699999999998E-2</v>
      </c>
      <c r="BZ181">
        <v>26</v>
      </c>
      <c r="CA181">
        <v>33528.300000000003</v>
      </c>
      <c r="CB181">
        <v>1690217592</v>
      </c>
      <c r="CC181" t="s">
        <v>332</v>
      </c>
      <c r="CD181">
        <v>1690217586.5</v>
      </c>
      <c r="CE181">
        <v>1690217592</v>
      </c>
      <c r="CF181">
        <v>9</v>
      </c>
      <c r="CG181">
        <v>0.11600000000000001</v>
      </c>
      <c r="CH181">
        <v>-3.0000000000000001E-3</v>
      </c>
      <c r="CI181">
        <v>-0.27300000000000002</v>
      </c>
      <c r="CJ181">
        <v>-6.9000000000000006E-2</v>
      </c>
      <c r="CK181">
        <v>800</v>
      </c>
      <c r="CL181">
        <v>6</v>
      </c>
      <c r="CM181">
        <v>0.01</v>
      </c>
      <c r="CN181">
        <v>0.01</v>
      </c>
      <c r="CO181">
        <v>-360.7616585365854</v>
      </c>
      <c r="CP181">
        <v>-7.6375191637625717</v>
      </c>
      <c r="CQ181">
        <v>0.7548699002672995</v>
      </c>
      <c r="CR181">
        <v>-1</v>
      </c>
      <c r="CS181">
        <v>19.714007317073168</v>
      </c>
      <c r="CT181">
        <v>0.23073240418117741</v>
      </c>
      <c r="CU181">
        <v>2.2771466851259178E-2</v>
      </c>
      <c r="CV181">
        <v>-1</v>
      </c>
      <c r="CW181">
        <v>0</v>
      </c>
      <c r="CX181">
        <v>0</v>
      </c>
      <c r="CY181" t="s">
        <v>333</v>
      </c>
      <c r="CZ181">
        <v>2.3646099999999999</v>
      </c>
      <c r="DA181">
        <v>2.7138</v>
      </c>
      <c r="DB181">
        <v>9.5851000000000006E-2</v>
      </c>
      <c r="DC181">
        <v>0.14608599999999999</v>
      </c>
      <c r="DD181">
        <v>0.118746</v>
      </c>
      <c r="DE181">
        <v>3.7886999999999997E-2</v>
      </c>
      <c r="DF181">
        <v>33018.699999999997</v>
      </c>
      <c r="DG181">
        <v>27526.6</v>
      </c>
      <c r="DH181">
        <v>31175.8</v>
      </c>
      <c r="DI181">
        <v>28088.6</v>
      </c>
      <c r="DJ181">
        <v>37292.699999999997</v>
      </c>
      <c r="DK181">
        <v>38429.9</v>
      </c>
      <c r="DL181">
        <v>44367.3</v>
      </c>
      <c r="DM181">
        <v>42570.8</v>
      </c>
      <c r="DN181">
        <v>1.48482</v>
      </c>
      <c r="DO181">
        <v>2.03653</v>
      </c>
      <c r="DP181">
        <v>0.12576599999999999</v>
      </c>
      <c r="DQ181">
        <v>0.15035599999999999</v>
      </c>
      <c r="DR181">
        <v>24.929500000000001</v>
      </c>
      <c r="DS181">
        <v>24.7882</v>
      </c>
      <c r="DT181">
        <v>16.8</v>
      </c>
      <c r="DU181">
        <v>29.8</v>
      </c>
      <c r="DV181">
        <v>7.14337</v>
      </c>
      <c r="DW181">
        <v>61.9741</v>
      </c>
      <c r="DX181">
        <v>37.355800000000002</v>
      </c>
      <c r="DY181">
        <v>1</v>
      </c>
      <c r="DZ181">
        <v>-0.10292900000000001</v>
      </c>
      <c r="EA181">
        <v>0.35570000000000002</v>
      </c>
      <c r="EB181">
        <v>20.1891</v>
      </c>
      <c r="EC181">
        <v>5.2415500000000002</v>
      </c>
      <c r="ED181">
        <v>12.039899999999999</v>
      </c>
      <c r="EE181">
        <v>5.0172499999999998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1.86896</v>
      </c>
      <c r="EL181">
        <v>1.8646799999999999</v>
      </c>
      <c r="EM181">
        <v>1.8692</v>
      </c>
      <c r="EN181">
        <v>1.8672599999999999</v>
      </c>
      <c r="EO181">
        <v>1.86341</v>
      </c>
      <c r="EP181">
        <v>1.8646</v>
      </c>
      <c r="EQ181">
        <v>1.8702099999999999</v>
      </c>
      <c r="ER181">
        <v>1.86951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-1.7000000000000001E-2</v>
      </c>
      <c r="FG181">
        <v>0.19009999999999999</v>
      </c>
      <c r="FH181">
        <v>0.27827353915413472</v>
      </c>
      <c r="FI181">
        <v>-6.1462078757559423E-4</v>
      </c>
      <c r="FJ181">
        <v>-1.8861989874597051E-7</v>
      </c>
      <c r="FK181">
        <v>1.1980462299894961E-10</v>
      </c>
      <c r="FL181">
        <v>0.19010266435860859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37.1</v>
      </c>
      <c r="FU181">
        <v>37.1</v>
      </c>
      <c r="FV181">
        <v>1.7773399999999999</v>
      </c>
      <c r="FW181">
        <v>2.5842299999999998</v>
      </c>
      <c r="FX181">
        <v>1.5490699999999999</v>
      </c>
      <c r="FY181">
        <v>2.3290999999999999</v>
      </c>
      <c r="FZ181">
        <v>1.50146</v>
      </c>
      <c r="GA181">
        <v>2.33765</v>
      </c>
      <c r="GB181">
        <v>33.828299999999999</v>
      </c>
      <c r="GC181">
        <v>23.982399999999998</v>
      </c>
      <c r="GD181">
        <v>19</v>
      </c>
      <c r="GE181">
        <v>285.99700000000001</v>
      </c>
      <c r="GF181">
        <v>581.78599999999994</v>
      </c>
      <c r="GG181">
        <v>23.9755</v>
      </c>
      <c r="GH181">
        <v>26.074400000000001</v>
      </c>
      <c r="GI181">
        <v>30.0001</v>
      </c>
      <c r="GJ181">
        <v>26.2224</v>
      </c>
      <c r="GK181">
        <v>26.2057</v>
      </c>
      <c r="GL181">
        <v>35.542000000000002</v>
      </c>
      <c r="GM181">
        <v>-30</v>
      </c>
      <c r="GN181">
        <v>-30</v>
      </c>
      <c r="GO181">
        <v>24.0167</v>
      </c>
      <c r="GP181">
        <v>800</v>
      </c>
      <c r="GQ181">
        <v>12.5298</v>
      </c>
      <c r="GR181">
        <v>99.750799999999998</v>
      </c>
      <c r="GS181">
        <v>99.589600000000004</v>
      </c>
    </row>
    <row r="182" spans="1:201" x14ac:dyDescent="0.25">
      <c r="A182">
        <v>166</v>
      </c>
      <c r="B182">
        <v>1690219825.0999999</v>
      </c>
      <c r="C182">
        <v>1804.599999904633</v>
      </c>
      <c r="D182" t="s">
        <v>661</v>
      </c>
      <c r="E182" t="s">
        <v>662</v>
      </c>
      <c r="F182" t="s">
        <v>330</v>
      </c>
      <c r="H182">
        <v>1690219825.0999999</v>
      </c>
      <c r="I182">
        <f t="shared" si="60"/>
        <v>1.8812594344712547E-3</v>
      </c>
      <c r="J182">
        <f t="shared" si="61"/>
        <v>1.8812594344712548</v>
      </c>
      <c r="K182">
        <f t="shared" si="62"/>
        <v>32.81961626680161</v>
      </c>
      <c r="L182">
        <f t="shared" si="63"/>
        <v>436.79500000000002</v>
      </c>
      <c r="M182">
        <f t="shared" si="64"/>
        <v>94.494558808291956</v>
      </c>
      <c r="N182">
        <f t="shared" si="65"/>
        <v>9.3693037628535603</v>
      </c>
      <c r="O182">
        <f t="shared" si="66"/>
        <v>43.309002007177</v>
      </c>
      <c r="P182">
        <f t="shared" si="67"/>
        <v>0.16133138989256449</v>
      </c>
      <c r="Q182">
        <f t="shared" si="68"/>
        <v>2.1329050489338583</v>
      </c>
      <c r="R182">
        <f t="shared" si="69"/>
        <v>0.15484565680725038</v>
      </c>
      <c r="S182">
        <f t="shared" si="70"/>
        <v>9.7339526932169296E-2</v>
      </c>
      <c r="T182">
        <f t="shared" si="71"/>
        <v>276.11510799600001</v>
      </c>
      <c r="U182">
        <f t="shared" si="72"/>
        <v>27.544967238230068</v>
      </c>
      <c r="V182">
        <f t="shared" si="73"/>
        <v>27.544967238230068</v>
      </c>
      <c r="W182">
        <f t="shared" si="74"/>
        <v>3.6953318626373255</v>
      </c>
      <c r="X182">
        <f t="shared" si="75"/>
        <v>74.854897199275371</v>
      </c>
      <c r="Y182">
        <f t="shared" si="76"/>
        <v>2.5285191329709003</v>
      </c>
      <c r="Z182">
        <f t="shared" si="77"/>
        <v>3.3778940691610186</v>
      </c>
      <c r="AA182">
        <f t="shared" si="78"/>
        <v>1.1668127296664252</v>
      </c>
      <c r="AB182">
        <f t="shared" si="79"/>
        <v>-82.963541060182337</v>
      </c>
      <c r="AC182">
        <f t="shared" si="80"/>
        <v>-175.56170819177146</v>
      </c>
      <c r="AD182">
        <f t="shared" si="81"/>
        <v>-17.725036897570327</v>
      </c>
      <c r="AE182">
        <f t="shared" si="82"/>
        <v>-0.13517815352409457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52648.531941255984</v>
      </c>
      <c r="AK182">
        <f t="shared" si="86"/>
        <v>1800</v>
      </c>
      <c r="AL182">
        <f t="shared" si="87"/>
        <v>1499.1120756</v>
      </c>
      <c r="AM182">
        <f t="shared" si="88"/>
        <v>0.83284004200000006</v>
      </c>
      <c r="AN182">
        <f t="shared" si="89"/>
        <v>0.15339728222000001</v>
      </c>
      <c r="AO182">
        <v>32.4</v>
      </c>
      <c r="AP182">
        <v>0.5</v>
      </c>
      <c r="AQ182" t="s">
        <v>331</v>
      </c>
      <c r="AR182">
        <v>2</v>
      </c>
      <c r="AS182">
        <v>1690219825.0999999</v>
      </c>
      <c r="AT182">
        <v>436.79500000000002</v>
      </c>
      <c r="AU182">
        <v>799.97500000000002</v>
      </c>
      <c r="AV182">
        <v>25.5015</v>
      </c>
      <c r="AW182">
        <v>5.7100099999999996</v>
      </c>
      <c r="AX182">
        <v>436.81099999999998</v>
      </c>
      <c r="AY182">
        <v>25.311399999999999</v>
      </c>
      <c r="AZ182">
        <v>300.12099999999998</v>
      </c>
      <c r="BA182">
        <v>99.0518</v>
      </c>
      <c r="BB182">
        <v>9.9980600000000003E-2</v>
      </c>
      <c r="BC182">
        <v>26.0182</v>
      </c>
      <c r="BD182">
        <v>27.036999999999999</v>
      </c>
      <c r="BE182">
        <v>27.2317</v>
      </c>
      <c r="BF182">
        <v>0</v>
      </c>
      <c r="BG182">
        <v>0</v>
      </c>
      <c r="BH182">
        <v>10020</v>
      </c>
      <c r="BI182">
        <v>1067.0899999999999</v>
      </c>
      <c r="BJ182">
        <v>1.68198</v>
      </c>
      <c r="BK182">
        <v>-363.18</v>
      </c>
      <c r="BL182">
        <v>448.22500000000002</v>
      </c>
      <c r="BM182">
        <v>804.56899999999996</v>
      </c>
      <c r="BN182">
        <v>19.791499999999999</v>
      </c>
      <c r="BO182">
        <v>799.97500000000002</v>
      </c>
      <c r="BP182">
        <v>5.7100099999999996</v>
      </c>
      <c r="BQ182">
        <v>2.52597</v>
      </c>
      <c r="BR182">
        <v>0.56558699999999995</v>
      </c>
      <c r="BS182">
        <v>21.194800000000001</v>
      </c>
      <c r="BT182">
        <v>-1.1177299999999999</v>
      </c>
      <c r="BU182">
        <v>1800</v>
      </c>
      <c r="BV182">
        <v>0.91000400000000004</v>
      </c>
      <c r="BW182">
        <v>3.3999399999999999E-2</v>
      </c>
      <c r="BX182">
        <v>2.1999600000000001E-2</v>
      </c>
      <c r="BY182">
        <v>3.3996600000000002E-2</v>
      </c>
      <c r="BZ182">
        <v>26</v>
      </c>
      <c r="CA182">
        <v>33528.400000000001</v>
      </c>
      <c r="CB182">
        <v>1690217592</v>
      </c>
      <c r="CC182" t="s">
        <v>332</v>
      </c>
      <c r="CD182">
        <v>1690217586.5</v>
      </c>
      <c r="CE182">
        <v>1690217592</v>
      </c>
      <c r="CF182">
        <v>9</v>
      </c>
      <c r="CG182">
        <v>0.11600000000000001</v>
      </c>
      <c r="CH182">
        <v>-3.0000000000000001E-3</v>
      </c>
      <c r="CI182">
        <v>-0.27300000000000002</v>
      </c>
      <c r="CJ182">
        <v>-6.9000000000000006E-2</v>
      </c>
      <c r="CK182">
        <v>800</v>
      </c>
      <c r="CL182">
        <v>6</v>
      </c>
      <c r="CM182">
        <v>0.01</v>
      </c>
      <c r="CN182">
        <v>0.01</v>
      </c>
      <c r="CO182">
        <v>-361.8318536585366</v>
      </c>
      <c r="CP182">
        <v>-6.7337351916367707</v>
      </c>
      <c r="CQ182">
        <v>0.66688904847389818</v>
      </c>
      <c r="CR182">
        <v>-1</v>
      </c>
      <c r="CS182">
        <v>19.74662195121951</v>
      </c>
      <c r="CT182">
        <v>0.20860139372826139</v>
      </c>
      <c r="CU182">
        <v>2.062370779035649E-2</v>
      </c>
      <c r="CV182">
        <v>-1</v>
      </c>
      <c r="CW182">
        <v>0</v>
      </c>
      <c r="CX182">
        <v>0</v>
      </c>
      <c r="CY182" t="s">
        <v>333</v>
      </c>
      <c r="CZ182">
        <v>2.36449</v>
      </c>
      <c r="DA182">
        <v>2.7137899999999999</v>
      </c>
      <c r="DB182">
        <v>9.5659099999999997E-2</v>
      </c>
      <c r="DC182">
        <v>0.14608399999999999</v>
      </c>
      <c r="DD182">
        <v>0.118871</v>
      </c>
      <c r="DE182">
        <v>3.7887400000000002E-2</v>
      </c>
      <c r="DF182">
        <v>33026.199999999997</v>
      </c>
      <c r="DG182">
        <v>27526.400000000001</v>
      </c>
      <c r="DH182">
        <v>31176.2</v>
      </c>
      <c r="DI182">
        <v>28088.400000000001</v>
      </c>
      <c r="DJ182">
        <v>37287.800000000003</v>
      </c>
      <c r="DK182">
        <v>38429.699999999997</v>
      </c>
      <c r="DL182">
        <v>44367.9</v>
      </c>
      <c r="DM182">
        <v>42570.6</v>
      </c>
      <c r="DN182">
        <v>1.4850699999999999</v>
      </c>
      <c r="DO182">
        <v>2.0367000000000002</v>
      </c>
      <c r="DP182">
        <v>0.128437</v>
      </c>
      <c r="DQ182">
        <v>0.14888899999999999</v>
      </c>
      <c r="DR182">
        <v>24.9331</v>
      </c>
      <c r="DS182">
        <v>24.7928</v>
      </c>
      <c r="DT182">
        <v>16.8</v>
      </c>
      <c r="DU182">
        <v>29.7</v>
      </c>
      <c r="DV182">
        <v>7.1028900000000004</v>
      </c>
      <c r="DW182">
        <v>61.694099999999999</v>
      </c>
      <c r="DX182">
        <v>37.075299999999999</v>
      </c>
      <c r="DY182">
        <v>1</v>
      </c>
      <c r="DZ182">
        <v>-0.10366400000000001</v>
      </c>
      <c r="EA182">
        <v>0.24155499999999999</v>
      </c>
      <c r="EB182">
        <v>20.189499999999999</v>
      </c>
      <c r="EC182">
        <v>5.2418500000000003</v>
      </c>
      <c r="ED182">
        <v>12.039899999999999</v>
      </c>
      <c r="EE182">
        <v>5.0173500000000004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1.86894</v>
      </c>
      <c r="EL182">
        <v>1.86466</v>
      </c>
      <c r="EM182">
        <v>1.8691899999999999</v>
      </c>
      <c r="EN182">
        <v>1.8672599999999999</v>
      </c>
      <c r="EO182">
        <v>1.86341</v>
      </c>
      <c r="EP182">
        <v>1.8646</v>
      </c>
      <c r="EQ182">
        <v>1.8702000000000001</v>
      </c>
      <c r="ER182">
        <v>1.8694999999999999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-1.6E-2</v>
      </c>
      <c r="FG182">
        <v>0.19009999999999999</v>
      </c>
      <c r="FH182">
        <v>0.27827353915413472</v>
      </c>
      <c r="FI182">
        <v>-6.1462078757559423E-4</v>
      </c>
      <c r="FJ182">
        <v>-1.8861989874597051E-7</v>
      </c>
      <c r="FK182">
        <v>1.1980462299894961E-10</v>
      </c>
      <c r="FL182">
        <v>0.19010266435860859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37.299999999999997</v>
      </c>
      <c r="FU182">
        <v>37.200000000000003</v>
      </c>
      <c r="FV182">
        <v>1.7773399999999999</v>
      </c>
      <c r="FW182">
        <v>2.5866699999999998</v>
      </c>
      <c r="FX182">
        <v>1.5490699999999999</v>
      </c>
      <c r="FY182">
        <v>2.3290999999999999</v>
      </c>
      <c r="FZ182">
        <v>1.50146</v>
      </c>
      <c r="GA182">
        <v>2.3022499999999999</v>
      </c>
      <c r="GB182">
        <v>33.828299999999999</v>
      </c>
      <c r="GC182">
        <v>23.973700000000001</v>
      </c>
      <c r="GD182">
        <v>19</v>
      </c>
      <c r="GE182">
        <v>286.09500000000003</v>
      </c>
      <c r="GF182">
        <v>581.923</v>
      </c>
      <c r="GG182">
        <v>24.006499999999999</v>
      </c>
      <c r="GH182">
        <v>26.072199999999999</v>
      </c>
      <c r="GI182">
        <v>29.9999</v>
      </c>
      <c r="GJ182">
        <v>26.220199999999998</v>
      </c>
      <c r="GK182">
        <v>26.205200000000001</v>
      </c>
      <c r="GL182">
        <v>35.541400000000003</v>
      </c>
      <c r="GM182">
        <v>-30</v>
      </c>
      <c r="GN182">
        <v>-30</v>
      </c>
      <c r="GO182">
        <v>23.974299999999999</v>
      </c>
      <c r="GP182">
        <v>800</v>
      </c>
      <c r="GQ182">
        <v>12.5298</v>
      </c>
      <c r="GR182">
        <v>99.752200000000002</v>
      </c>
      <c r="GS182">
        <v>99.588899999999995</v>
      </c>
    </row>
    <row r="183" spans="1:201" x14ac:dyDescent="0.25">
      <c r="A183">
        <v>167</v>
      </c>
      <c r="B183">
        <v>1690219835.0999999</v>
      </c>
      <c r="C183">
        <v>1814.599999904633</v>
      </c>
      <c r="D183" t="s">
        <v>663</v>
      </c>
      <c r="E183" t="s">
        <v>664</v>
      </c>
      <c r="F183" t="s">
        <v>330</v>
      </c>
      <c r="H183">
        <v>1690219835.0999999</v>
      </c>
      <c r="I183">
        <f t="shared" si="60"/>
        <v>1.8864287701662492E-3</v>
      </c>
      <c r="J183">
        <f t="shared" si="61"/>
        <v>1.8864287701662492</v>
      </c>
      <c r="K183">
        <f t="shared" si="62"/>
        <v>32.92905318463194</v>
      </c>
      <c r="L183">
        <f t="shared" si="63"/>
        <v>435.58600000000001</v>
      </c>
      <c r="M183">
        <f t="shared" si="64"/>
        <v>95.086146577166119</v>
      </c>
      <c r="N183">
        <f t="shared" si="65"/>
        <v>9.4282603029147936</v>
      </c>
      <c r="O183">
        <f t="shared" si="66"/>
        <v>43.190499774566</v>
      </c>
      <c r="P183">
        <f t="shared" si="67"/>
        <v>0.16278117449448887</v>
      </c>
      <c r="Q183">
        <f t="shared" si="68"/>
        <v>2.1293005440959849</v>
      </c>
      <c r="R183">
        <f t="shared" si="69"/>
        <v>0.15617023022827625</v>
      </c>
      <c r="S183">
        <f t="shared" si="70"/>
        <v>9.8177988774442976E-2</v>
      </c>
      <c r="T183">
        <f t="shared" si="71"/>
        <v>276.11520492599999</v>
      </c>
      <c r="U183">
        <f t="shared" si="72"/>
        <v>27.537323522308387</v>
      </c>
      <c r="V183">
        <f t="shared" si="73"/>
        <v>27.537323522308387</v>
      </c>
      <c r="W183">
        <f t="shared" si="74"/>
        <v>3.6936799505951821</v>
      </c>
      <c r="X183">
        <f t="shared" si="75"/>
        <v>75.040738146473856</v>
      </c>
      <c r="Y183">
        <f t="shared" si="76"/>
        <v>2.5335671349396001</v>
      </c>
      <c r="Z183">
        <f t="shared" si="77"/>
        <v>3.3762556146426332</v>
      </c>
      <c r="AA183">
        <f t="shared" si="78"/>
        <v>1.160112815655582</v>
      </c>
      <c r="AB183">
        <f t="shared" si="79"/>
        <v>-83.191508764331587</v>
      </c>
      <c r="AC183">
        <f t="shared" si="80"/>
        <v>-175.32887607031805</v>
      </c>
      <c r="AD183">
        <f t="shared" si="81"/>
        <v>-17.730089529220582</v>
      </c>
      <c r="AE183">
        <f t="shared" si="82"/>
        <v>-0.13526943787024948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52494.13442272244</v>
      </c>
      <c r="AK183">
        <f t="shared" si="86"/>
        <v>1800</v>
      </c>
      <c r="AL183">
        <f t="shared" si="87"/>
        <v>1499.1134795999999</v>
      </c>
      <c r="AM183">
        <f t="shared" si="88"/>
        <v>0.83284082199999998</v>
      </c>
      <c r="AN183">
        <f t="shared" si="89"/>
        <v>0.15339733607</v>
      </c>
      <c r="AO183">
        <v>32.4</v>
      </c>
      <c r="AP183">
        <v>0.5</v>
      </c>
      <c r="AQ183" t="s">
        <v>331</v>
      </c>
      <c r="AR183">
        <v>2</v>
      </c>
      <c r="AS183">
        <v>1690219835.0999999</v>
      </c>
      <c r="AT183">
        <v>435.58600000000001</v>
      </c>
      <c r="AU183">
        <v>799.89499999999998</v>
      </c>
      <c r="AV183">
        <v>25.551600000000001</v>
      </c>
      <c r="AW183">
        <v>5.7095900000000004</v>
      </c>
      <c r="AX183">
        <v>435.601</v>
      </c>
      <c r="AY183">
        <v>25.361499999999999</v>
      </c>
      <c r="AZ183">
        <v>300.16399999999999</v>
      </c>
      <c r="BA183">
        <v>99.054900000000004</v>
      </c>
      <c r="BB183">
        <v>0.10003099999999999</v>
      </c>
      <c r="BC183">
        <v>26.01</v>
      </c>
      <c r="BD183">
        <v>26.994599999999998</v>
      </c>
      <c r="BE183">
        <v>27.240500000000001</v>
      </c>
      <c r="BF183">
        <v>0</v>
      </c>
      <c r="BG183">
        <v>0</v>
      </c>
      <c r="BH183">
        <v>9988.75</v>
      </c>
      <c r="BI183">
        <v>1067.1400000000001</v>
      </c>
      <c r="BJ183">
        <v>1.68198</v>
      </c>
      <c r="BK183">
        <v>-364.31</v>
      </c>
      <c r="BL183">
        <v>447.00799999999998</v>
      </c>
      <c r="BM183">
        <v>804.48900000000003</v>
      </c>
      <c r="BN183">
        <v>19.841999999999999</v>
      </c>
      <c r="BO183">
        <v>799.89499999999998</v>
      </c>
      <c r="BP183">
        <v>5.7095900000000004</v>
      </c>
      <c r="BQ183">
        <v>2.5310100000000002</v>
      </c>
      <c r="BR183">
        <v>0.56556300000000004</v>
      </c>
      <c r="BS183">
        <v>21.2273</v>
      </c>
      <c r="BT183">
        <v>-1.1183099999999999</v>
      </c>
      <c r="BU183">
        <v>1800</v>
      </c>
      <c r="BV183">
        <v>0.91000700000000001</v>
      </c>
      <c r="BW183">
        <v>3.3998500000000001E-2</v>
      </c>
      <c r="BX183">
        <v>2.1999100000000001E-2</v>
      </c>
      <c r="BY183">
        <v>3.3995699999999997E-2</v>
      </c>
      <c r="BZ183">
        <v>26</v>
      </c>
      <c r="CA183">
        <v>33528.5</v>
      </c>
      <c r="CB183">
        <v>1690217592</v>
      </c>
      <c r="CC183" t="s">
        <v>332</v>
      </c>
      <c r="CD183">
        <v>1690217586.5</v>
      </c>
      <c r="CE183">
        <v>1690217592</v>
      </c>
      <c r="CF183">
        <v>9</v>
      </c>
      <c r="CG183">
        <v>0.11600000000000001</v>
      </c>
      <c r="CH183">
        <v>-3.0000000000000001E-3</v>
      </c>
      <c r="CI183">
        <v>-0.27300000000000002</v>
      </c>
      <c r="CJ183">
        <v>-6.9000000000000006E-2</v>
      </c>
      <c r="CK183">
        <v>800</v>
      </c>
      <c r="CL183">
        <v>6</v>
      </c>
      <c r="CM183">
        <v>0.01</v>
      </c>
      <c r="CN183">
        <v>0.01</v>
      </c>
      <c r="CO183">
        <v>-363.07372500000002</v>
      </c>
      <c r="CP183">
        <v>-7.379155722325585</v>
      </c>
      <c r="CQ183">
        <v>0.71096202386273666</v>
      </c>
      <c r="CR183">
        <v>-1</v>
      </c>
      <c r="CS183">
        <v>19.790677500000001</v>
      </c>
      <c r="CT183">
        <v>0.28371219512190587</v>
      </c>
      <c r="CU183">
        <v>2.7464008151579119E-2</v>
      </c>
      <c r="CV183">
        <v>-1</v>
      </c>
      <c r="CW183">
        <v>0</v>
      </c>
      <c r="CX183">
        <v>0</v>
      </c>
      <c r="CY183" t="s">
        <v>333</v>
      </c>
      <c r="CZ183">
        <v>2.3646500000000001</v>
      </c>
      <c r="DA183">
        <v>2.7138100000000001</v>
      </c>
      <c r="DB183">
        <v>9.5463199999999998E-2</v>
      </c>
      <c r="DC183">
        <v>0.14607899999999999</v>
      </c>
      <c r="DD183">
        <v>0.11903900000000001</v>
      </c>
      <c r="DE183">
        <v>3.7886299999999998E-2</v>
      </c>
      <c r="DF183">
        <v>33033.4</v>
      </c>
      <c r="DG183">
        <v>27526.3</v>
      </c>
      <c r="DH183">
        <v>31176.3</v>
      </c>
      <c r="DI183">
        <v>28088.1</v>
      </c>
      <c r="DJ183">
        <v>37280.6</v>
      </c>
      <c r="DK183">
        <v>38429.199999999997</v>
      </c>
      <c r="DL183">
        <v>44367.8</v>
      </c>
      <c r="DM183">
        <v>42570</v>
      </c>
      <c r="DN183">
        <v>1.4852799999999999</v>
      </c>
      <c r="DO183">
        <v>2.0366</v>
      </c>
      <c r="DP183">
        <v>0.12565000000000001</v>
      </c>
      <c r="DQ183">
        <v>0.14929799999999999</v>
      </c>
      <c r="DR183">
        <v>24.936299999999999</v>
      </c>
      <c r="DS183">
        <v>24.794899999999998</v>
      </c>
      <c r="DT183">
        <v>16.8</v>
      </c>
      <c r="DU183">
        <v>29.8</v>
      </c>
      <c r="DV183">
        <v>7.1436099999999998</v>
      </c>
      <c r="DW183">
        <v>61.594099999999997</v>
      </c>
      <c r="DX183">
        <v>36.935099999999998</v>
      </c>
      <c r="DY183">
        <v>1</v>
      </c>
      <c r="DZ183">
        <v>-0.103349</v>
      </c>
      <c r="EA183">
        <v>0.35458299999999998</v>
      </c>
      <c r="EB183">
        <v>20.189299999999999</v>
      </c>
      <c r="EC183">
        <v>5.2411000000000003</v>
      </c>
      <c r="ED183">
        <v>12.039899999999999</v>
      </c>
      <c r="EE183">
        <v>5.0172499999999998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1.86896</v>
      </c>
      <c r="EL183">
        <v>1.86466</v>
      </c>
      <c r="EM183">
        <v>1.8691899999999999</v>
      </c>
      <c r="EN183">
        <v>1.8672599999999999</v>
      </c>
      <c r="EO183">
        <v>1.8634299999999999</v>
      </c>
      <c r="EP183">
        <v>1.8646100000000001</v>
      </c>
      <c r="EQ183">
        <v>1.87022</v>
      </c>
      <c r="ER183">
        <v>1.8694900000000001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-1.4999999999999999E-2</v>
      </c>
      <c r="FG183">
        <v>0.19009999999999999</v>
      </c>
      <c r="FH183">
        <v>0.27827353915413472</v>
      </c>
      <c r="FI183">
        <v>-6.1462078757559423E-4</v>
      </c>
      <c r="FJ183">
        <v>-1.8861989874597051E-7</v>
      </c>
      <c r="FK183">
        <v>1.1980462299894961E-10</v>
      </c>
      <c r="FL183">
        <v>0.19010266435860859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37.5</v>
      </c>
      <c r="FU183">
        <v>37.4</v>
      </c>
      <c r="FV183">
        <v>1.7773399999999999</v>
      </c>
      <c r="FW183">
        <v>2.5915499999999998</v>
      </c>
      <c r="FX183">
        <v>1.5490699999999999</v>
      </c>
      <c r="FY183">
        <v>2.3290999999999999</v>
      </c>
      <c r="FZ183">
        <v>1.50146</v>
      </c>
      <c r="GA183">
        <v>2.2766099999999998</v>
      </c>
      <c r="GB183">
        <v>33.828299999999999</v>
      </c>
      <c r="GC183">
        <v>23.973700000000001</v>
      </c>
      <c r="GD183">
        <v>19</v>
      </c>
      <c r="GE183">
        <v>286.18099999999998</v>
      </c>
      <c r="GF183">
        <v>581.84100000000001</v>
      </c>
      <c r="GG183">
        <v>23.9649</v>
      </c>
      <c r="GH183">
        <v>26.072199999999999</v>
      </c>
      <c r="GI183">
        <v>30.0001</v>
      </c>
      <c r="GJ183">
        <v>26.220199999999998</v>
      </c>
      <c r="GK183">
        <v>26.205200000000001</v>
      </c>
      <c r="GL183">
        <v>35.542900000000003</v>
      </c>
      <c r="GM183">
        <v>-30</v>
      </c>
      <c r="GN183">
        <v>-30</v>
      </c>
      <c r="GO183">
        <v>23.9849</v>
      </c>
      <c r="GP183">
        <v>800</v>
      </c>
      <c r="GQ183">
        <v>12.5298</v>
      </c>
      <c r="GR183">
        <v>99.752200000000002</v>
      </c>
      <c r="GS183">
        <v>99.587800000000001</v>
      </c>
    </row>
    <row r="184" spans="1:201" x14ac:dyDescent="0.25">
      <c r="A184">
        <v>168</v>
      </c>
      <c r="B184">
        <v>1690219845.0999999</v>
      </c>
      <c r="C184">
        <v>1824.599999904633</v>
      </c>
      <c r="D184" t="s">
        <v>665</v>
      </c>
      <c r="E184" t="s">
        <v>666</v>
      </c>
      <c r="F184" t="s">
        <v>330</v>
      </c>
      <c r="H184">
        <v>1690219845.0999999</v>
      </c>
      <c r="I184">
        <f t="shared" si="60"/>
        <v>1.8909938021481124E-3</v>
      </c>
      <c r="J184">
        <f t="shared" si="61"/>
        <v>1.8909938021481123</v>
      </c>
      <c r="K184">
        <f t="shared" si="62"/>
        <v>33.044053310832503</v>
      </c>
      <c r="L184">
        <f t="shared" si="63"/>
        <v>434.56599999999997</v>
      </c>
      <c r="M184">
        <f t="shared" si="64"/>
        <v>95.143143205557763</v>
      </c>
      <c r="N184">
        <f t="shared" si="65"/>
        <v>9.4336930655839701</v>
      </c>
      <c r="O184">
        <f t="shared" si="66"/>
        <v>43.088362677711991</v>
      </c>
      <c r="P184">
        <f t="shared" si="67"/>
        <v>0.16389296979866227</v>
      </c>
      <c r="Q184">
        <f t="shared" si="68"/>
        <v>2.1318902206830708</v>
      </c>
      <c r="R184">
        <f t="shared" si="69"/>
        <v>0.15720119081378919</v>
      </c>
      <c r="S184">
        <f t="shared" si="70"/>
        <v>9.8829206674549502E-2</v>
      </c>
      <c r="T184">
        <f t="shared" si="71"/>
        <v>276.11510688000004</v>
      </c>
      <c r="U184">
        <f t="shared" si="72"/>
        <v>27.533844734641701</v>
      </c>
      <c r="V184">
        <f t="shared" si="73"/>
        <v>27.533844734641701</v>
      </c>
      <c r="W184">
        <f t="shared" si="74"/>
        <v>3.6929283501873278</v>
      </c>
      <c r="X184">
        <f t="shared" si="75"/>
        <v>75.163525450241536</v>
      </c>
      <c r="Y184">
        <f t="shared" si="76"/>
        <v>2.5376827176183996</v>
      </c>
      <c r="Z184">
        <f t="shared" si="77"/>
        <v>3.3762156610101437</v>
      </c>
      <c r="AA184">
        <f t="shared" si="78"/>
        <v>1.1552456325689282</v>
      </c>
      <c r="AB184">
        <f t="shared" si="79"/>
        <v>-83.392826674731751</v>
      </c>
      <c r="AC184">
        <f t="shared" si="80"/>
        <v>-175.1652670921946</v>
      </c>
      <c r="AD184">
        <f t="shared" si="81"/>
        <v>-17.691701230312315</v>
      </c>
      <c r="AE184">
        <f t="shared" si="82"/>
        <v>-0.13468811723862473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52606.102808185125</v>
      </c>
      <c r="AK184">
        <f t="shared" si="86"/>
        <v>1800</v>
      </c>
      <c r="AL184">
        <f t="shared" si="87"/>
        <v>1499.1130619999999</v>
      </c>
      <c r="AM184">
        <f t="shared" si="88"/>
        <v>0.83284058999999999</v>
      </c>
      <c r="AN184">
        <f t="shared" si="89"/>
        <v>0.15339728160000002</v>
      </c>
      <c r="AO184">
        <v>32.4</v>
      </c>
      <c r="AP184">
        <v>0.5</v>
      </c>
      <c r="AQ184" t="s">
        <v>331</v>
      </c>
      <c r="AR184">
        <v>2</v>
      </c>
      <c r="AS184">
        <v>1690219845.0999999</v>
      </c>
      <c r="AT184">
        <v>434.56599999999997</v>
      </c>
      <c r="AU184">
        <v>800.02200000000005</v>
      </c>
      <c r="AV184">
        <v>25.593699999999998</v>
      </c>
      <c r="AW184">
        <v>5.7096999999999998</v>
      </c>
      <c r="AX184">
        <v>434.58100000000002</v>
      </c>
      <c r="AY184">
        <v>25.403600000000001</v>
      </c>
      <c r="AZ184">
        <v>300.24200000000002</v>
      </c>
      <c r="BA184">
        <v>99.052599999999998</v>
      </c>
      <c r="BB184">
        <v>0.100032</v>
      </c>
      <c r="BC184">
        <v>26.009799999999998</v>
      </c>
      <c r="BD184">
        <v>26.988199999999999</v>
      </c>
      <c r="BE184">
        <v>27.213799999999999</v>
      </c>
      <c r="BF184">
        <v>0</v>
      </c>
      <c r="BG184">
        <v>0</v>
      </c>
      <c r="BH184">
        <v>10011.200000000001</v>
      </c>
      <c r="BI184">
        <v>1067.0999999999999</v>
      </c>
      <c r="BJ184">
        <v>1.68198</v>
      </c>
      <c r="BK184">
        <v>-365.45600000000002</v>
      </c>
      <c r="BL184">
        <v>445.98099999999999</v>
      </c>
      <c r="BM184">
        <v>804.61599999999999</v>
      </c>
      <c r="BN184">
        <v>19.884</v>
      </c>
      <c r="BO184">
        <v>800.02200000000005</v>
      </c>
      <c r="BP184">
        <v>5.7096999999999998</v>
      </c>
      <c r="BQ184">
        <v>2.53512</v>
      </c>
      <c r="BR184">
        <v>0.56556099999999998</v>
      </c>
      <c r="BS184">
        <v>21.253699999999998</v>
      </c>
      <c r="BT184">
        <v>-1.11836</v>
      </c>
      <c r="BU184">
        <v>1800</v>
      </c>
      <c r="BV184">
        <v>0.91000700000000001</v>
      </c>
      <c r="BW184">
        <v>3.3998399999999998E-2</v>
      </c>
      <c r="BX184">
        <v>2.1999000000000001E-2</v>
      </c>
      <c r="BY184">
        <v>3.3995600000000001E-2</v>
      </c>
      <c r="BZ184">
        <v>26</v>
      </c>
      <c r="CA184">
        <v>33528.400000000001</v>
      </c>
      <c r="CB184">
        <v>1690217592</v>
      </c>
      <c r="CC184" t="s">
        <v>332</v>
      </c>
      <c r="CD184">
        <v>1690217586.5</v>
      </c>
      <c r="CE184">
        <v>1690217592</v>
      </c>
      <c r="CF184">
        <v>9</v>
      </c>
      <c r="CG184">
        <v>0.11600000000000001</v>
      </c>
      <c r="CH184">
        <v>-3.0000000000000001E-3</v>
      </c>
      <c r="CI184">
        <v>-0.27300000000000002</v>
      </c>
      <c r="CJ184">
        <v>-6.9000000000000006E-2</v>
      </c>
      <c r="CK184">
        <v>800</v>
      </c>
      <c r="CL184">
        <v>6</v>
      </c>
      <c r="CM184">
        <v>0.01</v>
      </c>
      <c r="CN184">
        <v>0.01</v>
      </c>
      <c r="CO184">
        <v>-364.2857317073171</v>
      </c>
      <c r="CP184">
        <v>-6.8246132404180724</v>
      </c>
      <c r="CQ184">
        <v>0.67439342300666549</v>
      </c>
      <c r="CR184">
        <v>-1</v>
      </c>
      <c r="CS184">
        <v>19.83820731707317</v>
      </c>
      <c r="CT184">
        <v>0.26668013937283791</v>
      </c>
      <c r="CU184">
        <v>2.6375574345788379E-2</v>
      </c>
      <c r="CV184">
        <v>-1</v>
      </c>
      <c r="CW184">
        <v>0</v>
      </c>
      <c r="CX184">
        <v>0</v>
      </c>
      <c r="CY184" t="s">
        <v>333</v>
      </c>
      <c r="CZ184">
        <v>2.3648799999999999</v>
      </c>
      <c r="DA184">
        <v>2.7138300000000002</v>
      </c>
      <c r="DB184">
        <v>9.5293600000000006E-2</v>
      </c>
      <c r="DC184">
        <v>0.146092</v>
      </c>
      <c r="DD184">
        <v>0.119174</v>
      </c>
      <c r="DE184">
        <v>3.7886400000000001E-2</v>
      </c>
      <c r="DF184">
        <v>33039.1</v>
      </c>
      <c r="DG184">
        <v>27526.1</v>
      </c>
      <c r="DH184">
        <v>31175.8</v>
      </c>
      <c r="DI184">
        <v>28088.400000000001</v>
      </c>
      <c r="DJ184">
        <v>37274.5</v>
      </c>
      <c r="DK184">
        <v>38429.699999999997</v>
      </c>
      <c r="DL184">
        <v>44367.5</v>
      </c>
      <c r="DM184">
        <v>42570.6</v>
      </c>
      <c r="DN184">
        <v>1.4855</v>
      </c>
      <c r="DO184">
        <v>2.0363500000000001</v>
      </c>
      <c r="DP184">
        <v>0.12520000000000001</v>
      </c>
      <c r="DQ184">
        <v>0.14766699999999999</v>
      </c>
      <c r="DR184">
        <v>24.9373</v>
      </c>
      <c r="DS184">
        <v>24.794899999999998</v>
      </c>
      <c r="DT184">
        <v>16.8</v>
      </c>
      <c r="DU184">
        <v>29.8</v>
      </c>
      <c r="DV184">
        <v>7.1442699999999997</v>
      </c>
      <c r="DW184">
        <v>61.764099999999999</v>
      </c>
      <c r="DX184">
        <v>36.678699999999999</v>
      </c>
      <c r="DY184">
        <v>1</v>
      </c>
      <c r="DZ184">
        <v>-0.10369200000000001</v>
      </c>
      <c r="EA184">
        <v>0.23665800000000001</v>
      </c>
      <c r="EB184">
        <v>20.189599999999999</v>
      </c>
      <c r="EC184">
        <v>5.2411000000000003</v>
      </c>
      <c r="ED184">
        <v>12.039899999999999</v>
      </c>
      <c r="EE184">
        <v>5.0175000000000001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1.86894</v>
      </c>
      <c r="EL184">
        <v>1.8646799999999999</v>
      </c>
      <c r="EM184">
        <v>1.8691899999999999</v>
      </c>
      <c r="EN184">
        <v>1.86724</v>
      </c>
      <c r="EO184">
        <v>1.86341</v>
      </c>
      <c r="EP184">
        <v>1.8645799999999999</v>
      </c>
      <c r="EQ184">
        <v>1.8702000000000001</v>
      </c>
      <c r="ER184">
        <v>1.86951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-1.4999999999999999E-2</v>
      </c>
      <c r="FG184">
        <v>0.19009999999999999</v>
      </c>
      <c r="FH184">
        <v>0.27827353915413472</v>
      </c>
      <c r="FI184">
        <v>-6.1462078757559423E-4</v>
      </c>
      <c r="FJ184">
        <v>-1.8861989874597051E-7</v>
      </c>
      <c r="FK184">
        <v>1.1980462299894961E-10</v>
      </c>
      <c r="FL184">
        <v>0.19010266435860859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37.6</v>
      </c>
      <c r="FU184">
        <v>37.6</v>
      </c>
      <c r="FV184">
        <v>1.7773399999999999</v>
      </c>
      <c r="FW184">
        <v>2.5903299999999998</v>
      </c>
      <c r="FX184">
        <v>1.5490699999999999</v>
      </c>
      <c r="FY184">
        <v>2.3290999999999999</v>
      </c>
      <c r="FZ184">
        <v>1.50146</v>
      </c>
      <c r="GA184">
        <v>2.2888199999999999</v>
      </c>
      <c r="GB184">
        <v>33.850900000000003</v>
      </c>
      <c r="GC184">
        <v>23.973700000000001</v>
      </c>
      <c r="GD184">
        <v>19</v>
      </c>
      <c r="GE184">
        <v>286.27699999999999</v>
      </c>
      <c r="GF184">
        <v>581.61</v>
      </c>
      <c r="GG184">
        <v>23.982600000000001</v>
      </c>
      <c r="GH184">
        <v>26.072199999999999</v>
      </c>
      <c r="GI184">
        <v>29.9999</v>
      </c>
      <c r="GJ184">
        <v>26.220199999999998</v>
      </c>
      <c r="GK184">
        <v>26.202999999999999</v>
      </c>
      <c r="GL184">
        <v>35.539099999999998</v>
      </c>
      <c r="GM184">
        <v>-30</v>
      </c>
      <c r="GN184">
        <v>-30</v>
      </c>
      <c r="GO184">
        <v>23.993600000000001</v>
      </c>
      <c r="GP184">
        <v>800</v>
      </c>
      <c r="GQ184">
        <v>12.5298</v>
      </c>
      <c r="GR184">
        <v>99.751199999999997</v>
      </c>
      <c r="GS184">
        <v>99.588999999999999</v>
      </c>
    </row>
    <row r="185" spans="1:201" x14ac:dyDescent="0.25">
      <c r="A185">
        <v>169</v>
      </c>
      <c r="B185">
        <v>1690219855.0999999</v>
      </c>
      <c r="C185">
        <v>1834.599999904633</v>
      </c>
      <c r="D185" t="s">
        <v>667</v>
      </c>
      <c r="E185" t="s">
        <v>668</v>
      </c>
      <c r="F185" t="s">
        <v>330</v>
      </c>
      <c r="H185">
        <v>1690219855.0999999</v>
      </c>
      <c r="I185">
        <f t="shared" si="60"/>
        <v>1.8952480275656726E-3</v>
      </c>
      <c r="J185">
        <f t="shared" si="61"/>
        <v>1.8952480275656727</v>
      </c>
      <c r="K185">
        <f t="shared" si="62"/>
        <v>33.1423544056426</v>
      </c>
      <c r="L185">
        <f t="shared" si="63"/>
        <v>433.46699999999998</v>
      </c>
      <c r="M185">
        <f t="shared" si="64"/>
        <v>95.05719927717179</v>
      </c>
      <c r="N185">
        <f t="shared" si="65"/>
        <v>9.4252791036296646</v>
      </c>
      <c r="O185">
        <f t="shared" si="66"/>
        <v>42.979884619788002</v>
      </c>
      <c r="P185">
        <f t="shared" si="67"/>
        <v>0.16491159430694868</v>
      </c>
      <c r="Q185">
        <f t="shared" si="68"/>
        <v>2.1281191025697064</v>
      </c>
      <c r="R185">
        <f t="shared" si="69"/>
        <v>0.15812675213476804</v>
      </c>
      <c r="S185">
        <f t="shared" si="70"/>
        <v>9.9415550486075255E-2</v>
      </c>
      <c r="T185">
        <f t="shared" si="71"/>
        <v>276.11510576399996</v>
      </c>
      <c r="U185">
        <f t="shared" si="72"/>
        <v>27.53581155783581</v>
      </c>
      <c r="V185">
        <f t="shared" si="73"/>
        <v>27.53581155783581</v>
      </c>
      <c r="W185">
        <f t="shared" si="74"/>
        <v>3.6933532706498711</v>
      </c>
      <c r="X185">
        <f t="shared" si="75"/>
        <v>75.295903575280093</v>
      </c>
      <c r="Y185">
        <f t="shared" si="76"/>
        <v>2.5423025089600007</v>
      </c>
      <c r="Z185">
        <f t="shared" si="77"/>
        <v>3.3764154333020677</v>
      </c>
      <c r="AA185">
        <f t="shared" si="78"/>
        <v>1.1510507616898704</v>
      </c>
      <c r="AB185">
        <f t="shared" si="79"/>
        <v>-83.580438015646166</v>
      </c>
      <c r="AC185">
        <f t="shared" si="80"/>
        <v>-174.9663405569261</v>
      </c>
      <c r="AD185">
        <f t="shared" si="81"/>
        <v>-17.703187440676828</v>
      </c>
      <c r="AE185">
        <f t="shared" si="82"/>
        <v>-0.13486024924915796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52442.931914034343</v>
      </c>
      <c r="AK185">
        <f t="shared" si="86"/>
        <v>1800</v>
      </c>
      <c r="AL185">
        <f t="shared" si="87"/>
        <v>1499.1140484</v>
      </c>
      <c r="AM185">
        <f t="shared" si="88"/>
        <v>0.83284113800000004</v>
      </c>
      <c r="AN185">
        <f t="shared" si="89"/>
        <v>0.15339728097999999</v>
      </c>
      <c r="AO185">
        <v>32.4</v>
      </c>
      <c r="AP185">
        <v>0.5</v>
      </c>
      <c r="AQ185" t="s">
        <v>331</v>
      </c>
      <c r="AR185">
        <v>2</v>
      </c>
      <c r="AS185">
        <v>1690219855.0999999</v>
      </c>
      <c r="AT185">
        <v>433.46699999999998</v>
      </c>
      <c r="AU185">
        <v>800.024</v>
      </c>
      <c r="AV185">
        <v>25.64</v>
      </c>
      <c r="AW185">
        <v>5.7098899999999997</v>
      </c>
      <c r="AX185">
        <v>433.48099999999999</v>
      </c>
      <c r="AY185">
        <v>25.4499</v>
      </c>
      <c r="AZ185">
        <v>300.20699999999999</v>
      </c>
      <c r="BA185">
        <v>99.053700000000006</v>
      </c>
      <c r="BB185">
        <v>0.100064</v>
      </c>
      <c r="BC185">
        <v>26.0108</v>
      </c>
      <c r="BD185">
        <v>27.028099999999998</v>
      </c>
      <c r="BE185">
        <v>27.19</v>
      </c>
      <c r="BF185">
        <v>0</v>
      </c>
      <c r="BG185">
        <v>0</v>
      </c>
      <c r="BH185">
        <v>9978.75</v>
      </c>
      <c r="BI185">
        <v>1067.1300000000001</v>
      </c>
      <c r="BJ185">
        <v>1.7100200000000001</v>
      </c>
      <c r="BK185">
        <v>-366.55700000000002</v>
      </c>
      <c r="BL185">
        <v>444.87299999999999</v>
      </c>
      <c r="BM185">
        <v>804.61800000000005</v>
      </c>
      <c r="BN185">
        <v>19.930099999999999</v>
      </c>
      <c r="BO185">
        <v>800.024</v>
      </c>
      <c r="BP185">
        <v>5.7098899999999997</v>
      </c>
      <c r="BQ185">
        <v>2.5397400000000001</v>
      </c>
      <c r="BR185">
        <v>0.56558600000000003</v>
      </c>
      <c r="BS185">
        <v>21.2834</v>
      </c>
      <c r="BT185">
        <v>-1.11775</v>
      </c>
      <c r="BU185">
        <v>1800</v>
      </c>
      <c r="BV185">
        <v>0.91000999999999999</v>
      </c>
      <c r="BW185">
        <v>3.3997399999999997E-2</v>
      </c>
      <c r="BX185">
        <v>2.1998400000000001E-2</v>
      </c>
      <c r="BY185">
        <v>3.39946E-2</v>
      </c>
      <c r="BZ185">
        <v>26</v>
      </c>
      <c r="CA185">
        <v>33528.5</v>
      </c>
      <c r="CB185">
        <v>1690217592</v>
      </c>
      <c r="CC185" t="s">
        <v>332</v>
      </c>
      <c r="CD185">
        <v>1690217586.5</v>
      </c>
      <c r="CE185">
        <v>1690217592</v>
      </c>
      <c r="CF185">
        <v>9</v>
      </c>
      <c r="CG185">
        <v>0.11600000000000001</v>
      </c>
      <c r="CH185">
        <v>-3.0000000000000001E-3</v>
      </c>
      <c r="CI185">
        <v>-0.27300000000000002</v>
      </c>
      <c r="CJ185">
        <v>-6.9000000000000006E-2</v>
      </c>
      <c r="CK185">
        <v>800</v>
      </c>
      <c r="CL185">
        <v>6</v>
      </c>
      <c r="CM185">
        <v>0.01</v>
      </c>
      <c r="CN185">
        <v>0.01</v>
      </c>
      <c r="CO185">
        <v>-365.39453658536581</v>
      </c>
      <c r="CP185">
        <v>-6.4188710801389393</v>
      </c>
      <c r="CQ185">
        <v>0.63427250808715385</v>
      </c>
      <c r="CR185">
        <v>-1</v>
      </c>
      <c r="CS185">
        <v>19.882551219512191</v>
      </c>
      <c r="CT185">
        <v>0.262858536585373</v>
      </c>
      <c r="CU185">
        <v>2.5948486698214531E-2</v>
      </c>
      <c r="CV185">
        <v>-1</v>
      </c>
      <c r="CW185">
        <v>0</v>
      </c>
      <c r="CX185">
        <v>0</v>
      </c>
      <c r="CY185" t="s">
        <v>333</v>
      </c>
      <c r="CZ185">
        <v>2.36477</v>
      </c>
      <c r="DA185">
        <v>2.7138399999999998</v>
      </c>
      <c r="DB185">
        <v>9.5112600000000005E-2</v>
      </c>
      <c r="DC185">
        <v>0.146092</v>
      </c>
      <c r="DD185">
        <v>0.119325</v>
      </c>
      <c r="DE185">
        <v>3.7887299999999999E-2</v>
      </c>
      <c r="DF185">
        <v>33045.9</v>
      </c>
      <c r="DG185">
        <v>27526.1</v>
      </c>
      <c r="DH185">
        <v>31176</v>
      </c>
      <c r="DI185">
        <v>28088.400000000001</v>
      </c>
      <c r="DJ185">
        <v>37268.1</v>
      </c>
      <c r="DK185">
        <v>38429.5</v>
      </c>
      <c r="DL185">
        <v>44367.6</v>
      </c>
      <c r="DM185">
        <v>42570.400000000001</v>
      </c>
      <c r="DN185">
        <v>1.4855499999999999</v>
      </c>
      <c r="DO185">
        <v>2.0363000000000002</v>
      </c>
      <c r="DP185">
        <v>0.127636</v>
      </c>
      <c r="DQ185">
        <v>0.14621000000000001</v>
      </c>
      <c r="DR185">
        <v>24.9373</v>
      </c>
      <c r="DS185">
        <v>24.794899999999998</v>
      </c>
      <c r="DT185">
        <v>16.8</v>
      </c>
      <c r="DU185">
        <v>29.8</v>
      </c>
      <c r="DV185">
        <v>7.1431399999999998</v>
      </c>
      <c r="DW185">
        <v>61.814100000000003</v>
      </c>
      <c r="DX185">
        <v>36.486400000000003</v>
      </c>
      <c r="DY185">
        <v>1</v>
      </c>
      <c r="DZ185">
        <v>-0.103808</v>
      </c>
      <c r="EA185">
        <v>0.26339299999999999</v>
      </c>
      <c r="EB185">
        <v>20.189499999999999</v>
      </c>
      <c r="EC185">
        <v>5.2409499999999998</v>
      </c>
      <c r="ED185">
        <v>12.039899999999999</v>
      </c>
      <c r="EE185">
        <v>5.0174000000000003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1.8689899999999999</v>
      </c>
      <c r="EL185">
        <v>1.86466</v>
      </c>
      <c r="EM185">
        <v>1.8691899999999999</v>
      </c>
      <c r="EN185">
        <v>1.8672500000000001</v>
      </c>
      <c r="EO185">
        <v>1.8633999999999999</v>
      </c>
      <c r="EP185">
        <v>1.8645700000000001</v>
      </c>
      <c r="EQ185">
        <v>1.87022</v>
      </c>
      <c r="ER185">
        <v>1.8694999999999999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-1.4E-2</v>
      </c>
      <c r="FG185">
        <v>0.19009999999999999</v>
      </c>
      <c r="FH185">
        <v>0.27827353915413472</v>
      </c>
      <c r="FI185">
        <v>-6.1462078757559423E-4</v>
      </c>
      <c r="FJ185">
        <v>-1.8861989874597051E-7</v>
      </c>
      <c r="FK185">
        <v>1.1980462299894961E-10</v>
      </c>
      <c r="FL185">
        <v>0.19010266435860859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37.799999999999997</v>
      </c>
      <c r="FU185">
        <v>37.700000000000003</v>
      </c>
      <c r="FV185">
        <v>1.7773399999999999</v>
      </c>
      <c r="FW185">
        <v>2.5891099999999998</v>
      </c>
      <c r="FX185">
        <v>1.5490699999999999</v>
      </c>
      <c r="FY185">
        <v>2.3290999999999999</v>
      </c>
      <c r="FZ185">
        <v>1.50146</v>
      </c>
      <c r="GA185">
        <v>2.2997999999999998</v>
      </c>
      <c r="GB185">
        <v>33.850900000000003</v>
      </c>
      <c r="GC185">
        <v>23.973700000000001</v>
      </c>
      <c r="GD185">
        <v>19</v>
      </c>
      <c r="GE185">
        <v>286.28899999999999</v>
      </c>
      <c r="GF185">
        <v>581.56899999999996</v>
      </c>
      <c r="GG185">
        <v>23.991900000000001</v>
      </c>
      <c r="GH185">
        <v>26.072199999999999</v>
      </c>
      <c r="GI185">
        <v>29.9999</v>
      </c>
      <c r="GJ185">
        <v>26.218</v>
      </c>
      <c r="GK185">
        <v>26.202999999999999</v>
      </c>
      <c r="GL185">
        <v>35.539900000000003</v>
      </c>
      <c r="GM185">
        <v>-30</v>
      </c>
      <c r="GN185">
        <v>-30</v>
      </c>
      <c r="GO185">
        <v>23.972899999999999</v>
      </c>
      <c r="GP185">
        <v>800</v>
      </c>
      <c r="GQ185">
        <v>12.5298</v>
      </c>
      <c r="GR185">
        <v>99.751499999999993</v>
      </c>
      <c r="GS185">
        <v>99.5886</v>
      </c>
    </row>
    <row r="186" spans="1:201" x14ac:dyDescent="0.25">
      <c r="A186">
        <v>170</v>
      </c>
      <c r="B186">
        <v>1690219865.0999999</v>
      </c>
      <c r="C186">
        <v>1844.599999904633</v>
      </c>
      <c r="D186" t="s">
        <v>669</v>
      </c>
      <c r="E186" t="s">
        <v>670</v>
      </c>
      <c r="F186" t="s">
        <v>330</v>
      </c>
      <c r="H186">
        <v>1690219865.0999999</v>
      </c>
      <c r="I186">
        <f t="shared" si="60"/>
        <v>1.8992552274047804E-3</v>
      </c>
      <c r="J186">
        <f t="shared" si="61"/>
        <v>1.8992552274047805</v>
      </c>
      <c r="K186">
        <f t="shared" si="62"/>
        <v>33.233797149996185</v>
      </c>
      <c r="L186">
        <f t="shared" si="63"/>
        <v>432.38900000000001</v>
      </c>
      <c r="M186">
        <f t="shared" si="64"/>
        <v>95.488549943518407</v>
      </c>
      <c r="N186">
        <f t="shared" si="65"/>
        <v>9.4682002468832689</v>
      </c>
      <c r="O186">
        <f t="shared" si="66"/>
        <v>42.873681074549602</v>
      </c>
      <c r="P186">
        <f t="shared" si="67"/>
        <v>0.16613254667097632</v>
      </c>
      <c r="Q186">
        <f t="shared" si="68"/>
        <v>2.1330870233359871</v>
      </c>
      <c r="R186">
        <f t="shared" si="69"/>
        <v>0.15926444026075282</v>
      </c>
      <c r="S186">
        <f t="shared" si="70"/>
        <v>0.10013368709486853</v>
      </c>
      <c r="T186">
        <f t="shared" si="71"/>
        <v>276.11359052908608</v>
      </c>
      <c r="U186">
        <f t="shared" si="72"/>
        <v>27.529776436849218</v>
      </c>
      <c r="V186">
        <f t="shared" si="73"/>
        <v>27.529776436849218</v>
      </c>
      <c r="W186">
        <f t="shared" si="74"/>
        <v>3.6920495540132507</v>
      </c>
      <c r="X186">
        <f t="shared" si="75"/>
        <v>75.435505474692647</v>
      </c>
      <c r="Y186">
        <f t="shared" si="76"/>
        <v>2.5468050722839997</v>
      </c>
      <c r="Z186">
        <f t="shared" si="77"/>
        <v>3.3761357549839848</v>
      </c>
      <c r="AA186">
        <f t="shared" si="78"/>
        <v>1.1452444817292511</v>
      </c>
      <c r="AB186">
        <f t="shared" si="79"/>
        <v>-83.757155528550811</v>
      </c>
      <c r="AC186">
        <f t="shared" si="80"/>
        <v>-174.8417510117327</v>
      </c>
      <c r="AD186">
        <f t="shared" si="81"/>
        <v>-17.648723058147411</v>
      </c>
      <c r="AE186">
        <f t="shared" si="82"/>
        <v>-0.13403906934485121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52658.039723037335</v>
      </c>
      <c r="AK186">
        <f t="shared" si="86"/>
        <v>1799.99</v>
      </c>
      <c r="AL186">
        <f t="shared" si="87"/>
        <v>1499.10613578631</v>
      </c>
      <c r="AM186">
        <f t="shared" si="88"/>
        <v>0.83284136899999994</v>
      </c>
      <c r="AN186">
        <f t="shared" si="89"/>
        <v>0.15339729139</v>
      </c>
      <c r="AO186">
        <v>32.4</v>
      </c>
      <c r="AP186">
        <v>0.5</v>
      </c>
      <c r="AQ186" t="s">
        <v>331</v>
      </c>
      <c r="AR186">
        <v>2</v>
      </c>
      <c r="AS186">
        <v>1690219865.0999999</v>
      </c>
      <c r="AT186">
        <v>432.38900000000001</v>
      </c>
      <c r="AU186">
        <v>799.99199999999996</v>
      </c>
      <c r="AV186">
        <v>25.684999999999999</v>
      </c>
      <c r="AW186">
        <v>5.71028</v>
      </c>
      <c r="AX186">
        <v>432.40199999999999</v>
      </c>
      <c r="AY186">
        <v>25.494900000000001</v>
      </c>
      <c r="AZ186">
        <v>300.15600000000001</v>
      </c>
      <c r="BA186">
        <v>99.055400000000006</v>
      </c>
      <c r="BB186">
        <v>9.9946400000000005E-2</v>
      </c>
      <c r="BC186">
        <v>26.009399999999999</v>
      </c>
      <c r="BD186">
        <v>26.9862</v>
      </c>
      <c r="BE186">
        <v>27.211400000000001</v>
      </c>
      <c r="BF186">
        <v>0</v>
      </c>
      <c r="BG186">
        <v>0</v>
      </c>
      <c r="BH186">
        <v>10021.200000000001</v>
      </c>
      <c r="BI186">
        <v>1067.2</v>
      </c>
      <c r="BJ186">
        <v>1.7380500000000001</v>
      </c>
      <c r="BK186">
        <v>-367.60300000000001</v>
      </c>
      <c r="BL186">
        <v>443.78800000000001</v>
      </c>
      <c r="BM186">
        <v>804.58600000000001</v>
      </c>
      <c r="BN186">
        <v>19.974699999999999</v>
      </c>
      <c r="BO186">
        <v>799.99199999999996</v>
      </c>
      <c r="BP186">
        <v>5.71028</v>
      </c>
      <c r="BQ186">
        <v>2.5442399999999998</v>
      </c>
      <c r="BR186">
        <v>0.56563399999999997</v>
      </c>
      <c r="BS186">
        <v>21.3123</v>
      </c>
      <c r="BT186">
        <v>-1.1166</v>
      </c>
      <c r="BU186">
        <v>1799.99</v>
      </c>
      <c r="BV186">
        <v>0.91001100000000001</v>
      </c>
      <c r="BW186">
        <v>3.3997100000000002E-2</v>
      </c>
      <c r="BX186">
        <v>2.1998199999999999E-2</v>
      </c>
      <c r="BY186">
        <v>3.3994299999999998E-2</v>
      </c>
      <c r="BZ186">
        <v>26</v>
      </c>
      <c r="CA186">
        <v>33528.300000000003</v>
      </c>
      <c r="CB186">
        <v>1690217592</v>
      </c>
      <c r="CC186" t="s">
        <v>332</v>
      </c>
      <c r="CD186">
        <v>1690217586.5</v>
      </c>
      <c r="CE186">
        <v>1690217592</v>
      </c>
      <c r="CF186">
        <v>9</v>
      </c>
      <c r="CG186">
        <v>0.11600000000000001</v>
      </c>
      <c r="CH186">
        <v>-3.0000000000000001E-3</v>
      </c>
      <c r="CI186">
        <v>-0.27300000000000002</v>
      </c>
      <c r="CJ186">
        <v>-6.9000000000000006E-2</v>
      </c>
      <c r="CK186">
        <v>800</v>
      </c>
      <c r="CL186">
        <v>6</v>
      </c>
      <c r="CM186">
        <v>0.01</v>
      </c>
      <c r="CN186">
        <v>0.01</v>
      </c>
      <c r="CO186">
        <v>-366.36965853658529</v>
      </c>
      <c r="CP186">
        <v>-6.5815609756102917</v>
      </c>
      <c r="CQ186">
        <v>0.64979665148474552</v>
      </c>
      <c r="CR186">
        <v>-1</v>
      </c>
      <c r="CS186">
        <v>19.92281707317073</v>
      </c>
      <c r="CT186">
        <v>0.27312334494774188</v>
      </c>
      <c r="CU186">
        <v>2.693813058173402E-2</v>
      </c>
      <c r="CV186">
        <v>-1</v>
      </c>
      <c r="CW186">
        <v>0</v>
      </c>
      <c r="CX186">
        <v>0</v>
      </c>
      <c r="CY186" t="s">
        <v>333</v>
      </c>
      <c r="CZ186">
        <v>2.3646199999999999</v>
      </c>
      <c r="DA186">
        <v>2.7137600000000002</v>
      </c>
      <c r="DB186">
        <v>9.4936900000000005E-2</v>
      </c>
      <c r="DC186">
        <v>0.146092</v>
      </c>
      <c r="DD186">
        <v>0.119474</v>
      </c>
      <c r="DE186">
        <v>3.7890199999999999E-2</v>
      </c>
      <c r="DF186">
        <v>33052.6</v>
      </c>
      <c r="DG186">
        <v>27526.400000000001</v>
      </c>
      <c r="DH186">
        <v>31176.3</v>
      </c>
      <c r="DI186">
        <v>28088.7</v>
      </c>
      <c r="DJ186">
        <v>37262</v>
      </c>
      <c r="DK186">
        <v>38429.800000000003</v>
      </c>
      <c r="DL186">
        <v>44368</v>
      </c>
      <c r="DM186">
        <v>42570.8</v>
      </c>
      <c r="DN186">
        <v>1.4850699999999999</v>
      </c>
      <c r="DO186">
        <v>2.0364300000000002</v>
      </c>
      <c r="DP186">
        <v>0.124946</v>
      </c>
      <c r="DQ186">
        <v>0.147395</v>
      </c>
      <c r="DR186">
        <v>24.939399999999999</v>
      </c>
      <c r="DS186">
        <v>24.797000000000001</v>
      </c>
      <c r="DT186">
        <v>16.8</v>
      </c>
      <c r="DU186">
        <v>29.8</v>
      </c>
      <c r="DV186">
        <v>7.1418400000000002</v>
      </c>
      <c r="DW186">
        <v>61.684100000000001</v>
      </c>
      <c r="DX186">
        <v>36.318100000000001</v>
      </c>
      <c r="DY186">
        <v>1</v>
      </c>
      <c r="DZ186">
        <v>-0.10334599999999999</v>
      </c>
      <c r="EA186">
        <v>0.29594500000000001</v>
      </c>
      <c r="EB186">
        <v>20.189299999999999</v>
      </c>
      <c r="EC186">
        <v>5.2411000000000003</v>
      </c>
      <c r="ED186">
        <v>12.039899999999999</v>
      </c>
      <c r="EE186">
        <v>5.0174000000000003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1.86896</v>
      </c>
      <c r="EL186">
        <v>1.8646799999999999</v>
      </c>
      <c r="EM186">
        <v>1.8691899999999999</v>
      </c>
      <c r="EN186">
        <v>1.8672599999999999</v>
      </c>
      <c r="EO186">
        <v>1.8633999999999999</v>
      </c>
      <c r="EP186">
        <v>1.86459</v>
      </c>
      <c r="EQ186">
        <v>1.8702000000000001</v>
      </c>
      <c r="ER186">
        <v>1.86947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-1.2999999999999999E-2</v>
      </c>
      <c r="FG186">
        <v>0.19009999999999999</v>
      </c>
      <c r="FH186">
        <v>0.27827353915413472</v>
      </c>
      <c r="FI186">
        <v>-6.1462078757559423E-4</v>
      </c>
      <c r="FJ186">
        <v>-1.8861989874597051E-7</v>
      </c>
      <c r="FK186">
        <v>1.1980462299894961E-10</v>
      </c>
      <c r="FL186">
        <v>0.19010266435860859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38</v>
      </c>
      <c r="FU186">
        <v>37.9</v>
      </c>
      <c r="FV186">
        <v>1.7773399999999999</v>
      </c>
      <c r="FW186">
        <v>2.5854499999999998</v>
      </c>
      <c r="FX186">
        <v>1.5490699999999999</v>
      </c>
      <c r="FY186">
        <v>2.3290999999999999</v>
      </c>
      <c r="FZ186">
        <v>1.50146</v>
      </c>
      <c r="GA186">
        <v>2.32544</v>
      </c>
      <c r="GB186">
        <v>33.828299999999999</v>
      </c>
      <c r="GC186">
        <v>23.973700000000001</v>
      </c>
      <c r="GD186">
        <v>19</v>
      </c>
      <c r="GE186">
        <v>286.08499999999998</v>
      </c>
      <c r="GF186">
        <v>581.67200000000003</v>
      </c>
      <c r="GG186">
        <v>23.9725</v>
      </c>
      <c r="GH186">
        <v>26.072199999999999</v>
      </c>
      <c r="GI186">
        <v>30.0001</v>
      </c>
      <c r="GJ186">
        <v>26.218</v>
      </c>
      <c r="GK186">
        <v>26.202999999999999</v>
      </c>
      <c r="GL186">
        <v>35.538499999999999</v>
      </c>
      <c r="GM186">
        <v>-30</v>
      </c>
      <c r="GN186">
        <v>-30</v>
      </c>
      <c r="GO186">
        <v>23.9803</v>
      </c>
      <c r="GP186">
        <v>800</v>
      </c>
      <c r="GQ186">
        <v>12.5298</v>
      </c>
      <c r="GR186">
        <v>99.752399999999994</v>
      </c>
      <c r="GS186">
        <v>99.589600000000004</v>
      </c>
    </row>
    <row r="187" spans="1:201" x14ac:dyDescent="0.25">
      <c r="A187">
        <v>171</v>
      </c>
      <c r="B187">
        <v>1690219875.0999999</v>
      </c>
      <c r="C187">
        <v>1854.599999904633</v>
      </c>
      <c r="D187" t="s">
        <v>671</v>
      </c>
      <c r="E187" t="s">
        <v>672</v>
      </c>
      <c r="F187" t="s">
        <v>330</v>
      </c>
      <c r="H187">
        <v>1690219875.0999999</v>
      </c>
      <c r="I187">
        <f t="shared" si="60"/>
        <v>1.9029919749351462E-3</v>
      </c>
      <c r="J187">
        <f t="shared" si="61"/>
        <v>1.9029919749351463</v>
      </c>
      <c r="K187">
        <f t="shared" si="62"/>
        <v>33.3446078696333</v>
      </c>
      <c r="L187">
        <f t="shared" si="63"/>
        <v>431.26499999999999</v>
      </c>
      <c r="M187">
        <f t="shared" si="64"/>
        <v>95.094721293849162</v>
      </c>
      <c r="N187">
        <f t="shared" si="65"/>
        <v>9.4299255852120556</v>
      </c>
      <c r="O187">
        <f t="shared" si="66"/>
        <v>42.765747690030004</v>
      </c>
      <c r="P187">
        <f t="shared" si="67"/>
        <v>0.16708057153414074</v>
      </c>
      <c r="Q187">
        <f t="shared" si="68"/>
        <v>2.1299849920163707</v>
      </c>
      <c r="R187">
        <f t="shared" si="69"/>
        <v>0.16012595657735901</v>
      </c>
      <c r="S187">
        <f t="shared" si="70"/>
        <v>0.10067944484168251</v>
      </c>
      <c r="T187">
        <f t="shared" si="71"/>
        <v>276.11490967200001</v>
      </c>
      <c r="U187">
        <f t="shared" si="72"/>
        <v>27.529696110347789</v>
      </c>
      <c r="V187">
        <f t="shared" si="73"/>
        <v>27.529696110347789</v>
      </c>
      <c r="W187">
        <f t="shared" si="74"/>
        <v>3.692032204460522</v>
      </c>
      <c r="X187">
        <f t="shared" si="75"/>
        <v>75.552493740056065</v>
      </c>
      <c r="Y187">
        <f t="shared" si="76"/>
        <v>2.5506340166929999</v>
      </c>
      <c r="Z187">
        <f t="shared" si="77"/>
        <v>3.3759759478868361</v>
      </c>
      <c r="AA187">
        <f t="shared" si="78"/>
        <v>1.1413981877675221</v>
      </c>
      <c r="AB187">
        <f t="shared" si="79"/>
        <v>-83.921946094639949</v>
      </c>
      <c r="AC187">
        <f t="shared" si="80"/>
        <v>-174.67012962257627</v>
      </c>
      <c r="AD187">
        <f t="shared" si="81"/>
        <v>-17.656999447923862</v>
      </c>
      <c r="AE187">
        <f t="shared" si="82"/>
        <v>-0.13416549314007398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52524.148018518244</v>
      </c>
      <c r="AK187">
        <f t="shared" si="86"/>
        <v>1800</v>
      </c>
      <c r="AL187">
        <f t="shared" si="87"/>
        <v>1499.1132132</v>
      </c>
      <c r="AM187">
        <f t="shared" si="88"/>
        <v>0.83284067399999995</v>
      </c>
      <c r="AN187">
        <f t="shared" si="89"/>
        <v>0.15339717204</v>
      </c>
      <c r="AO187">
        <v>32.4</v>
      </c>
      <c r="AP187">
        <v>0.5</v>
      </c>
      <c r="AQ187" t="s">
        <v>331</v>
      </c>
      <c r="AR187">
        <v>2</v>
      </c>
      <c r="AS187">
        <v>1690219875.0999999</v>
      </c>
      <c r="AT187">
        <v>431.26499999999999</v>
      </c>
      <c r="AU187">
        <v>800.029</v>
      </c>
      <c r="AV187">
        <v>25.721499999999999</v>
      </c>
      <c r="AW187">
        <v>5.7098300000000002</v>
      </c>
      <c r="AX187">
        <v>431.27699999999999</v>
      </c>
      <c r="AY187">
        <v>25.531400000000001</v>
      </c>
      <c r="AZ187">
        <v>300.18</v>
      </c>
      <c r="BA187">
        <v>99.063500000000005</v>
      </c>
      <c r="BB187">
        <v>0.10000199999999999</v>
      </c>
      <c r="BC187">
        <v>26.008600000000001</v>
      </c>
      <c r="BD187">
        <v>26.9666</v>
      </c>
      <c r="BE187">
        <v>27.209700000000002</v>
      </c>
      <c r="BF187">
        <v>0</v>
      </c>
      <c r="BG187">
        <v>0</v>
      </c>
      <c r="BH187">
        <v>9993.75</v>
      </c>
      <c r="BI187">
        <v>1067.25</v>
      </c>
      <c r="BJ187">
        <v>1.696</v>
      </c>
      <c r="BK187">
        <v>-368.76400000000001</v>
      </c>
      <c r="BL187">
        <v>442.65</v>
      </c>
      <c r="BM187">
        <v>804.62300000000005</v>
      </c>
      <c r="BN187">
        <v>20.011600000000001</v>
      </c>
      <c r="BO187">
        <v>800.029</v>
      </c>
      <c r="BP187">
        <v>5.7098300000000002</v>
      </c>
      <c r="BQ187">
        <v>2.54806</v>
      </c>
      <c r="BR187">
        <v>0.56563600000000003</v>
      </c>
      <c r="BS187">
        <v>21.3368</v>
      </c>
      <c r="BT187">
        <v>-1.11656</v>
      </c>
      <c r="BU187">
        <v>1800</v>
      </c>
      <c r="BV187">
        <v>0.91000999999999999</v>
      </c>
      <c r="BW187">
        <v>3.3997199999999998E-2</v>
      </c>
      <c r="BX187">
        <v>2.1998199999999999E-2</v>
      </c>
      <c r="BY187">
        <v>3.3994400000000001E-2</v>
      </c>
      <c r="BZ187">
        <v>26</v>
      </c>
      <c r="CA187">
        <v>33528.400000000001</v>
      </c>
      <c r="CB187">
        <v>1690217592</v>
      </c>
      <c r="CC187" t="s">
        <v>332</v>
      </c>
      <c r="CD187">
        <v>1690217586.5</v>
      </c>
      <c r="CE187">
        <v>1690217592</v>
      </c>
      <c r="CF187">
        <v>9</v>
      </c>
      <c r="CG187">
        <v>0.11600000000000001</v>
      </c>
      <c r="CH187">
        <v>-3.0000000000000001E-3</v>
      </c>
      <c r="CI187">
        <v>-0.27300000000000002</v>
      </c>
      <c r="CJ187">
        <v>-6.9000000000000006E-2</v>
      </c>
      <c r="CK187">
        <v>800</v>
      </c>
      <c r="CL187">
        <v>6</v>
      </c>
      <c r="CM187">
        <v>0.01</v>
      </c>
      <c r="CN187">
        <v>0.01</v>
      </c>
      <c r="CO187">
        <v>-367.51270000000011</v>
      </c>
      <c r="CP187">
        <v>-6.1947242026251237</v>
      </c>
      <c r="CQ187">
        <v>0.59649988264876952</v>
      </c>
      <c r="CR187">
        <v>-1</v>
      </c>
      <c r="CS187">
        <v>19.969380000000001</v>
      </c>
      <c r="CT187">
        <v>0.2460180112570079</v>
      </c>
      <c r="CU187">
        <v>2.3711191450452449E-2</v>
      </c>
      <c r="CV187">
        <v>-1</v>
      </c>
      <c r="CW187">
        <v>0</v>
      </c>
      <c r="CX187">
        <v>0</v>
      </c>
      <c r="CY187" t="s">
        <v>333</v>
      </c>
      <c r="CZ187">
        <v>2.3647</v>
      </c>
      <c r="DA187">
        <v>2.7137899999999999</v>
      </c>
      <c r="DB187">
        <v>9.4757400000000006E-2</v>
      </c>
      <c r="DC187">
        <v>0.14610600000000001</v>
      </c>
      <c r="DD187">
        <v>0.119601</v>
      </c>
      <c r="DE187">
        <v>3.7890600000000003E-2</v>
      </c>
      <c r="DF187">
        <v>33059.199999999997</v>
      </c>
      <c r="DG187">
        <v>27525.8</v>
      </c>
      <c r="DH187">
        <v>31176.3</v>
      </c>
      <c r="DI187">
        <v>28088.5</v>
      </c>
      <c r="DJ187">
        <v>37256.5</v>
      </c>
      <c r="DK187">
        <v>38429.699999999997</v>
      </c>
      <c r="DL187">
        <v>44368</v>
      </c>
      <c r="DM187">
        <v>42570.7</v>
      </c>
      <c r="DN187">
        <v>1.4854000000000001</v>
      </c>
      <c r="DO187">
        <v>2.0365500000000001</v>
      </c>
      <c r="DP187">
        <v>0.12361999999999999</v>
      </c>
      <c r="DQ187">
        <v>0.14716399999999999</v>
      </c>
      <c r="DR187">
        <v>24.941500000000001</v>
      </c>
      <c r="DS187">
        <v>24.799099999999999</v>
      </c>
      <c r="DT187">
        <v>16.7</v>
      </c>
      <c r="DU187">
        <v>29.8</v>
      </c>
      <c r="DV187">
        <v>7.1007800000000003</v>
      </c>
      <c r="DW187">
        <v>61.674100000000003</v>
      </c>
      <c r="DX187">
        <v>36.213900000000002</v>
      </c>
      <c r="DY187">
        <v>1</v>
      </c>
      <c r="DZ187">
        <v>-0.10378800000000001</v>
      </c>
      <c r="EA187">
        <v>0.15568100000000001</v>
      </c>
      <c r="EB187">
        <v>20.189399999999999</v>
      </c>
      <c r="EC187">
        <v>5.2411000000000003</v>
      </c>
      <c r="ED187">
        <v>12.039899999999999</v>
      </c>
      <c r="EE187">
        <v>5.0173500000000004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1.86893</v>
      </c>
      <c r="EL187">
        <v>1.8647100000000001</v>
      </c>
      <c r="EM187">
        <v>1.8691899999999999</v>
      </c>
      <c r="EN187">
        <v>1.8672299999999999</v>
      </c>
      <c r="EO187">
        <v>1.8633999999999999</v>
      </c>
      <c r="EP187">
        <v>1.8646</v>
      </c>
      <c r="EQ187">
        <v>1.8702099999999999</v>
      </c>
      <c r="ER187">
        <v>1.8694900000000001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-1.2E-2</v>
      </c>
      <c r="FG187">
        <v>0.19009999999999999</v>
      </c>
      <c r="FH187">
        <v>0.27827353915413472</v>
      </c>
      <c r="FI187">
        <v>-6.1462078757559423E-4</v>
      </c>
      <c r="FJ187">
        <v>-1.8861989874597051E-7</v>
      </c>
      <c r="FK187">
        <v>1.1980462299894961E-10</v>
      </c>
      <c r="FL187">
        <v>0.19010266435860859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38.1</v>
      </c>
      <c r="FU187">
        <v>38.1</v>
      </c>
      <c r="FV187">
        <v>1.7773399999999999</v>
      </c>
      <c r="FW187">
        <v>2.5891099999999998</v>
      </c>
      <c r="FX187">
        <v>1.5490699999999999</v>
      </c>
      <c r="FY187">
        <v>2.3290999999999999</v>
      </c>
      <c r="FZ187">
        <v>1.50146</v>
      </c>
      <c r="GA187">
        <v>2.36694</v>
      </c>
      <c r="GB187">
        <v>33.828299999999999</v>
      </c>
      <c r="GC187">
        <v>23.982399999999998</v>
      </c>
      <c r="GD187">
        <v>19</v>
      </c>
      <c r="GE187">
        <v>286.22399999999999</v>
      </c>
      <c r="GF187">
        <v>581.75099999999998</v>
      </c>
      <c r="GG187">
        <v>23.996700000000001</v>
      </c>
      <c r="GH187">
        <v>26.0717</v>
      </c>
      <c r="GI187">
        <v>29.9998</v>
      </c>
      <c r="GJ187">
        <v>26.218</v>
      </c>
      <c r="GK187">
        <v>26.200800000000001</v>
      </c>
      <c r="GL187">
        <v>35.540100000000002</v>
      </c>
      <c r="GM187">
        <v>-30</v>
      </c>
      <c r="GN187">
        <v>-30</v>
      </c>
      <c r="GO187">
        <v>24.034700000000001</v>
      </c>
      <c r="GP187">
        <v>800</v>
      </c>
      <c r="GQ187">
        <v>12.5298</v>
      </c>
      <c r="GR187">
        <v>99.752499999999998</v>
      </c>
      <c r="GS187">
        <v>99.589200000000005</v>
      </c>
    </row>
    <row r="188" spans="1:201" x14ac:dyDescent="0.25">
      <c r="A188">
        <v>172</v>
      </c>
      <c r="B188">
        <v>1690219885.0999999</v>
      </c>
      <c r="C188">
        <v>1864.599999904633</v>
      </c>
      <c r="D188" t="s">
        <v>673</v>
      </c>
      <c r="E188" t="s">
        <v>674</v>
      </c>
      <c r="F188" t="s">
        <v>330</v>
      </c>
      <c r="H188">
        <v>1690219885.0999999</v>
      </c>
      <c r="I188">
        <f t="shared" si="60"/>
        <v>1.9082291626891438E-3</v>
      </c>
      <c r="J188">
        <f t="shared" si="61"/>
        <v>1.9082291626891439</v>
      </c>
      <c r="K188">
        <f t="shared" si="62"/>
        <v>33.420874488864435</v>
      </c>
      <c r="L188">
        <f t="shared" si="63"/>
        <v>430.33</v>
      </c>
      <c r="M188">
        <f t="shared" si="64"/>
        <v>95.736367924930676</v>
      </c>
      <c r="N188">
        <f t="shared" si="65"/>
        <v>9.4928317652924488</v>
      </c>
      <c r="O188">
        <f t="shared" si="66"/>
        <v>42.669785600822991</v>
      </c>
      <c r="P188">
        <f t="shared" si="67"/>
        <v>0.16829948973291489</v>
      </c>
      <c r="Q188">
        <f t="shared" si="68"/>
        <v>2.1285840341113524</v>
      </c>
      <c r="R188">
        <f t="shared" si="69"/>
        <v>0.1612409010892869</v>
      </c>
      <c r="S188">
        <f t="shared" si="70"/>
        <v>0.10138507977834342</v>
      </c>
      <c r="T188">
        <f t="shared" si="71"/>
        <v>276.11489942999998</v>
      </c>
      <c r="U188">
        <f t="shared" si="72"/>
        <v>27.530973760395561</v>
      </c>
      <c r="V188">
        <f t="shared" si="73"/>
        <v>27.530973760395561</v>
      </c>
      <c r="W188">
        <f t="shared" si="74"/>
        <v>3.6923081698514011</v>
      </c>
      <c r="X188">
        <f t="shared" si="75"/>
        <v>75.69579315602266</v>
      </c>
      <c r="Y188">
        <f t="shared" si="76"/>
        <v>2.5558044424803597</v>
      </c>
      <c r="Z188">
        <f t="shared" si="77"/>
        <v>3.3764154333020677</v>
      </c>
      <c r="AA188">
        <f t="shared" si="78"/>
        <v>1.1365037273710414</v>
      </c>
      <c r="AB188">
        <f t="shared" si="79"/>
        <v>-84.152906074591243</v>
      </c>
      <c r="AC188">
        <f t="shared" si="80"/>
        <v>-174.4493982060626</v>
      </c>
      <c r="AD188">
        <f t="shared" si="81"/>
        <v>-17.646599676662841</v>
      </c>
      <c r="AE188">
        <f t="shared" si="82"/>
        <v>-0.13400452731670498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52463.06158536829</v>
      </c>
      <c r="AK188">
        <f t="shared" si="86"/>
        <v>1800</v>
      </c>
      <c r="AL188">
        <f t="shared" si="87"/>
        <v>1499.1135029999998</v>
      </c>
      <c r="AM188">
        <f t="shared" si="88"/>
        <v>0.83284083499999995</v>
      </c>
      <c r="AN188">
        <f t="shared" si="89"/>
        <v>0.15339716635</v>
      </c>
      <c r="AO188">
        <v>32.4</v>
      </c>
      <c r="AP188">
        <v>0.5</v>
      </c>
      <c r="AQ188" t="s">
        <v>331</v>
      </c>
      <c r="AR188">
        <v>2</v>
      </c>
      <c r="AS188">
        <v>1690219885.0999999</v>
      </c>
      <c r="AT188">
        <v>430.33</v>
      </c>
      <c r="AU188">
        <v>799.92600000000004</v>
      </c>
      <c r="AV188">
        <v>25.775600000000001</v>
      </c>
      <c r="AW188">
        <v>5.7097699999999998</v>
      </c>
      <c r="AX188">
        <v>430.34100000000001</v>
      </c>
      <c r="AY188">
        <v>25.5855</v>
      </c>
      <c r="AZ188">
        <v>300.17700000000002</v>
      </c>
      <c r="BA188">
        <v>99.055999999999997</v>
      </c>
      <c r="BB188">
        <v>9.9963099999999999E-2</v>
      </c>
      <c r="BC188">
        <v>26.0108</v>
      </c>
      <c r="BD188">
        <v>27.016300000000001</v>
      </c>
      <c r="BE188">
        <v>27.185099999999998</v>
      </c>
      <c r="BF188">
        <v>0</v>
      </c>
      <c r="BG188">
        <v>0</v>
      </c>
      <c r="BH188">
        <v>9982.5</v>
      </c>
      <c r="BI188">
        <v>1067.3</v>
      </c>
      <c r="BJ188">
        <v>1.7100200000000001</v>
      </c>
      <c r="BK188">
        <v>-369.596</v>
      </c>
      <c r="BL188">
        <v>441.71499999999997</v>
      </c>
      <c r="BM188">
        <v>804.51900000000001</v>
      </c>
      <c r="BN188">
        <v>20.065799999999999</v>
      </c>
      <c r="BO188">
        <v>799.92600000000004</v>
      </c>
      <c r="BP188">
        <v>5.7097699999999998</v>
      </c>
      <c r="BQ188">
        <v>2.55322</v>
      </c>
      <c r="BR188">
        <v>0.56558600000000003</v>
      </c>
      <c r="BS188">
        <v>21.369800000000001</v>
      </c>
      <c r="BT188">
        <v>-1.11774</v>
      </c>
      <c r="BU188">
        <v>1800</v>
      </c>
      <c r="BV188">
        <v>0.91001100000000001</v>
      </c>
      <c r="BW188">
        <v>3.3996800000000001E-2</v>
      </c>
      <c r="BX188">
        <v>2.1998E-2</v>
      </c>
      <c r="BY188">
        <v>3.3994099999999999E-2</v>
      </c>
      <c r="BZ188">
        <v>26</v>
      </c>
      <c r="CA188">
        <v>33528.400000000001</v>
      </c>
      <c r="CB188">
        <v>1690217592</v>
      </c>
      <c r="CC188" t="s">
        <v>332</v>
      </c>
      <c r="CD188">
        <v>1690217586.5</v>
      </c>
      <c r="CE188">
        <v>1690217592</v>
      </c>
      <c r="CF188">
        <v>9</v>
      </c>
      <c r="CG188">
        <v>0.11600000000000001</v>
      </c>
      <c r="CH188">
        <v>-3.0000000000000001E-3</v>
      </c>
      <c r="CI188">
        <v>-0.27300000000000002</v>
      </c>
      <c r="CJ188">
        <v>-6.9000000000000006E-2</v>
      </c>
      <c r="CK188">
        <v>800</v>
      </c>
      <c r="CL188">
        <v>6</v>
      </c>
      <c r="CM188">
        <v>0.01</v>
      </c>
      <c r="CN188">
        <v>0.01</v>
      </c>
      <c r="CO188">
        <v>-368.61148780487798</v>
      </c>
      <c r="CP188">
        <v>-6.4600975609765596</v>
      </c>
      <c r="CQ188">
        <v>0.64031909430705458</v>
      </c>
      <c r="CR188">
        <v>-1</v>
      </c>
      <c r="CS188">
        <v>20.013602439024389</v>
      </c>
      <c r="CT188">
        <v>0.27407038327528288</v>
      </c>
      <c r="CU188">
        <v>2.7175558313692671E-2</v>
      </c>
      <c r="CV188">
        <v>-1</v>
      </c>
      <c r="CW188">
        <v>0</v>
      </c>
      <c r="CX188">
        <v>0</v>
      </c>
      <c r="CY188" t="s">
        <v>333</v>
      </c>
      <c r="CZ188">
        <v>2.36469</v>
      </c>
      <c r="DA188">
        <v>2.71374</v>
      </c>
      <c r="DB188">
        <v>9.4598699999999994E-2</v>
      </c>
      <c r="DC188">
        <v>0.14608699999999999</v>
      </c>
      <c r="DD188">
        <v>0.119772</v>
      </c>
      <c r="DE188">
        <v>3.7888400000000003E-2</v>
      </c>
      <c r="DF188">
        <v>33064.9</v>
      </c>
      <c r="DG188">
        <v>27526.6</v>
      </c>
      <c r="DH188">
        <v>31176.2</v>
      </c>
      <c r="DI188">
        <v>28088.7</v>
      </c>
      <c r="DJ188">
        <v>37249.1</v>
      </c>
      <c r="DK188">
        <v>38429.9</v>
      </c>
      <c r="DL188">
        <v>44367.9</v>
      </c>
      <c r="DM188">
        <v>42570.9</v>
      </c>
      <c r="DN188">
        <v>1.48563</v>
      </c>
      <c r="DO188">
        <v>2.0367500000000001</v>
      </c>
      <c r="DP188">
        <v>0.12665999999999999</v>
      </c>
      <c r="DQ188">
        <v>0.145786</v>
      </c>
      <c r="DR188">
        <v>24.941500000000001</v>
      </c>
      <c r="DS188">
        <v>24.797000000000001</v>
      </c>
      <c r="DT188">
        <v>16.8</v>
      </c>
      <c r="DU188">
        <v>29.8</v>
      </c>
      <c r="DV188">
        <v>7.1429</v>
      </c>
      <c r="DW188">
        <v>61.754100000000001</v>
      </c>
      <c r="DX188">
        <v>36.113799999999998</v>
      </c>
      <c r="DY188">
        <v>1</v>
      </c>
      <c r="DZ188">
        <v>-0.104342</v>
      </c>
      <c r="EA188">
        <v>0.110417</v>
      </c>
      <c r="EB188">
        <v>20.189900000000002</v>
      </c>
      <c r="EC188">
        <v>5.2411000000000003</v>
      </c>
      <c r="ED188">
        <v>12.039899999999999</v>
      </c>
      <c r="EE188">
        <v>5.0172499999999998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1.8689199999999999</v>
      </c>
      <c r="EL188">
        <v>1.86467</v>
      </c>
      <c r="EM188">
        <v>1.8692</v>
      </c>
      <c r="EN188">
        <v>1.8672500000000001</v>
      </c>
      <c r="EO188">
        <v>1.86341</v>
      </c>
      <c r="EP188">
        <v>1.8646</v>
      </c>
      <c r="EQ188">
        <v>1.8702099999999999</v>
      </c>
      <c r="ER188">
        <v>1.8694900000000001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-1.0999999999999999E-2</v>
      </c>
      <c r="FG188">
        <v>0.19009999999999999</v>
      </c>
      <c r="FH188">
        <v>0.27827353915413472</v>
      </c>
      <c r="FI188">
        <v>-6.1462078757559423E-4</v>
      </c>
      <c r="FJ188">
        <v>-1.8861989874597051E-7</v>
      </c>
      <c r="FK188">
        <v>1.1980462299894961E-10</v>
      </c>
      <c r="FL188">
        <v>0.19010266435860859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38.299999999999997</v>
      </c>
      <c r="FU188">
        <v>38.200000000000003</v>
      </c>
      <c r="FV188">
        <v>1.7773399999999999</v>
      </c>
      <c r="FW188">
        <v>2.5842299999999998</v>
      </c>
      <c r="FX188">
        <v>1.5490699999999999</v>
      </c>
      <c r="FY188">
        <v>2.3290999999999999</v>
      </c>
      <c r="FZ188">
        <v>1.50146</v>
      </c>
      <c r="GA188">
        <v>2.3754900000000001</v>
      </c>
      <c r="GB188">
        <v>33.828299999999999</v>
      </c>
      <c r="GC188">
        <v>23.982399999999998</v>
      </c>
      <c r="GD188">
        <v>19</v>
      </c>
      <c r="GE188">
        <v>286.31400000000002</v>
      </c>
      <c r="GF188">
        <v>581.91600000000005</v>
      </c>
      <c r="GG188">
        <v>24.054500000000001</v>
      </c>
      <c r="GH188">
        <v>26.07</v>
      </c>
      <c r="GI188">
        <v>29.9999</v>
      </c>
      <c r="GJ188">
        <v>26.2164</v>
      </c>
      <c r="GK188">
        <v>26.200800000000001</v>
      </c>
      <c r="GL188">
        <v>35.542200000000001</v>
      </c>
      <c r="GM188">
        <v>-30</v>
      </c>
      <c r="GN188">
        <v>-30</v>
      </c>
      <c r="GO188">
        <v>24.0594</v>
      </c>
      <c r="GP188">
        <v>800</v>
      </c>
      <c r="GQ188">
        <v>12.5298</v>
      </c>
      <c r="GR188">
        <v>99.752200000000002</v>
      </c>
      <c r="GS188">
        <v>99.5899</v>
      </c>
    </row>
    <row r="189" spans="1:201" x14ac:dyDescent="0.25">
      <c r="A189">
        <v>173</v>
      </c>
      <c r="B189">
        <v>1690219895.0999999</v>
      </c>
      <c r="C189">
        <v>1874.599999904633</v>
      </c>
      <c r="D189" t="s">
        <v>675</v>
      </c>
      <c r="E189" t="s">
        <v>676</v>
      </c>
      <c r="F189" t="s">
        <v>330</v>
      </c>
      <c r="H189">
        <v>1690219895.0999999</v>
      </c>
      <c r="I189">
        <f t="shared" si="60"/>
        <v>1.9137975185224611E-3</v>
      </c>
      <c r="J189">
        <f t="shared" si="61"/>
        <v>1.9137975185224612</v>
      </c>
      <c r="K189">
        <f t="shared" si="62"/>
        <v>33.5384625188535</v>
      </c>
      <c r="L189">
        <f t="shared" si="63"/>
        <v>429.27</v>
      </c>
      <c r="M189">
        <f t="shared" si="64"/>
        <v>95.881337695852352</v>
      </c>
      <c r="N189">
        <f t="shared" si="65"/>
        <v>9.5068780752601683</v>
      </c>
      <c r="O189">
        <f t="shared" si="66"/>
        <v>42.563210416529998</v>
      </c>
      <c r="P189">
        <f t="shared" si="67"/>
        <v>0.16952939393492483</v>
      </c>
      <c r="Q189">
        <f t="shared" si="68"/>
        <v>2.132552568867232</v>
      </c>
      <c r="R189">
        <f t="shared" si="69"/>
        <v>0.16238234167296842</v>
      </c>
      <c r="S189">
        <f t="shared" si="70"/>
        <v>0.1021059892890531</v>
      </c>
      <c r="T189">
        <f t="shared" si="71"/>
        <v>276.11487108</v>
      </c>
      <c r="U189">
        <f t="shared" si="72"/>
        <v>27.532951870368166</v>
      </c>
      <c r="V189">
        <f t="shared" si="73"/>
        <v>27.532951870368166</v>
      </c>
      <c r="W189">
        <f t="shared" si="74"/>
        <v>3.6927354662471412</v>
      </c>
      <c r="X189">
        <f t="shared" si="75"/>
        <v>75.820535997018339</v>
      </c>
      <c r="Y189">
        <f t="shared" si="76"/>
        <v>2.5610010145770996</v>
      </c>
      <c r="Z189">
        <f t="shared" si="77"/>
        <v>3.3777142048663586</v>
      </c>
      <c r="AA189">
        <f t="shared" si="78"/>
        <v>1.1317344516700416</v>
      </c>
      <c r="AB189">
        <f t="shared" si="79"/>
        <v>-84.39847056684053</v>
      </c>
      <c r="AC189">
        <f t="shared" si="80"/>
        <v>-174.25475940026095</v>
      </c>
      <c r="AD189">
        <f t="shared" si="81"/>
        <v>-17.594854049341301</v>
      </c>
      <c r="AE189">
        <f t="shared" si="82"/>
        <v>-0.13321293644276011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52633.446731328913</v>
      </c>
      <c r="AK189">
        <f t="shared" si="86"/>
        <v>1800</v>
      </c>
      <c r="AL189">
        <f t="shared" si="87"/>
        <v>1499.113368</v>
      </c>
      <c r="AM189">
        <f t="shared" si="88"/>
        <v>0.83284075999999996</v>
      </c>
      <c r="AN189">
        <f t="shared" si="89"/>
        <v>0.1533971506</v>
      </c>
      <c r="AO189">
        <v>32.4</v>
      </c>
      <c r="AP189">
        <v>0.5</v>
      </c>
      <c r="AQ189" t="s">
        <v>331</v>
      </c>
      <c r="AR189">
        <v>2</v>
      </c>
      <c r="AS189">
        <v>1690219895.0999999</v>
      </c>
      <c r="AT189">
        <v>429.27</v>
      </c>
      <c r="AU189">
        <v>800.04899999999998</v>
      </c>
      <c r="AV189">
        <v>25.828900000000001</v>
      </c>
      <c r="AW189">
        <v>5.7105100000000002</v>
      </c>
      <c r="AX189">
        <v>429.28100000000001</v>
      </c>
      <c r="AY189">
        <v>25.6388</v>
      </c>
      <c r="AZ189">
        <v>300.25</v>
      </c>
      <c r="BA189">
        <v>99.052499999999995</v>
      </c>
      <c r="BB189">
        <v>0.100039</v>
      </c>
      <c r="BC189">
        <v>26.017299999999999</v>
      </c>
      <c r="BD189">
        <v>26.994</v>
      </c>
      <c r="BE189">
        <v>27.214200000000002</v>
      </c>
      <c r="BF189">
        <v>0</v>
      </c>
      <c r="BG189">
        <v>0</v>
      </c>
      <c r="BH189">
        <v>10016.9</v>
      </c>
      <c r="BI189">
        <v>1067.27</v>
      </c>
      <c r="BJ189">
        <v>1.68198</v>
      </c>
      <c r="BK189">
        <v>-370.77800000000002</v>
      </c>
      <c r="BL189">
        <v>440.65199999999999</v>
      </c>
      <c r="BM189">
        <v>804.64300000000003</v>
      </c>
      <c r="BN189">
        <v>20.118400000000001</v>
      </c>
      <c r="BO189">
        <v>800.04899999999998</v>
      </c>
      <c r="BP189">
        <v>5.7105100000000002</v>
      </c>
      <c r="BQ189">
        <v>2.5584199999999999</v>
      </c>
      <c r="BR189">
        <v>0.56564099999999995</v>
      </c>
      <c r="BS189">
        <v>21.402999999999999</v>
      </c>
      <c r="BT189">
        <v>-1.11643</v>
      </c>
      <c r="BU189">
        <v>1800</v>
      </c>
      <c r="BV189">
        <v>0.91001100000000001</v>
      </c>
      <c r="BW189">
        <v>3.3996800000000001E-2</v>
      </c>
      <c r="BX189">
        <v>2.1998E-2</v>
      </c>
      <c r="BY189">
        <v>3.3994000000000003E-2</v>
      </c>
      <c r="BZ189">
        <v>26</v>
      </c>
      <c r="CA189">
        <v>33528.400000000001</v>
      </c>
      <c r="CB189">
        <v>1690217592</v>
      </c>
      <c r="CC189" t="s">
        <v>332</v>
      </c>
      <c r="CD189">
        <v>1690217586.5</v>
      </c>
      <c r="CE189">
        <v>1690217592</v>
      </c>
      <c r="CF189">
        <v>9</v>
      </c>
      <c r="CG189">
        <v>0.11600000000000001</v>
      </c>
      <c r="CH189">
        <v>-3.0000000000000001E-3</v>
      </c>
      <c r="CI189">
        <v>-0.27300000000000002</v>
      </c>
      <c r="CJ189">
        <v>-6.9000000000000006E-2</v>
      </c>
      <c r="CK189">
        <v>800</v>
      </c>
      <c r="CL189">
        <v>6</v>
      </c>
      <c r="CM189">
        <v>0.01</v>
      </c>
      <c r="CN189">
        <v>0.01</v>
      </c>
      <c r="CO189">
        <v>-369.52841463414637</v>
      </c>
      <c r="CP189">
        <v>-5.5971219512195516</v>
      </c>
      <c r="CQ189">
        <v>0.55474155598096653</v>
      </c>
      <c r="CR189">
        <v>-1</v>
      </c>
      <c r="CS189">
        <v>20.0572756097561</v>
      </c>
      <c r="CT189">
        <v>0.31720557491287249</v>
      </c>
      <c r="CU189">
        <v>3.1286409271694647E-2</v>
      </c>
      <c r="CV189">
        <v>-1</v>
      </c>
      <c r="CW189">
        <v>0</v>
      </c>
      <c r="CX189">
        <v>0</v>
      </c>
      <c r="CY189" t="s">
        <v>333</v>
      </c>
      <c r="CZ189">
        <v>2.3649200000000001</v>
      </c>
      <c r="DA189">
        <v>2.7138499999999999</v>
      </c>
      <c r="DB189">
        <v>9.4419299999999998E-2</v>
      </c>
      <c r="DC189">
        <v>0.146096</v>
      </c>
      <c r="DD189">
        <v>0.11994</v>
      </c>
      <c r="DE189">
        <v>3.7890800000000002E-2</v>
      </c>
      <c r="DF189">
        <v>33071.300000000003</v>
      </c>
      <c r="DG189">
        <v>27526.5</v>
      </c>
      <c r="DH189">
        <v>31176.1</v>
      </c>
      <c r="DI189">
        <v>28088.799999999999</v>
      </c>
      <c r="DJ189">
        <v>37241.800000000003</v>
      </c>
      <c r="DK189">
        <v>38430</v>
      </c>
      <c r="DL189">
        <v>44367.8</v>
      </c>
      <c r="DM189">
        <v>42571.1</v>
      </c>
      <c r="DN189">
        <v>1.48553</v>
      </c>
      <c r="DO189">
        <v>2.0364499999999999</v>
      </c>
      <c r="DP189">
        <v>0.12526699999999999</v>
      </c>
      <c r="DQ189">
        <v>0.14743999999999999</v>
      </c>
      <c r="DR189">
        <v>24.942</v>
      </c>
      <c r="DS189">
        <v>24.799099999999999</v>
      </c>
      <c r="DT189">
        <v>16.7</v>
      </c>
      <c r="DU189">
        <v>29.7</v>
      </c>
      <c r="DV189">
        <v>7.0598599999999996</v>
      </c>
      <c r="DW189">
        <v>61.564100000000003</v>
      </c>
      <c r="DX189">
        <v>36.225999999999999</v>
      </c>
      <c r="DY189">
        <v>1</v>
      </c>
      <c r="DZ189">
        <v>-0.103501</v>
      </c>
      <c r="EA189">
        <v>0.34166099999999999</v>
      </c>
      <c r="EB189">
        <v>20.189499999999999</v>
      </c>
      <c r="EC189">
        <v>5.2409499999999998</v>
      </c>
      <c r="ED189">
        <v>12.039899999999999</v>
      </c>
      <c r="EE189">
        <v>5.0175000000000001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1.8689499999999999</v>
      </c>
      <c r="EL189">
        <v>1.86466</v>
      </c>
      <c r="EM189">
        <v>1.8692</v>
      </c>
      <c r="EN189">
        <v>1.86724</v>
      </c>
      <c r="EO189">
        <v>1.8634200000000001</v>
      </c>
      <c r="EP189">
        <v>1.8646</v>
      </c>
      <c r="EQ189">
        <v>1.8702099999999999</v>
      </c>
      <c r="ER189">
        <v>1.86948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-1.0999999999999999E-2</v>
      </c>
      <c r="FG189">
        <v>0.19009999999999999</v>
      </c>
      <c r="FH189">
        <v>0.27827353915413472</v>
      </c>
      <c r="FI189">
        <v>-6.1462078757559423E-4</v>
      </c>
      <c r="FJ189">
        <v>-1.8861989874597051E-7</v>
      </c>
      <c r="FK189">
        <v>1.1980462299894961E-10</v>
      </c>
      <c r="FL189">
        <v>0.19010266435860859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38.5</v>
      </c>
      <c r="FU189">
        <v>38.4</v>
      </c>
      <c r="FV189">
        <v>1.7773399999999999</v>
      </c>
      <c r="FW189">
        <v>2.5805699999999998</v>
      </c>
      <c r="FX189">
        <v>1.5490699999999999</v>
      </c>
      <c r="FY189">
        <v>2.3290999999999999</v>
      </c>
      <c r="FZ189">
        <v>1.50146</v>
      </c>
      <c r="GA189">
        <v>2.3754900000000001</v>
      </c>
      <c r="GB189">
        <v>33.828299999999999</v>
      </c>
      <c r="GC189">
        <v>23.982399999999998</v>
      </c>
      <c r="GD189">
        <v>19</v>
      </c>
      <c r="GE189">
        <v>286.26799999999997</v>
      </c>
      <c r="GF189">
        <v>581.65599999999995</v>
      </c>
      <c r="GG189">
        <v>24.0444</v>
      </c>
      <c r="GH189">
        <v>26.07</v>
      </c>
      <c r="GI189">
        <v>30.000599999999999</v>
      </c>
      <c r="GJ189">
        <v>26.215900000000001</v>
      </c>
      <c r="GK189">
        <v>26.1997</v>
      </c>
      <c r="GL189">
        <v>35.537399999999998</v>
      </c>
      <c r="GM189">
        <v>-30</v>
      </c>
      <c r="GN189">
        <v>-30</v>
      </c>
      <c r="GO189">
        <v>24.021699999999999</v>
      </c>
      <c r="GP189">
        <v>800</v>
      </c>
      <c r="GQ189">
        <v>12.5298</v>
      </c>
      <c r="GR189">
        <v>99.751800000000003</v>
      </c>
      <c r="GS189">
        <v>99.590299999999999</v>
      </c>
    </row>
    <row r="190" spans="1:201" x14ac:dyDescent="0.25">
      <c r="A190">
        <v>174</v>
      </c>
      <c r="B190">
        <v>1690219905.0999999</v>
      </c>
      <c r="C190">
        <v>1884.599999904633</v>
      </c>
      <c r="D190" t="s">
        <v>677</v>
      </c>
      <c r="E190" t="s">
        <v>678</v>
      </c>
      <c r="F190" t="s">
        <v>330</v>
      </c>
      <c r="H190">
        <v>1690219905.0999999</v>
      </c>
      <c r="I190">
        <f t="shared" si="60"/>
        <v>1.9162093012102929E-3</v>
      </c>
      <c r="J190">
        <f t="shared" si="61"/>
        <v>1.916209301210293</v>
      </c>
      <c r="K190">
        <f t="shared" si="62"/>
        <v>33.608200391799841</v>
      </c>
      <c r="L190">
        <f t="shared" si="63"/>
        <v>428.32499999999999</v>
      </c>
      <c r="M190">
        <f t="shared" si="64"/>
        <v>95.21093562057041</v>
      </c>
      <c r="N190">
        <f t="shared" si="65"/>
        <v>9.4405368081284529</v>
      </c>
      <c r="O190">
        <f t="shared" si="66"/>
        <v>42.470099700059997</v>
      </c>
      <c r="P190">
        <f t="shared" si="67"/>
        <v>0.17004108303881693</v>
      </c>
      <c r="Q190">
        <f t="shared" si="68"/>
        <v>2.128998224355811</v>
      </c>
      <c r="R190">
        <f t="shared" si="69"/>
        <v>0.16284034944993936</v>
      </c>
      <c r="S190">
        <f t="shared" si="70"/>
        <v>0.10239676511413959</v>
      </c>
      <c r="T190">
        <f t="shared" si="71"/>
        <v>276.11468348400007</v>
      </c>
      <c r="U190">
        <f t="shared" si="72"/>
        <v>27.538601981779241</v>
      </c>
      <c r="V190">
        <f t="shared" si="73"/>
        <v>27.538601981779241</v>
      </c>
      <c r="W190">
        <f t="shared" si="74"/>
        <v>3.6939561983676992</v>
      </c>
      <c r="X190">
        <f t="shared" si="75"/>
        <v>75.890204973459191</v>
      </c>
      <c r="Y190">
        <f t="shared" si="76"/>
        <v>2.5639912849213595</v>
      </c>
      <c r="Z190">
        <f t="shared" si="77"/>
        <v>3.3785536431454561</v>
      </c>
      <c r="AA190">
        <f t="shared" si="78"/>
        <v>1.1299649134463396</v>
      </c>
      <c r="AB190">
        <f t="shared" si="79"/>
        <v>-84.504830183373912</v>
      </c>
      <c r="AC190">
        <f t="shared" si="80"/>
        <v>-174.13076911680011</v>
      </c>
      <c r="AD190">
        <f t="shared" si="81"/>
        <v>-17.612556321415862</v>
      </c>
      <c r="AE190">
        <f t="shared" si="82"/>
        <v>-0.13347213758981979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52479.033888548227</v>
      </c>
      <c r="AK190">
        <f t="shared" si="86"/>
        <v>1800</v>
      </c>
      <c r="AL190">
        <f t="shared" si="87"/>
        <v>1499.1132383999998</v>
      </c>
      <c r="AM190">
        <f t="shared" si="88"/>
        <v>0.83284068799999988</v>
      </c>
      <c r="AN190">
        <f t="shared" si="89"/>
        <v>0.15339704638000004</v>
      </c>
      <c r="AO190">
        <v>32.4</v>
      </c>
      <c r="AP190">
        <v>0.5</v>
      </c>
      <c r="AQ190" t="s">
        <v>331</v>
      </c>
      <c r="AR190">
        <v>2</v>
      </c>
      <c r="AS190">
        <v>1690219905.0999999</v>
      </c>
      <c r="AT190">
        <v>428.32499999999999</v>
      </c>
      <c r="AU190">
        <v>799.94100000000003</v>
      </c>
      <c r="AV190">
        <v>25.858699999999999</v>
      </c>
      <c r="AW190">
        <v>5.7105399999999999</v>
      </c>
      <c r="AX190">
        <v>428.33600000000001</v>
      </c>
      <c r="AY190">
        <v>25.668600000000001</v>
      </c>
      <c r="AZ190">
        <v>300.17500000000001</v>
      </c>
      <c r="BA190">
        <v>99.054000000000002</v>
      </c>
      <c r="BB190">
        <v>9.9912799999999996E-2</v>
      </c>
      <c r="BC190">
        <v>26.0215</v>
      </c>
      <c r="BD190">
        <v>27.002199999999998</v>
      </c>
      <c r="BE190">
        <v>27.226800000000001</v>
      </c>
      <c r="BF190">
        <v>0</v>
      </c>
      <c r="BG190">
        <v>0</v>
      </c>
      <c r="BH190">
        <v>9986.25</v>
      </c>
      <c r="BI190">
        <v>1067.27</v>
      </c>
      <c r="BJ190">
        <v>1.68198</v>
      </c>
      <c r="BK190">
        <v>-371.61500000000001</v>
      </c>
      <c r="BL190">
        <v>439.69499999999999</v>
      </c>
      <c r="BM190">
        <v>804.53499999999997</v>
      </c>
      <c r="BN190">
        <v>20.148199999999999</v>
      </c>
      <c r="BO190">
        <v>799.94100000000003</v>
      </c>
      <c r="BP190">
        <v>5.7105399999999999</v>
      </c>
      <c r="BQ190">
        <v>2.56141</v>
      </c>
      <c r="BR190">
        <v>0.56565200000000004</v>
      </c>
      <c r="BS190">
        <v>21.4221</v>
      </c>
      <c r="BT190">
        <v>-1.11615</v>
      </c>
      <c r="BU190">
        <v>1800</v>
      </c>
      <c r="BV190">
        <v>0.91001299999999996</v>
      </c>
      <c r="BW190">
        <v>3.3995900000000003E-2</v>
      </c>
      <c r="BX190">
        <v>2.19974E-2</v>
      </c>
      <c r="BY190">
        <v>3.3993200000000001E-2</v>
      </c>
      <c r="BZ190">
        <v>26</v>
      </c>
      <c r="CA190">
        <v>33528.5</v>
      </c>
      <c r="CB190">
        <v>1690217592</v>
      </c>
      <c r="CC190" t="s">
        <v>332</v>
      </c>
      <c r="CD190">
        <v>1690217586.5</v>
      </c>
      <c r="CE190">
        <v>1690217592</v>
      </c>
      <c r="CF190">
        <v>9</v>
      </c>
      <c r="CG190">
        <v>0.11600000000000001</v>
      </c>
      <c r="CH190">
        <v>-3.0000000000000001E-3</v>
      </c>
      <c r="CI190">
        <v>-0.27300000000000002</v>
      </c>
      <c r="CJ190">
        <v>-6.9000000000000006E-2</v>
      </c>
      <c r="CK190">
        <v>800</v>
      </c>
      <c r="CL190">
        <v>6</v>
      </c>
      <c r="CM190">
        <v>0.01</v>
      </c>
      <c r="CN190">
        <v>0.01</v>
      </c>
      <c r="CO190">
        <v>-370.57119999999998</v>
      </c>
      <c r="CP190">
        <v>-5.9825741088164328</v>
      </c>
      <c r="CQ190">
        <v>0.57976802257455051</v>
      </c>
      <c r="CR190">
        <v>-1</v>
      </c>
      <c r="CS190">
        <v>20.110172500000001</v>
      </c>
      <c r="CT190">
        <v>0.26500525328322633</v>
      </c>
      <c r="CU190">
        <v>2.576109457593018E-2</v>
      </c>
      <c r="CV190">
        <v>-1</v>
      </c>
      <c r="CW190">
        <v>0</v>
      </c>
      <c r="CX190">
        <v>0</v>
      </c>
      <c r="CY190" t="s">
        <v>333</v>
      </c>
      <c r="CZ190">
        <v>2.3646699999999998</v>
      </c>
      <c r="DA190">
        <v>2.7136900000000002</v>
      </c>
      <c r="DB190">
        <v>9.4267500000000004E-2</v>
      </c>
      <c r="DC190">
        <v>0.14609</v>
      </c>
      <c r="DD190">
        <v>0.120044</v>
      </c>
      <c r="DE190">
        <v>3.7893099999999999E-2</v>
      </c>
      <c r="DF190">
        <v>33076.699999999997</v>
      </c>
      <c r="DG190">
        <v>27526.400000000001</v>
      </c>
      <c r="DH190">
        <v>31176</v>
      </c>
      <c r="DI190">
        <v>28088.6</v>
      </c>
      <c r="DJ190">
        <v>37237.1</v>
      </c>
      <c r="DK190">
        <v>38429.599999999999</v>
      </c>
      <c r="DL190">
        <v>44367.4</v>
      </c>
      <c r="DM190">
        <v>42570.8</v>
      </c>
      <c r="DN190">
        <v>1.48553</v>
      </c>
      <c r="DO190">
        <v>2.0363199999999999</v>
      </c>
      <c r="DP190">
        <v>0.125669</v>
      </c>
      <c r="DQ190">
        <v>0.14807999999999999</v>
      </c>
      <c r="DR190">
        <v>24.9435</v>
      </c>
      <c r="DS190">
        <v>24.801200000000001</v>
      </c>
      <c r="DT190">
        <v>16.7</v>
      </c>
      <c r="DU190">
        <v>29.8</v>
      </c>
      <c r="DV190">
        <v>7.10046</v>
      </c>
      <c r="DW190">
        <v>61.854100000000003</v>
      </c>
      <c r="DX190">
        <v>36.5304</v>
      </c>
      <c r="DY190">
        <v>1</v>
      </c>
      <c r="DZ190">
        <v>-0.103516</v>
      </c>
      <c r="EA190">
        <v>0.288717</v>
      </c>
      <c r="EB190">
        <v>20.1892</v>
      </c>
      <c r="EC190">
        <v>5.2411000000000003</v>
      </c>
      <c r="ED190">
        <v>12.039899999999999</v>
      </c>
      <c r="EE190">
        <v>5.0169499999999996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1.86894</v>
      </c>
      <c r="EL190">
        <v>1.8646799999999999</v>
      </c>
      <c r="EM190">
        <v>1.8692</v>
      </c>
      <c r="EN190">
        <v>1.8672299999999999</v>
      </c>
      <c r="EO190">
        <v>1.86341</v>
      </c>
      <c r="EP190">
        <v>1.86459</v>
      </c>
      <c r="EQ190">
        <v>1.87019</v>
      </c>
      <c r="ER190">
        <v>1.86947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-1.0999999999999999E-2</v>
      </c>
      <c r="FG190">
        <v>0.19009999999999999</v>
      </c>
      <c r="FH190">
        <v>0.27827353915413472</v>
      </c>
      <c r="FI190">
        <v>-6.1462078757559423E-4</v>
      </c>
      <c r="FJ190">
        <v>-1.8861989874597051E-7</v>
      </c>
      <c r="FK190">
        <v>1.1980462299894961E-10</v>
      </c>
      <c r="FL190">
        <v>0.19010266435860859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38.6</v>
      </c>
      <c r="FU190">
        <v>38.6</v>
      </c>
      <c r="FV190">
        <v>1.7773399999999999</v>
      </c>
      <c r="FW190">
        <v>2.5793499999999998</v>
      </c>
      <c r="FX190">
        <v>1.5490699999999999</v>
      </c>
      <c r="FY190">
        <v>2.3290999999999999</v>
      </c>
      <c r="FZ190">
        <v>1.50146</v>
      </c>
      <c r="GA190">
        <v>2.3974600000000001</v>
      </c>
      <c r="GB190">
        <v>33.850900000000003</v>
      </c>
      <c r="GC190">
        <v>23.991199999999999</v>
      </c>
      <c r="GD190">
        <v>19</v>
      </c>
      <c r="GE190">
        <v>286.26799999999997</v>
      </c>
      <c r="GF190">
        <v>581.54</v>
      </c>
      <c r="GG190">
        <v>24.0151</v>
      </c>
      <c r="GH190">
        <v>26.07</v>
      </c>
      <c r="GI190">
        <v>30</v>
      </c>
      <c r="GJ190">
        <v>26.215900000000001</v>
      </c>
      <c r="GK190">
        <v>26.198599999999999</v>
      </c>
      <c r="GL190">
        <v>35.540599999999998</v>
      </c>
      <c r="GM190">
        <v>-30</v>
      </c>
      <c r="GN190">
        <v>-30</v>
      </c>
      <c r="GO190">
        <v>24.019100000000002</v>
      </c>
      <c r="GP190">
        <v>800</v>
      </c>
      <c r="GQ190">
        <v>12.5298</v>
      </c>
      <c r="GR190">
        <v>99.751199999999997</v>
      </c>
      <c r="GS190">
        <v>99.589500000000001</v>
      </c>
    </row>
    <row r="191" spans="1:201" x14ac:dyDescent="0.25">
      <c r="A191">
        <v>175</v>
      </c>
      <c r="B191">
        <v>1690219915.0999999</v>
      </c>
      <c r="C191">
        <v>1894.599999904633</v>
      </c>
      <c r="D191" t="s">
        <v>679</v>
      </c>
      <c r="E191" t="s">
        <v>680</v>
      </c>
      <c r="F191" t="s">
        <v>330</v>
      </c>
      <c r="H191">
        <v>1690219915.0999999</v>
      </c>
      <c r="I191">
        <f t="shared" si="60"/>
        <v>1.9205395943037637E-3</v>
      </c>
      <c r="J191">
        <f t="shared" si="61"/>
        <v>1.9205395943037638</v>
      </c>
      <c r="K191">
        <f t="shared" si="62"/>
        <v>33.703243888119168</v>
      </c>
      <c r="L191">
        <f t="shared" si="63"/>
        <v>427.45699999999999</v>
      </c>
      <c r="M191">
        <f t="shared" si="64"/>
        <v>96.040243391051234</v>
      </c>
      <c r="N191">
        <f t="shared" si="65"/>
        <v>9.5229329516783761</v>
      </c>
      <c r="O191">
        <f t="shared" si="66"/>
        <v>42.384777536964002</v>
      </c>
      <c r="P191">
        <f t="shared" si="67"/>
        <v>0.17143618976281363</v>
      </c>
      <c r="Q191">
        <f t="shared" si="68"/>
        <v>2.1319255253162162</v>
      </c>
      <c r="R191">
        <f t="shared" si="69"/>
        <v>0.16412913319567637</v>
      </c>
      <c r="S191">
        <f t="shared" si="70"/>
        <v>0.10321126436042205</v>
      </c>
      <c r="T191">
        <f t="shared" si="71"/>
        <v>276.11482924800004</v>
      </c>
      <c r="U191">
        <f t="shared" si="72"/>
        <v>27.52751035943481</v>
      </c>
      <c r="V191">
        <f t="shared" si="73"/>
        <v>27.52751035943481</v>
      </c>
      <c r="W191">
        <f t="shared" si="74"/>
        <v>3.6915601360078596</v>
      </c>
      <c r="X191">
        <f t="shared" si="75"/>
        <v>76.04121695622996</v>
      </c>
      <c r="Y191">
        <f t="shared" si="76"/>
        <v>2.5679231599308001</v>
      </c>
      <c r="Z191">
        <f t="shared" si="77"/>
        <v>3.3770148121234316</v>
      </c>
      <c r="AA191">
        <f t="shared" si="78"/>
        <v>1.1236369760770595</v>
      </c>
      <c r="AB191">
        <f t="shared" si="79"/>
        <v>-84.695796108795975</v>
      </c>
      <c r="AC191">
        <f t="shared" si="80"/>
        <v>-173.9803723113086</v>
      </c>
      <c r="AD191">
        <f t="shared" si="81"/>
        <v>-17.571529018334466</v>
      </c>
      <c r="AE191">
        <f t="shared" si="82"/>
        <v>-0.1328681904389839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52606.992336576521</v>
      </c>
      <c r="AK191">
        <f t="shared" si="86"/>
        <v>1800</v>
      </c>
      <c r="AL191">
        <f t="shared" si="87"/>
        <v>1499.1141978000001</v>
      </c>
      <c r="AM191">
        <f t="shared" si="88"/>
        <v>0.83284122100000002</v>
      </c>
      <c r="AN191">
        <f t="shared" si="89"/>
        <v>0.15339712736000002</v>
      </c>
      <c r="AO191">
        <v>32.4</v>
      </c>
      <c r="AP191">
        <v>0.5</v>
      </c>
      <c r="AQ191" t="s">
        <v>331</v>
      </c>
      <c r="AR191">
        <v>2</v>
      </c>
      <c r="AS191">
        <v>1690219915.0999999</v>
      </c>
      <c r="AT191">
        <v>427.45699999999999</v>
      </c>
      <c r="AU191">
        <v>799.98299999999995</v>
      </c>
      <c r="AV191">
        <v>25.8979</v>
      </c>
      <c r="AW191">
        <v>5.7114099999999999</v>
      </c>
      <c r="AX191">
        <v>427.46699999999998</v>
      </c>
      <c r="AY191">
        <v>25.707799999999999</v>
      </c>
      <c r="AZ191">
        <v>300.27</v>
      </c>
      <c r="BA191">
        <v>99.055599999999998</v>
      </c>
      <c r="BB191">
        <v>0.100052</v>
      </c>
      <c r="BC191">
        <v>26.0138</v>
      </c>
      <c r="BD191">
        <v>27.0015</v>
      </c>
      <c r="BE191">
        <v>27.220099999999999</v>
      </c>
      <c r="BF191">
        <v>0</v>
      </c>
      <c r="BG191">
        <v>0</v>
      </c>
      <c r="BH191">
        <v>10011.200000000001</v>
      </c>
      <c r="BI191">
        <v>1067.25</v>
      </c>
      <c r="BJ191">
        <v>1.68198</v>
      </c>
      <c r="BK191">
        <v>-372.52600000000001</v>
      </c>
      <c r="BL191">
        <v>438.822</v>
      </c>
      <c r="BM191">
        <v>804.57799999999997</v>
      </c>
      <c r="BN191">
        <v>20.186499999999999</v>
      </c>
      <c r="BO191">
        <v>799.98299999999995</v>
      </c>
      <c r="BP191">
        <v>5.7114099999999999</v>
      </c>
      <c r="BQ191">
        <v>2.56534</v>
      </c>
      <c r="BR191">
        <v>0.56574800000000003</v>
      </c>
      <c r="BS191">
        <v>21.447099999999999</v>
      </c>
      <c r="BT191">
        <v>-1.11385</v>
      </c>
      <c r="BU191">
        <v>1800</v>
      </c>
      <c r="BV191">
        <v>0.91001399999999999</v>
      </c>
      <c r="BW191">
        <v>3.39958E-2</v>
      </c>
      <c r="BX191">
        <v>2.1997300000000001E-2</v>
      </c>
      <c r="BY191">
        <v>3.3993000000000002E-2</v>
      </c>
      <c r="BZ191">
        <v>26</v>
      </c>
      <c r="CA191">
        <v>33528.5</v>
      </c>
      <c r="CB191">
        <v>1690217592</v>
      </c>
      <c r="CC191" t="s">
        <v>332</v>
      </c>
      <c r="CD191">
        <v>1690217586.5</v>
      </c>
      <c r="CE191">
        <v>1690217592</v>
      </c>
      <c r="CF191">
        <v>9</v>
      </c>
      <c r="CG191">
        <v>0.11600000000000001</v>
      </c>
      <c r="CH191">
        <v>-3.0000000000000001E-3</v>
      </c>
      <c r="CI191">
        <v>-0.27300000000000002</v>
      </c>
      <c r="CJ191">
        <v>-6.9000000000000006E-2</v>
      </c>
      <c r="CK191">
        <v>800</v>
      </c>
      <c r="CL191">
        <v>6</v>
      </c>
      <c r="CM191">
        <v>0.01</v>
      </c>
      <c r="CN191">
        <v>0.01</v>
      </c>
      <c r="CO191">
        <v>-371.51787804878052</v>
      </c>
      <c r="CP191">
        <v>-5.8392125435533977</v>
      </c>
      <c r="CQ191">
        <v>0.57963349206881931</v>
      </c>
      <c r="CR191">
        <v>-1</v>
      </c>
      <c r="CS191">
        <v>20.145770731707319</v>
      </c>
      <c r="CT191">
        <v>0.19226968641117359</v>
      </c>
      <c r="CU191">
        <v>1.9062698141664319E-2</v>
      </c>
      <c r="CV191">
        <v>-1</v>
      </c>
      <c r="CW191">
        <v>0</v>
      </c>
      <c r="CX191">
        <v>0</v>
      </c>
      <c r="CY191" t="s">
        <v>333</v>
      </c>
      <c r="CZ191">
        <v>2.3649800000000001</v>
      </c>
      <c r="DA191">
        <v>2.7138499999999999</v>
      </c>
      <c r="DB191">
        <v>9.4120800000000004E-2</v>
      </c>
      <c r="DC191">
        <v>0.146091</v>
      </c>
      <c r="DD191">
        <v>0.120167</v>
      </c>
      <c r="DE191">
        <v>3.7896600000000003E-2</v>
      </c>
      <c r="DF191">
        <v>33082.800000000003</v>
      </c>
      <c r="DG191">
        <v>27526.5</v>
      </c>
      <c r="DH191">
        <v>31176.6</v>
      </c>
      <c r="DI191">
        <v>28088.7</v>
      </c>
      <c r="DJ191">
        <v>37232.6</v>
      </c>
      <c r="DK191">
        <v>38429.800000000003</v>
      </c>
      <c r="DL191">
        <v>44368.5</v>
      </c>
      <c r="DM191">
        <v>42571.1</v>
      </c>
      <c r="DN191">
        <v>1.4859800000000001</v>
      </c>
      <c r="DO191">
        <v>2.0364300000000002</v>
      </c>
      <c r="DP191">
        <v>0.125498</v>
      </c>
      <c r="DQ191">
        <v>0.14754400000000001</v>
      </c>
      <c r="DR191">
        <v>24.945699999999999</v>
      </c>
      <c r="DS191">
        <v>24.8033</v>
      </c>
      <c r="DT191">
        <v>16.8</v>
      </c>
      <c r="DU191">
        <v>29.7</v>
      </c>
      <c r="DV191">
        <v>7.1025299999999998</v>
      </c>
      <c r="DW191">
        <v>61.5441</v>
      </c>
      <c r="DX191">
        <v>36.586500000000001</v>
      </c>
      <c r="DY191">
        <v>1</v>
      </c>
      <c r="DZ191">
        <v>-0.103857</v>
      </c>
      <c r="EA191">
        <v>0.24817500000000001</v>
      </c>
      <c r="EB191">
        <v>20.189399999999999</v>
      </c>
      <c r="EC191">
        <v>5.2409499999999998</v>
      </c>
      <c r="ED191">
        <v>12.039899999999999</v>
      </c>
      <c r="EE191">
        <v>5.01675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1.86893</v>
      </c>
      <c r="EL191">
        <v>1.8646400000000001</v>
      </c>
      <c r="EM191">
        <v>1.8691899999999999</v>
      </c>
      <c r="EN191">
        <v>1.8672500000000001</v>
      </c>
      <c r="EO191">
        <v>1.8633999999999999</v>
      </c>
      <c r="EP191">
        <v>1.86456</v>
      </c>
      <c r="EQ191">
        <v>1.8701700000000001</v>
      </c>
      <c r="ER191">
        <v>1.8694900000000001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-0.01</v>
      </c>
      <c r="FG191">
        <v>0.19009999999999999</v>
      </c>
      <c r="FH191">
        <v>0.27827353915413472</v>
      </c>
      <c r="FI191">
        <v>-6.1462078757559423E-4</v>
      </c>
      <c r="FJ191">
        <v>-1.8861989874597051E-7</v>
      </c>
      <c r="FK191">
        <v>1.1980462299894961E-10</v>
      </c>
      <c r="FL191">
        <v>0.19010266435860859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38.799999999999997</v>
      </c>
      <c r="FU191">
        <v>38.700000000000003</v>
      </c>
      <c r="FV191">
        <v>1.7773399999999999</v>
      </c>
      <c r="FW191">
        <v>2.5805699999999998</v>
      </c>
      <c r="FX191">
        <v>1.5490699999999999</v>
      </c>
      <c r="FY191">
        <v>2.3290999999999999</v>
      </c>
      <c r="FZ191">
        <v>1.50146</v>
      </c>
      <c r="GA191">
        <v>2.3999000000000001</v>
      </c>
      <c r="GB191">
        <v>33.850900000000003</v>
      </c>
      <c r="GC191">
        <v>23.982399999999998</v>
      </c>
      <c r="GD191">
        <v>19</v>
      </c>
      <c r="GE191">
        <v>286.45499999999998</v>
      </c>
      <c r="GF191">
        <v>581.62300000000005</v>
      </c>
      <c r="GG191">
        <v>24.014700000000001</v>
      </c>
      <c r="GH191">
        <v>26.07</v>
      </c>
      <c r="GI191">
        <v>29.9999</v>
      </c>
      <c r="GJ191">
        <v>26.214200000000002</v>
      </c>
      <c r="GK191">
        <v>26.198599999999999</v>
      </c>
      <c r="GL191">
        <v>35.541899999999998</v>
      </c>
      <c r="GM191">
        <v>-30</v>
      </c>
      <c r="GN191">
        <v>-30</v>
      </c>
      <c r="GO191">
        <v>24.015599999999999</v>
      </c>
      <c r="GP191">
        <v>800</v>
      </c>
      <c r="GQ191">
        <v>12.5298</v>
      </c>
      <c r="GR191">
        <v>99.753500000000003</v>
      </c>
      <c r="GS191">
        <v>99.590199999999996</v>
      </c>
    </row>
    <row r="192" spans="1:201" x14ac:dyDescent="0.25">
      <c r="A192">
        <v>176</v>
      </c>
      <c r="B192">
        <v>1690219925.0999999</v>
      </c>
      <c r="C192">
        <v>1904.599999904633</v>
      </c>
      <c r="D192" t="s">
        <v>681</v>
      </c>
      <c r="E192" t="s">
        <v>682</v>
      </c>
      <c r="F192" t="s">
        <v>330</v>
      </c>
      <c r="H192">
        <v>1690219925.0999999</v>
      </c>
      <c r="I192">
        <f t="shared" si="60"/>
        <v>1.9230400037940248E-3</v>
      </c>
      <c r="J192">
        <f t="shared" si="61"/>
        <v>1.9230400037940247</v>
      </c>
      <c r="K192">
        <f t="shared" si="62"/>
        <v>33.791159083957503</v>
      </c>
      <c r="L192">
        <f t="shared" si="63"/>
        <v>426.53899999999999</v>
      </c>
      <c r="M192">
        <f t="shared" si="64"/>
        <v>95.063382534439526</v>
      </c>
      <c r="N192">
        <f t="shared" si="65"/>
        <v>9.4257634810415869</v>
      </c>
      <c r="O192">
        <f t="shared" si="66"/>
        <v>42.292369808989996</v>
      </c>
      <c r="P192">
        <f t="shared" si="67"/>
        <v>0.17186154753947411</v>
      </c>
      <c r="Q192">
        <f t="shared" si="68"/>
        <v>2.1300724583361648</v>
      </c>
      <c r="R192">
        <f t="shared" si="69"/>
        <v>0.16451292704403991</v>
      </c>
      <c r="S192">
        <f t="shared" si="70"/>
        <v>0.10345463859453988</v>
      </c>
      <c r="T192">
        <f t="shared" si="71"/>
        <v>276.11480939400008</v>
      </c>
      <c r="U192">
        <f t="shared" si="72"/>
        <v>27.535124217073598</v>
      </c>
      <c r="V192">
        <f t="shared" si="73"/>
        <v>27.535124217073598</v>
      </c>
      <c r="W192">
        <f t="shared" si="74"/>
        <v>3.6932047699132364</v>
      </c>
      <c r="X192">
        <f t="shared" si="75"/>
        <v>76.093353909622863</v>
      </c>
      <c r="Y192">
        <f t="shared" si="76"/>
        <v>2.5707939407570004</v>
      </c>
      <c r="Z192">
        <f t="shared" si="77"/>
        <v>3.3784736887933318</v>
      </c>
      <c r="AA192">
        <f t="shared" si="78"/>
        <v>1.122410829156236</v>
      </c>
      <c r="AB192">
        <f t="shared" si="79"/>
        <v>-84.806064167316492</v>
      </c>
      <c r="AC192">
        <f t="shared" si="80"/>
        <v>-173.86519109312027</v>
      </c>
      <c r="AD192">
        <f t="shared" si="81"/>
        <v>-17.576484000705413</v>
      </c>
      <c r="AE192">
        <f t="shared" si="82"/>
        <v>-0.13292986714210997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52525.493524206002</v>
      </c>
      <c r="AK192">
        <f t="shared" si="86"/>
        <v>1800</v>
      </c>
      <c r="AL192">
        <f t="shared" si="87"/>
        <v>1499.1147684</v>
      </c>
      <c r="AM192">
        <f t="shared" si="88"/>
        <v>0.83284153800000005</v>
      </c>
      <c r="AN192">
        <f t="shared" si="89"/>
        <v>0.15339711633000003</v>
      </c>
      <c r="AO192">
        <v>32.4</v>
      </c>
      <c r="AP192">
        <v>0.5</v>
      </c>
      <c r="AQ192" t="s">
        <v>331</v>
      </c>
      <c r="AR192">
        <v>2</v>
      </c>
      <c r="AS192">
        <v>1690219925.0999999</v>
      </c>
      <c r="AT192">
        <v>426.53899999999999</v>
      </c>
      <c r="AU192">
        <v>800.08199999999999</v>
      </c>
      <c r="AV192">
        <v>25.927700000000002</v>
      </c>
      <c r="AW192">
        <v>5.7114399999999996</v>
      </c>
      <c r="AX192">
        <v>426.548</v>
      </c>
      <c r="AY192">
        <v>25.7376</v>
      </c>
      <c r="AZ192">
        <v>300.209</v>
      </c>
      <c r="BA192">
        <v>99.052400000000006</v>
      </c>
      <c r="BB192">
        <v>0.10001</v>
      </c>
      <c r="BC192">
        <v>26.021100000000001</v>
      </c>
      <c r="BD192">
        <v>27.001000000000001</v>
      </c>
      <c r="BE192">
        <v>27.226199999999999</v>
      </c>
      <c r="BF192">
        <v>0</v>
      </c>
      <c r="BG192">
        <v>0</v>
      </c>
      <c r="BH192">
        <v>9995.6200000000008</v>
      </c>
      <c r="BI192">
        <v>1067.3</v>
      </c>
      <c r="BJ192">
        <v>1.68198</v>
      </c>
      <c r="BK192">
        <v>-373.54199999999997</v>
      </c>
      <c r="BL192">
        <v>437.89299999999997</v>
      </c>
      <c r="BM192">
        <v>804.678</v>
      </c>
      <c r="BN192">
        <v>20.2163</v>
      </c>
      <c r="BO192">
        <v>800.08199999999999</v>
      </c>
      <c r="BP192">
        <v>5.7114399999999996</v>
      </c>
      <c r="BQ192">
        <v>2.5682</v>
      </c>
      <c r="BR192">
        <v>0.56573099999999998</v>
      </c>
      <c r="BS192">
        <v>21.465299999999999</v>
      </c>
      <c r="BT192">
        <v>-1.11425</v>
      </c>
      <c r="BU192">
        <v>1800</v>
      </c>
      <c r="BV192">
        <v>0.91001600000000005</v>
      </c>
      <c r="BW192">
        <v>3.39951E-2</v>
      </c>
      <c r="BX192">
        <v>2.19969E-2</v>
      </c>
      <c r="BY192">
        <v>3.3992300000000003E-2</v>
      </c>
      <c r="BZ192">
        <v>26</v>
      </c>
      <c r="CA192">
        <v>33528.5</v>
      </c>
      <c r="CB192">
        <v>1690217592</v>
      </c>
      <c r="CC192" t="s">
        <v>332</v>
      </c>
      <c r="CD192">
        <v>1690217586.5</v>
      </c>
      <c r="CE192">
        <v>1690217592</v>
      </c>
      <c r="CF192">
        <v>9</v>
      </c>
      <c r="CG192">
        <v>0.11600000000000001</v>
      </c>
      <c r="CH192">
        <v>-3.0000000000000001E-3</v>
      </c>
      <c r="CI192">
        <v>-0.27300000000000002</v>
      </c>
      <c r="CJ192">
        <v>-6.9000000000000006E-2</v>
      </c>
      <c r="CK192">
        <v>800</v>
      </c>
      <c r="CL192">
        <v>6</v>
      </c>
      <c r="CM192">
        <v>0.01</v>
      </c>
      <c r="CN192">
        <v>0.01</v>
      </c>
      <c r="CO192">
        <v>-372.52249999999998</v>
      </c>
      <c r="CP192">
        <v>-5.2706341463405719</v>
      </c>
      <c r="CQ192">
        <v>0.51194374690975741</v>
      </c>
      <c r="CR192">
        <v>-1</v>
      </c>
      <c r="CS192">
        <v>20.181619999999999</v>
      </c>
      <c r="CT192">
        <v>0.20818761726074489</v>
      </c>
      <c r="CU192">
        <v>2.0121346873407539E-2</v>
      </c>
      <c r="CV192">
        <v>-1</v>
      </c>
      <c r="CW192">
        <v>0</v>
      </c>
      <c r="CX192">
        <v>0</v>
      </c>
      <c r="CY192" t="s">
        <v>333</v>
      </c>
      <c r="CZ192">
        <v>2.3647900000000002</v>
      </c>
      <c r="DA192">
        <v>2.7138</v>
      </c>
      <c r="DB192">
        <v>9.3965599999999996E-2</v>
      </c>
      <c r="DC192">
        <v>0.14609800000000001</v>
      </c>
      <c r="DD192">
        <v>0.12026100000000001</v>
      </c>
      <c r="DE192">
        <v>3.7895600000000002E-2</v>
      </c>
      <c r="DF192">
        <v>33088.300000000003</v>
      </c>
      <c r="DG192">
        <v>27526.400000000001</v>
      </c>
      <c r="DH192">
        <v>31176.5</v>
      </c>
      <c r="DI192">
        <v>28088.9</v>
      </c>
      <c r="DJ192">
        <v>37228.300000000003</v>
      </c>
      <c r="DK192">
        <v>38429.9</v>
      </c>
      <c r="DL192">
        <v>44368.1</v>
      </c>
      <c r="DM192">
        <v>42571.1</v>
      </c>
      <c r="DN192">
        <v>1.4856499999999999</v>
      </c>
      <c r="DO192">
        <v>2.03653</v>
      </c>
      <c r="DP192">
        <v>0.12534100000000001</v>
      </c>
      <c r="DQ192">
        <v>0.14791599999999999</v>
      </c>
      <c r="DR192">
        <v>24.947800000000001</v>
      </c>
      <c r="DS192">
        <v>24.8033</v>
      </c>
      <c r="DT192">
        <v>16.8</v>
      </c>
      <c r="DU192">
        <v>29.8</v>
      </c>
      <c r="DV192">
        <v>7.1433400000000002</v>
      </c>
      <c r="DW192">
        <v>61.594099999999997</v>
      </c>
      <c r="DX192">
        <v>37.091299999999997</v>
      </c>
      <c r="DY192">
        <v>1</v>
      </c>
      <c r="DZ192">
        <v>-0.103587</v>
      </c>
      <c r="EA192">
        <v>0.21460199999999999</v>
      </c>
      <c r="EB192">
        <v>20.189399999999999</v>
      </c>
      <c r="EC192">
        <v>5.24125</v>
      </c>
      <c r="ED192">
        <v>12.039899999999999</v>
      </c>
      <c r="EE192">
        <v>5.0171999999999999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1.86894</v>
      </c>
      <c r="EL192">
        <v>1.86469</v>
      </c>
      <c r="EM192">
        <v>1.8692</v>
      </c>
      <c r="EN192">
        <v>1.8672500000000001</v>
      </c>
      <c r="EO192">
        <v>1.8634200000000001</v>
      </c>
      <c r="EP192">
        <v>1.8646</v>
      </c>
      <c r="EQ192">
        <v>1.8701700000000001</v>
      </c>
      <c r="ER192">
        <v>1.86951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-8.9999999999999993E-3</v>
      </c>
      <c r="FG192">
        <v>0.19009999999999999</v>
      </c>
      <c r="FH192">
        <v>0.27827353915413472</v>
      </c>
      <c r="FI192">
        <v>-6.1462078757559423E-4</v>
      </c>
      <c r="FJ192">
        <v>-1.8861989874597051E-7</v>
      </c>
      <c r="FK192">
        <v>1.1980462299894961E-10</v>
      </c>
      <c r="FL192">
        <v>0.19010266435860859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39</v>
      </c>
      <c r="FU192">
        <v>38.9</v>
      </c>
      <c r="FV192">
        <v>1.7773399999999999</v>
      </c>
      <c r="FW192">
        <v>2.5830099999999998</v>
      </c>
      <c r="FX192">
        <v>1.5490699999999999</v>
      </c>
      <c r="FY192">
        <v>2.3290999999999999</v>
      </c>
      <c r="FZ192">
        <v>1.50146</v>
      </c>
      <c r="GA192">
        <v>2.3828100000000001</v>
      </c>
      <c r="GB192">
        <v>33.828299999999999</v>
      </c>
      <c r="GC192">
        <v>23.982399999999998</v>
      </c>
      <c r="GD192">
        <v>19</v>
      </c>
      <c r="GE192">
        <v>286.31200000000001</v>
      </c>
      <c r="GF192">
        <v>581.70500000000004</v>
      </c>
      <c r="GG192">
        <v>24.018699999999999</v>
      </c>
      <c r="GH192">
        <v>26.07</v>
      </c>
      <c r="GI192">
        <v>30</v>
      </c>
      <c r="GJ192">
        <v>26.213699999999999</v>
      </c>
      <c r="GK192">
        <v>26.198599999999999</v>
      </c>
      <c r="GL192">
        <v>35.5381</v>
      </c>
      <c r="GM192">
        <v>-30</v>
      </c>
      <c r="GN192">
        <v>-30</v>
      </c>
      <c r="GO192">
        <v>24.0243</v>
      </c>
      <c r="GP192">
        <v>800</v>
      </c>
      <c r="GQ192">
        <v>12.5298</v>
      </c>
      <c r="GR192">
        <v>99.752700000000004</v>
      </c>
      <c r="GS192">
        <v>99.590500000000006</v>
      </c>
    </row>
    <row r="193" spans="1:201" x14ac:dyDescent="0.25">
      <c r="A193">
        <v>177</v>
      </c>
      <c r="B193">
        <v>1690219935.0999999</v>
      </c>
      <c r="C193">
        <v>1914.599999904633</v>
      </c>
      <c r="D193" t="s">
        <v>683</v>
      </c>
      <c r="E193" t="s">
        <v>684</v>
      </c>
      <c r="F193" t="s">
        <v>330</v>
      </c>
      <c r="H193">
        <v>1690219935.0999999</v>
      </c>
      <c r="I193">
        <f t="shared" si="60"/>
        <v>1.9276756419290201E-3</v>
      </c>
      <c r="J193">
        <f t="shared" si="61"/>
        <v>1.9276756419290202</v>
      </c>
      <c r="K193">
        <f t="shared" si="62"/>
        <v>33.873911141137313</v>
      </c>
      <c r="L193">
        <f t="shared" si="63"/>
        <v>425.59899999999999</v>
      </c>
      <c r="M193">
        <f t="shared" si="64"/>
        <v>95.253968839085616</v>
      </c>
      <c r="N193">
        <f t="shared" si="65"/>
        <v>9.4446382830315319</v>
      </c>
      <c r="O193">
        <f t="shared" si="66"/>
        <v>42.199066953424001</v>
      </c>
      <c r="P193">
        <f t="shared" si="67"/>
        <v>0.17291470795493236</v>
      </c>
      <c r="Q193">
        <f t="shared" si="68"/>
        <v>2.1275898231810801</v>
      </c>
      <c r="R193">
        <f t="shared" si="69"/>
        <v>0.16546956611353508</v>
      </c>
      <c r="S193">
        <f t="shared" si="70"/>
        <v>0.1040606810729392</v>
      </c>
      <c r="T193">
        <f t="shared" si="71"/>
        <v>276.11463527999996</v>
      </c>
      <c r="U193">
        <f t="shared" si="72"/>
        <v>27.538603812995568</v>
      </c>
      <c r="V193">
        <f t="shared" si="73"/>
        <v>27.538603812995568</v>
      </c>
      <c r="W193">
        <f t="shared" si="74"/>
        <v>3.6939565940673478</v>
      </c>
      <c r="X193">
        <f t="shared" si="75"/>
        <v>76.213273371192045</v>
      </c>
      <c r="Y193">
        <f t="shared" si="76"/>
        <v>2.5753786194240003</v>
      </c>
      <c r="Z193">
        <f t="shared" si="77"/>
        <v>3.3791733454102904</v>
      </c>
      <c r="AA193">
        <f t="shared" si="78"/>
        <v>1.1185779746433475</v>
      </c>
      <c r="AB193">
        <f t="shared" si="79"/>
        <v>-85.010495809069795</v>
      </c>
      <c r="AC193">
        <f t="shared" si="80"/>
        <v>-173.66020789726181</v>
      </c>
      <c r="AD193">
        <f t="shared" si="81"/>
        <v>-17.576860958413317</v>
      </c>
      <c r="AE193">
        <f t="shared" si="82"/>
        <v>-0.13292938474495486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52417.625140032585</v>
      </c>
      <c r="AK193">
        <f t="shared" si="86"/>
        <v>1800</v>
      </c>
      <c r="AL193">
        <f t="shared" si="87"/>
        <v>1499.1136740000002</v>
      </c>
      <c r="AM193">
        <f t="shared" si="88"/>
        <v>0.83284093000000003</v>
      </c>
      <c r="AN193">
        <f t="shared" si="89"/>
        <v>0.15339701959999999</v>
      </c>
      <c r="AO193">
        <v>32.4</v>
      </c>
      <c r="AP193">
        <v>0.5</v>
      </c>
      <c r="AQ193" t="s">
        <v>331</v>
      </c>
      <c r="AR193">
        <v>2</v>
      </c>
      <c r="AS193">
        <v>1690219935.0999999</v>
      </c>
      <c r="AT193">
        <v>425.59899999999999</v>
      </c>
      <c r="AU193">
        <v>799.98699999999997</v>
      </c>
      <c r="AV193">
        <v>25.974</v>
      </c>
      <c r="AW193">
        <v>5.7126700000000001</v>
      </c>
      <c r="AX193">
        <v>425.60700000000003</v>
      </c>
      <c r="AY193">
        <v>25.783799999999999</v>
      </c>
      <c r="AZ193">
        <v>300.24900000000002</v>
      </c>
      <c r="BA193">
        <v>99.052099999999996</v>
      </c>
      <c r="BB193">
        <v>0.100076</v>
      </c>
      <c r="BC193">
        <v>26.0246</v>
      </c>
      <c r="BD193">
        <v>27.009399999999999</v>
      </c>
      <c r="BE193">
        <v>27.2212</v>
      </c>
      <c r="BF193">
        <v>0</v>
      </c>
      <c r="BG193">
        <v>0</v>
      </c>
      <c r="BH193">
        <v>9974.3799999999992</v>
      </c>
      <c r="BI193">
        <v>1067.42</v>
      </c>
      <c r="BJ193">
        <v>1.68198</v>
      </c>
      <c r="BK193">
        <v>-374.38799999999998</v>
      </c>
      <c r="BL193">
        <v>436.94799999999998</v>
      </c>
      <c r="BM193">
        <v>804.58299999999997</v>
      </c>
      <c r="BN193">
        <v>20.261299999999999</v>
      </c>
      <c r="BO193">
        <v>799.98699999999997</v>
      </c>
      <c r="BP193">
        <v>5.7126700000000001</v>
      </c>
      <c r="BQ193">
        <v>2.5727699999999998</v>
      </c>
      <c r="BR193">
        <v>0.56585200000000002</v>
      </c>
      <c r="BS193">
        <v>21.494399999999999</v>
      </c>
      <c r="BT193">
        <v>-1.1113500000000001</v>
      </c>
      <c r="BU193">
        <v>1800</v>
      </c>
      <c r="BV193">
        <v>0.91001500000000002</v>
      </c>
      <c r="BW193">
        <v>3.3995200000000003E-2</v>
      </c>
      <c r="BX193">
        <v>2.1996999999999999E-2</v>
      </c>
      <c r="BY193">
        <v>3.3992399999999999E-2</v>
      </c>
      <c r="BZ193">
        <v>26</v>
      </c>
      <c r="CA193">
        <v>33528.5</v>
      </c>
      <c r="CB193">
        <v>1690217592</v>
      </c>
      <c r="CC193" t="s">
        <v>332</v>
      </c>
      <c r="CD193">
        <v>1690217586.5</v>
      </c>
      <c r="CE193">
        <v>1690217592</v>
      </c>
      <c r="CF193">
        <v>9</v>
      </c>
      <c r="CG193">
        <v>0.11600000000000001</v>
      </c>
      <c r="CH193">
        <v>-3.0000000000000001E-3</v>
      </c>
      <c r="CI193">
        <v>-0.27300000000000002</v>
      </c>
      <c r="CJ193">
        <v>-6.9000000000000006E-2</v>
      </c>
      <c r="CK193">
        <v>800</v>
      </c>
      <c r="CL193">
        <v>6</v>
      </c>
      <c r="CM193">
        <v>0.01</v>
      </c>
      <c r="CN193">
        <v>0.01</v>
      </c>
      <c r="CO193">
        <v>-373.41860000000003</v>
      </c>
      <c r="CP193">
        <v>-5.593193245778104</v>
      </c>
      <c r="CQ193">
        <v>0.5433774838912625</v>
      </c>
      <c r="CR193">
        <v>-1</v>
      </c>
      <c r="CS193">
        <v>20.216302500000001</v>
      </c>
      <c r="CT193">
        <v>0.20925140712944851</v>
      </c>
      <c r="CU193">
        <v>2.0391683200511081E-2</v>
      </c>
      <c r="CV193">
        <v>-1</v>
      </c>
      <c r="CW193">
        <v>0</v>
      </c>
      <c r="CX193">
        <v>0</v>
      </c>
      <c r="CY193" t="s">
        <v>333</v>
      </c>
      <c r="CZ193">
        <v>2.3648899999999999</v>
      </c>
      <c r="DA193">
        <v>2.7138499999999999</v>
      </c>
      <c r="DB193">
        <v>9.3808600000000006E-2</v>
      </c>
      <c r="DC193">
        <v>0.14608599999999999</v>
      </c>
      <c r="DD193">
        <v>0.12041</v>
      </c>
      <c r="DE193">
        <v>3.7902199999999997E-2</v>
      </c>
      <c r="DF193">
        <v>33094.400000000001</v>
      </c>
      <c r="DG193">
        <v>27526.799999999999</v>
      </c>
      <c r="DH193">
        <v>31176.9</v>
      </c>
      <c r="DI193">
        <v>28088.9</v>
      </c>
      <c r="DJ193">
        <v>37222.199999999997</v>
      </c>
      <c r="DK193">
        <v>38429.9</v>
      </c>
      <c r="DL193">
        <v>44368.5</v>
      </c>
      <c r="DM193">
        <v>42571.4</v>
      </c>
      <c r="DN193">
        <v>1.48563</v>
      </c>
      <c r="DO193">
        <v>2.0363199999999999</v>
      </c>
      <c r="DP193">
        <v>0.12575800000000001</v>
      </c>
      <c r="DQ193">
        <v>0.14773800000000001</v>
      </c>
      <c r="DR193">
        <v>24.949400000000001</v>
      </c>
      <c r="DS193">
        <v>24.801200000000001</v>
      </c>
      <c r="DT193">
        <v>16.7</v>
      </c>
      <c r="DU193">
        <v>29.8</v>
      </c>
      <c r="DV193">
        <v>7.10039</v>
      </c>
      <c r="DW193">
        <v>61.554099999999998</v>
      </c>
      <c r="DX193">
        <v>37.215499999999999</v>
      </c>
      <c r="DY193">
        <v>1</v>
      </c>
      <c r="DZ193">
        <v>-0.10373499999999999</v>
      </c>
      <c r="EA193">
        <v>0.22977400000000001</v>
      </c>
      <c r="EB193">
        <v>20.189499999999999</v>
      </c>
      <c r="EC193">
        <v>5.2408000000000001</v>
      </c>
      <c r="ED193">
        <v>12.039899999999999</v>
      </c>
      <c r="EE193">
        <v>5.0175000000000001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1.86893</v>
      </c>
      <c r="EL193">
        <v>1.8646499999999999</v>
      </c>
      <c r="EM193">
        <v>1.8691599999999999</v>
      </c>
      <c r="EN193">
        <v>1.8672599999999999</v>
      </c>
      <c r="EO193">
        <v>1.8633999999999999</v>
      </c>
      <c r="EP193">
        <v>1.86459</v>
      </c>
      <c r="EQ193">
        <v>1.87015</v>
      </c>
      <c r="ER193">
        <v>1.8694999999999999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-8.0000000000000002E-3</v>
      </c>
      <c r="FG193">
        <v>0.19020000000000001</v>
      </c>
      <c r="FH193">
        <v>0.27827353915413472</v>
      </c>
      <c r="FI193">
        <v>-6.1462078757559423E-4</v>
      </c>
      <c r="FJ193">
        <v>-1.8861989874597051E-7</v>
      </c>
      <c r="FK193">
        <v>1.1980462299894961E-10</v>
      </c>
      <c r="FL193">
        <v>0.19010266435860859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39.1</v>
      </c>
      <c r="FU193">
        <v>39.1</v>
      </c>
      <c r="FV193">
        <v>1.7773399999999999</v>
      </c>
      <c r="FW193">
        <v>2.5817899999999998</v>
      </c>
      <c r="FX193">
        <v>1.5490699999999999</v>
      </c>
      <c r="FY193">
        <v>2.3290999999999999</v>
      </c>
      <c r="FZ193">
        <v>1.50146</v>
      </c>
      <c r="GA193">
        <v>2.3877000000000002</v>
      </c>
      <c r="GB193">
        <v>33.850900000000003</v>
      </c>
      <c r="GC193">
        <v>23.982399999999998</v>
      </c>
      <c r="GD193">
        <v>19</v>
      </c>
      <c r="GE193">
        <v>286.30200000000002</v>
      </c>
      <c r="GF193">
        <v>581.51499999999999</v>
      </c>
      <c r="GG193">
        <v>24.0259</v>
      </c>
      <c r="GH193">
        <v>26.07</v>
      </c>
      <c r="GI193">
        <v>30.0002</v>
      </c>
      <c r="GJ193">
        <v>26.213699999999999</v>
      </c>
      <c r="GK193">
        <v>26.196400000000001</v>
      </c>
      <c r="GL193">
        <v>35.5379</v>
      </c>
      <c r="GM193">
        <v>-30</v>
      </c>
      <c r="GN193">
        <v>-30</v>
      </c>
      <c r="GO193">
        <v>24.020700000000001</v>
      </c>
      <c r="GP193">
        <v>800</v>
      </c>
      <c r="GQ193">
        <v>12.5298</v>
      </c>
      <c r="GR193">
        <v>99.753799999999998</v>
      </c>
      <c r="GS193">
        <v>99.590800000000002</v>
      </c>
    </row>
    <row r="194" spans="1:201" x14ac:dyDescent="0.25">
      <c r="A194">
        <v>178</v>
      </c>
      <c r="B194">
        <v>1690219945.0999999</v>
      </c>
      <c r="C194">
        <v>1924.599999904633</v>
      </c>
      <c r="D194" t="s">
        <v>685</v>
      </c>
      <c r="E194" t="s">
        <v>686</v>
      </c>
      <c r="F194" t="s">
        <v>330</v>
      </c>
      <c r="H194">
        <v>1690219945.0999999</v>
      </c>
      <c r="I194">
        <f t="shared" si="60"/>
        <v>1.9304674361652209E-3</v>
      </c>
      <c r="J194">
        <f t="shared" si="61"/>
        <v>1.9304674361652208</v>
      </c>
      <c r="K194">
        <f t="shared" si="62"/>
        <v>33.948156676200313</v>
      </c>
      <c r="L194">
        <f t="shared" si="63"/>
        <v>424.71100000000001</v>
      </c>
      <c r="M194">
        <f t="shared" si="64"/>
        <v>95.378348113717735</v>
      </c>
      <c r="N194">
        <f t="shared" si="65"/>
        <v>9.4568666246801385</v>
      </c>
      <c r="O194">
        <f t="shared" si="66"/>
        <v>42.1105561216662</v>
      </c>
      <c r="P194">
        <f t="shared" si="67"/>
        <v>0.17384896098602665</v>
      </c>
      <c r="Q194">
        <f t="shared" si="68"/>
        <v>2.1297656154212223</v>
      </c>
      <c r="R194">
        <f t="shared" si="69"/>
        <v>0.16633236095385448</v>
      </c>
      <c r="S194">
        <f t="shared" si="70"/>
        <v>0.10460597895197721</v>
      </c>
      <c r="T194">
        <f t="shared" si="71"/>
        <v>276.11486672400002</v>
      </c>
      <c r="U194">
        <f t="shared" si="72"/>
        <v>27.533828808667366</v>
      </c>
      <c r="V194">
        <f t="shared" si="73"/>
        <v>27.533828808667366</v>
      </c>
      <c r="W194">
        <f t="shared" si="74"/>
        <v>3.6929249096493493</v>
      </c>
      <c r="X194">
        <f t="shared" si="75"/>
        <v>76.318337393544198</v>
      </c>
      <c r="Y194">
        <f t="shared" si="76"/>
        <v>2.5785627561388802</v>
      </c>
      <c r="Z194">
        <f t="shared" si="77"/>
        <v>3.3786935672382743</v>
      </c>
      <c r="AA194">
        <f t="shared" si="78"/>
        <v>1.1143621535104691</v>
      </c>
      <c r="AB194">
        <f t="shared" si="79"/>
        <v>-85.133613934886242</v>
      </c>
      <c r="AC194">
        <f t="shared" si="80"/>
        <v>-173.56510471363629</v>
      </c>
      <c r="AD194">
        <f t="shared" si="81"/>
        <v>-17.548657912467206</v>
      </c>
      <c r="AE194">
        <f t="shared" si="82"/>
        <v>-0.13250983698969776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52512.009128390178</v>
      </c>
      <c r="AK194">
        <f t="shared" si="86"/>
        <v>1800</v>
      </c>
      <c r="AL194">
        <f t="shared" si="87"/>
        <v>1499.1150294000001</v>
      </c>
      <c r="AM194">
        <f t="shared" si="88"/>
        <v>0.83284168300000005</v>
      </c>
      <c r="AN194">
        <f t="shared" si="89"/>
        <v>0.15339714818000003</v>
      </c>
      <c r="AO194">
        <v>32.4</v>
      </c>
      <c r="AP194">
        <v>0.5</v>
      </c>
      <c r="AQ194" t="s">
        <v>331</v>
      </c>
      <c r="AR194">
        <v>2</v>
      </c>
      <c r="AS194">
        <v>1690219945.0999999</v>
      </c>
      <c r="AT194">
        <v>424.71100000000001</v>
      </c>
      <c r="AU194">
        <v>799.97699999999998</v>
      </c>
      <c r="AV194">
        <v>26.006399999999999</v>
      </c>
      <c r="AW194">
        <v>5.7119400000000002</v>
      </c>
      <c r="AX194">
        <v>424.71800000000002</v>
      </c>
      <c r="AY194">
        <v>25.816299999999998</v>
      </c>
      <c r="AZ194">
        <v>300.18299999999999</v>
      </c>
      <c r="BA194">
        <v>99.051100000000005</v>
      </c>
      <c r="BB194">
        <v>9.9984199999999995E-2</v>
      </c>
      <c r="BC194">
        <v>26.022200000000002</v>
      </c>
      <c r="BD194">
        <v>27.026</v>
      </c>
      <c r="BE194">
        <v>27.192699999999999</v>
      </c>
      <c r="BF194">
        <v>0</v>
      </c>
      <c r="BG194">
        <v>0</v>
      </c>
      <c r="BH194">
        <v>9993.1200000000008</v>
      </c>
      <c r="BI194">
        <v>1067.44</v>
      </c>
      <c r="BJ194">
        <v>1.68198</v>
      </c>
      <c r="BK194">
        <v>-375.26600000000002</v>
      </c>
      <c r="BL194">
        <v>436.05099999999999</v>
      </c>
      <c r="BM194">
        <v>804.572</v>
      </c>
      <c r="BN194">
        <v>20.2944</v>
      </c>
      <c r="BO194">
        <v>799.97699999999998</v>
      </c>
      <c r="BP194">
        <v>5.7119400000000002</v>
      </c>
      <c r="BQ194">
        <v>2.5759599999999998</v>
      </c>
      <c r="BR194">
        <v>0.565774</v>
      </c>
      <c r="BS194">
        <v>21.514600000000002</v>
      </c>
      <c r="BT194">
        <v>-1.1132200000000001</v>
      </c>
      <c r="BU194">
        <v>1800</v>
      </c>
      <c r="BV194">
        <v>0.91001600000000005</v>
      </c>
      <c r="BW194">
        <v>3.3995200000000003E-2</v>
      </c>
      <c r="BX194">
        <v>2.19969E-2</v>
      </c>
      <c r="BY194">
        <v>3.3992399999999999E-2</v>
      </c>
      <c r="BZ194">
        <v>26</v>
      </c>
      <c r="CA194">
        <v>33528.5</v>
      </c>
      <c r="CB194">
        <v>1690217592</v>
      </c>
      <c r="CC194" t="s">
        <v>332</v>
      </c>
      <c r="CD194">
        <v>1690217586.5</v>
      </c>
      <c r="CE194">
        <v>1690217592</v>
      </c>
      <c r="CF194">
        <v>9</v>
      </c>
      <c r="CG194">
        <v>0.11600000000000001</v>
      </c>
      <c r="CH194">
        <v>-3.0000000000000001E-3</v>
      </c>
      <c r="CI194">
        <v>-0.27300000000000002</v>
      </c>
      <c r="CJ194">
        <v>-6.9000000000000006E-2</v>
      </c>
      <c r="CK194">
        <v>800</v>
      </c>
      <c r="CL194">
        <v>6</v>
      </c>
      <c r="CM194">
        <v>0.01</v>
      </c>
      <c r="CN194">
        <v>0.01</v>
      </c>
      <c r="CO194">
        <v>-374.29885365853659</v>
      </c>
      <c r="CP194">
        <v>-5.7739233449475824</v>
      </c>
      <c r="CQ194">
        <v>0.57212946517867969</v>
      </c>
      <c r="CR194">
        <v>-1</v>
      </c>
      <c r="CS194">
        <v>20.252002439024391</v>
      </c>
      <c r="CT194">
        <v>0.25635679442509729</v>
      </c>
      <c r="CU194">
        <v>2.538745117135615E-2</v>
      </c>
      <c r="CV194">
        <v>-1</v>
      </c>
      <c r="CW194">
        <v>0</v>
      </c>
      <c r="CX194">
        <v>0</v>
      </c>
      <c r="CY194" t="s">
        <v>333</v>
      </c>
      <c r="CZ194">
        <v>2.3647300000000002</v>
      </c>
      <c r="DA194">
        <v>2.7137699999999998</v>
      </c>
      <c r="DB194">
        <v>9.3663399999999994E-2</v>
      </c>
      <c r="DC194">
        <v>0.146089</v>
      </c>
      <c r="DD194">
        <v>0.120518</v>
      </c>
      <c r="DE194">
        <v>3.7899299999999997E-2</v>
      </c>
      <c r="DF194">
        <v>33099.300000000003</v>
      </c>
      <c r="DG194">
        <v>27527.1</v>
      </c>
      <c r="DH194">
        <v>31176.5</v>
      </c>
      <c r="DI194">
        <v>28089.200000000001</v>
      </c>
      <c r="DJ194">
        <v>37217.300000000003</v>
      </c>
      <c r="DK194">
        <v>38430.5</v>
      </c>
      <c r="DL194">
        <v>44368.1</v>
      </c>
      <c r="DM194">
        <v>42572</v>
      </c>
      <c r="DN194">
        <v>1.4855</v>
      </c>
      <c r="DO194">
        <v>2.0364300000000002</v>
      </c>
      <c r="DP194">
        <v>0.12674199999999999</v>
      </c>
      <c r="DQ194">
        <v>0.145867</v>
      </c>
      <c r="DR194">
        <v>24.9499</v>
      </c>
      <c r="DS194">
        <v>24.8033</v>
      </c>
      <c r="DT194">
        <v>16.7</v>
      </c>
      <c r="DU194">
        <v>29.8</v>
      </c>
      <c r="DV194">
        <v>7.10067</v>
      </c>
      <c r="DW194">
        <v>61.574100000000001</v>
      </c>
      <c r="DX194">
        <v>37.4559</v>
      </c>
      <c r="DY194">
        <v>1</v>
      </c>
      <c r="DZ194">
        <v>-0.10342999999999999</v>
      </c>
      <c r="EA194">
        <v>0.34289500000000001</v>
      </c>
      <c r="EB194">
        <v>20.189</v>
      </c>
      <c r="EC194">
        <v>5.2406499999999996</v>
      </c>
      <c r="ED194">
        <v>12.039899999999999</v>
      </c>
      <c r="EE194">
        <v>5.0172499999999998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1.86893</v>
      </c>
      <c r="EL194">
        <v>1.86466</v>
      </c>
      <c r="EM194">
        <v>1.8692</v>
      </c>
      <c r="EN194">
        <v>1.8672299999999999</v>
      </c>
      <c r="EO194">
        <v>1.8633999999999999</v>
      </c>
      <c r="EP194">
        <v>1.8646</v>
      </c>
      <c r="EQ194">
        <v>1.87018</v>
      </c>
      <c r="ER194">
        <v>1.86948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-7.0000000000000001E-3</v>
      </c>
      <c r="FG194">
        <v>0.19009999999999999</v>
      </c>
      <c r="FH194">
        <v>0.27827353915413472</v>
      </c>
      <c r="FI194">
        <v>-6.1462078757559423E-4</v>
      </c>
      <c r="FJ194">
        <v>-1.8861989874597051E-7</v>
      </c>
      <c r="FK194">
        <v>1.1980462299894961E-10</v>
      </c>
      <c r="FL194">
        <v>0.19010266435860859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39.299999999999997</v>
      </c>
      <c r="FU194">
        <v>39.200000000000003</v>
      </c>
      <c r="FV194">
        <v>1.7773399999999999</v>
      </c>
      <c r="FW194">
        <v>2.5805699999999998</v>
      </c>
      <c r="FX194">
        <v>1.5490699999999999</v>
      </c>
      <c r="FY194">
        <v>2.3290999999999999</v>
      </c>
      <c r="FZ194">
        <v>1.50146</v>
      </c>
      <c r="GA194">
        <v>2.35107</v>
      </c>
      <c r="GB194">
        <v>33.828299999999999</v>
      </c>
      <c r="GC194">
        <v>23.982399999999998</v>
      </c>
      <c r="GD194">
        <v>19</v>
      </c>
      <c r="GE194">
        <v>286.24799999999999</v>
      </c>
      <c r="GF194">
        <v>581.59799999999996</v>
      </c>
      <c r="GG194">
        <v>24.0061</v>
      </c>
      <c r="GH194">
        <v>26.07</v>
      </c>
      <c r="GI194">
        <v>30.0002</v>
      </c>
      <c r="GJ194">
        <v>26.213699999999999</v>
      </c>
      <c r="GK194">
        <v>26.196400000000001</v>
      </c>
      <c r="GL194">
        <v>35.540500000000002</v>
      </c>
      <c r="GM194">
        <v>-30</v>
      </c>
      <c r="GN194">
        <v>-30</v>
      </c>
      <c r="GO194">
        <v>23.9709</v>
      </c>
      <c r="GP194">
        <v>800</v>
      </c>
      <c r="GQ194">
        <v>12.5298</v>
      </c>
      <c r="GR194">
        <v>99.752799999999993</v>
      </c>
      <c r="GS194">
        <v>99.592200000000005</v>
      </c>
    </row>
    <row r="195" spans="1:201" x14ac:dyDescent="0.25">
      <c r="A195">
        <v>179</v>
      </c>
      <c r="B195">
        <v>1690219955.0999999</v>
      </c>
      <c r="C195">
        <v>1934.599999904633</v>
      </c>
      <c r="D195" t="s">
        <v>687</v>
      </c>
      <c r="E195" t="s">
        <v>688</v>
      </c>
      <c r="F195" t="s">
        <v>330</v>
      </c>
      <c r="H195">
        <v>1690219955.0999999</v>
      </c>
      <c r="I195">
        <f t="shared" si="60"/>
        <v>1.9324791761269398E-3</v>
      </c>
      <c r="J195">
        <f t="shared" si="61"/>
        <v>1.9324791761269398</v>
      </c>
      <c r="K195">
        <f t="shared" si="62"/>
        <v>34.032259383691908</v>
      </c>
      <c r="L195">
        <f t="shared" si="63"/>
        <v>423.82299999999998</v>
      </c>
      <c r="M195">
        <f t="shared" si="64"/>
        <v>95.295709330118441</v>
      </c>
      <c r="N195">
        <f t="shared" si="65"/>
        <v>9.4491179401814431</v>
      </c>
      <c r="O195">
        <f t="shared" si="66"/>
        <v>42.024489254688895</v>
      </c>
      <c r="P195">
        <f t="shared" si="67"/>
        <v>0.1747215470960792</v>
      </c>
      <c r="Q195">
        <f t="shared" si="68"/>
        <v>2.132882316537517</v>
      </c>
      <c r="R195">
        <f t="shared" si="69"/>
        <v>0.16714164795546804</v>
      </c>
      <c r="S195">
        <f t="shared" si="70"/>
        <v>0.10511714981466241</v>
      </c>
      <c r="T195">
        <f t="shared" si="71"/>
        <v>276.11461330200007</v>
      </c>
      <c r="U195">
        <f t="shared" si="72"/>
        <v>27.524826498036788</v>
      </c>
      <c r="V195">
        <f t="shared" si="73"/>
        <v>27.524826498036788</v>
      </c>
      <c r="W195">
        <f t="shared" si="74"/>
        <v>3.6909805599864818</v>
      </c>
      <c r="X195">
        <f t="shared" si="75"/>
        <v>76.413212255630384</v>
      </c>
      <c r="Y195">
        <f t="shared" si="76"/>
        <v>2.58080614176954</v>
      </c>
      <c r="Z195">
        <f t="shared" si="77"/>
        <v>3.3774344325897352</v>
      </c>
      <c r="AA195">
        <f t="shared" si="78"/>
        <v>1.1101744182169417</v>
      </c>
      <c r="AB195">
        <f t="shared" si="79"/>
        <v>-85.222331667198048</v>
      </c>
      <c r="AC195">
        <f t="shared" si="80"/>
        <v>-173.5083668966214</v>
      </c>
      <c r="AD195">
        <f t="shared" si="81"/>
        <v>-17.515944878876017</v>
      </c>
      <c r="AE195">
        <f t="shared" si="82"/>
        <v>-0.13203014069540586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52648.040619215295</v>
      </c>
      <c r="AK195">
        <f t="shared" si="86"/>
        <v>1800</v>
      </c>
      <c r="AL195">
        <f t="shared" si="87"/>
        <v>1499.1139332</v>
      </c>
      <c r="AM195">
        <f t="shared" si="88"/>
        <v>0.83284107399999996</v>
      </c>
      <c r="AN195">
        <f t="shared" si="89"/>
        <v>0.15339700739000003</v>
      </c>
      <c r="AO195">
        <v>32.4</v>
      </c>
      <c r="AP195">
        <v>0.5</v>
      </c>
      <c r="AQ195" t="s">
        <v>331</v>
      </c>
      <c r="AR195">
        <v>2</v>
      </c>
      <c r="AS195">
        <v>1690219955.0999999</v>
      </c>
      <c r="AT195">
        <v>423.82299999999998</v>
      </c>
      <c r="AU195">
        <v>800.005</v>
      </c>
      <c r="AV195">
        <v>26.027799999999999</v>
      </c>
      <c r="AW195">
        <v>5.7116899999999999</v>
      </c>
      <c r="AX195">
        <v>423.83</v>
      </c>
      <c r="AY195">
        <v>25.837700000000002</v>
      </c>
      <c r="AZ195">
        <v>300.16899999999998</v>
      </c>
      <c r="BA195">
        <v>99.055800000000005</v>
      </c>
      <c r="BB195">
        <v>9.9954299999999996E-2</v>
      </c>
      <c r="BC195">
        <v>26.015899999999998</v>
      </c>
      <c r="BD195">
        <v>27.0319</v>
      </c>
      <c r="BE195">
        <v>27.202200000000001</v>
      </c>
      <c r="BF195">
        <v>0</v>
      </c>
      <c r="BG195">
        <v>0</v>
      </c>
      <c r="BH195">
        <v>10019.4</v>
      </c>
      <c r="BI195">
        <v>1067.49</v>
      </c>
      <c r="BJ195">
        <v>1.68198</v>
      </c>
      <c r="BK195">
        <v>-376.18299999999999</v>
      </c>
      <c r="BL195">
        <v>435.149</v>
      </c>
      <c r="BM195">
        <v>804.601</v>
      </c>
      <c r="BN195">
        <v>20.316099999999999</v>
      </c>
      <c r="BO195">
        <v>800.005</v>
      </c>
      <c r="BP195">
        <v>5.7116899999999999</v>
      </c>
      <c r="BQ195">
        <v>2.5781999999999998</v>
      </c>
      <c r="BR195">
        <v>0.56577599999999995</v>
      </c>
      <c r="BS195">
        <v>21.5288</v>
      </c>
      <c r="BT195">
        <v>-1.11317</v>
      </c>
      <c r="BU195">
        <v>1800</v>
      </c>
      <c r="BV195">
        <v>0.91001600000000005</v>
      </c>
      <c r="BW195">
        <v>3.3994900000000002E-2</v>
      </c>
      <c r="BX195">
        <v>2.1996700000000001E-2</v>
      </c>
      <c r="BY195">
        <v>3.3992099999999997E-2</v>
      </c>
      <c r="BZ195">
        <v>26</v>
      </c>
      <c r="CA195">
        <v>33528.5</v>
      </c>
      <c r="CB195">
        <v>1690217592</v>
      </c>
      <c r="CC195" t="s">
        <v>332</v>
      </c>
      <c r="CD195">
        <v>1690217586.5</v>
      </c>
      <c r="CE195">
        <v>1690217592</v>
      </c>
      <c r="CF195">
        <v>9</v>
      </c>
      <c r="CG195">
        <v>0.11600000000000001</v>
      </c>
      <c r="CH195">
        <v>-3.0000000000000001E-3</v>
      </c>
      <c r="CI195">
        <v>-0.27300000000000002</v>
      </c>
      <c r="CJ195">
        <v>-6.9000000000000006E-2</v>
      </c>
      <c r="CK195">
        <v>800</v>
      </c>
      <c r="CL195">
        <v>6</v>
      </c>
      <c r="CM195">
        <v>0.01</v>
      </c>
      <c r="CN195">
        <v>0.01</v>
      </c>
      <c r="CO195">
        <v>-375.21170731707321</v>
      </c>
      <c r="CP195">
        <v>-5.3224599303133218</v>
      </c>
      <c r="CQ195">
        <v>0.52877798577394242</v>
      </c>
      <c r="CR195">
        <v>-1</v>
      </c>
      <c r="CS195">
        <v>20.289136585365849</v>
      </c>
      <c r="CT195">
        <v>0.18296027874566231</v>
      </c>
      <c r="CU195">
        <v>1.8142575664852719E-2</v>
      </c>
      <c r="CV195">
        <v>-1</v>
      </c>
      <c r="CW195">
        <v>0</v>
      </c>
      <c r="CX195">
        <v>0</v>
      </c>
      <c r="CY195" t="s">
        <v>333</v>
      </c>
      <c r="CZ195">
        <v>2.36463</v>
      </c>
      <c r="DA195">
        <v>2.7137600000000002</v>
      </c>
      <c r="DB195">
        <v>9.3519099999999994E-2</v>
      </c>
      <c r="DC195">
        <v>0.14609800000000001</v>
      </c>
      <c r="DD195">
        <v>0.120592</v>
      </c>
      <c r="DE195">
        <v>3.7899200000000001E-2</v>
      </c>
      <c r="DF195">
        <v>33104.9</v>
      </c>
      <c r="DG195">
        <v>27527.1</v>
      </c>
      <c r="DH195">
        <v>31176.7</v>
      </c>
      <c r="DI195">
        <v>28089.599999999999</v>
      </c>
      <c r="DJ195">
        <v>37214.6</v>
      </c>
      <c r="DK195">
        <v>38430.800000000003</v>
      </c>
      <c r="DL195">
        <v>44368.7</v>
      </c>
      <c r="DM195">
        <v>42572.3</v>
      </c>
      <c r="DN195">
        <v>1.4854700000000001</v>
      </c>
      <c r="DO195">
        <v>2.0365500000000001</v>
      </c>
      <c r="DP195">
        <v>0.127196</v>
      </c>
      <c r="DQ195">
        <v>0.146449</v>
      </c>
      <c r="DR195">
        <v>24.9483</v>
      </c>
      <c r="DS195">
        <v>24.8033</v>
      </c>
      <c r="DT195">
        <v>16.7</v>
      </c>
      <c r="DU195">
        <v>29.8</v>
      </c>
      <c r="DV195">
        <v>7.1019300000000003</v>
      </c>
      <c r="DW195">
        <v>61.444099999999999</v>
      </c>
      <c r="DX195">
        <v>37.287700000000001</v>
      </c>
      <c r="DY195">
        <v>1</v>
      </c>
      <c r="DZ195">
        <v>-0.103255</v>
      </c>
      <c r="EA195">
        <v>0.34213500000000002</v>
      </c>
      <c r="EB195">
        <v>20.189</v>
      </c>
      <c r="EC195">
        <v>5.2406499999999996</v>
      </c>
      <c r="ED195">
        <v>12.039899999999999</v>
      </c>
      <c r="EE195">
        <v>5.0171999999999999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1.8689499999999999</v>
      </c>
      <c r="EL195">
        <v>1.86467</v>
      </c>
      <c r="EM195">
        <v>1.8691899999999999</v>
      </c>
      <c r="EN195">
        <v>1.8672299999999999</v>
      </c>
      <c r="EO195">
        <v>1.8633999999999999</v>
      </c>
      <c r="EP195">
        <v>1.86456</v>
      </c>
      <c r="EQ195">
        <v>1.87018</v>
      </c>
      <c r="ER195">
        <v>1.86948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-7.0000000000000001E-3</v>
      </c>
      <c r="FG195">
        <v>0.19009999999999999</v>
      </c>
      <c r="FH195">
        <v>0.27827353915413472</v>
      </c>
      <c r="FI195">
        <v>-6.1462078757559423E-4</v>
      </c>
      <c r="FJ195">
        <v>-1.8861989874597051E-7</v>
      </c>
      <c r="FK195">
        <v>1.1980462299894961E-10</v>
      </c>
      <c r="FL195">
        <v>0.19010266435860859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39.5</v>
      </c>
      <c r="FU195">
        <v>39.4</v>
      </c>
      <c r="FV195">
        <v>1.7773399999999999</v>
      </c>
      <c r="FW195">
        <v>2.5805699999999998</v>
      </c>
      <c r="FX195">
        <v>1.5490699999999999</v>
      </c>
      <c r="FY195">
        <v>2.3290999999999999</v>
      </c>
      <c r="FZ195">
        <v>1.50146</v>
      </c>
      <c r="GA195">
        <v>2.3303199999999999</v>
      </c>
      <c r="GB195">
        <v>33.828299999999999</v>
      </c>
      <c r="GC195">
        <v>23.982399999999998</v>
      </c>
      <c r="GD195">
        <v>19</v>
      </c>
      <c r="GE195">
        <v>286.22699999999998</v>
      </c>
      <c r="GF195">
        <v>581.70100000000002</v>
      </c>
      <c r="GG195">
        <v>23.960100000000001</v>
      </c>
      <c r="GH195">
        <v>26.069500000000001</v>
      </c>
      <c r="GI195">
        <v>30.0002</v>
      </c>
      <c r="GJ195">
        <v>26.211400000000001</v>
      </c>
      <c r="GK195">
        <v>26.196400000000001</v>
      </c>
      <c r="GL195">
        <v>35.541499999999999</v>
      </c>
      <c r="GM195">
        <v>-30</v>
      </c>
      <c r="GN195">
        <v>-30</v>
      </c>
      <c r="GO195">
        <v>23.937100000000001</v>
      </c>
      <c r="GP195">
        <v>800</v>
      </c>
      <c r="GQ195">
        <v>12.5298</v>
      </c>
      <c r="GR195">
        <v>99.753900000000002</v>
      </c>
      <c r="GS195">
        <v>99.593000000000004</v>
      </c>
    </row>
    <row r="196" spans="1:201" x14ac:dyDescent="0.25">
      <c r="A196">
        <v>180</v>
      </c>
      <c r="B196">
        <v>1690219965.0999999</v>
      </c>
      <c r="C196">
        <v>1944.599999904633</v>
      </c>
      <c r="D196" t="s">
        <v>689</v>
      </c>
      <c r="E196" t="s">
        <v>690</v>
      </c>
      <c r="F196" t="s">
        <v>330</v>
      </c>
      <c r="H196">
        <v>1690219965.0999999</v>
      </c>
      <c r="I196">
        <f t="shared" si="60"/>
        <v>1.9348321275095475E-3</v>
      </c>
      <c r="J196">
        <f t="shared" si="61"/>
        <v>1.9348321275095475</v>
      </c>
      <c r="K196">
        <f t="shared" si="62"/>
        <v>34.116995670143936</v>
      </c>
      <c r="L196">
        <f t="shared" si="63"/>
        <v>422.94900000000001</v>
      </c>
      <c r="M196">
        <f t="shared" si="64"/>
        <v>95.041246985272807</v>
      </c>
      <c r="N196">
        <f t="shared" si="65"/>
        <v>9.4236492829724767</v>
      </c>
      <c r="O196">
        <f t="shared" si="66"/>
        <v>41.936771317842002</v>
      </c>
      <c r="P196">
        <f t="shared" si="67"/>
        <v>0.1755153226753926</v>
      </c>
      <c r="Q196">
        <f t="shared" si="68"/>
        <v>2.1306624328801078</v>
      </c>
      <c r="R196">
        <f t="shared" si="69"/>
        <v>0.16786042103643564</v>
      </c>
      <c r="S196">
        <f t="shared" si="70"/>
        <v>0.1055727028033735</v>
      </c>
      <c r="T196">
        <f t="shared" si="71"/>
        <v>276.11482813200001</v>
      </c>
      <c r="U196">
        <f t="shared" si="72"/>
        <v>27.519144706573115</v>
      </c>
      <c r="V196">
        <f t="shared" si="73"/>
        <v>27.519144706573115</v>
      </c>
      <c r="W196">
        <f t="shared" si="74"/>
        <v>3.6897538472572586</v>
      </c>
      <c r="X196">
        <f t="shared" si="75"/>
        <v>76.507324175872228</v>
      </c>
      <c r="Y196">
        <f t="shared" si="76"/>
        <v>2.5830216935063999</v>
      </c>
      <c r="Z196">
        <f t="shared" si="77"/>
        <v>3.3761757077905958</v>
      </c>
      <c r="AA196">
        <f t="shared" si="78"/>
        <v>1.1067321537508588</v>
      </c>
      <c r="AB196">
        <f t="shared" si="79"/>
        <v>-85.326096823171042</v>
      </c>
      <c r="AC196">
        <f t="shared" si="80"/>
        <v>-173.39879358327144</v>
      </c>
      <c r="AD196">
        <f t="shared" si="81"/>
        <v>-17.522070697461313</v>
      </c>
      <c r="AE196">
        <f t="shared" si="82"/>
        <v>-0.13213297190375783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52553.039568180946</v>
      </c>
      <c r="AK196">
        <f t="shared" si="86"/>
        <v>1800</v>
      </c>
      <c r="AL196">
        <f t="shared" si="87"/>
        <v>1499.1151841999997</v>
      </c>
      <c r="AM196">
        <f t="shared" si="88"/>
        <v>0.83284176899999984</v>
      </c>
      <c r="AN196">
        <f t="shared" si="89"/>
        <v>0.15339712674</v>
      </c>
      <c r="AO196">
        <v>32.4</v>
      </c>
      <c r="AP196">
        <v>0.5</v>
      </c>
      <c r="AQ196" t="s">
        <v>331</v>
      </c>
      <c r="AR196">
        <v>2</v>
      </c>
      <c r="AS196">
        <v>1690219965.0999999</v>
      </c>
      <c r="AT196">
        <v>422.94900000000001</v>
      </c>
      <c r="AU196">
        <v>800.00800000000004</v>
      </c>
      <c r="AV196">
        <v>26.050799999999999</v>
      </c>
      <c r="AW196">
        <v>5.7120600000000001</v>
      </c>
      <c r="AX196">
        <v>422.95499999999998</v>
      </c>
      <c r="AY196">
        <v>25.860700000000001</v>
      </c>
      <c r="AZ196">
        <v>300.19299999999998</v>
      </c>
      <c r="BA196">
        <v>99.053200000000004</v>
      </c>
      <c r="BB196">
        <v>0.10005799999999999</v>
      </c>
      <c r="BC196">
        <v>26.009599999999999</v>
      </c>
      <c r="BD196">
        <v>27.015899999999998</v>
      </c>
      <c r="BE196">
        <v>27.196400000000001</v>
      </c>
      <c r="BF196">
        <v>0</v>
      </c>
      <c r="BG196">
        <v>0</v>
      </c>
      <c r="BH196">
        <v>10000.6</v>
      </c>
      <c r="BI196">
        <v>1067.51</v>
      </c>
      <c r="BJ196">
        <v>1.68198</v>
      </c>
      <c r="BK196">
        <v>-377.06</v>
      </c>
      <c r="BL196">
        <v>434.26100000000002</v>
      </c>
      <c r="BM196">
        <v>804.60400000000004</v>
      </c>
      <c r="BN196">
        <v>20.338799999999999</v>
      </c>
      <c r="BO196">
        <v>800.00800000000004</v>
      </c>
      <c r="BP196">
        <v>5.7120600000000001</v>
      </c>
      <c r="BQ196">
        <v>2.5804200000000002</v>
      </c>
      <c r="BR196">
        <v>0.56579800000000002</v>
      </c>
      <c r="BS196">
        <v>21.5428</v>
      </c>
      <c r="BT196">
        <v>-1.1126499999999999</v>
      </c>
      <c r="BU196">
        <v>1800</v>
      </c>
      <c r="BV196">
        <v>0.91001699999999996</v>
      </c>
      <c r="BW196">
        <v>3.3994799999999999E-2</v>
      </c>
      <c r="BX196">
        <v>2.1996700000000001E-2</v>
      </c>
      <c r="BY196">
        <v>3.3992000000000001E-2</v>
      </c>
      <c r="BZ196">
        <v>26</v>
      </c>
      <c r="CA196">
        <v>33528.5</v>
      </c>
      <c r="CB196">
        <v>1690217592</v>
      </c>
      <c r="CC196" t="s">
        <v>332</v>
      </c>
      <c r="CD196">
        <v>1690217586.5</v>
      </c>
      <c r="CE196">
        <v>1690217592</v>
      </c>
      <c r="CF196">
        <v>9</v>
      </c>
      <c r="CG196">
        <v>0.11600000000000001</v>
      </c>
      <c r="CH196">
        <v>-3.0000000000000001E-3</v>
      </c>
      <c r="CI196">
        <v>-0.27300000000000002</v>
      </c>
      <c r="CJ196">
        <v>-6.9000000000000006E-2</v>
      </c>
      <c r="CK196">
        <v>800</v>
      </c>
      <c r="CL196">
        <v>6</v>
      </c>
      <c r="CM196">
        <v>0.01</v>
      </c>
      <c r="CN196">
        <v>0.01</v>
      </c>
      <c r="CO196">
        <v>-376.13862499999999</v>
      </c>
      <c r="CP196">
        <v>-4.9166566604123769</v>
      </c>
      <c r="CQ196">
        <v>0.4830837757314943</v>
      </c>
      <c r="CR196">
        <v>-1</v>
      </c>
      <c r="CS196">
        <v>20.3163725</v>
      </c>
      <c r="CT196">
        <v>0.1257444652907484</v>
      </c>
      <c r="CU196">
        <v>1.2197991381781161E-2</v>
      </c>
      <c r="CV196">
        <v>-1</v>
      </c>
      <c r="CW196">
        <v>0</v>
      </c>
      <c r="CX196">
        <v>0</v>
      </c>
      <c r="CY196" t="s">
        <v>333</v>
      </c>
      <c r="CZ196">
        <v>2.3647300000000002</v>
      </c>
      <c r="DA196">
        <v>2.7138499999999999</v>
      </c>
      <c r="DB196">
        <v>9.3369099999999997E-2</v>
      </c>
      <c r="DC196">
        <v>0.146092</v>
      </c>
      <c r="DD196">
        <v>0.12066200000000001</v>
      </c>
      <c r="DE196">
        <v>3.7899599999999999E-2</v>
      </c>
      <c r="DF196">
        <v>33110.400000000001</v>
      </c>
      <c r="DG196">
        <v>27527.1</v>
      </c>
      <c r="DH196">
        <v>31176.799999999999</v>
      </c>
      <c r="DI196">
        <v>28089.4</v>
      </c>
      <c r="DJ196">
        <v>37211.599999999999</v>
      </c>
      <c r="DK196">
        <v>38430.5</v>
      </c>
      <c r="DL196">
        <v>44368.7</v>
      </c>
      <c r="DM196">
        <v>42572.1</v>
      </c>
      <c r="DN196">
        <v>1.4855</v>
      </c>
      <c r="DO196">
        <v>2.0366200000000001</v>
      </c>
      <c r="DP196">
        <v>0.12625</v>
      </c>
      <c r="DQ196">
        <v>0.14621799999999999</v>
      </c>
      <c r="DR196">
        <v>24.947800000000001</v>
      </c>
      <c r="DS196">
        <v>24.801200000000001</v>
      </c>
      <c r="DT196">
        <v>16.8</v>
      </c>
      <c r="DU196">
        <v>29.8</v>
      </c>
      <c r="DV196">
        <v>7.1430699999999998</v>
      </c>
      <c r="DW196">
        <v>61.494100000000003</v>
      </c>
      <c r="DX196">
        <v>37.195500000000003</v>
      </c>
      <c r="DY196">
        <v>1</v>
      </c>
      <c r="DZ196">
        <v>-0.103371</v>
      </c>
      <c r="EA196">
        <v>0.39363599999999999</v>
      </c>
      <c r="EB196">
        <v>20.1889</v>
      </c>
      <c r="EC196">
        <v>5.2406499999999996</v>
      </c>
      <c r="ED196">
        <v>12.039899999999999</v>
      </c>
      <c r="EE196">
        <v>5.01715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1.86894</v>
      </c>
      <c r="EL196">
        <v>1.8646799999999999</v>
      </c>
      <c r="EM196">
        <v>1.8691899999999999</v>
      </c>
      <c r="EN196">
        <v>1.8672500000000001</v>
      </c>
      <c r="EO196">
        <v>1.86341</v>
      </c>
      <c r="EP196">
        <v>1.86459</v>
      </c>
      <c r="EQ196">
        <v>1.8701700000000001</v>
      </c>
      <c r="ER196">
        <v>1.8694999999999999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-6.0000000000000001E-3</v>
      </c>
      <c r="FG196">
        <v>0.19009999999999999</v>
      </c>
      <c r="FH196">
        <v>0.27827353915413472</v>
      </c>
      <c r="FI196">
        <v>-6.1462078757559423E-4</v>
      </c>
      <c r="FJ196">
        <v>-1.8861989874597051E-7</v>
      </c>
      <c r="FK196">
        <v>1.1980462299894961E-10</v>
      </c>
      <c r="FL196">
        <v>0.19010266435860859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39.6</v>
      </c>
      <c r="FU196">
        <v>39.6</v>
      </c>
      <c r="FV196">
        <v>1.7773399999999999</v>
      </c>
      <c r="FW196">
        <v>2.5817899999999998</v>
      </c>
      <c r="FX196">
        <v>1.5490699999999999</v>
      </c>
      <c r="FY196">
        <v>2.3290999999999999</v>
      </c>
      <c r="FZ196">
        <v>1.50146</v>
      </c>
      <c r="GA196">
        <v>2.33521</v>
      </c>
      <c r="GB196">
        <v>33.850900000000003</v>
      </c>
      <c r="GC196">
        <v>23.973700000000001</v>
      </c>
      <c r="GD196">
        <v>19</v>
      </c>
      <c r="GE196">
        <v>286.238</v>
      </c>
      <c r="GF196">
        <v>581.755</v>
      </c>
      <c r="GG196">
        <v>23.917200000000001</v>
      </c>
      <c r="GH196">
        <v>26.067799999999998</v>
      </c>
      <c r="GI196">
        <v>30.0001</v>
      </c>
      <c r="GJ196">
        <v>26.211400000000001</v>
      </c>
      <c r="GK196">
        <v>26.195799999999998</v>
      </c>
      <c r="GL196">
        <v>35.538800000000002</v>
      </c>
      <c r="GM196">
        <v>-30</v>
      </c>
      <c r="GN196">
        <v>-30</v>
      </c>
      <c r="GO196">
        <v>23.896000000000001</v>
      </c>
      <c r="GP196">
        <v>800</v>
      </c>
      <c r="GQ196">
        <v>12.5298</v>
      </c>
      <c r="GR196">
        <v>99.754000000000005</v>
      </c>
      <c r="GS196">
        <v>99.592399999999998</v>
      </c>
    </row>
    <row r="197" spans="1:201" x14ac:dyDescent="0.25">
      <c r="A197">
        <v>181</v>
      </c>
      <c r="B197">
        <v>1690219975.0999999</v>
      </c>
      <c r="C197">
        <v>1954.599999904633</v>
      </c>
      <c r="D197" t="s">
        <v>691</v>
      </c>
      <c r="E197" t="s">
        <v>692</v>
      </c>
      <c r="F197" t="s">
        <v>330</v>
      </c>
      <c r="H197">
        <v>1690219975.0999999</v>
      </c>
      <c r="I197">
        <f t="shared" si="60"/>
        <v>1.9369630574179112E-3</v>
      </c>
      <c r="J197">
        <f t="shared" si="61"/>
        <v>1.9369630574179113</v>
      </c>
      <c r="K197">
        <f t="shared" si="62"/>
        <v>34.191239544523619</v>
      </c>
      <c r="L197">
        <f t="shared" si="63"/>
        <v>422.25200000000001</v>
      </c>
      <c r="M197">
        <f t="shared" si="64"/>
        <v>94.846966994685559</v>
      </c>
      <c r="N197">
        <f t="shared" si="65"/>
        <v>9.4043272683629056</v>
      </c>
      <c r="O197">
        <f t="shared" si="66"/>
        <v>41.867400967532006</v>
      </c>
      <c r="P197">
        <f t="shared" si="67"/>
        <v>0.17619207164162531</v>
      </c>
      <c r="Q197">
        <f t="shared" si="68"/>
        <v>2.1286164118967257</v>
      </c>
      <c r="R197">
        <f t="shared" si="69"/>
        <v>0.16847235493246315</v>
      </c>
      <c r="S197">
        <f t="shared" si="70"/>
        <v>0.10596062016557128</v>
      </c>
      <c r="T197">
        <f t="shared" si="71"/>
        <v>276.11471134800001</v>
      </c>
      <c r="U197">
        <f t="shared" si="72"/>
        <v>27.514425526238689</v>
      </c>
      <c r="V197">
        <f t="shared" si="73"/>
        <v>27.514425526238689</v>
      </c>
      <c r="W197">
        <f t="shared" si="74"/>
        <v>3.6887352351313032</v>
      </c>
      <c r="X197">
        <f t="shared" si="75"/>
        <v>76.584605466932956</v>
      </c>
      <c r="Y197">
        <f t="shared" si="76"/>
        <v>2.5848201134930999</v>
      </c>
      <c r="Z197">
        <f t="shared" si="77"/>
        <v>3.3751170979253153</v>
      </c>
      <c r="AA197">
        <f t="shared" si="78"/>
        <v>1.1039151216382033</v>
      </c>
      <c r="AB197">
        <f t="shared" si="79"/>
        <v>-85.420070832129881</v>
      </c>
      <c r="AC197">
        <f t="shared" si="80"/>
        <v>-173.29893681332854</v>
      </c>
      <c r="AD197">
        <f t="shared" si="81"/>
        <v>-17.527933865490084</v>
      </c>
      <c r="AE197">
        <f t="shared" si="82"/>
        <v>-0.13223016294847412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52465.527826718935</v>
      </c>
      <c r="AK197">
        <f t="shared" si="86"/>
        <v>1800</v>
      </c>
      <c r="AL197">
        <f t="shared" si="87"/>
        <v>1499.1143508</v>
      </c>
      <c r="AM197">
        <f t="shared" si="88"/>
        <v>0.83284130599999995</v>
      </c>
      <c r="AN197">
        <f t="shared" si="89"/>
        <v>0.15339706186000002</v>
      </c>
      <c r="AO197">
        <v>32.4</v>
      </c>
      <c r="AP197">
        <v>0.5</v>
      </c>
      <c r="AQ197" t="s">
        <v>331</v>
      </c>
      <c r="AR197">
        <v>2</v>
      </c>
      <c r="AS197">
        <v>1690219975.0999999</v>
      </c>
      <c r="AT197">
        <v>422.25200000000001</v>
      </c>
      <c r="AU197">
        <v>800.03700000000003</v>
      </c>
      <c r="AV197">
        <v>26.069099999999999</v>
      </c>
      <c r="AW197">
        <v>5.7121399999999998</v>
      </c>
      <c r="AX197">
        <v>422.25799999999998</v>
      </c>
      <c r="AY197">
        <v>25.879000000000001</v>
      </c>
      <c r="AZ197">
        <v>300.24900000000002</v>
      </c>
      <c r="BA197">
        <v>99.052599999999998</v>
      </c>
      <c r="BB197">
        <v>0.100041</v>
      </c>
      <c r="BC197">
        <v>26.004300000000001</v>
      </c>
      <c r="BD197">
        <v>26.997399999999999</v>
      </c>
      <c r="BE197">
        <v>27.1889</v>
      </c>
      <c r="BF197">
        <v>0</v>
      </c>
      <c r="BG197">
        <v>0</v>
      </c>
      <c r="BH197">
        <v>9983.1200000000008</v>
      </c>
      <c r="BI197">
        <v>1067.54</v>
      </c>
      <c r="BJ197">
        <v>1.68198</v>
      </c>
      <c r="BK197">
        <v>-377.78399999999999</v>
      </c>
      <c r="BL197">
        <v>433.55500000000001</v>
      </c>
      <c r="BM197">
        <v>804.63300000000004</v>
      </c>
      <c r="BN197">
        <v>20.356999999999999</v>
      </c>
      <c r="BO197">
        <v>800.03700000000003</v>
      </c>
      <c r="BP197">
        <v>5.7121399999999998</v>
      </c>
      <c r="BQ197">
        <v>2.5822099999999999</v>
      </c>
      <c r="BR197">
        <v>0.56580299999999994</v>
      </c>
      <c r="BS197">
        <v>21.554200000000002</v>
      </c>
      <c r="BT197">
        <v>-1.11252</v>
      </c>
      <c r="BU197">
        <v>1800</v>
      </c>
      <c r="BV197">
        <v>0.91001600000000005</v>
      </c>
      <c r="BW197">
        <v>3.3994999999999997E-2</v>
      </c>
      <c r="BX197">
        <v>2.19968E-2</v>
      </c>
      <c r="BY197">
        <v>3.39922E-2</v>
      </c>
      <c r="BZ197">
        <v>26</v>
      </c>
      <c r="CA197">
        <v>33528.5</v>
      </c>
      <c r="CB197">
        <v>1690217592</v>
      </c>
      <c r="CC197" t="s">
        <v>332</v>
      </c>
      <c r="CD197">
        <v>1690217586.5</v>
      </c>
      <c r="CE197">
        <v>1690217592</v>
      </c>
      <c r="CF197">
        <v>9</v>
      </c>
      <c r="CG197">
        <v>0.11600000000000001</v>
      </c>
      <c r="CH197">
        <v>-3.0000000000000001E-3</v>
      </c>
      <c r="CI197">
        <v>-0.27300000000000002</v>
      </c>
      <c r="CJ197">
        <v>-6.9000000000000006E-2</v>
      </c>
      <c r="CK197">
        <v>800</v>
      </c>
      <c r="CL197">
        <v>6</v>
      </c>
      <c r="CM197">
        <v>0.01</v>
      </c>
      <c r="CN197">
        <v>0.01</v>
      </c>
      <c r="CO197">
        <v>-376.94739024390242</v>
      </c>
      <c r="CP197">
        <v>-5.2369965156792571</v>
      </c>
      <c r="CQ197">
        <v>0.5244870143268574</v>
      </c>
      <c r="CR197">
        <v>-1</v>
      </c>
      <c r="CS197">
        <v>20.335775609756091</v>
      </c>
      <c r="CT197">
        <v>0.13057421602782979</v>
      </c>
      <c r="CU197">
        <v>1.290539271830041E-2</v>
      </c>
      <c r="CV197">
        <v>-1</v>
      </c>
      <c r="CW197">
        <v>0</v>
      </c>
      <c r="CX197">
        <v>0</v>
      </c>
      <c r="CY197" t="s">
        <v>333</v>
      </c>
      <c r="CZ197">
        <v>2.3649100000000001</v>
      </c>
      <c r="DA197">
        <v>2.7138200000000001</v>
      </c>
      <c r="DB197">
        <v>9.3253000000000003E-2</v>
      </c>
      <c r="DC197">
        <v>0.146096</v>
      </c>
      <c r="DD197">
        <v>0.12072099999999999</v>
      </c>
      <c r="DE197">
        <v>3.7900299999999998E-2</v>
      </c>
      <c r="DF197">
        <v>33114.6</v>
      </c>
      <c r="DG197">
        <v>27526.9</v>
      </c>
      <c r="DH197">
        <v>31176.799999999999</v>
      </c>
      <c r="DI197">
        <v>28089.3</v>
      </c>
      <c r="DJ197">
        <v>37209.1</v>
      </c>
      <c r="DK197">
        <v>38430.300000000003</v>
      </c>
      <c r="DL197">
        <v>44368.800000000003</v>
      </c>
      <c r="DM197">
        <v>42571.8</v>
      </c>
      <c r="DN197">
        <v>1.4859800000000001</v>
      </c>
      <c r="DO197">
        <v>2.0363199999999999</v>
      </c>
      <c r="DP197">
        <v>0.12524399999999999</v>
      </c>
      <c r="DQ197">
        <v>0.145957</v>
      </c>
      <c r="DR197">
        <v>24.945699999999999</v>
      </c>
      <c r="DS197">
        <v>24.797999999999998</v>
      </c>
      <c r="DT197">
        <v>16.8</v>
      </c>
      <c r="DU197">
        <v>29.7</v>
      </c>
      <c r="DV197">
        <v>7.10351</v>
      </c>
      <c r="DW197">
        <v>61.424100000000003</v>
      </c>
      <c r="DX197">
        <v>36.939100000000003</v>
      </c>
      <c r="DY197">
        <v>1</v>
      </c>
      <c r="DZ197">
        <v>-0.10394299999999999</v>
      </c>
      <c r="EA197">
        <v>0.118017</v>
      </c>
      <c r="EB197">
        <v>20.189599999999999</v>
      </c>
      <c r="EC197">
        <v>5.2406499999999996</v>
      </c>
      <c r="ED197">
        <v>12.039899999999999</v>
      </c>
      <c r="EE197">
        <v>5.01715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1.86896</v>
      </c>
      <c r="EL197">
        <v>1.86467</v>
      </c>
      <c r="EM197">
        <v>1.8691800000000001</v>
      </c>
      <c r="EN197">
        <v>1.86727</v>
      </c>
      <c r="EO197">
        <v>1.8633999999999999</v>
      </c>
      <c r="EP197">
        <v>1.8646100000000001</v>
      </c>
      <c r="EQ197">
        <v>1.87018</v>
      </c>
      <c r="ER197">
        <v>1.8694999999999999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-6.0000000000000001E-3</v>
      </c>
      <c r="FG197">
        <v>0.19009999999999999</v>
      </c>
      <c r="FH197">
        <v>0.27827353915413472</v>
      </c>
      <c r="FI197">
        <v>-6.1462078757559423E-4</v>
      </c>
      <c r="FJ197">
        <v>-1.8861989874597051E-7</v>
      </c>
      <c r="FK197">
        <v>1.1980462299894961E-10</v>
      </c>
      <c r="FL197">
        <v>0.19010266435860859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39.799999999999997</v>
      </c>
      <c r="FU197">
        <v>39.700000000000003</v>
      </c>
      <c r="FV197">
        <v>1.7773399999999999</v>
      </c>
      <c r="FW197">
        <v>2.5903299999999998</v>
      </c>
      <c r="FX197">
        <v>1.5490699999999999</v>
      </c>
      <c r="FY197">
        <v>2.3290999999999999</v>
      </c>
      <c r="FZ197">
        <v>1.50146</v>
      </c>
      <c r="GA197">
        <v>2.2534200000000002</v>
      </c>
      <c r="GB197">
        <v>33.828299999999999</v>
      </c>
      <c r="GC197">
        <v>23.973700000000001</v>
      </c>
      <c r="GD197">
        <v>19</v>
      </c>
      <c r="GE197">
        <v>286.44200000000001</v>
      </c>
      <c r="GF197">
        <v>581.49</v>
      </c>
      <c r="GG197">
        <v>23.928100000000001</v>
      </c>
      <c r="GH197">
        <v>26.067799999999998</v>
      </c>
      <c r="GI197">
        <v>29.999700000000001</v>
      </c>
      <c r="GJ197">
        <v>26.211400000000001</v>
      </c>
      <c r="GK197">
        <v>26.194199999999999</v>
      </c>
      <c r="GL197">
        <v>35.538699999999999</v>
      </c>
      <c r="GM197">
        <v>-30</v>
      </c>
      <c r="GN197">
        <v>-30</v>
      </c>
      <c r="GO197">
        <v>23.961300000000001</v>
      </c>
      <c r="GP197">
        <v>800</v>
      </c>
      <c r="GQ197">
        <v>12.5298</v>
      </c>
      <c r="GR197">
        <v>99.754099999999994</v>
      </c>
      <c r="GS197">
        <v>99.591899999999995</v>
      </c>
    </row>
    <row r="198" spans="1:201" x14ac:dyDescent="0.25">
      <c r="A198">
        <v>182</v>
      </c>
      <c r="B198">
        <v>1690219985.0999999</v>
      </c>
      <c r="C198">
        <v>1964.599999904633</v>
      </c>
      <c r="D198" t="s">
        <v>693</v>
      </c>
      <c r="E198" t="s">
        <v>694</v>
      </c>
      <c r="F198" t="s">
        <v>330</v>
      </c>
      <c r="H198">
        <v>1690219985.0999999</v>
      </c>
      <c r="I198">
        <f t="shared" si="60"/>
        <v>1.94079227858256E-3</v>
      </c>
      <c r="J198">
        <f t="shared" si="61"/>
        <v>1.94079227858256</v>
      </c>
      <c r="K198">
        <f t="shared" si="62"/>
        <v>34.271270708871477</v>
      </c>
      <c r="L198">
        <f t="shared" si="63"/>
        <v>421.24900000000002</v>
      </c>
      <c r="M198">
        <f t="shared" si="64"/>
        <v>95.290286675398178</v>
      </c>
      <c r="N198">
        <f t="shared" si="65"/>
        <v>9.4487887097934777</v>
      </c>
      <c r="O198">
        <f t="shared" si="66"/>
        <v>41.770183867433111</v>
      </c>
      <c r="P198">
        <f t="shared" si="67"/>
        <v>0.17741708977413606</v>
      </c>
      <c r="Q198">
        <f t="shared" si="68"/>
        <v>2.1329780163781216</v>
      </c>
      <c r="R198">
        <f t="shared" si="69"/>
        <v>0.16960745933303223</v>
      </c>
      <c r="S198">
        <f t="shared" si="70"/>
        <v>0.10667767731622435</v>
      </c>
      <c r="T198">
        <f t="shared" si="71"/>
        <v>276.114748824</v>
      </c>
      <c r="U198">
        <f t="shared" si="72"/>
        <v>27.512181610663365</v>
      </c>
      <c r="V198">
        <f t="shared" si="73"/>
        <v>27.512181610663365</v>
      </c>
      <c r="W198">
        <f t="shared" si="74"/>
        <v>3.6882509829562222</v>
      </c>
      <c r="X198">
        <f t="shared" si="75"/>
        <v>76.715218567123472</v>
      </c>
      <c r="Y198">
        <f t="shared" si="76"/>
        <v>2.5895195685126904</v>
      </c>
      <c r="Z198">
        <f t="shared" si="77"/>
        <v>3.3754965662346899</v>
      </c>
      <c r="AA198">
        <f t="shared" si="78"/>
        <v>1.0987314144435318</v>
      </c>
      <c r="AB198">
        <f t="shared" si="79"/>
        <v>-85.588939485490897</v>
      </c>
      <c r="AC198">
        <f t="shared" si="80"/>
        <v>-173.1775102463543</v>
      </c>
      <c r="AD198">
        <f t="shared" si="81"/>
        <v>-17.479805003170462</v>
      </c>
      <c r="AE198">
        <f t="shared" si="82"/>
        <v>-0.13150591101563691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52653.940470757276</v>
      </c>
      <c r="AK198">
        <f t="shared" si="86"/>
        <v>1800</v>
      </c>
      <c r="AL198">
        <f t="shared" si="87"/>
        <v>1499.1151823999999</v>
      </c>
      <c r="AM198">
        <f t="shared" si="88"/>
        <v>0.83284176799999998</v>
      </c>
      <c r="AN198">
        <f t="shared" si="89"/>
        <v>0.15339708267999999</v>
      </c>
      <c r="AO198">
        <v>32.4</v>
      </c>
      <c r="AP198">
        <v>0.5</v>
      </c>
      <c r="AQ198" t="s">
        <v>331</v>
      </c>
      <c r="AR198">
        <v>2</v>
      </c>
      <c r="AS198">
        <v>1690219985.0999999</v>
      </c>
      <c r="AT198">
        <v>421.24900000000002</v>
      </c>
      <c r="AU198">
        <v>800.024</v>
      </c>
      <c r="AV198">
        <v>26.115100000000002</v>
      </c>
      <c r="AW198">
        <v>5.7118599999999997</v>
      </c>
      <c r="AX198">
        <v>421.255</v>
      </c>
      <c r="AY198">
        <v>25.925000000000001</v>
      </c>
      <c r="AZ198">
        <v>300.14600000000002</v>
      </c>
      <c r="BA198">
        <v>99.058000000000007</v>
      </c>
      <c r="BB198">
        <v>9.99419E-2</v>
      </c>
      <c r="BC198">
        <v>26.0062</v>
      </c>
      <c r="BD198">
        <v>26.965199999999999</v>
      </c>
      <c r="BE198">
        <v>27.201799999999999</v>
      </c>
      <c r="BF198">
        <v>0</v>
      </c>
      <c r="BG198">
        <v>0</v>
      </c>
      <c r="BH198">
        <v>10020</v>
      </c>
      <c r="BI198">
        <v>1067.49</v>
      </c>
      <c r="BJ198">
        <v>1.68198</v>
      </c>
      <c r="BK198">
        <v>-378.77499999999998</v>
      </c>
      <c r="BL198">
        <v>432.54500000000002</v>
      </c>
      <c r="BM198">
        <v>804.62</v>
      </c>
      <c r="BN198">
        <v>20.403199999999998</v>
      </c>
      <c r="BO198">
        <v>800.024</v>
      </c>
      <c r="BP198">
        <v>5.7118599999999997</v>
      </c>
      <c r="BQ198">
        <v>2.58691</v>
      </c>
      <c r="BR198">
        <v>0.56580600000000003</v>
      </c>
      <c r="BS198">
        <v>21.5839</v>
      </c>
      <c r="BT198">
        <v>-1.11246</v>
      </c>
      <c r="BU198">
        <v>1800</v>
      </c>
      <c r="BV198">
        <v>0.91001799999999999</v>
      </c>
      <c r="BW198">
        <v>3.3994400000000001E-2</v>
      </c>
      <c r="BX198">
        <v>2.1996399999999999E-2</v>
      </c>
      <c r="BY198">
        <v>3.3991599999999997E-2</v>
      </c>
      <c r="BZ198">
        <v>26</v>
      </c>
      <c r="CA198">
        <v>33528.5</v>
      </c>
      <c r="CB198">
        <v>1690217592</v>
      </c>
      <c r="CC198" t="s">
        <v>332</v>
      </c>
      <c r="CD198">
        <v>1690217586.5</v>
      </c>
      <c r="CE198">
        <v>1690217592</v>
      </c>
      <c r="CF198">
        <v>9</v>
      </c>
      <c r="CG198">
        <v>0.11600000000000001</v>
      </c>
      <c r="CH198">
        <v>-3.0000000000000001E-3</v>
      </c>
      <c r="CI198">
        <v>-0.27300000000000002</v>
      </c>
      <c r="CJ198">
        <v>-6.9000000000000006E-2</v>
      </c>
      <c r="CK198">
        <v>800</v>
      </c>
      <c r="CL198">
        <v>6</v>
      </c>
      <c r="CM198">
        <v>0.01</v>
      </c>
      <c r="CN198">
        <v>0.01</v>
      </c>
      <c r="CO198">
        <v>-377.76497560975611</v>
      </c>
      <c r="CP198">
        <v>-4.7594216027878788</v>
      </c>
      <c r="CQ198">
        <v>0.47365915952836263</v>
      </c>
      <c r="CR198">
        <v>-1</v>
      </c>
      <c r="CS198">
        <v>20.359014634146341</v>
      </c>
      <c r="CT198">
        <v>0.15967735191641061</v>
      </c>
      <c r="CU198">
        <v>1.6284401648855931E-2</v>
      </c>
      <c r="CV198">
        <v>-1</v>
      </c>
      <c r="CW198">
        <v>0</v>
      </c>
      <c r="CX198">
        <v>0</v>
      </c>
      <c r="CY198" t="s">
        <v>333</v>
      </c>
      <c r="CZ198">
        <v>2.3645999999999998</v>
      </c>
      <c r="DA198">
        <v>2.7137500000000001</v>
      </c>
      <c r="DB198">
        <v>9.3090999999999993E-2</v>
      </c>
      <c r="DC198">
        <v>0.14610300000000001</v>
      </c>
      <c r="DD198">
        <v>0.120877</v>
      </c>
      <c r="DE198">
        <v>3.7900999999999997E-2</v>
      </c>
      <c r="DF198">
        <v>33120.1</v>
      </c>
      <c r="DG198">
        <v>27526.5</v>
      </c>
      <c r="DH198">
        <v>31176.400000000001</v>
      </c>
      <c r="DI198">
        <v>28089.1</v>
      </c>
      <c r="DJ198">
        <v>37202</v>
      </c>
      <c r="DK198">
        <v>38430.1</v>
      </c>
      <c r="DL198">
        <v>44368.4</v>
      </c>
      <c r="DM198">
        <v>42571.7</v>
      </c>
      <c r="DN198">
        <v>1.4853000000000001</v>
      </c>
      <c r="DO198">
        <v>2.0361799999999999</v>
      </c>
      <c r="DP198">
        <v>0.123501</v>
      </c>
      <c r="DQ198">
        <v>0.14690300000000001</v>
      </c>
      <c r="DR198">
        <v>24.942</v>
      </c>
      <c r="DS198">
        <v>24.795400000000001</v>
      </c>
      <c r="DT198">
        <v>16.7</v>
      </c>
      <c r="DU198">
        <v>29.8</v>
      </c>
      <c r="DV198">
        <v>7.1001200000000004</v>
      </c>
      <c r="DW198">
        <v>61.624099999999999</v>
      </c>
      <c r="DX198">
        <v>36.682699999999997</v>
      </c>
      <c r="DY198">
        <v>1</v>
      </c>
      <c r="DZ198">
        <v>-0.104322</v>
      </c>
      <c r="EA198">
        <v>0.174905</v>
      </c>
      <c r="EB198">
        <v>20.189599999999999</v>
      </c>
      <c r="EC198">
        <v>5.2413999999999996</v>
      </c>
      <c r="ED198">
        <v>12.039899999999999</v>
      </c>
      <c r="EE198">
        <v>5.01675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1.8646400000000001</v>
      </c>
      <c r="EM198">
        <v>1.8691599999999999</v>
      </c>
      <c r="EN198">
        <v>1.86724</v>
      </c>
      <c r="EO198">
        <v>1.8633999999999999</v>
      </c>
      <c r="EP198">
        <v>1.86459</v>
      </c>
      <c r="EQ198">
        <v>1.87018</v>
      </c>
      <c r="ER198">
        <v>1.86948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-6.0000000000000001E-3</v>
      </c>
      <c r="FG198">
        <v>0.19009999999999999</v>
      </c>
      <c r="FH198">
        <v>0.27827353915413472</v>
      </c>
      <c r="FI198">
        <v>-6.1462078757559423E-4</v>
      </c>
      <c r="FJ198">
        <v>-1.8861989874597051E-7</v>
      </c>
      <c r="FK198">
        <v>1.1980462299894961E-10</v>
      </c>
      <c r="FL198">
        <v>0.19010266435860859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40</v>
      </c>
      <c r="FU198">
        <v>39.9</v>
      </c>
      <c r="FV198">
        <v>1.7773399999999999</v>
      </c>
      <c r="FW198">
        <v>2.5927699999999998</v>
      </c>
      <c r="FX198">
        <v>1.5490699999999999</v>
      </c>
      <c r="FY198">
        <v>2.3290999999999999</v>
      </c>
      <c r="FZ198">
        <v>1.50146</v>
      </c>
      <c r="GA198">
        <v>2.2839399999999999</v>
      </c>
      <c r="GB198">
        <v>33.828299999999999</v>
      </c>
      <c r="GC198">
        <v>23.973700000000001</v>
      </c>
      <c r="GD198">
        <v>19</v>
      </c>
      <c r="GE198">
        <v>286.15199999999999</v>
      </c>
      <c r="GF198">
        <v>581.36699999999996</v>
      </c>
      <c r="GG198">
        <v>23.977699999999999</v>
      </c>
      <c r="GH198">
        <v>26.067799999999998</v>
      </c>
      <c r="GI198">
        <v>29.9999</v>
      </c>
      <c r="GJ198">
        <v>26.211400000000001</v>
      </c>
      <c r="GK198">
        <v>26.194199999999999</v>
      </c>
      <c r="GL198">
        <v>35.538699999999999</v>
      </c>
      <c r="GM198">
        <v>-30</v>
      </c>
      <c r="GN198">
        <v>-30</v>
      </c>
      <c r="GO198">
        <v>24.0137</v>
      </c>
      <c r="GP198">
        <v>800</v>
      </c>
      <c r="GQ198">
        <v>12.5298</v>
      </c>
      <c r="GR198">
        <v>99.753</v>
      </c>
      <c r="GS198">
        <v>99.591499999999996</v>
      </c>
    </row>
    <row r="199" spans="1:201" x14ac:dyDescent="0.25">
      <c r="A199">
        <v>183</v>
      </c>
      <c r="B199">
        <v>1690219995.0999999</v>
      </c>
      <c r="C199">
        <v>1974.599999904633</v>
      </c>
      <c r="D199" t="s">
        <v>695</v>
      </c>
      <c r="E199" t="s">
        <v>696</v>
      </c>
      <c r="F199" t="s">
        <v>330</v>
      </c>
      <c r="H199">
        <v>1690219995.0999999</v>
      </c>
      <c r="I199">
        <f t="shared" si="60"/>
        <v>1.946454306374863E-3</v>
      </c>
      <c r="J199">
        <f t="shared" si="61"/>
        <v>1.9464543063748629</v>
      </c>
      <c r="K199">
        <f t="shared" si="62"/>
        <v>34.346886105927645</v>
      </c>
      <c r="L199">
        <f t="shared" si="63"/>
        <v>420.517</v>
      </c>
      <c r="M199">
        <f t="shared" si="64"/>
        <v>96.089013214106984</v>
      </c>
      <c r="N199">
        <f t="shared" si="65"/>
        <v>9.5279818999305057</v>
      </c>
      <c r="O199">
        <f t="shared" si="66"/>
        <v>41.697570102893401</v>
      </c>
      <c r="P199">
        <f t="shared" si="67"/>
        <v>0.17870643933740171</v>
      </c>
      <c r="Q199">
        <f t="shared" si="68"/>
        <v>2.1305755361751433</v>
      </c>
      <c r="R199">
        <f t="shared" si="69"/>
        <v>0.17077710399127108</v>
      </c>
      <c r="S199">
        <f t="shared" si="70"/>
        <v>0.10741878791266744</v>
      </c>
      <c r="T199">
        <f t="shared" si="71"/>
        <v>276.11453611799999</v>
      </c>
      <c r="U199">
        <f t="shared" si="72"/>
        <v>27.517240043420827</v>
      </c>
      <c r="V199">
        <f t="shared" si="73"/>
        <v>27.517240043420827</v>
      </c>
      <c r="W199">
        <f t="shared" si="74"/>
        <v>3.689342705439127</v>
      </c>
      <c r="X199">
        <f t="shared" si="75"/>
        <v>76.852303228776847</v>
      </c>
      <c r="Y199">
        <f t="shared" si="76"/>
        <v>2.5949912104950603</v>
      </c>
      <c r="Z199">
        <f t="shared" si="77"/>
        <v>3.376595237191776</v>
      </c>
      <c r="AA199">
        <f t="shared" si="78"/>
        <v>1.0943514949440667</v>
      </c>
      <c r="AB199">
        <f t="shared" si="79"/>
        <v>-85.838634911131464</v>
      </c>
      <c r="AC199">
        <f t="shared" si="80"/>
        <v>-172.93173172610011</v>
      </c>
      <c r="AD199">
        <f t="shared" si="81"/>
        <v>-17.475602983395436</v>
      </c>
      <c r="AE199">
        <f t="shared" si="82"/>
        <v>-0.13143350262703279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52549.014752681243</v>
      </c>
      <c r="AK199">
        <f t="shared" si="86"/>
        <v>1800</v>
      </c>
      <c r="AL199">
        <f t="shared" si="87"/>
        <v>1499.1142428000001</v>
      </c>
      <c r="AM199">
        <f t="shared" si="88"/>
        <v>0.83284124600000009</v>
      </c>
      <c r="AN199">
        <f t="shared" si="89"/>
        <v>0.15339696450999998</v>
      </c>
      <c r="AO199">
        <v>32.4</v>
      </c>
      <c r="AP199">
        <v>0.5</v>
      </c>
      <c r="AQ199" t="s">
        <v>331</v>
      </c>
      <c r="AR199">
        <v>2</v>
      </c>
      <c r="AS199">
        <v>1690219995.0999999</v>
      </c>
      <c r="AT199">
        <v>420.517</v>
      </c>
      <c r="AU199">
        <v>800.08699999999999</v>
      </c>
      <c r="AV199">
        <v>26.170300000000001</v>
      </c>
      <c r="AW199">
        <v>5.7103999999999999</v>
      </c>
      <c r="AX199">
        <v>420.52199999999999</v>
      </c>
      <c r="AY199">
        <v>25.9802</v>
      </c>
      <c r="AZ199">
        <v>300.17099999999999</v>
      </c>
      <c r="BA199">
        <v>99.057900000000004</v>
      </c>
      <c r="BB199">
        <v>9.9970199999999995E-2</v>
      </c>
      <c r="BC199">
        <v>26.011700000000001</v>
      </c>
      <c r="BD199">
        <v>27.007300000000001</v>
      </c>
      <c r="BE199">
        <v>27.181100000000001</v>
      </c>
      <c r="BF199">
        <v>0</v>
      </c>
      <c r="BG199">
        <v>0</v>
      </c>
      <c r="BH199">
        <v>9999.3799999999992</v>
      </c>
      <c r="BI199">
        <v>1067.5899999999999</v>
      </c>
      <c r="BJ199">
        <v>1.68198</v>
      </c>
      <c r="BK199">
        <v>-379.57</v>
      </c>
      <c r="BL199">
        <v>431.81799999999998</v>
      </c>
      <c r="BM199">
        <v>804.68200000000002</v>
      </c>
      <c r="BN199">
        <v>20.459900000000001</v>
      </c>
      <c r="BO199">
        <v>800.08699999999999</v>
      </c>
      <c r="BP199">
        <v>5.7103999999999999</v>
      </c>
      <c r="BQ199">
        <v>2.5923799999999999</v>
      </c>
      <c r="BR199">
        <v>0.56566000000000005</v>
      </c>
      <c r="BS199">
        <v>21.618400000000001</v>
      </c>
      <c r="BT199">
        <v>-1.1159600000000001</v>
      </c>
      <c r="BU199">
        <v>1800</v>
      </c>
      <c r="BV199">
        <v>0.91001799999999999</v>
      </c>
      <c r="BW199">
        <v>3.3994099999999999E-2</v>
      </c>
      <c r="BX199">
        <v>2.19963E-2</v>
      </c>
      <c r="BY199">
        <v>3.3991300000000002E-2</v>
      </c>
      <c r="BZ199">
        <v>26</v>
      </c>
      <c r="CA199">
        <v>33528.400000000001</v>
      </c>
      <c r="CB199">
        <v>1690217592</v>
      </c>
      <c r="CC199" t="s">
        <v>332</v>
      </c>
      <c r="CD199">
        <v>1690217586.5</v>
      </c>
      <c r="CE199">
        <v>1690217592</v>
      </c>
      <c r="CF199">
        <v>9</v>
      </c>
      <c r="CG199">
        <v>0.11600000000000001</v>
      </c>
      <c r="CH199">
        <v>-3.0000000000000001E-3</v>
      </c>
      <c r="CI199">
        <v>-0.27300000000000002</v>
      </c>
      <c r="CJ199">
        <v>-6.9000000000000006E-2</v>
      </c>
      <c r="CK199">
        <v>800</v>
      </c>
      <c r="CL199">
        <v>6</v>
      </c>
      <c r="CM199">
        <v>0.01</v>
      </c>
      <c r="CN199">
        <v>0.01</v>
      </c>
      <c r="CO199">
        <v>-378.62467500000002</v>
      </c>
      <c r="CP199">
        <v>-5.1142401500936936</v>
      </c>
      <c r="CQ199">
        <v>0.49466960627776768</v>
      </c>
      <c r="CR199">
        <v>-1</v>
      </c>
      <c r="CS199">
        <v>20.401295000000001</v>
      </c>
      <c r="CT199">
        <v>0.3240720450281151</v>
      </c>
      <c r="CU199">
        <v>3.124751950155398E-2</v>
      </c>
      <c r="CV199">
        <v>-1</v>
      </c>
      <c r="CW199">
        <v>0</v>
      </c>
      <c r="CX199">
        <v>0</v>
      </c>
      <c r="CY199" t="s">
        <v>333</v>
      </c>
      <c r="CZ199">
        <v>2.3646600000000002</v>
      </c>
      <c r="DA199">
        <v>2.7137600000000002</v>
      </c>
      <c r="DB199">
        <v>9.2969300000000005E-2</v>
      </c>
      <c r="DC199">
        <v>0.14611099999999999</v>
      </c>
      <c r="DD199">
        <v>0.121056</v>
      </c>
      <c r="DE199">
        <v>3.7893200000000002E-2</v>
      </c>
      <c r="DF199">
        <v>33125</v>
      </c>
      <c r="DG199">
        <v>27526.400000000001</v>
      </c>
      <c r="DH199">
        <v>31176.799999999999</v>
      </c>
      <c r="DI199">
        <v>28089.3</v>
      </c>
      <c r="DJ199">
        <v>37194.6</v>
      </c>
      <c r="DK199">
        <v>38430.6</v>
      </c>
      <c r="DL199">
        <v>44368.7</v>
      </c>
      <c r="DM199">
        <v>42571.9</v>
      </c>
      <c r="DN199">
        <v>1.48617</v>
      </c>
      <c r="DO199">
        <v>2.0367299999999999</v>
      </c>
      <c r="DP199">
        <v>0.126109</v>
      </c>
      <c r="DQ199">
        <v>0.14566599999999999</v>
      </c>
      <c r="DR199">
        <v>24.941500000000001</v>
      </c>
      <c r="DS199">
        <v>24.794899999999998</v>
      </c>
      <c r="DT199">
        <v>16.7</v>
      </c>
      <c r="DU199">
        <v>29.8</v>
      </c>
      <c r="DV199">
        <v>7.1013599999999997</v>
      </c>
      <c r="DW199">
        <v>61.944099999999999</v>
      </c>
      <c r="DX199">
        <v>36.502400000000002</v>
      </c>
      <c r="DY199">
        <v>1</v>
      </c>
      <c r="DZ199">
        <v>-0.104726</v>
      </c>
      <c r="EA199">
        <v>0.134769</v>
      </c>
      <c r="EB199">
        <v>20.189800000000002</v>
      </c>
      <c r="EC199">
        <v>5.2418500000000003</v>
      </c>
      <c r="ED199">
        <v>12.039899999999999</v>
      </c>
      <c r="EE199">
        <v>5.0170500000000002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1.86894</v>
      </c>
      <c r="EL199">
        <v>1.86466</v>
      </c>
      <c r="EM199">
        <v>1.8691899999999999</v>
      </c>
      <c r="EN199">
        <v>1.8672599999999999</v>
      </c>
      <c r="EO199">
        <v>1.8633999999999999</v>
      </c>
      <c r="EP199">
        <v>1.8646</v>
      </c>
      <c r="EQ199">
        <v>1.87016</v>
      </c>
      <c r="ER199">
        <v>1.8694599999999999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-5.0000000000000001E-3</v>
      </c>
      <c r="FG199">
        <v>0.19009999999999999</v>
      </c>
      <c r="FH199">
        <v>0.27827353915413472</v>
      </c>
      <c r="FI199">
        <v>-6.1462078757559423E-4</v>
      </c>
      <c r="FJ199">
        <v>-1.8861989874597051E-7</v>
      </c>
      <c r="FK199">
        <v>1.1980462299894961E-10</v>
      </c>
      <c r="FL199">
        <v>0.19010266435860859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40.1</v>
      </c>
      <c r="FU199">
        <v>40.1</v>
      </c>
      <c r="FV199">
        <v>1.7773399999999999</v>
      </c>
      <c r="FW199">
        <v>2.5891099999999998</v>
      </c>
      <c r="FX199">
        <v>1.5490699999999999</v>
      </c>
      <c r="FY199">
        <v>2.3290999999999999</v>
      </c>
      <c r="FZ199">
        <v>1.50146</v>
      </c>
      <c r="GA199">
        <v>2.2827099999999998</v>
      </c>
      <c r="GB199">
        <v>33.850900000000003</v>
      </c>
      <c r="GC199">
        <v>23.973700000000001</v>
      </c>
      <c r="GD199">
        <v>19</v>
      </c>
      <c r="GE199">
        <v>286.51799999999997</v>
      </c>
      <c r="GF199">
        <v>581.80200000000002</v>
      </c>
      <c r="GG199">
        <v>24.032599999999999</v>
      </c>
      <c r="GH199">
        <v>26.067799999999998</v>
      </c>
      <c r="GI199">
        <v>30</v>
      </c>
      <c r="GJ199">
        <v>26.209199999999999</v>
      </c>
      <c r="GK199">
        <v>26.192599999999999</v>
      </c>
      <c r="GL199">
        <v>35.538200000000003</v>
      </c>
      <c r="GM199">
        <v>-30</v>
      </c>
      <c r="GN199">
        <v>-30</v>
      </c>
      <c r="GO199">
        <v>23.9955</v>
      </c>
      <c r="GP199">
        <v>800</v>
      </c>
      <c r="GQ199">
        <v>12.5298</v>
      </c>
      <c r="GR199">
        <v>99.753900000000002</v>
      </c>
      <c r="GS199">
        <v>99.591999999999999</v>
      </c>
    </row>
    <row r="200" spans="1:201" x14ac:dyDescent="0.25">
      <c r="A200">
        <v>184</v>
      </c>
      <c r="B200">
        <v>1690220005.0999999</v>
      </c>
      <c r="C200">
        <v>1984.599999904633</v>
      </c>
      <c r="D200" t="s">
        <v>697</v>
      </c>
      <c r="E200" t="s">
        <v>698</v>
      </c>
      <c r="F200" t="s">
        <v>330</v>
      </c>
      <c r="H200">
        <v>1690220005.0999999</v>
      </c>
      <c r="I200">
        <f t="shared" si="60"/>
        <v>1.9504324388497473E-3</v>
      </c>
      <c r="J200">
        <f t="shared" si="61"/>
        <v>1.9504324388497474</v>
      </c>
      <c r="K200">
        <f t="shared" si="62"/>
        <v>34.411072576705962</v>
      </c>
      <c r="L200">
        <f t="shared" si="63"/>
        <v>419.71499999999997</v>
      </c>
      <c r="M200">
        <f t="shared" si="64"/>
        <v>96.280115597277785</v>
      </c>
      <c r="N200">
        <f t="shared" si="65"/>
        <v>9.5466414020879178</v>
      </c>
      <c r="O200">
        <f t="shared" si="66"/>
        <v>41.616782148843001</v>
      </c>
      <c r="P200">
        <f t="shared" si="67"/>
        <v>0.17962668510714064</v>
      </c>
      <c r="Q200">
        <f t="shared" si="68"/>
        <v>2.1293740496460427</v>
      </c>
      <c r="R200">
        <f t="shared" si="69"/>
        <v>0.17161314010796394</v>
      </c>
      <c r="S200">
        <f t="shared" si="70"/>
        <v>0.1079484034230124</v>
      </c>
      <c r="T200">
        <f t="shared" si="71"/>
        <v>276.11468825400004</v>
      </c>
      <c r="U200">
        <f t="shared" si="72"/>
        <v>27.521717413918623</v>
      </c>
      <c r="V200">
        <f t="shared" si="73"/>
        <v>27.521717413918623</v>
      </c>
      <c r="W200">
        <f t="shared" si="74"/>
        <v>3.6903092570058087</v>
      </c>
      <c r="X200">
        <f t="shared" si="75"/>
        <v>76.951549259511566</v>
      </c>
      <c r="Y200">
        <f t="shared" si="76"/>
        <v>2.5991265194505604</v>
      </c>
      <c r="Z200">
        <f t="shared" si="77"/>
        <v>3.3776142838726493</v>
      </c>
      <c r="AA200">
        <f t="shared" si="78"/>
        <v>1.0911827375552483</v>
      </c>
      <c r="AB200">
        <f t="shared" si="79"/>
        <v>-86.014070553273854</v>
      </c>
      <c r="AC200">
        <f t="shared" si="80"/>
        <v>-172.76273393142321</v>
      </c>
      <c r="AD200">
        <f t="shared" si="81"/>
        <v>-17.46921287359039</v>
      </c>
      <c r="AE200">
        <f t="shared" si="82"/>
        <v>-0.13132910428740274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52496.116970789728</v>
      </c>
      <c r="AK200">
        <f t="shared" si="86"/>
        <v>1800</v>
      </c>
      <c r="AL200">
        <f t="shared" si="87"/>
        <v>1499.1155964</v>
      </c>
      <c r="AM200">
        <f t="shared" si="88"/>
        <v>0.83284199800000003</v>
      </c>
      <c r="AN200">
        <f t="shared" si="89"/>
        <v>0.15339704903000001</v>
      </c>
      <c r="AO200">
        <v>32.4</v>
      </c>
      <c r="AP200">
        <v>0.5</v>
      </c>
      <c r="AQ200" t="s">
        <v>331</v>
      </c>
      <c r="AR200">
        <v>2</v>
      </c>
      <c r="AS200">
        <v>1690220005.0999999</v>
      </c>
      <c r="AT200">
        <v>419.71499999999997</v>
      </c>
      <c r="AU200">
        <v>800.01700000000005</v>
      </c>
      <c r="AV200">
        <v>26.212800000000001</v>
      </c>
      <c r="AW200">
        <v>5.7099299999999999</v>
      </c>
      <c r="AX200">
        <v>419.71899999999999</v>
      </c>
      <c r="AY200">
        <v>26.0227</v>
      </c>
      <c r="AZ200">
        <v>300.14100000000002</v>
      </c>
      <c r="BA200">
        <v>99.054900000000004</v>
      </c>
      <c r="BB200">
        <v>9.9960199999999999E-2</v>
      </c>
      <c r="BC200">
        <v>26.0168</v>
      </c>
      <c r="BD200">
        <v>26.99</v>
      </c>
      <c r="BE200">
        <v>27.204799999999999</v>
      </c>
      <c r="BF200">
        <v>0</v>
      </c>
      <c r="BG200">
        <v>0</v>
      </c>
      <c r="BH200">
        <v>9989.3799999999992</v>
      </c>
      <c r="BI200">
        <v>1067.5</v>
      </c>
      <c r="BJ200">
        <v>1.68198</v>
      </c>
      <c r="BK200">
        <v>-380.30099999999999</v>
      </c>
      <c r="BL200">
        <v>431.01299999999998</v>
      </c>
      <c r="BM200">
        <v>804.61099999999999</v>
      </c>
      <c r="BN200">
        <v>20.5029</v>
      </c>
      <c r="BO200">
        <v>800.01700000000005</v>
      </c>
      <c r="BP200">
        <v>5.7099299999999999</v>
      </c>
      <c r="BQ200">
        <v>2.5965099999999999</v>
      </c>
      <c r="BR200">
        <v>0.56559700000000002</v>
      </c>
      <c r="BS200">
        <v>21.644400000000001</v>
      </c>
      <c r="BT200">
        <v>-1.1174999999999999</v>
      </c>
      <c r="BU200">
        <v>1800</v>
      </c>
      <c r="BV200">
        <v>0.91002000000000005</v>
      </c>
      <c r="BW200">
        <v>3.3993700000000002E-2</v>
      </c>
      <c r="BX200">
        <v>2.1995899999999999E-2</v>
      </c>
      <c r="BY200">
        <v>3.3990899999999998E-2</v>
      </c>
      <c r="BZ200">
        <v>26</v>
      </c>
      <c r="CA200">
        <v>33528.5</v>
      </c>
      <c r="CB200">
        <v>1690217592</v>
      </c>
      <c r="CC200" t="s">
        <v>332</v>
      </c>
      <c r="CD200">
        <v>1690217586.5</v>
      </c>
      <c r="CE200">
        <v>1690217592</v>
      </c>
      <c r="CF200">
        <v>9</v>
      </c>
      <c r="CG200">
        <v>0.11600000000000001</v>
      </c>
      <c r="CH200">
        <v>-3.0000000000000001E-3</v>
      </c>
      <c r="CI200">
        <v>-0.27300000000000002</v>
      </c>
      <c r="CJ200">
        <v>-6.9000000000000006E-2</v>
      </c>
      <c r="CK200">
        <v>800</v>
      </c>
      <c r="CL200">
        <v>6</v>
      </c>
      <c r="CM200">
        <v>0.01</v>
      </c>
      <c r="CN200">
        <v>0.01</v>
      </c>
      <c r="CO200">
        <v>-379.39765853658542</v>
      </c>
      <c r="CP200">
        <v>-4.7468571428575688</v>
      </c>
      <c r="CQ200">
        <v>0.46991538469025929</v>
      </c>
      <c r="CR200">
        <v>-1</v>
      </c>
      <c r="CS200">
        <v>20.4506487804878</v>
      </c>
      <c r="CT200">
        <v>0.3186250871080587</v>
      </c>
      <c r="CU200">
        <v>3.1478967984069683E-2</v>
      </c>
      <c r="CV200">
        <v>-1</v>
      </c>
      <c r="CW200">
        <v>0</v>
      </c>
      <c r="CX200">
        <v>0</v>
      </c>
      <c r="CY200" t="s">
        <v>333</v>
      </c>
      <c r="CZ200">
        <v>2.3645700000000001</v>
      </c>
      <c r="DA200">
        <v>2.71374</v>
      </c>
      <c r="DB200">
        <v>9.2832499999999998E-2</v>
      </c>
      <c r="DC200">
        <v>0.14609800000000001</v>
      </c>
      <c r="DD200">
        <v>0.12119000000000001</v>
      </c>
      <c r="DE200">
        <v>3.78895E-2</v>
      </c>
      <c r="DF200">
        <v>33130</v>
      </c>
      <c r="DG200">
        <v>27527.200000000001</v>
      </c>
      <c r="DH200">
        <v>31176.799999999999</v>
      </c>
      <c r="DI200">
        <v>28089.7</v>
      </c>
      <c r="DJ200">
        <v>37188.9</v>
      </c>
      <c r="DK200">
        <v>38431.300000000003</v>
      </c>
      <c r="DL200">
        <v>44368.7</v>
      </c>
      <c r="DM200">
        <v>42572.4</v>
      </c>
      <c r="DN200">
        <v>1.4858199999999999</v>
      </c>
      <c r="DO200">
        <v>2.0369000000000002</v>
      </c>
      <c r="DP200">
        <v>0.125051</v>
      </c>
      <c r="DQ200">
        <v>0.147119</v>
      </c>
      <c r="DR200">
        <v>24.941500000000001</v>
      </c>
      <c r="DS200">
        <v>24.794899999999998</v>
      </c>
      <c r="DT200">
        <v>16.7</v>
      </c>
      <c r="DU200">
        <v>29.7</v>
      </c>
      <c r="DV200">
        <v>7.05938</v>
      </c>
      <c r="DW200">
        <v>61.9041</v>
      </c>
      <c r="DX200">
        <v>36.241999999999997</v>
      </c>
      <c r="DY200">
        <v>1</v>
      </c>
      <c r="DZ200">
        <v>-0.103976</v>
      </c>
      <c r="EA200">
        <v>0.255741</v>
      </c>
      <c r="EB200">
        <v>20.189299999999999</v>
      </c>
      <c r="EC200">
        <v>5.2413999999999996</v>
      </c>
      <c r="ED200">
        <v>12.039899999999999</v>
      </c>
      <c r="EE200">
        <v>5.0170000000000003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1.86894</v>
      </c>
      <c r="EL200">
        <v>1.86466</v>
      </c>
      <c r="EM200">
        <v>1.8692</v>
      </c>
      <c r="EN200">
        <v>1.8672599999999999</v>
      </c>
      <c r="EO200">
        <v>1.8633999999999999</v>
      </c>
      <c r="EP200">
        <v>1.86459</v>
      </c>
      <c r="EQ200">
        <v>1.87016</v>
      </c>
      <c r="ER200">
        <v>1.8694999999999999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-4.0000000000000001E-3</v>
      </c>
      <c r="FG200">
        <v>0.19009999999999999</v>
      </c>
      <c r="FH200">
        <v>0.27827353915413472</v>
      </c>
      <c r="FI200">
        <v>-6.1462078757559423E-4</v>
      </c>
      <c r="FJ200">
        <v>-1.8861989874597051E-7</v>
      </c>
      <c r="FK200">
        <v>1.1980462299894961E-10</v>
      </c>
      <c r="FL200">
        <v>0.19010266435860859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40.299999999999997</v>
      </c>
      <c r="FU200">
        <v>40.200000000000003</v>
      </c>
      <c r="FV200">
        <v>1.7773399999999999</v>
      </c>
      <c r="FW200">
        <v>2.5915499999999998</v>
      </c>
      <c r="FX200">
        <v>1.5490699999999999</v>
      </c>
      <c r="FY200">
        <v>2.3290999999999999</v>
      </c>
      <c r="FZ200">
        <v>1.50146</v>
      </c>
      <c r="GA200">
        <v>2.3120099999999999</v>
      </c>
      <c r="GB200">
        <v>33.850900000000003</v>
      </c>
      <c r="GC200">
        <v>23.973700000000001</v>
      </c>
      <c r="GD200">
        <v>19</v>
      </c>
      <c r="GE200">
        <v>286.36799999999999</v>
      </c>
      <c r="GF200">
        <v>581.94000000000005</v>
      </c>
      <c r="GG200">
        <v>24.006399999999999</v>
      </c>
      <c r="GH200">
        <v>26.067799999999998</v>
      </c>
      <c r="GI200">
        <v>30.0002</v>
      </c>
      <c r="GJ200">
        <v>26.209199999999999</v>
      </c>
      <c r="GK200">
        <v>26.192</v>
      </c>
      <c r="GL200">
        <v>35.5379</v>
      </c>
      <c r="GM200">
        <v>-30</v>
      </c>
      <c r="GN200">
        <v>-30</v>
      </c>
      <c r="GO200">
        <v>24.0246</v>
      </c>
      <c r="GP200">
        <v>800</v>
      </c>
      <c r="GQ200">
        <v>12.5298</v>
      </c>
      <c r="GR200">
        <v>99.754000000000005</v>
      </c>
      <c r="GS200">
        <v>99.593400000000003</v>
      </c>
    </row>
    <row r="201" spans="1:201" x14ac:dyDescent="0.25">
      <c r="A201">
        <v>185</v>
      </c>
      <c r="B201">
        <v>1690220015.0999999</v>
      </c>
      <c r="C201">
        <v>1994.599999904633</v>
      </c>
      <c r="D201" t="s">
        <v>699</v>
      </c>
      <c r="E201" t="s">
        <v>700</v>
      </c>
      <c r="F201" t="s">
        <v>330</v>
      </c>
      <c r="H201">
        <v>1690220015.0999999</v>
      </c>
      <c r="I201">
        <f t="shared" si="60"/>
        <v>1.9536595563371269E-3</v>
      </c>
      <c r="J201">
        <f t="shared" si="61"/>
        <v>1.9536595563371268</v>
      </c>
      <c r="K201">
        <f t="shared" si="62"/>
        <v>34.48476805563417</v>
      </c>
      <c r="L201">
        <f t="shared" si="63"/>
        <v>418.91300000000001</v>
      </c>
      <c r="M201">
        <f t="shared" si="64"/>
        <v>96.555434250957717</v>
      </c>
      <c r="N201">
        <f t="shared" si="65"/>
        <v>9.5739785116785789</v>
      </c>
      <c r="O201">
        <f t="shared" si="66"/>
        <v>41.537424499989001</v>
      </c>
      <c r="P201">
        <f t="shared" si="67"/>
        <v>0.18064102239844615</v>
      </c>
      <c r="Q201">
        <f t="shared" si="68"/>
        <v>2.1315598068643999</v>
      </c>
      <c r="R201">
        <f t="shared" si="69"/>
        <v>0.17254682004553948</v>
      </c>
      <c r="S201">
        <f t="shared" si="70"/>
        <v>0.1085387677829627</v>
      </c>
      <c r="T201">
        <f t="shared" si="71"/>
        <v>276.11449428599997</v>
      </c>
      <c r="U201">
        <f t="shared" si="72"/>
        <v>27.515892260139811</v>
      </c>
      <c r="V201">
        <f t="shared" si="73"/>
        <v>27.515892260139811</v>
      </c>
      <c r="W201">
        <f t="shared" si="74"/>
        <v>3.6890517962250144</v>
      </c>
      <c r="X201">
        <f t="shared" si="75"/>
        <v>77.051150273544138</v>
      </c>
      <c r="Y201">
        <f t="shared" si="76"/>
        <v>2.6019825715994997</v>
      </c>
      <c r="Z201">
        <f t="shared" si="77"/>
        <v>3.3769548700597429</v>
      </c>
      <c r="AA201">
        <f t="shared" si="78"/>
        <v>1.0870692246255147</v>
      </c>
      <c r="AB201">
        <f t="shared" si="79"/>
        <v>-86.156386434467294</v>
      </c>
      <c r="AC201">
        <f t="shared" si="80"/>
        <v>-172.64988898822642</v>
      </c>
      <c r="AD201">
        <f t="shared" si="81"/>
        <v>-17.43910399348918</v>
      </c>
      <c r="AE201">
        <f t="shared" si="82"/>
        <v>-0.13088513018294634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52591.212303944965</v>
      </c>
      <c r="AK201">
        <f t="shared" si="86"/>
        <v>1800</v>
      </c>
      <c r="AL201">
        <f t="shared" si="87"/>
        <v>1499.1150725999996</v>
      </c>
      <c r="AM201">
        <f t="shared" si="88"/>
        <v>0.83284170699999982</v>
      </c>
      <c r="AN201">
        <f t="shared" si="89"/>
        <v>0.15339694126999998</v>
      </c>
      <c r="AO201">
        <v>32.4</v>
      </c>
      <c r="AP201">
        <v>0.5</v>
      </c>
      <c r="AQ201" t="s">
        <v>331</v>
      </c>
      <c r="AR201">
        <v>2</v>
      </c>
      <c r="AS201">
        <v>1690220015.0999999</v>
      </c>
      <c r="AT201">
        <v>418.91300000000001</v>
      </c>
      <c r="AU201">
        <v>799.92700000000002</v>
      </c>
      <c r="AV201">
        <v>26.241499999999998</v>
      </c>
      <c r="AW201">
        <v>5.7096900000000002</v>
      </c>
      <c r="AX201">
        <v>418.91699999999997</v>
      </c>
      <c r="AY201">
        <v>26.051400000000001</v>
      </c>
      <c r="AZ201">
        <v>300.20499999999998</v>
      </c>
      <c r="BA201">
        <v>99.055199999999999</v>
      </c>
      <c r="BB201">
        <v>0.100053</v>
      </c>
      <c r="BC201">
        <v>26.013500000000001</v>
      </c>
      <c r="BD201">
        <v>26.995000000000001</v>
      </c>
      <c r="BE201">
        <v>27.177399999999999</v>
      </c>
      <c r="BF201">
        <v>0</v>
      </c>
      <c r="BG201">
        <v>0</v>
      </c>
      <c r="BH201">
        <v>10008.1</v>
      </c>
      <c r="BI201">
        <v>1067.55</v>
      </c>
      <c r="BJ201">
        <v>1.68198</v>
      </c>
      <c r="BK201">
        <v>-381.01400000000001</v>
      </c>
      <c r="BL201">
        <v>430.202</v>
      </c>
      <c r="BM201">
        <v>804.52099999999996</v>
      </c>
      <c r="BN201">
        <v>20.5318</v>
      </c>
      <c r="BO201">
        <v>799.92700000000002</v>
      </c>
      <c r="BP201">
        <v>5.7096900000000002</v>
      </c>
      <c r="BQ201">
        <v>2.5993599999999999</v>
      </c>
      <c r="BR201">
        <v>0.56557400000000002</v>
      </c>
      <c r="BS201">
        <v>21.662400000000002</v>
      </c>
      <c r="BT201">
        <v>-1.1180399999999999</v>
      </c>
      <c r="BU201">
        <v>1800</v>
      </c>
      <c r="BV201">
        <v>0.91002099999999997</v>
      </c>
      <c r="BW201">
        <v>3.3993099999999998E-2</v>
      </c>
      <c r="BX201">
        <v>2.1995600000000001E-2</v>
      </c>
      <c r="BY201">
        <v>3.3990300000000001E-2</v>
      </c>
      <c r="BZ201">
        <v>26</v>
      </c>
      <c r="CA201">
        <v>33528.5</v>
      </c>
      <c r="CB201">
        <v>1690217592</v>
      </c>
      <c r="CC201" t="s">
        <v>332</v>
      </c>
      <c r="CD201">
        <v>1690217586.5</v>
      </c>
      <c r="CE201">
        <v>1690217592</v>
      </c>
      <c r="CF201">
        <v>9</v>
      </c>
      <c r="CG201">
        <v>0.11600000000000001</v>
      </c>
      <c r="CH201">
        <v>-3.0000000000000001E-3</v>
      </c>
      <c r="CI201">
        <v>-0.27300000000000002</v>
      </c>
      <c r="CJ201">
        <v>-6.9000000000000006E-2</v>
      </c>
      <c r="CK201">
        <v>800</v>
      </c>
      <c r="CL201">
        <v>6</v>
      </c>
      <c r="CM201">
        <v>0.01</v>
      </c>
      <c r="CN201">
        <v>0.01</v>
      </c>
      <c r="CO201">
        <v>-380.17880487804882</v>
      </c>
      <c r="CP201">
        <v>-4.5810313588852418</v>
      </c>
      <c r="CQ201">
        <v>0.45630628457436317</v>
      </c>
      <c r="CR201">
        <v>-1</v>
      </c>
      <c r="CS201">
        <v>20.494839024390249</v>
      </c>
      <c r="CT201">
        <v>0.21513449477354779</v>
      </c>
      <c r="CU201">
        <v>2.1417600216835531E-2</v>
      </c>
      <c r="CV201">
        <v>-1</v>
      </c>
      <c r="CW201">
        <v>0</v>
      </c>
      <c r="CX201">
        <v>0</v>
      </c>
      <c r="CY201" t="s">
        <v>333</v>
      </c>
      <c r="CZ201">
        <v>2.3647999999999998</v>
      </c>
      <c r="DA201">
        <v>2.7138499999999999</v>
      </c>
      <c r="DB201">
        <v>9.26984E-2</v>
      </c>
      <c r="DC201">
        <v>0.146088</v>
      </c>
      <c r="DD201">
        <v>0.121283</v>
      </c>
      <c r="DE201">
        <v>3.78883E-2</v>
      </c>
      <c r="DF201">
        <v>33135.300000000003</v>
      </c>
      <c r="DG201">
        <v>27527.4</v>
      </c>
      <c r="DH201">
        <v>31177.1</v>
      </c>
      <c r="DI201">
        <v>28089.5</v>
      </c>
      <c r="DJ201">
        <v>37185.300000000003</v>
      </c>
      <c r="DK201">
        <v>38431.300000000003</v>
      </c>
      <c r="DL201">
        <v>44369.2</v>
      </c>
      <c r="DM201">
        <v>42572.4</v>
      </c>
      <c r="DN201">
        <v>1.4858800000000001</v>
      </c>
      <c r="DO201">
        <v>2.0365000000000002</v>
      </c>
      <c r="DP201">
        <v>0.125356</v>
      </c>
      <c r="DQ201">
        <v>0.14544299999999999</v>
      </c>
      <c r="DR201">
        <v>24.941500000000001</v>
      </c>
      <c r="DS201">
        <v>24.794899999999998</v>
      </c>
      <c r="DT201">
        <v>16.7</v>
      </c>
      <c r="DU201">
        <v>29.8</v>
      </c>
      <c r="DV201">
        <v>7.10128</v>
      </c>
      <c r="DW201">
        <v>61.834099999999999</v>
      </c>
      <c r="DX201">
        <v>36.181899999999999</v>
      </c>
      <c r="DY201">
        <v>1</v>
      </c>
      <c r="DZ201">
        <v>-0.10455299999999999</v>
      </c>
      <c r="EA201">
        <v>0.16226599999999999</v>
      </c>
      <c r="EB201">
        <v>20.189800000000002</v>
      </c>
      <c r="EC201">
        <v>5.2415500000000002</v>
      </c>
      <c r="ED201">
        <v>12.039899999999999</v>
      </c>
      <c r="EE201">
        <v>5.0167999999999999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1.8689199999999999</v>
      </c>
      <c r="EL201">
        <v>1.8646400000000001</v>
      </c>
      <c r="EM201">
        <v>1.8691899999999999</v>
      </c>
      <c r="EN201">
        <v>1.8672599999999999</v>
      </c>
      <c r="EO201">
        <v>1.8633999999999999</v>
      </c>
      <c r="EP201">
        <v>1.8645700000000001</v>
      </c>
      <c r="EQ201">
        <v>1.8701700000000001</v>
      </c>
      <c r="ER201">
        <v>1.86947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-4.0000000000000001E-3</v>
      </c>
      <c r="FG201">
        <v>0.19009999999999999</v>
      </c>
      <c r="FH201">
        <v>0.27827353915413472</v>
      </c>
      <c r="FI201">
        <v>-6.1462078757559423E-4</v>
      </c>
      <c r="FJ201">
        <v>-1.8861989874597051E-7</v>
      </c>
      <c r="FK201">
        <v>1.1980462299894961E-10</v>
      </c>
      <c r="FL201">
        <v>0.19010266435860859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40.5</v>
      </c>
      <c r="FU201">
        <v>40.4</v>
      </c>
      <c r="FV201">
        <v>1.7773399999999999</v>
      </c>
      <c r="FW201">
        <v>2.5915499999999998</v>
      </c>
      <c r="FX201">
        <v>1.5490699999999999</v>
      </c>
      <c r="FY201">
        <v>2.3290999999999999</v>
      </c>
      <c r="FZ201">
        <v>1.50146</v>
      </c>
      <c r="GA201">
        <v>2.34253</v>
      </c>
      <c r="GB201">
        <v>33.850900000000003</v>
      </c>
      <c r="GC201">
        <v>23.982399999999998</v>
      </c>
      <c r="GD201">
        <v>19</v>
      </c>
      <c r="GE201">
        <v>286.38900000000001</v>
      </c>
      <c r="GF201">
        <v>581.61</v>
      </c>
      <c r="GG201">
        <v>24.035399999999999</v>
      </c>
      <c r="GH201">
        <v>26.0656</v>
      </c>
      <c r="GI201">
        <v>29.9998</v>
      </c>
      <c r="GJ201">
        <v>26.209199999999999</v>
      </c>
      <c r="GK201">
        <v>26.192</v>
      </c>
      <c r="GL201">
        <v>35.540500000000002</v>
      </c>
      <c r="GM201">
        <v>-30</v>
      </c>
      <c r="GN201">
        <v>-30</v>
      </c>
      <c r="GO201">
        <v>24.058900000000001</v>
      </c>
      <c r="GP201">
        <v>800</v>
      </c>
      <c r="GQ201">
        <v>12.5298</v>
      </c>
      <c r="GR201">
        <v>99.755099999999999</v>
      </c>
      <c r="GS201">
        <v>99.593100000000007</v>
      </c>
    </row>
    <row r="202" spans="1:201" x14ac:dyDescent="0.25">
      <c r="A202">
        <v>186</v>
      </c>
      <c r="B202">
        <v>1690220025.0999999</v>
      </c>
      <c r="C202">
        <v>2004.599999904633</v>
      </c>
      <c r="D202" t="s">
        <v>701</v>
      </c>
      <c r="E202" t="s">
        <v>702</v>
      </c>
      <c r="F202" t="s">
        <v>330</v>
      </c>
      <c r="H202">
        <v>1690220025.0999999</v>
      </c>
      <c r="I202">
        <f t="shared" si="60"/>
        <v>1.9573337144253322E-3</v>
      </c>
      <c r="J202">
        <f t="shared" si="61"/>
        <v>1.9573337144253322</v>
      </c>
      <c r="K202">
        <f t="shared" si="62"/>
        <v>34.560183776927438</v>
      </c>
      <c r="L202">
        <f t="shared" si="63"/>
        <v>418.19</v>
      </c>
      <c r="M202">
        <f t="shared" si="64"/>
        <v>96.491804416269687</v>
      </c>
      <c r="N202">
        <f t="shared" si="65"/>
        <v>9.5681122731958137</v>
      </c>
      <c r="O202">
        <f t="shared" si="66"/>
        <v>41.467655162359996</v>
      </c>
      <c r="P202">
        <f t="shared" si="67"/>
        <v>0.18144028023080769</v>
      </c>
      <c r="Q202">
        <f t="shared" si="68"/>
        <v>2.1294317018407467</v>
      </c>
      <c r="R202">
        <f t="shared" si="69"/>
        <v>0.17326826833733489</v>
      </c>
      <c r="S202">
        <f t="shared" si="70"/>
        <v>0.10899621534182266</v>
      </c>
      <c r="T202">
        <f t="shared" si="71"/>
        <v>276.11280494145046</v>
      </c>
      <c r="U202">
        <f t="shared" si="72"/>
        <v>27.521652902321687</v>
      </c>
      <c r="V202">
        <f t="shared" si="73"/>
        <v>27.521652902321687</v>
      </c>
      <c r="W202">
        <f t="shared" si="74"/>
        <v>3.6902953290073048</v>
      </c>
      <c r="X202">
        <f t="shared" si="75"/>
        <v>77.13499648235917</v>
      </c>
      <c r="Y202">
        <f t="shared" si="76"/>
        <v>2.6056926326787999</v>
      </c>
      <c r="Z202">
        <f t="shared" si="77"/>
        <v>3.3780939281882558</v>
      </c>
      <c r="AA202">
        <f t="shared" si="78"/>
        <v>1.0846026963285049</v>
      </c>
      <c r="AB202">
        <f t="shared" si="79"/>
        <v>-86.318416806157146</v>
      </c>
      <c r="AC202">
        <f t="shared" si="80"/>
        <v>-172.48448076524366</v>
      </c>
      <c r="AD202">
        <f t="shared" si="81"/>
        <v>-17.440808066300825</v>
      </c>
      <c r="AE202">
        <f t="shared" si="82"/>
        <v>-0.13090069625113188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52498.292456074312</v>
      </c>
      <c r="AK202">
        <f t="shared" si="86"/>
        <v>1799.99</v>
      </c>
      <c r="AL202">
        <f t="shared" si="87"/>
        <v>1499.1060655867</v>
      </c>
      <c r="AM202">
        <f t="shared" si="88"/>
        <v>0.83284132999999994</v>
      </c>
      <c r="AN202">
        <f t="shared" si="89"/>
        <v>0.15339685494999999</v>
      </c>
      <c r="AO202">
        <v>32.4</v>
      </c>
      <c r="AP202">
        <v>0.5</v>
      </c>
      <c r="AQ202" t="s">
        <v>331</v>
      </c>
      <c r="AR202">
        <v>2</v>
      </c>
      <c r="AS202">
        <v>1690220025.0999999</v>
      </c>
      <c r="AT202">
        <v>418.19</v>
      </c>
      <c r="AU202">
        <v>800.01800000000003</v>
      </c>
      <c r="AV202">
        <v>26.277699999999999</v>
      </c>
      <c r="AW202">
        <v>5.7081099999999996</v>
      </c>
      <c r="AX202">
        <v>418.19299999999998</v>
      </c>
      <c r="AY202">
        <v>26.087599999999998</v>
      </c>
      <c r="AZ202">
        <v>300.20600000000002</v>
      </c>
      <c r="BA202">
        <v>99.059799999999996</v>
      </c>
      <c r="BB202">
        <v>0.10004399999999999</v>
      </c>
      <c r="BC202">
        <v>26.019200000000001</v>
      </c>
      <c r="BD202">
        <v>26.986699999999999</v>
      </c>
      <c r="BE202">
        <v>27.2012</v>
      </c>
      <c r="BF202">
        <v>0</v>
      </c>
      <c r="BG202">
        <v>0</v>
      </c>
      <c r="BH202">
        <v>9989.3799999999992</v>
      </c>
      <c r="BI202">
        <v>1067.51</v>
      </c>
      <c r="BJ202">
        <v>1.68198</v>
      </c>
      <c r="BK202">
        <v>-381.82799999999997</v>
      </c>
      <c r="BL202">
        <v>429.476</v>
      </c>
      <c r="BM202">
        <v>804.61099999999999</v>
      </c>
      <c r="BN202">
        <v>20.569600000000001</v>
      </c>
      <c r="BO202">
        <v>800.01800000000003</v>
      </c>
      <c r="BP202">
        <v>5.7081099999999996</v>
      </c>
      <c r="BQ202">
        <v>2.6030700000000002</v>
      </c>
      <c r="BR202">
        <v>0.56544399999999995</v>
      </c>
      <c r="BS202">
        <v>21.685700000000001</v>
      </c>
      <c r="BT202">
        <v>-1.1211800000000001</v>
      </c>
      <c r="BU202">
        <v>1799.99</v>
      </c>
      <c r="BV202">
        <v>0.91002099999999997</v>
      </c>
      <c r="BW202">
        <v>3.39929E-2</v>
      </c>
      <c r="BX202">
        <v>2.1995500000000001E-2</v>
      </c>
      <c r="BY202">
        <v>3.3990100000000002E-2</v>
      </c>
      <c r="BZ202">
        <v>26</v>
      </c>
      <c r="CA202">
        <v>33528.400000000001</v>
      </c>
      <c r="CB202">
        <v>1690217592</v>
      </c>
      <c r="CC202" t="s">
        <v>332</v>
      </c>
      <c r="CD202">
        <v>1690217586.5</v>
      </c>
      <c r="CE202">
        <v>1690217592</v>
      </c>
      <c r="CF202">
        <v>9</v>
      </c>
      <c r="CG202">
        <v>0.11600000000000001</v>
      </c>
      <c r="CH202">
        <v>-3.0000000000000001E-3</v>
      </c>
      <c r="CI202">
        <v>-0.27300000000000002</v>
      </c>
      <c r="CJ202">
        <v>-6.9000000000000006E-2</v>
      </c>
      <c r="CK202">
        <v>800</v>
      </c>
      <c r="CL202">
        <v>6</v>
      </c>
      <c r="CM202">
        <v>0.01</v>
      </c>
      <c r="CN202">
        <v>0.01</v>
      </c>
      <c r="CO202">
        <v>-380.90060975609748</v>
      </c>
      <c r="CP202">
        <v>-4.4385574912892771</v>
      </c>
      <c r="CQ202">
        <v>0.44631760965181022</v>
      </c>
      <c r="CR202">
        <v>-1</v>
      </c>
      <c r="CS202">
        <v>20.528185365853659</v>
      </c>
      <c r="CT202">
        <v>0.1888348432055528</v>
      </c>
      <c r="CU202">
        <v>1.8671989729964509E-2</v>
      </c>
      <c r="CV202">
        <v>-1</v>
      </c>
      <c r="CW202">
        <v>0</v>
      </c>
      <c r="CX202">
        <v>0</v>
      </c>
      <c r="CY202" t="s">
        <v>333</v>
      </c>
      <c r="CZ202">
        <v>2.3647900000000002</v>
      </c>
      <c r="DA202">
        <v>2.7138300000000002</v>
      </c>
      <c r="DB202">
        <v>9.2581999999999998E-2</v>
      </c>
      <c r="DC202">
        <v>0.14610600000000001</v>
      </c>
      <c r="DD202">
        <v>0.121406</v>
      </c>
      <c r="DE202">
        <v>3.7881699999999997E-2</v>
      </c>
      <c r="DF202">
        <v>33139.599999999999</v>
      </c>
      <c r="DG202">
        <v>27527</v>
      </c>
      <c r="DH202">
        <v>31177.200000000001</v>
      </c>
      <c r="DI202">
        <v>28089.7</v>
      </c>
      <c r="DJ202">
        <v>37180.1</v>
      </c>
      <c r="DK202">
        <v>38431.800000000003</v>
      </c>
      <c r="DL202">
        <v>44369.4</v>
      </c>
      <c r="DM202">
        <v>42572.7</v>
      </c>
      <c r="DN202">
        <v>1.4856</v>
      </c>
      <c r="DO202">
        <v>2.03653</v>
      </c>
      <c r="DP202">
        <v>0.124849</v>
      </c>
      <c r="DQ202">
        <v>0.146896</v>
      </c>
      <c r="DR202">
        <v>24.941500000000001</v>
      </c>
      <c r="DS202">
        <v>24.794899999999998</v>
      </c>
      <c r="DT202">
        <v>16.7</v>
      </c>
      <c r="DU202">
        <v>29.8</v>
      </c>
      <c r="DV202">
        <v>7.1002400000000003</v>
      </c>
      <c r="DW202">
        <v>62.124099999999999</v>
      </c>
      <c r="DX202">
        <v>36.029600000000002</v>
      </c>
      <c r="DY202">
        <v>1</v>
      </c>
      <c r="DZ202">
        <v>-0.104766</v>
      </c>
      <c r="EA202">
        <v>0.17310200000000001</v>
      </c>
      <c r="EB202">
        <v>20.189599999999999</v>
      </c>
      <c r="EC202">
        <v>5.2411000000000003</v>
      </c>
      <c r="ED202">
        <v>12.039899999999999</v>
      </c>
      <c r="EE202">
        <v>5.0171000000000001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1.8689499999999999</v>
      </c>
      <c r="EL202">
        <v>1.8646400000000001</v>
      </c>
      <c r="EM202">
        <v>1.8692</v>
      </c>
      <c r="EN202">
        <v>1.86724</v>
      </c>
      <c r="EO202">
        <v>1.8633999999999999</v>
      </c>
      <c r="EP202">
        <v>1.86456</v>
      </c>
      <c r="EQ202">
        <v>1.87015</v>
      </c>
      <c r="ER202">
        <v>1.86948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-3.0000000000000001E-3</v>
      </c>
      <c r="FG202">
        <v>0.19009999999999999</v>
      </c>
      <c r="FH202">
        <v>0.27827353915413472</v>
      </c>
      <c r="FI202">
        <v>-6.1462078757559423E-4</v>
      </c>
      <c r="FJ202">
        <v>-1.8861989874597051E-7</v>
      </c>
      <c r="FK202">
        <v>1.1980462299894961E-10</v>
      </c>
      <c r="FL202">
        <v>0.19010266435860859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40.6</v>
      </c>
      <c r="FU202">
        <v>40.6</v>
      </c>
      <c r="FV202">
        <v>1.7773399999999999</v>
      </c>
      <c r="FW202">
        <v>2.5866699999999998</v>
      </c>
      <c r="FX202">
        <v>1.5490699999999999</v>
      </c>
      <c r="FY202">
        <v>2.3290999999999999</v>
      </c>
      <c r="FZ202">
        <v>1.50146</v>
      </c>
      <c r="GA202">
        <v>2.35107</v>
      </c>
      <c r="GB202">
        <v>33.850900000000003</v>
      </c>
      <c r="GC202">
        <v>23.982399999999998</v>
      </c>
      <c r="GD202">
        <v>19</v>
      </c>
      <c r="GE202">
        <v>286.26100000000002</v>
      </c>
      <c r="GF202">
        <v>581.60599999999999</v>
      </c>
      <c r="GG202">
        <v>24.0654</v>
      </c>
      <c r="GH202">
        <v>26.0656</v>
      </c>
      <c r="GI202">
        <v>30</v>
      </c>
      <c r="GJ202">
        <v>26.207000000000001</v>
      </c>
      <c r="GK202">
        <v>26.189800000000002</v>
      </c>
      <c r="GL202">
        <v>35.5396</v>
      </c>
      <c r="GM202">
        <v>-30</v>
      </c>
      <c r="GN202">
        <v>-30</v>
      </c>
      <c r="GO202">
        <v>24.076699999999999</v>
      </c>
      <c r="GP202">
        <v>800</v>
      </c>
      <c r="GQ202">
        <v>12.5298</v>
      </c>
      <c r="GR202">
        <v>99.755399999999995</v>
      </c>
      <c r="GS202">
        <v>99.593800000000002</v>
      </c>
    </row>
    <row r="203" spans="1:201" x14ac:dyDescent="0.25">
      <c r="A203">
        <v>187</v>
      </c>
      <c r="B203">
        <v>1690220035.0999999</v>
      </c>
      <c r="C203">
        <v>2014.599999904633</v>
      </c>
      <c r="D203" t="s">
        <v>703</v>
      </c>
      <c r="E203" t="s">
        <v>704</v>
      </c>
      <c r="F203" t="s">
        <v>330</v>
      </c>
      <c r="H203">
        <v>1690220035.0999999</v>
      </c>
      <c r="I203">
        <f t="shared" si="60"/>
        <v>1.9608468239941906E-3</v>
      </c>
      <c r="J203">
        <f t="shared" si="61"/>
        <v>1.9608468239941907</v>
      </c>
      <c r="K203">
        <f t="shared" si="62"/>
        <v>34.617315154083578</v>
      </c>
      <c r="L203">
        <f t="shared" si="63"/>
        <v>417.44400000000002</v>
      </c>
      <c r="M203">
        <f t="shared" si="64"/>
        <v>96.545447927374639</v>
      </c>
      <c r="N203">
        <f t="shared" si="65"/>
        <v>9.573032243415966</v>
      </c>
      <c r="O203">
        <f t="shared" si="66"/>
        <v>41.391955370352008</v>
      </c>
      <c r="P203">
        <f t="shared" si="67"/>
        <v>0.18221011498429504</v>
      </c>
      <c r="Q203">
        <f t="shared" si="68"/>
        <v>2.1323690919008347</v>
      </c>
      <c r="R203">
        <f t="shared" si="69"/>
        <v>0.17398110174966974</v>
      </c>
      <c r="S203">
        <f t="shared" si="70"/>
        <v>0.10944655940486275</v>
      </c>
      <c r="T203">
        <f t="shared" si="71"/>
        <v>276.11451302399996</v>
      </c>
      <c r="U203">
        <f t="shared" si="72"/>
        <v>27.526749121234605</v>
      </c>
      <c r="V203">
        <f t="shared" si="73"/>
        <v>27.526749121234605</v>
      </c>
      <c r="W203">
        <f t="shared" si="74"/>
        <v>3.691395739641834</v>
      </c>
      <c r="X203">
        <f t="shared" si="75"/>
        <v>77.206441195960537</v>
      </c>
      <c r="Y203">
        <f t="shared" si="76"/>
        <v>2.6093716961571998</v>
      </c>
      <c r="Z203">
        <f t="shared" si="77"/>
        <v>3.3797331618151603</v>
      </c>
      <c r="AA203">
        <f t="shared" si="78"/>
        <v>1.0820240434846342</v>
      </c>
      <c r="AB203">
        <f t="shared" si="79"/>
        <v>-86.473344938143811</v>
      </c>
      <c r="AC203">
        <f t="shared" si="80"/>
        <v>-172.36559851710501</v>
      </c>
      <c r="AD203">
        <f t="shared" si="81"/>
        <v>-17.405936228423652</v>
      </c>
      <c r="AE203">
        <f t="shared" si="82"/>
        <v>-0.1303666596724895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52623.79767538263</v>
      </c>
      <c r="AK203">
        <f t="shared" si="86"/>
        <v>1800</v>
      </c>
      <c r="AL203">
        <f t="shared" si="87"/>
        <v>1499.1154884</v>
      </c>
      <c r="AM203">
        <f t="shared" si="88"/>
        <v>0.83284193800000006</v>
      </c>
      <c r="AN203">
        <f t="shared" si="89"/>
        <v>0.15339695167999998</v>
      </c>
      <c r="AO203">
        <v>32.4</v>
      </c>
      <c r="AP203">
        <v>0.5</v>
      </c>
      <c r="AQ203" t="s">
        <v>331</v>
      </c>
      <c r="AR203">
        <v>2</v>
      </c>
      <c r="AS203">
        <v>1690220035.0999999</v>
      </c>
      <c r="AT203">
        <v>417.44400000000002</v>
      </c>
      <c r="AU203">
        <v>799.94600000000003</v>
      </c>
      <c r="AV203">
        <v>26.315899999999999</v>
      </c>
      <c r="AW203">
        <v>5.7071100000000001</v>
      </c>
      <c r="AX203">
        <v>417.44600000000003</v>
      </c>
      <c r="AY203">
        <v>26.125800000000002</v>
      </c>
      <c r="AZ203">
        <v>300.161</v>
      </c>
      <c r="BA203">
        <v>99.055700000000002</v>
      </c>
      <c r="BB203">
        <v>0.100008</v>
      </c>
      <c r="BC203">
        <v>26.0274</v>
      </c>
      <c r="BD203">
        <v>26.977900000000002</v>
      </c>
      <c r="BE203">
        <v>27.202300000000001</v>
      </c>
      <c r="BF203">
        <v>0</v>
      </c>
      <c r="BG203">
        <v>0</v>
      </c>
      <c r="BH203">
        <v>10015</v>
      </c>
      <c r="BI203">
        <v>1067.51</v>
      </c>
      <c r="BJ203">
        <v>1.68198</v>
      </c>
      <c r="BK203">
        <v>-382.50200000000001</v>
      </c>
      <c r="BL203">
        <v>428.726</v>
      </c>
      <c r="BM203">
        <v>804.53800000000001</v>
      </c>
      <c r="BN203">
        <v>20.608799999999999</v>
      </c>
      <c r="BO203">
        <v>799.94600000000003</v>
      </c>
      <c r="BP203">
        <v>5.7071100000000001</v>
      </c>
      <c r="BQ203">
        <v>2.6067399999999998</v>
      </c>
      <c r="BR203">
        <v>0.56532199999999999</v>
      </c>
      <c r="BS203">
        <v>21.7087</v>
      </c>
      <c r="BT203">
        <v>-1.1241300000000001</v>
      </c>
      <c r="BU203">
        <v>1800</v>
      </c>
      <c r="BV203">
        <v>0.910022</v>
      </c>
      <c r="BW203">
        <v>3.3992799999999997E-2</v>
      </c>
      <c r="BX203">
        <v>2.1995399999999998E-2</v>
      </c>
      <c r="BY203">
        <v>3.3989999999999999E-2</v>
      </c>
      <c r="BZ203">
        <v>26</v>
      </c>
      <c r="CA203">
        <v>33528.5</v>
      </c>
      <c r="CB203">
        <v>1690217592</v>
      </c>
      <c r="CC203" t="s">
        <v>332</v>
      </c>
      <c r="CD203">
        <v>1690217586.5</v>
      </c>
      <c r="CE203">
        <v>1690217592</v>
      </c>
      <c r="CF203">
        <v>9</v>
      </c>
      <c r="CG203">
        <v>0.11600000000000001</v>
      </c>
      <c r="CH203">
        <v>-3.0000000000000001E-3</v>
      </c>
      <c r="CI203">
        <v>-0.27300000000000002</v>
      </c>
      <c r="CJ203">
        <v>-6.9000000000000006E-2</v>
      </c>
      <c r="CK203">
        <v>800</v>
      </c>
      <c r="CL203">
        <v>6</v>
      </c>
      <c r="CM203">
        <v>0.01</v>
      </c>
      <c r="CN203">
        <v>0.01</v>
      </c>
      <c r="CO203">
        <v>-381.73514634146341</v>
      </c>
      <c r="CP203">
        <v>-4.9431637630660354</v>
      </c>
      <c r="CQ203">
        <v>0.49077080046002658</v>
      </c>
      <c r="CR203">
        <v>-1</v>
      </c>
      <c r="CS203">
        <v>20.567409756097561</v>
      </c>
      <c r="CT203">
        <v>0.23721114982575339</v>
      </c>
      <c r="CU203">
        <v>2.3408168314563681E-2</v>
      </c>
      <c r="CV203">
        <v>-1</v>
      </c>
      <c r="CW203">
        <v>0</v>
      </c>
      <c r="CX203">
        <v>0</v>
      </c>
      <c r="CY203" t="s">
        <v>333</v>
      </c>
      <c r="CZ203">
        <v>2.3646400000000001</v>
      </c>
      <c r="DA203">
        <v>2.7138100000000001</v>
      </c>
      <c r="DB203">
        <v>9.2453199999999999E-2</v>
      </c>
      <c r="DC203">
        <v>0.146092</v>
      </c>
      <c r="DD203">
        <v>0.12152499999999999</v>
      </c>
      <c r="DE203">
        <v>3.7874699999999997E-2</v>
      </c>
      <c r="DF203">
        <v>33143.9</v>
      </c>
      <c r="DG203">
        <v>27527.599999999999</v>
      </c>
      <c r="DH203">
        <v>31176.799999999999</v>
      </c>
      <c r="DI203">
        <v>28089.9</v>
      </c>
      <c r="DJ203">
        <v>37174.6</v>
      </c>
      <c r="DK203">
        <v>38432.1</v>
      </c>
      <c r="DL203">
        <v>44368.9</v>
      </c>
      <c r="DM203">
        <v>42572.7</v>
      </c>
      <c r="DN203">
        <v>1.4859800000000001</v>
      </c>
      <c r="DO203">
        <v>2.0364499999999999</v>
      </c>
      <c r="DP203">
        <v>0.12431300000000001</v>
      </c>
      <c r="DQ203">
        <v>0.14683599999999999</v>
      </c>
      <c r="DR203">
        <v>24.941500000000001</v>
      </c>
      <c r="DS203">
        <v>24.797000000000001</v>
      </c>
      <c r="DT203">
        <v>16.7</v>
      </c>
      <c r="DU203">
        <v>29.8</v>
      </c>
      <c r="DV203">
        <v>7.1011199999999999</v>
      </c>
      <c r="DW203">
        <v>61.694099999999999</v>
      </c>
      <c r="DX203">
        <v>36.229999999999997</v>
      </c>
      <c r="DY203">
        <v>1</v>
      </c>
      <c r="DZ203">
        <v>-0.10483199999999999</v>
      </c>
      <c r="EA203">
        <v>0.158194</v>
      </c>
      <c r="EB203">
        <v>20.189699999999998</v>
      </c>
      <c r="EC203">
        <v>5.2409499999999998</v>
      </c>
      <c r="ED203">
        <v>12.039899999999999</v>
      </c>
      <c r="EE203">
        <v>5.0166500000000003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1.8689499999999999</v>
      </c>
      <c r="EL203">
        <v>1.8646499999999999</v>
      </c>
      <c r="EM203">
        <v>1.8692</v>
      </c>
      <c r="EN203">
        <v>1.86724</v>
      </c>
      <c r="EO203">
        <v>1.8633999999999999</v>
      </c>
      <c r="EP203">
        <v>1.86456</v>
      </c>
      <c r="EQ203">
        <v>1.8701700000000001</v>
      </c>
      <c r="ER203">
        <v>1.8694900000000001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-2E-3</v>
      </c>
      <c r="FG203">
        <v>0.19009999999999999</v>
      </c>
      <c r="FH203">
        <v>0.27827353915413472</v>
      </c>
      <c r="FI203">
        <v>-6.1462078757559423E-4</v>
      </c>
      <c r="FJ203">
        <v>-1.8861989874597051E-7</v>
      </c>
      <c r="FK203">
        <v>1.1980462299894961E-10</v>
      </c>
      <c r="FL203">
        <v>0.19010266435860859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40.799999999999997</v>
      </c>
      <c r="FU203">
        <v>40.700000000000003</v>
      </c>
      <c r="FV203">
        <v>1.7773399999999999</v>
      </c>
      <c r="FW203">
        <v>2.5854499999999998</v>
      </c>
      <c r="FX203">
        <v>1.5490699999999999</v>
      </c>
      <c r="FY203">
        <v>2.3290999999999999</v>
      </c>
      <c r="FZ203">
        <v>1.50146</v>
      </c>
      <c r="GA203">
        <v>2.3730500000000001</v>
      </c>
      <c r="GB203">
        <v>33.828299999999999</v>
      </c>
      <c r="GC203">
        <v>23.982399999999998</v>
      </c>
      <c r="GD203">
        <v>19</v>
      </c>
      <c r="GE203">
        <v>286.42200000000003</v>
      </c>
      <c r="GF203">
        <v>581.54399999999998</v>
      </c>
      <c r="GG203">
        <v>24.087900000000001</v>
      </c>
      <c r="GH203">
        <v>26.0656</v>
      </c>
      <c r="GI203">
        <v>30</v>
      </c>
      <c r="GJ203">
        <v>26.207000000000001</v>
      </c>
      <c r="GK203">
        <v>26.189800000000002</v>
      </c>
      <c r="GL203">
        <v>35.5411</v>
      </c>
      <c r="GM203">
        <v>-30</v>
      </c>
      <c r="GN203">
        <v>-30</v>
      </c>
      <c r="GO203">
        <v>24.101800000000001</v>
      </c>
      <c r="GP203">
        <v>800</v>
      </c>
      <c r="GQ203">
        <v>12.5298</v>
      </c>
      <c r="GR203">
        <v>99.754199999999997</v>
      </c>
      <c r="GS203">
        <v>99.594099999999997</v>
      </c>
    </row>
    <row r="204" spans="1:201" x14ac:dyDescent="0.25">
      <c r="A204">
        <v>188</v>
      </c>
      <c r="B204">
        <v>1690220045.0999999</v>
      </c>
      <c r="C204">
        <v>2024.599999904633</v>
      </c>
      <c r="D204" t="s">
        <v>705</v>
      </c>
      <c r="E204" t="s">
        <v>706</v>
      </c>
      <c r="F204" t="s">
        <v>330</v>
      </c>
      <c r="H204">
        <v>1690220045.0999999</v>
      </c>
      <c r="I204">
        <f t="shared" si="60"/>
        <v>1.9640115007168121E-3</v>
      </c>
      <c r="J204">
        <f t="shared" si="61"/>
        <v>1.9640115007168122</v>
      </c>
      <c r="K204">
        <f t="shared" si="62"/>
        <v>34.68040708385621</v>
      </c>
      <c r="L204">
        <f t="shared" si="63"/>
        <v>416.81099999999998</v>
      </c>
      <c r="M204">
        <f t="shared" si="64"/>
        <v>96.726787688332124</v>
      </c>
      <c r="N204">
        <f t="shared" si="65"/>
        <v>9.5910030562163353</v>
      </c>
      <c r="O204">
        <f t="shared" si="66"/>
        <v>41.329146458844001</v>
      </c>
      <c r="P204">
        <f t="shared" si="67"/>
        <v>0.18304358284820307</v>
      </c>
      <c r="Q204">
        <f t="shared" si="68"/>
        <v>2.1301835711540065</v>
      </c>
      <c r="R204">
        <f t="shared" si="69"/>
        <v>0.17473285572955752</v>
      </c>
      <c r="S204">
        <f t="shared" si="70"/>
        <v>0.1099232726609238</v>
      </c>
      <c r="T204">
        <f t="shared" si="71"/>
        <v>276.11427834</v>
      </c>
      <c r="U204">
        <f t="shared" si="72"/>
        <v>27.528738525099968</v>
      </c>
      <c r="V204">
        <f t="shared" si="73"/>
        <v>27.528738525099968</v>
      </c>
      <c r="W204">
        <f t="shared" si="74"/>
        <v>3.6918253831088981</v>
      </c>
      <c r="X204">
        <f t="shared" si="75"/>
        <v>77.298335875478045</v>
      </c>
      <c r="Y204">
        <f t="shared" si="76"/>
        <v>2.6127402498396002</v>
      </c>
      <c r="Z204">
        <f t="shared" si="77"/>
        <v>3.3800730898638407</v>
      </c>
      <c r="AA204">
        <f t="shared" si="78"/>
        <v>1.0790851332692979</v>
      </c>
      <c r="AB204">
        <f t="shared" si="79"/>
        <v>-86.612907181611419</v>
      </c>
      <c r="AC204">
        <f t="shared" si="80"/>
        <v>-172.22217236653148</v>
      </c>
      <c r="AD204">
        <f t="shared" si="81"/>
        <v>-17.409617347516004</v>
      </c>
      <c r="AE204">
        <f t="shared" si="82"/>
        <v>-0.13041855565893457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52528.960729115584</v>
      </c>
      <c r="AK204">
        <f t="shared" si="86"/>
        <v>1800</v>
      </c>
      <c r="AL204">
        <f t="shared" si="87"/>
        <v>1499.114808</v>
      </c>
      <c r="AM204">
        <f t="shared" si="88"/>
        <v>0.83284155999999998</v>
      </c>
      <c r="AN204">
        <f t="shared" si="89"/>
        <v>0.15339682130000001</v>
      </c>
      <c r="AO204">
        <v>32.4</v>
      </c>
      <c r="AP204">
        <v>0.5</v>
      </c>
      <c r="AQ204" t="s">
        <v>331</v>
      </c>
      <c r="AR204">
        <v>2</v>
      </c>
      <c r="AS204">
        <v>1690220045.0999999</v>
      </c>
      <c r="AT204">
        <v>416.81099999999998</v>
      </c>
      <c r="AU204">
        <v>800.03700000000003</v>
      </c>
      <c r="AV204">
        <v>26.349900000000002</v>
      </c>
      <c r="AW204">
        <v>5.7062999999999997</v>
      </c>
      <c r="AX204">
        <v>416.81299999999999</v>
      </c>
      <c r="AY204">
        <v>26.159700000000001</v>
      </c>
      <c r="AZ204">
        <v>300.12799999999999</v>
      </c>
      <c r="BA204">
        <v>99.055599999999998</v>
      </c>
      <c r="BB204">
        <v>0.100004</v>
      </c>
      <c r="BC204">
        <v>26.0291</v>
      </c>
      <c r="BD204">
        <v>27.001200000000001</v>
      </c>
      <c r="BE204">
        <v>27.225899999999999</v>
      </c>
      <c r="BF204">
        <v>0</v>
      </c>
      <c r="BG204">
        <v>0</v>
      </c>
      <c r="BH204">
        <v>9996.25</v>
      </c>
      <c r="BI204">
        <v>1067.6400000000001</v>
      </c>
      <c r="BJ204">
        <v>1.68198</v>
      </c>
      <c r="BK204">
        <v>-383.22699999999998</v>
      </c>
      <c r="BL204">
        <v>428.09100000000001</v>
      </c>
      <c r="BM204">
        <v>804.62900000000002</v>
      </c>
      <c r="BN204">
        <v>20.6435</v>
      </c>
      <c r="BO204">
        <v>800.03700000000003</v>
      </c>
      <c r="BP204">
        <v>5.7062999999999997</v>
      </c>
      <c r="BQ204">
        <v>2.6101000000000001</v>
      </c>
      <c r="BR204">
        <v>0.56524200000000002</v>
      </c>
      <c r="BS204">
        <v>21.729800000000001</v>
      </c>
      <c r="BT204">
        <v>-1.1260600000000001</v>
      </c>
      <c r="BU204">
        <v>1800</v>
      </c>
      <c r="BV204">
        <v>0.91002300000000003</v>
      </c>
      <c r="BW204">
        <v>3.39922E-2</v>
      </c>
      <c r="BX204">
        <v>2.1995000000000001E-2</v>
      </c>
      <c r="BY204">
        <v>3.3989400000000003E-2</v>
      </c>
      <c r="BZ204">
        <v>26</v>
      </c>
      <c r="CA204">
        <v>33528.5</v>
      </c>
      <c r="CB204">
        <v>1690217592</v>
      </c>
      <c r="CC204" t="s">
        <v>332</v>
      </c>
      <c r="CD204">
        <v>1690217586.5</v>
      </c>
      <c r="CE204">
        <v>1690217592</v>
      </c>
      <c r="CF204">
        <v>9</v>
      </c>
      <c r="CG204">
        <v>0.11600000000000001</v>
      </c>
      <c r="CH204">
        <v>-3.0000000000000001E-3</v>
      </c>
      <c r="CI204">
        <v>-0.27300000000000002</v>
      </c>
      <c r="CJ204">
        <v>-6.9000000000000006E-2</v>
      </c>
      <c r="CK204">
        <v>800</v>
      </c>
      <c r="CL204">
        <v>6</v>
      </c>
      <c r="CM204">
        <v>0.01</v>
      </c>
      <c r="CN204">
        <v>0.01</v>
      </c>
      <c r="CO204">
        <v>-382.460375</v>
      </c>
      <c r="CP204">
        <v>-4.1304427767344443</v>
      </c>
      <c r="CQ204">
        <v>0.40021867069765621</v>
      </c>
      <c r="CR204">
        <v>-1</v>
      </c>
      <c r="CS204">
        <v>20.604144999999999</v>
      </c>
      <c r="CT204">
        <v>0.2157433395871978</v>
      </c>
      <c r="CU204">
        <v>2.0784200128943869E-2</v>
      </c>
      <c r="CV204">
        <v>-1</v>
      </c>
      <c r="CW204">
        <v>0</v>
      </c>
      <c r="CX204">
        <v>0</v>
      </c>
      <c r="CY204" t="s">
        <v>333</v>
      </c>
      <c r="CZ204">
        <v>2.3645299999999998</v>
      </c>
      <c r="DA204">
        <v>2.7137899999999999</v>
      </c>
      <c r="DB204">
        <v>9.2346899999999996E-2</v>
      </c>
      <c r="DC204">
        <v>0.14610300000000001</v>
      </c>
      <c r="DD204">
        <v>0.12163400000000001</v>
      </c>
      <c r="DE204">
        <v>3.7870300000000003E-2</v>
      </c>
      <c r="DF204">
        <v>33147.9</v>
      </c>
      <c r="DG204">
        <v>27527.200000000001</v>
      </c>
      <c r="DH204">
        <v>31176.9</v>
      </c>
      <c r="DI204">
        <v>28089.8</v>
      </c>
      <c r="DJ204">
        <v>37170</v>
      </c>
      <c r="DK204">
        <v>38432.199999999997</v>
      </c>
      <c r="DL204">
        <v>44368.9</v>
      </c>
      <c r="DM204">
        <v>42572.6</v>
      </c>
      <c r="DN204">
        <v>1.48573</v>
      </c>
      <c r="DO204">
        <v>2.0367000000000002</v>
      </c>
      <c r="DP204">
        <v>0.125609</v>
      </c>
      <c r="DQ204">
        <v>0.14815500000000001</v>
      </c>
      <c r="DR204">
        <v>24.9435</v>
      </c>
      <c r="DS204">
        <v>24.799099999999999</v>
      </c>
      <c r="DT204">
        <v>16.7</v>
      </c>
      <c r="DU204">
        <v>29.8</v>
      </c>
      <c r="DV204">
        <v>7.1007800000000003</v>
      </c>
      <c r="DW204">
        <v>61.894100000000002</v>
      </c>
      <c r="DX204">
        <v>36.290100000000002</v>
      </c>
      <c r="DY204">
        <v>1</v>
      </c>
      <c r="DZ204">
        <v>-0.104959</v>
      </c>
      <c r="EA204">
        <v>0.1229</v>
      </c>
      <c r="EB204">
        <v>20.189800000000002</v>
      </c>
      <c r="EC204">
        <v>5.2409499999999998</v>
      </c>
      <c r="ED204">
        <v>12.039899999999999</v>
      </c>
      <c r="EE204">
        <v>5.0169499999999996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1.8689199999999999</v>
      </c>
      <c r="EL204">
        <v>1.8646400000000001</v>
      </c>
      <c r="EM204">
        <v>1.8692</v>
      </c>
      <c r="EN204">
        <v>1.8672500000000001</v>
      </c>
      <c r="EO204">
        <v>1.8633999999999999</v>
      </c>
      <c r="EP204">
        <v>1.8645499999999999</v>
      </c>
      <c r="EQ204">
        <v>1.87018</v>
      </c>
      <c r="ER204">
        <v>1.86948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-2E-3</v>
      </c>
      <c r="FG204">
        <v>0.19020000000000001</v>
      </c>
      <c r="FH204">
        <v>0.27827353915413472</v>
      </c>
      <c r="FI204">
        <v>-6.1462078757559423E-4</v>
      </c>
      <c r="FJ204">
        <v>-1.8861989874597051E-7</v>
      </c>
      <c r="FK204">
        <v>1.1980462299894961E-10</v>
      </c>
      <c r="FL204">
        <v>0.19010266435860859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41</v>
      </c>
      <c r="FU204">
        <v>40.9</v>
      </c>
      <c r="FV204">
        <v>1.7773399999999999</v>
      </c>
      <c r="FW204">
        <v>2.5866699999999998</v>
      </c>
      <c r="FX204">
        <v>1.5490699999999999</v>
      </c>
      <c r="FY204">
        <v>2.3290999999999999</v>
      </c>
      <c r="FZ204">
        <v>1.50146</v>
      </c>
      <c r="GA204">
        <v>2.3950200000000001</v>
      </c>
      <c r="GB204">
        <v>33.850900000000003</v>
      </c>
      <c r="GC204">
        <v>23.982399999999998</v>
      </c>
      <c r="GD204">
        <v>19</v>
      </c>
      <c r="GE204">
        <v>286.315</v>
      </c>
      <c r="GF204">
        <v>581.75</v>
      </c>
      <c r="GG204">
        <v>24.113</v>
      </c>
      <c r="GH204">
        <v>26.065100000000001</v>
      </c>
      <c r="GI204">
        <v>29.9999</v>
      </c>
      <c r="GJ204">
        <v>26.207000000000001</v>
      </c>
      <c r="GK204">
        <v>26.189800000000002</v>
      </c>
      <c r="GL204">
        <v>35.540199999999999</v>
      </c>
      <c r="GM204">
        <v>-30</v>
      </c>
      <c r="GN204">
        <v>-30</v>
      </c>
      <c r="GO204">
        <v>24.1206</v>
      </c>
      <c r="GP204">
        <v>800</v>
      </c>
      <c r="GQ204">
        <v>12.5298</v>
      </c>
      <c r="GR204">
        <v>99.754400000000004</v>
      </c>
      <c r="GS204">
        <v>99.593699999999998</v>
      </c>
    </row>
    <row r="205" spans="1:201" x14ac:dyDescent="0.25">
      <c r="A205">
        <v>189</v>
      </c>
      <c r="B205">
        <v>1690220055.0999999</v>
      </c>
      <c r="C205">
        <v>2034.599999904633</v>
      </c>
      <c r="D205" t="s">
        <v>707</v>
      </c>
      <c r="E205" t="s">
        <v>708</v>
      </c>
      <c r="F205" t="s">
        <v>330</v>
      </c>
      <c r="H205">
        <v>1690220055.0999999</v>
      </c>
      <c r="I205">
        <f t="shared" si="60"/>
        <v>1.9678388616284682E-3</v>
      </c>
      <c r="J205">
        <f t="shared" si="61"/>
        <v>1.9678388616284683</v>
      </c>
      <c r="K205">
        <f t="shared" si="62"/>
        <v>34.750486181611741</v>
      </c>
      <c r="L205">
        <f t="shared" si="63"/>
        <v>416.03800000000001</v>
      </c>
      <c r="M205">
        <f t="shared" si="64"/>
        <v>96.88312750474006</v>
      </c>
      <c r="N205">
        <f t="shared" si="65"/>
        <v>9.6072959886827736</v>
      </c>
      <c r="O205">
        <f t="shared" si="66"/>
        <v>41.255895752787801</v>
      </c>
      <c r="P205">
        <f t="shared" si="67"/>
        <v>0.18398137766460551</v>
      </c>
      <c r="Q205">
        <f t="shared" si="68"/>
        <v>2.13006199405616</v>
      </c>
      <c r="R205">
        <f t="shared" si="69"/>
        <v>0.17558691794653436</v>
      </c>
      <c r="S205">
        <f t="shared" si="70"/>
        <v>0.11046411094965314</v>
      </c>
      <c r="T205">
        <f t="shared" si="71"/>
        <v>276.114471192</v>
      </c>
      <c r="U205">
        <f t="shared" si="72"/>
        <v>27.532275481518184</v>
      </c>
      <c r="V205">
        <f t="shared" si="73"/>
        <v>27.532275481518184</v>
      </c>
      <c r="W205">
        <f t="shared" si="74"/>
        <v>3.692589352974851</v>
      </c>
      <c r="X205">
        <f t="shared" si="75"/>
        <v>77.390390637411926</v>
      </c>
      <c r="Y205">
        <f t="shared" si="76"/>
        <v>2.61659468334746</v>
      </c>
      <c r="Z205">
        <f t="shared" si="77"/>
        <v>3.3810330478969699</v>
      </c>
      <c r="AA205">
        <f t="shared" si="78"/>
        <v>1.075994669627391</v>
      </c>
      <c r="AB205">
        <f t="shared" si="79"/>
        <v>-86.78169379781545</v>
      </c>
      <c r="AC205">
        <f t="shared" si="80"/>
        <v>-172.06730028979547</v>
      </c>
      <c r="AD205">
        <f t="shared" si="81"/>
        <v>-17.395679873817045</v>
      </c>
      <c r="AE205">
        <f t="shared" si="82"/>
        <v>-0.13020276942793885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52523.039187592003</v>
      </c>
      <c r="AK205">
        <f t="shared" si="86"/>
        <v>1800</v>
      </c>
      <c r="AL205">
        <f t="shared" si="87"/>
        <v>1499.1163181999998</v>
      </c>
      <c r="AM205">
        <f t="shared" si="88"/>
        <v>0.8328423989999999</v>
      </c>
      <c r="AN205">
        <f t="shared" si="89"/>
        <v>0.15339692844</v>
      </c>
      <c r="AO205">
        <v>32.4</v>
      </c>
      <c r="AP205">
        <v>0.5</v>
      </c>
      <c r="AQ205" t="s">
        <v>331</v>
      </c>
      <c r="AR205">
        <v>2</v>
      </c>
      <c r="AS205">
        <v>1690220055.0999999</v>
      </c>
      <c r="AT205">
        <v>416.03800000000001</v>
      </c>
      <c r="AU205">
        <v>799.97400000000005</v>
      </c>
      <c r="AV205">
        <v>26.386600000000001</v>
      </c>
      <c r="AW205">
        <v>5.7061000000000002</v>
      </c>
      <c r="AX205">
        <v>416.03899999999999</v>
      </c>
      <c r="AY205">
        <v>26.1965</v>
      </c>
      <c r="AZ205">
        <v>300.16500000000002</v>
      </c>
      <c r="BA205">
        <v>99.063800000000001</v>
      </c>
      <c r="BB205">
        <v>9.9968100000000004E-2</v>
      </c>
      <c r="BC205">
        <v>26.033899999999999</v>
      </c>
      <c r="BD205">
        <v>26.995100000000001</v>
      </c>
      <c r="BE205">
        <v>27.197600000000001</v>
      </c>
      <c r="BF205">
        <v>0</v>
      </c>
      <c r="BG205">
        <v>0</v>
      </c>
      <c r="BH205">
        <v>9994.3799999999992</v>
      </c>
      <c r="BI205">
        <v>1067.7</v>
      </c>
      <c r="BJ205">
        <v>1.68198</v>
      </c>
      <c r="BK205">
        <v>-383.93599999999998</v>
      </c>
      <c r="BL205">
        <v>427.31299999999999</v>
      </c>
      <c r="BM205">
        <v>804.56500000000005</v>
      </c>
      <c r="BN205">
        <v>20.680499999999999</v>
      </c>
      <c r="BO205">
        <v>799.97400000000005</v>
      </c>
      <c r="BP205">
        <v>5.7061000000000002</v>
      </c>
      <c r="BQ205">
        <v>2.61395</v>
      </c>
      <c r="BR205">
        <v>0.56526799999999999</v>
      </c>
      <c r="BS205">
        <v>21.754000000000001</v>
      </c>
      <c r="BT205">
        <v>-1.12541</v>
      </c>
      <c r="BU205">
        <v>1800</v>
      </c>
      <c r="BV205">
        <v>0.91002499999999997</v>
      </c>
      <c r="BW205">
        <v>3.3991800000000003E-2</v>
      </c>
      <c r="BX205">
        <v>2.1994699999999999E-2</v>
      </c>
      <c r="BY205">
        <v>3.3988999999999998E-2</v>
      </c>
      <c r="BZ205">
        <v>26</v>
      </c>
      <c r="CA205">
        <v>33528.5</v>
      </c>
      <c r="CB205">
        <v>1690217592</v>
      </c>
      <c r="CC205" t="s">
        <v>332</v>
      </c>
      <c r="CD205">
        <v>1690217586.5</v>
      </c>
      <c r="CE205">
        <v>1690217592</v>
      </c>
      <c r="CF205">
        <v>9</v>
      </c>
      <c r="CG205">
        <v>0.11600000000000001</v>
      </c>
      <c r="CH205">
        <v>-3.0000000000000001E-3</v>
      </c>
      <c r="CI205">
        <v>-0.27300000000000002</v>
      </c>
      <c r="CJ205">
        <v>-6.9000000000000006E-2</v>
      </c>
      <c r="CK205">
        <v>800</v>
      </c>
      <c r="CL205">
        <v>6</v>
      </c>
      <c r="CM205">
        <v>0.01</v>
      </c>
      <c r="CN205">
        <v>0.01</v>
      </c>
      <c r="CO205">
        <v>-383.18587500000001</v>
      </c>
      <c r="CP205">
        <v>-4.5960337711056374</v>
      </c>
      <c r="CQ205">
        <v>0.44454449650737982</v>
      </c>
      <c r="CR205">
        <v>-1</v>
      </c>
      <c r="CS205">
        <v>20.641494999999999</v>
      </c>
      <c r="CT205">
        <v>0.23044277673541791</v>
      </c>
      <c r="CU205">
        <v>2.2208004750540071E-2</v>
      </c>
      <c r="CV205">
        <v>-1</v>
      </c>
      <c r="CW205">
        <v>0</v>
      </c>
      <c r="CX205">
        <v>0</v>
      </c>
      <c r="CY205" t="s">
        <v>333</v>
      </c>
      <c r="CZ205">
        <v>2.3646500000000001</v>
      </c>
      <c r="DA205">
        <v>2.7137500000000001</v>
      </c>
      <c r="DB205">
        <v>9.2225100000000004E-2</v>
      </c>
      <c r="DC205">
        <v>0.14610699999999999</v>
      </c>
      <c r="DD205">
        <v>0.121763</v>
      </c>
      <c r="DE205">
        <v>3.7872500000000003E-2</v>
      </c>
      <c r="DF205">
        <v>33152.400000000001</v>
      </c>
      <c r="DG205">
        <v>27527.200000000001</v>
      </c>
      <c r="DH205">
        <v>31177</v>
      </c>
      <c r="DI205">
        <v>28089.9</v>
      </c>
      <c r="DJ205">
        <v>37164.400000000001</v>
      </c>
      <c r="DK205">
        <v>38432.300000000003</v>
      </c>
      <c r="DL205">
        <v>44368.9</v>
      </c>
      <c r="DM205">
        <v>42572.800000000003</v>
      </c>
      <c r="DN205">
        <v>1.4859500000000001</v>
      </c>
      <c r="DO205">
        <v>2.0366200000000001</v>
      </c>
      <c r="DP205">
        <v>0.12523699999999999</v>
      </c>
      <c r="DQ205">
        <v>0.14629200000000001</v>
      </c>
      <c r="DR205">
        <v>24.9435</v>
      </c>
      <c r="DS205">
        <v>24.801200000000001</v>
      </c>
      <c r="DT205">
        <v>16.7</v>
      </c>
      <c r="DU205">
        <v>29.8</v>
      </c>
      <c r="DV205">
        <v>7.1006</v>
      </c>
      <c r="DW205">
        <v>61.284100000000002</v>
      </c>
      <c r="DX205">
        <v>36.602600000000002</v>
      </c>
      <c r="DY205">
        <v>1</v>
      </c>
      <c r="DZ205">
        <v>-0.10420500000000001</v>
      </c>
      <c r="EA205">
        <v>0.37890800000000002</v>
      </c>
      <c r="EB205">
        <v>20.189</v>
      </c>
      <c r="EC205">
        <v>5.2411000000000003</v>
      </c>
      <c r="ED205">
        <v>12.039899999999999</v>
      </c>
      <c r="EE205">
        <v>5.0166000000000004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1.86893</v>
      </c>
      <c r="EL205">
        <v>1.86469</v>
      </c>
      <c r="EM205">
        <v>1.8692</v>
      </c>
      <c r="EN205">
        <v>1.8672299999999999</v>
      </c>
      <c r="EO205">
        <v>1.8633999999999999</v>
      </c>
      <c r="EP205">
        <v>1.8645499999999999</v>
      </c>
      <c r="EQ205">
        <v>1.8701700000000001</v>
      </c>
      <c r="ER205">
        <v>1.86947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-1E-3</v>
      </c>
      <c r="FG205">
        <v>0.19009999999999999</v>
      </c>
      <c r="FH205">
        <v>0.27827353915413472</v>
      </c>
      <c r="FI205">
        <v>-6.1462078757559423E-4</v>
      </c>
      <c r="FJ205">
        <v>-1.8861989874597051E-7</v>
      </c>
      <c r="FK205">
        <v>1.1980462299894961E-10</v>
      </c>
      <c r="FL205">
        <v>0.19010266435860859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41.1</v>
      </c>
      <c r="FU205">
        <v>41.1</v>
      </c>
      <c r="FV205">
        <v>1.7773399999999999</v>
      </c>
      <c r="FW205">
        <v>2.5842299999999998</v>
      </c>
      <c r="FX205">
        <v>1.5490699999999999</v>
      </c>
      <c r="FY205">
        <v>2.3290999999999999</v>
      </c>
      <c r="FZ205">
        <v>1.50146</v>
      </c>
      <c r="GA205">
        <v>2.4035600000000001</v>
      </c>
      <c r="GB205">
        <v>33.850900000000003</v>
      </c>
      <c r="GC205">
        <v>23.982399999999998</v>
      </c>
      <c r="GD205">
        <v>19</v>
      </c>
      <c r="GE205">
        <v>286.40199999999999</v>
      </c>
      <c r="GF205">
        <v>581.66300000000001</v>
      </c>
      <c r="GG205">
        <v>24.090499999999999</v>
      </c>
      <c r="GH205">
        <v>26.063400000000001</v>
      </c>
      <c r="GI205">
        <v>30.000599999999999</v>
      </c>
      <c r="GJ205">
        <v>26.204899999999999</v>
      </c>
      <c r="GK205">
        <v>26.1876</v>
      </c>
      <c r="GL205">
        <v>35.540700000000001</v>
      </c>
      <c r="GM205">
        <v>-30</v>
      </c>
      <c r="GN205">
        <v>-30</v>
      </c>
      <c r="GO205">
        <v>24.055599999999998</v>
      </c>
      <c r="GP205">
        <v>800</v>
      </c>
      <c r="GQ205">
        <v>12.5298</v>
      </c>
      <c r="GR205">
        <v>99.754499999999993</v>
      </c>
      <c r="GS205">
        <v>99.594200000000001</v>
      </c>
    </row>
    <row r="206" spans="1:201" x14ac:dyDescent="0.25">
      <c r="A206">
        <v>190</v>
      </c>
      <c r="B206">
        <v>1690220065.0999999</v>
      </c>
      <c r="C206">
        <v>2044.599999904633</v>
      </c>
      <c r="D206" t="s">
        <v>709</v>
      </c>
      <c r="E206" t="s">
        <v>710</v>
      </c>
      <c r="F206" t="s">
        <v>330</v>
      </c>
      <c r="H206">
        <v>1690220065.0999999</v>
      </c>
      <c r="I206">
        <f t="shared" si="60"/>
        <v>1.9691980373211342E-3</v>
      </c>
      <c r="J206">
        <f t="shared" si="61"/>
        <v>1.969198037321134</v>
      </c>
      <c r="K206">
        <f t="shared" si="62"/>
        <v>34.80270472158449</v>
      </c>
      <c r="L206">
        <f t="shared" si="63"/>
        <v>415.41699999999997</v>
      </c>
      <c r="M206">
        <f t="shared" si="64"/>
        <v>96.413717704452935</v>
      </c>
      <c r="N206">
        <f t="shared" si="65"/>
        <v>9.5602268136139141</v>
      </c>
      <c r="O206">
        <f t="shared" si="66"/>
        <v>41.192071385580697</v>
      </c>
      <c r="P206">
        <f t="shared" si="67"/>
        <v>0.18434910467869853</v>
      </c>
      <c r="Q206">
        <f t="shared" si="68"/>
        <v>2.1309450515774051</v>
      </c>
      <c r="R206">
        <f t="shared" si="69"/>
        <v>0.1759252017715173</v>
      </c>
      <c r="S206">
        <f t="shared" si="70"/>
        <v>0.11067802340430487</v>
      </c>
      <c r="T206">
        <f t="shared" si="71"/>
        <v>276.11428289399993</v>
      </c>
      <c r="U206">
        <f t="shared" si="72"/>
        <v>27.534131517201541</v>
      </c>
      <c r="V206">
        <f t="shared" si="73"/>
        <v>27.534131517201541</v>
      </c>
      <c r="W206">
        <f t="shared" si="74"/>
        <v>3.6929903051981636</v>
      </c>
      <c r="X206">
        <f t="shared" si="75"/>
        <v>77.43037321309103</v>
      </c>
      <c r="Y206">
        <f t="shared" si="76"/>
        <v>2.6183956733160199</v>
      </c>
      <c r="Z206">
        <f t="shared" si="77"/>
        <v>3.3816131379221246</v>
      </c>
      <c r="AA206">
        <f t="shared" si="78"/>
        <v>1.0745946318821438</v>
      </c>
      <c r="AB206">
        <f t="shared" si="79"/>
        <v>-86.841633445862016</v>
      </c>
      <c r="AC206">
        <f t="shared" si="80"/>
        <v>-172.01869976171233</v>
      </c>
      <c r="AD206">
        <f t="shared" si="81"/>
        <v>-17.383973301813661</v>
      </c>
      <c r="AE206">
        <f t="shared" si="82"/>
        <v>-0.13002361538809737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52560.593647476875</v>
      </c>
      <c r="AK206">
        <f t="shared" si="86"/>
        <v>1800</v>
      </c>
      <c r="AL206">
        <f t="shared" si="87"/>
        <v>1499.1151733999998</v>
      </c>
      <c r="AM206">
        <f t="shared" si="88"/>
        <v>0.8328417629999999</v>
      </c>
      <c r="AN206">
        <f t="shared" si="89"/>
        <v>0.15339682382999997</v>
      </c>
      <c r="AO206">
        <v>32.4</v>
      </c>
      <c r="AP206">
        <v>0.5</v>
      </c>
      <c r="AQ206" t="s">
        <v>331</v>
      </c>
      <c r="AR206">
        <v>2</v>
      </c>
      <c r="AS206">
        <v>1690220065.0999999</v>
      </c>
      <c r="AT206">
        <v>415.41699999999997</v>
      </c>
      <c r="AU206">
        <v>800.03</v>
      </c>
      <c r="AV206">
        <v>26.406199999999998</v>
      </c>
      <c r="AW206">
        <v>5.7053500000000001</v>
      </c>
      <c r="AX206">
        <v>415.41800000000001</v>
      </c>
      <c r="AY206">
        <v>26.216100000000001</v>
      </c>
      <c r="AZ206">
        <v>300.07100000000003</v>
      </c>
      <c r="BA206">
        <v>99.058400000000006</v>
      </c>
      <c r="BB206">
        <v>9.9967100000000003E-2</v>
      </c>
      <c r="BC206">
        <v>26.036799999999999</v>
      </c>
      <c r="BD206">
        <v>27.022200000000002</v>
      </c>
      <c r="BE206">
        <v>27.195900000000002</v>
      </c>
      <c r="BF206">
        <v>0</v>
      </c>
      <c r="BG206">
        <v>0</v>
      </c>
      <c r="BH206">
        <v>10002.5</v>
      </c>
      <c r="BI206">
        <v>1067.6600000000001</v>
      </c>
      <c r="BJ206">
        <v>1.68198</v>
      </c>
      <c r="BK206">
        <v>-384.613</v>
      </c>
      <c r="BL206">
        <v>426.68400000000003</v>
      </c>
      <c r="BM206">
        <v>804.62099999999998</v>
      </c>
      <c r="BN206">
        <v>20.700800000000001</v>
      </c>
      <c r="BO206">
        <v>800.03</v>
      </c>
      <c r="BP206">
        <v>5.7053500000000001</v>
      </c>
      <c r="BQ206">
        <v>2.6157499999999998</v>
      </c>
      <c r="BR206">
        <v>0.56516299999999997</v>
      </c>
      <c r="BS206">
        <v>21.7652</v>
      </c>
      <c r="BT206">
        <v>-1.1279699999999999</v>
      </c>
      <c r="BU206">
        <v>1800</v>
      </c>
      <c r="BV206">
        <v>0.91002400000000006</v>
      </c>
      <c r="BW206">
        <v>3.3993000000000002E-2</v>
      </c>
      <c r="BX206">
        <v>2.1994400000000001E-2</v>
      </c>
      <c r="BY206">
        <v>3.3988499999999998E-2</v>
      </c>
      <c r="BZ206">
        <v>26</v>
      </c>
      <c r="CA206">
        <v>33528.6</v>
      </c>
      <c r="CB206">
        <v>1690217592</v>
      </c>
      <c r="CC206" t="s">
        <v>332</v>
      </c>
      <c r="CD206">
        <v>1690217586.5</v>
      </c>
      <c r="CE206">
        <v>1690217592</v>
      </c>
      <c r="CF206">
        <v>9</v>
      </c>
      <c r="CG206">
        <v>0.11600000000000001</v>
      </c>
      <c r="CH206">
        <v>-3.0000000000000001E-3</v>
      </c>
      <c r="CI206">
        <v>-0.27300000000000002</v>
      </c>
      <c r="CJ206">
        <v>-6.9000000000000006E-2</v>
      </c>
      <c r="CK206">
        <v>800</v>
      </c>
      <c r="CL206">
        <v>6</v>
      </c>
      <c r="CM206">
        <v>0.01</v>
      </c>
      <c r="CN206">
        <v>0.01</v>
      </c>
      <c r="CO206">
        <v>-383.92573170731708</v>
      </c>
      <c r="CP206">
        <v>-4.0141881533106467</v>
      </c>
      <c r="CQ206">
        <v>0.39817498447659921</v>
      </c>
      <c r="CR206">
        <v>-1</v>
      </c>
      <c r="CS206">
        <v>20.67692682926829</v>
      </c>
      <c r="CT206">
        <v>0.18058536585365861</v>
      </c>
      <c r="CU206">
        <v>1.803169329589431E-2</v>
      </c>
      <c r="CV206">
        <v>-1</v>
      </c>
      <c r="CW206">
        <v>0</v>
      </c>
      <c r="CX206">
        <v>0</v>
      </c>
      <c r="CY206" t="s">
        <v>333</v>
      </c>
      <c r="CZ206">
        <v>2.36435</v>
      </c>
      <c r="DA206">
        <v>2.7137600000000002</v>
      </c>
      <c r="DB206">
        <v>9.2115799999999998E-2</v>
      </c>
      <c r="DC206">
        <v>0.14610600000000001</v>
      </c>
      <c r="DD206">
        <v>0.12182</v>
      </c>
      <c r="DE206">
        <v>3.7866299999999999E-2</v>
      </c>
      <c r="DF206">
        <v>33156.300000000003</v>
      </c>
      <c r="DG206">
        <v>27526.9</v>
      </c>
      <c r="DH206">
        <v>31176.9</v>
      </c>
      <c r="DI206">
        <v>28089.599999999999</v>
      </c>
      <c r="DJ206">
        <v>37162.1</v>
      </c>
      <c r="DK206">
        <v>38432.300000000003</v>
      </c>
      <c r="DL206">
        <v>44369</v>
      </c>
      <c r="DM206">
        <v>42572.5</v>
      </c>
      <c r="DN206">
        <v>1.4857499999999999</v>
      </c>
      <c r="DO206">
        <v>2.0366499999999998</v>
      </c>
      <c r="DP206">
        <v>0.12676399999999999</v>
      </c>
      <c r="DQ206">
        <v>0.14618800000000001</v>
      </c>
      <c r="DR206">
        <v>24.945699999999999</v>
      </c>
      <c r="DS206">
        <v>24.801200000000001</v>
      </c>
      <c r="DT206">
        <v>16.7</v>
      </c>
      <c r="DU206">
        <v>29.8</v>
      </c>
      <c r="DV206">
        <v>7.1000800000000002</v>
      </c>
      <c r="DW206">
        <v>61.874099999999999</v>
      </c>
      <c r="DX206">
        <v>36.847000000000001</v>
      </c>
      <c r="DY206">
        <v>1</v>
      </c>
      <c r="DZ206">
        <v>-0.104103</v>
      </c>
      <c r="EA206">
        <v>0.28570000000000001</v>
      </c>
      <c r="EB206">
        <v>20.1891</v>
      </c>
      <c r="EC206">
        <v>5.2409499999999998</v>
      </c>
      <c r="ED206">
        <v>12.039899999999999</v>
      </c>
      <c r="EE206">
        <v>5.0168999999999997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1.86893</v>
      </c>
      <c r="EL206">
        <v>1.86467</v>
      </c>
      <c r="EM206">
        <v>1.8692</v>
      </c>
      <c r="EN206">
        <v>1.8672299999999999</v>
      </c>
      <c r="EO206">
        <v>1.8633999999999999</v>
      </c>
      <c r="EP206">
        <v>1.8645400000000001</v>
      </c>
      <c r="EQ206">
        <v>1.87016</v>
      </c>
      <c r="ER206">
        <v>1.86947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-1E-3</v>
      </c>
      <c r="FG206">
        <v>0.19009999999999999</v>
      </c>
      <c r="FH206">
        <v>0.27827353915413472</v>
      </c>
      <c r="FI206">
        <v>-6.1462078757559423E-4</v>
      </c>
      <c r="FJ206">
        <v>-1.8861989874597051E-7</v>
      </c>
      <c r="FK206">
        <v>1.1980462299894961E-10</v>
      </c>
      <c r="FL206">
        <v>0.19010266435860859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41.3</v>
      </c>
      <c r="FU206">
        <v>41.2</v>
      </c>
      <c r="FV206">
        <v>1.7773399999999999</v>
      </c>
      <c r="FW206">
        <v>2.5805699999999998</v>
      </c>
      <c r="FX206">
        <v>1.5490699999999999</v>
      </c>
      <c r="FY206">
        <v>2.3290999999999999</v>
      </c>
      <c r="FZ206">
        <v>1.50146</v>
      </c>
      <c r="GA206">
        <v>2.4023400000000001</v>
      </c>
      <c r="GB206">
        <v>33.850900000000003</v>
      </c>
      <c r="GC206">
        <v>23.982399999999998</v>
      </c>
      <c r="GD206">
        <v>19</v>
      </c>
      <c r="GE206">
        <v>286.31599999999997</v>
      </c>
      <c r="GF206">
        <v>581.68399999999997</v>
      </c>
      <c r="GG206">
        <v>24.044499999999999</v>
      </c>
      <c r="GH206">
        <v>26.063400000000001</v>
      </c>
      <c r="GI206">
        <v>30.0001</v>
      </c>
      <c r="GJ206">
        <v>26.204899999999999</v>
      </c>
      <c r="GK206">
        <v>26.1876</v>
      </c>
      <c r="GL206">
        <v>35.538499999999999</v>
      </c>
      <c r="GM206">
        <v>-30</v>
      </c>
      <c r="GN206">
        <v>-30</v>
      </c>
      <c r="GO206">
        <v>24.033799999999999</v>
      </c>
      <c r="GP206">
        <v>800</v>
      </c>
      <c r="GQ206">
        <v>12.5298</v>
      </c>
      <c r="GR206">
        <v>99.754499999999993</v>
      </c>
      <c r="GS206">
        <v>99.593500000000006</v>
      </c>
    </row>
    <row r="207" spans="1:201" x14ac:dyDescent="0.25">
      <c r="A207">
        <v>191</v>
      </c>
      <c r="B207">
        <v>1690220075.0999999</v>
      </c>
      <c r="C207">
        <v>2054.599999904633</v>
      </c>
      <c r="D207" t="s">
        <v>711</v>
      </c>
      <c r="E207" t="s">
        <v>712</v>
      </c>
      <c r="F207" t="s">
        <v>330</v>
      </c>
      <c r="H207">
        <v>1690220075.0999999</v>
      </c>
      <c r="I207">
        <f t="shared" si="60"/>
        <v>1.972046621741658E-3</v>
      </c>
      <c r="J207">
        <f t="shared" si="61"/>
        <v>1.9720466217416581</v>
      </c>
      <c r="K207">
        <f t="shared" si="62"/>
        <v>34.884000584040578</v>
      </c>
      <c r="L207">
        <f t="shared" si="63"/>
        <v>414.70100000000002</v>
      </c>
      <c r="M207">
        <f t="shared" si="64"/>
        <v>96.398897088073298</v>
      </c>
      <c r="N207">
        <f t="shared" si="65"/>
        <v>9.5583523501265226</v>
      </c>
      <c r="O207">
        <f t="shared" si="66"/>
        <v>41.119332250537106</v>
      </c>
      <c r="P207">
        <f t="shared" si="67"/>
        <v>0.1852061508358909</v>
      </c>
      <c r="Q207">
        <f t="shared" si="68"/>
        <v>2.1333753263207629</v>
      </c>
      <c r="R207">
        <f t="shared" si="69"/>
        <v>0.17671488686883491</v>
      </c>
      <c r="S207">
        <f t="shared" si="70"/>
        <v>0.1111772642185303</v>
      </c>
      <c r="T207">
        <f t="shared" si="71"/>
        <v>276.11432470800003</v>
      </c>
      <c r="U207">
        <f t="shared" si="72"/>
        <v>27.527094841684065</v>
      </c>
      <c r="V207">
        <f t="shared" si="73"/>
        <v>27.527094841684065</v>
      </c>
      <c r="W207">
        <f t="shared" si="74"/>
        <v>3.6914704003494796</v>
      </c>
      <c r="X207">
        <f t="shared" si="75"/>
        <v>77.50372730267884</v>
      </c>
      <c r="Y207">
        <f t="shared" si="76"/>
        <v>2.62017861186763</v>
      </c>
      <c r="Z207">
        <f t="shared" si="77"/>
        <v>3.3807130354323824</v>
      </c>
      <c r="AA207">
        <f t="shared" si="78"/>
        <v>1.0712917884818496</v>
      </c>
      <c r="AB207">
        <f t="shared" si="79"/>
        <v>-86.96725601880712</v>
      </c>
      <c r="AC207">
        <f t="shared" si="80"/>
        <v>-171.92312704854004</v>
      </c>
      <c r="AD207">
        <f t="shared" si="81"/>
        <v>-17.353520449493306</v>
      </c>
      <c r="AE207">
        <f t="shared" si="82"/>
        <v>-0.12957880884044926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52666.464373274328</v>
      </c>
      <c r="AK207">
        <f t="shared" si="86"/>
        <v>1800</v>
      </c>
      <c r="AL207">
        <f t="shared" si="87"/>
        <v>1499.1143777999998</v>
      </c>
      <c r="AM207">
        <f t="shared" si="88"/>
        <v>0.83284132099999986</v>
      </c>
      <c r="AN207">
        <f t="shared" si="89"/>
        <v>0.15339684706000001</v>
      </c>
      <c r="AO207">
        <v>32.4</v>
      </c>
      <c r="AP207">
        <v>0.5</v>
      </c>
      <c r="AQ207" t="s">
        <v>331</v>
      </c>
      <c r="AR207">
        <v>2</v>
      </c>
      <c r="AS207">
        <v>1690220075.0999999</v>
      </c>
      <c r="AT207">
        <v>414.70100000000002</v>
      </c>
      <c r="AU207">
        <v>799.99800000000005</v>
      </c>
      <c r="AV207">
        <v>26.4253</v>
      </c>
      <c r="AW207">
        <v>5.7051999999999996</v>
      </c>
      <c r="AX207">
        <v>414.70100000000002</v>
      </c>
      <c r="AY207">
        <v>26.235199999999999</v>
      </c>
      <c r="AZ207">
        <v>300.22000000000003</v>
      </c>
      <c r="BA207">
        <v>99.054199999999994</v>
      </c>
      <c r="BB207">
        <v>9.9967100000000003E-2</v>
      </c>
      <c r="BC207">
        <v>26.032299999999999</v>
      </c>
      <c r="BD207">
        <v>27.010300000000001</v>
      </c>
      <c r="BE207">
        <v>27.210999999999999</v>
      </c>
      <c r="BF207">
        <v>0</v>
      </c>
      <c r="BG207">
        <v>0</v>
      </c>
      <c r="BH207">
        <v>10023.799999999999</v>
      </c>
      <c r="BI207">
        <v>1067.68</v>
      </c>
      <c r="BJ207">
        <v>1.68198</v>
      </c>
      <c r="BK207">
        <v>-385.29700000000003</v>
      </c>
      <c r="BL207">
        <v>425.95699999999999</v>
      </c>
      <c r="BM207">
        <v>804.58799999999997</v>
      </c>
      <c r="BN207">
        <v>20.720099999999999</v>
      </c>
      <c r="BO207">
        <v>799.99800000000005</v>
      </c>
      <c r="BP207">
        <v>5.7051999999999996</v>
      </c>
      <c r="BQ207">
        <v>2.61754</v>
      </c>
      <c r="BR207">
        <v>0.56512399999999996</v>
      </c>
      <c r="BS207">
        <v>21.776399999999999</v>
      </c>
      <c r="BT207">
        <v>-1.1289</v>
      </c>
      <c r="BU207">
        <v>1800</v>
      </c>
      <c r="BV207">
        <v>0.91002099999999997</v>
      </c>
      <c r="BW207">
        <v>3.3996199999999997E-2</v>
      </c>
      <c r="BX207">
        <v>2.1994300000000001E-2</v>
      </c>
      <c r="BY207">
        <v>3.3988400000000002E-2</v>
      </c>
      <c r="BZ207">
        <v>26</v>
      </c>
      <c r="CA207">
        <v>33528.5</v>
      </c>
      <c r="CB207">
        <v>1690217592</v>
      </c>
      <c r="CC207" t="s">
        <v>332</v>
      </c>
      <c r="CD207">
        <v>1690217586.5</v>
      </c>
      <c r="CE207">
        <v>1690217592</v>
      </c>
      <c r="CF207">
        <v>9</v>
      </c>
      <c r="CG207">
        <v>0.11600000000000001</v>
      </c>
      <c r="CH207">
        <v>-3.0000000000000001E-3</v>
      </c>
      <c r="CI207">
        <v>-0.27300000000000002</v>
      </c>
      <c r="CJ207">
        <v>-6.9000000000000006E-2</v>
      </c>
      <c r="CK207">
        <v>800</v>
      </c>
      <c r="CL207">
        <v>6</v>
      </c>
      <c r="CM207">
        <v>0.01</v>
      </c>
      <c r="CN207">
        <v>0.01</v>
      </c>
      <c r="CO207">
        <v>-384.57982500000003</v>
      </c>
      <c r="CP207">
        <v>-3.9956510318950689</v>
      </c>
      <c r="CQ207">
        <v>0.38577732485852229</v>
      </c>
      <c r="CR207">
        <v>-1</v>
      </c>
      <c r="CS207">
        <v>20.698805</v>
      </c>
      <c r="CT207">
        <v>9.3863414634118625E-2</v>
      </c>
      <c r="CU207">
        <v>9.2994341225689902E-3</v>
      </c>
      <c r="CV207">
        <v>-1</v>
      </c>
      <c r="CW207">
        <v>0</v>
      </c>
      <c r="CX207">
        <v>0</v>
      </c>
      <c r="CY207" t="s">
        <v>333</v>
      </c>
      <c r="CZ207">
        <v>2.3648400000000001</v>
      </c>
      <c r="DA207">
        <v>2.7137799999999999</v>
      </c>
      <c r="DB207">
        <v>9.1991799999999999E-2</v>
      </c>
      <c r="DC207">
        <v>0.146096</v>
      </c>
      <c r="DD207">
        <v>0.121877</v>
      </c>
      <c r="DE207">
        <v>3.7864000000000002E-2</v>
      </c>
      <c r="DF207">
        <v>33161.1</v>
      </c>
      <c r="DG207">
        <v>27527.4</v>
      </c>
      <c r="DH207">
        <v>31177.1</v>
      </c>
      <c r="DI207">
        <v>28089.8</v>
      </c>
      <c r="DJ207">
        <v>37159.800000000003</v>
      </c>
      <c r="DK207">
        <v>38432.5</v>
      </c>
      <c r="DL207">
        <v>44369.2</v>
      </c>
      <c r="DM207">
        <v>42572.6</v>
      </c>
      <c r="DN207">
        <v>1.4860800000000001</v>
      </c>
      <c r="DO207">
        <v>2.0366499999999998</v>
      </c>
      <c r="DP207">
        <v>0.125974</v>
      </c>
      <c r="DQ207">
        <v>0.14708199999999999</v>
      </c>
      <c r="DR207">
        <v>24.9467</v>
      </c>
      <c r="DS207">
        <v>24.8017</v>
      </c>
      <c r="DT207">
        <v>16.7</v>
      </c>
      <c r="DU207">
        <v>29.8</v>
      </c>
      <c r="DV207">
        <v>7.1014099999999996</v>
      </c>
      <c r="DW207">
        <v>61.564100000000003</v>
      </c>
      <c r="DX207">
        <v>37.035299999999999</v>
      </c>
      <c r="DY207">
        <v>1</v>
      </c>
      <c r="DZ207">
        <v>-0.104327</v>
      </c>
      <c r="EA207">
        <v>0.35847200000000001</v>
      </c>
      <c r="EB207">
        <v>20.188700000000001</v>
      </c>
      <c r="EC207">
        <v>5.24125</v>
      </c>
      <c r="ED207">
        <v>12.039899999999999</v>
      </c>
      <c r="EE207">
        <v>5.0172499999999998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1.86894</v>
      </c>
      <c r="EL207">
        <v>1.8646400000000001</v>
      </c>
      <c r="EM207">
        <v>1.8691800000000001</v>
      </c>
      <c r="EN207">
        <v>1.8672500000000001</v>
      </c>
      <c r="EO207">
        <v>1.8633999999999999</v>
      </c>
      <c r="EP207">
        <v>1.86452</v>
      </c>
      <c r="EQ207">
        <v>1.87018</v>
      </c>
      <c r="ER207">
        <v>1.86944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0</v>
      </c>
      <c r="FG207">
        <v>0.19009999999999999</v>
      </c>
      <c r="FH207">
        <v>0.27827353915413472</v>
      </c>
      <c r="FI207">
        <v>-6.1462078757559423E-4</v>
      </c>
      <c r="FJ207">
        <v>-1.8861989874597051E-7</v>
      </c>
      <c r="FK207">
        <v>1.1980462299894961E-10</v>
      </c>
      <c r="FL207">
        <v>0.19010266435860859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41.5</v>
      </c>
      <c r="FU207">
        <v>41.4</v>
      </c>
      <c r="FV207">
        <v>1.7773399999999999</v>
      </c>
      <c r="FW207">
        <v>2.5817899999999998</v>
      </c>
      <c r="FX207">
        <v>1.5490699999999999</v>
      </c>
      <c r="FY207">
        <v>2.3290999999999999</v>
      </c>
      <c r="FZ207">
        <v>1.50146</v>
      </c>
      <c r="GA207">
        <v>2.4096700000000002</v>
      </c>
      <c r="GB207">
        <v>33.828299999999999</v>
      </c>
      <c r="GC207">
        <v>23.982399999999998</v>
      </c>
      <c r="GD207">
        <v>19</v>
      </c>
      <c r="GE207">
        <v>286.44499999999999</v>
      </c>
      <c r="GF207">
        <v>581.68399999999997</v>
      </c>
      <c r="GG207">
        <v>24.011700000000001</v>
      </c>
      <c r="GH207">
        <v>26.063400000000001</v>
      </c>
      <c r="GI207">
        <v>30</v>
      </c>
      <c r="GJ207">
        <v>26.2026</v>
      </c>
      <c r="GK207">
        <v>26.1876</v>
      </c>
      <c r="GL207">
        <v>35.539000000000001</v>
      </c>
      <c r="GM207">
        <v>-30</v>
      </c>
      <c r="GN207">
        <v>-30</v>
      </c>
      <c r="GO207">
        <v>23.996400000000001</v>
      </c>
      <c r="GP207">
        <v>800</v>
      </c>
      <c r="GQ207">
        <v>12.5298</v>
      </c>
      <c r="GR207">
        <v>99.755099999999999</v>
      </c>
      <c r="GS207">
        <v>99.593800000000002</v>
      </c>
    </row>
    <row r="208" spans="1:201" x14ac:dyDescent="0.25">
      <c r="A208">
        <v>192</v>
      </c>
      <c r="B208">
        <v>1690220085.0999999</v>
      </c>
      <c r="C208">
        <v>2064.599999904633</v>
      </c>
      <c r="D208" t="s">
        <v>713</v>
      </c>
      <c r="E208" t="s">
        <v>714</v>
      </c>
      <c r="F208" t="s">
        <v>330</v>
      </c>
      <c r="H208">
        <v>1690220085.0999999</v>
      </c>
      <c r="I208">
        <f t="shared" si="60"/>
        <v>1.9724708866923567E-3</v>
      </c>
      <c r="J208">
        <f t="shared" si="61"/>
        <v>1.9724708866923566</v>
      </c>
      <c r="K208">
        <f t="shared" si="62"/>
        <v>34.95224165248468</v>
      </c>
      <c r="L208">
        <f t="shared" si="63"/>
        <v>413.89</v>
      </c>
      <c r="M208">
        <f t="shared" si="64"/>
        <v>95.264792989785519</v>
      </c>
      <c r="N208">
        <f t="shared" si="65"/>
        <v>9.4461247035869356</v>
      </c>
      <c r="O208">
        <f t="shared" si="66"/>
        <v>41.039889248348004</v>
      </c>
      <c r="P208">
        <f t="shared" si="67"/>
        <v>0.18538853870597929</v>
      </c>
      <c r="Q208">
        <f t="shared" si="68"/>
        <v>2.128810556595206</v>
      </c>
      <c r="R208">
        <f t="shared" si="69"/>
        <v>0.17686361410477319</v>
      </c>
      <c r="S208">
        <f t="shared" si="70"/>
        <v>0.1112730172485826</v>
      </c>
      <c r="T208">
        <f t="shared" si="71"/>
        <v>276.11433250200002</v>
      </c>
      <c r="U208">
        <f t="shared" si="72"/>
        <v>27.528860941607313</v>
      </c>
      <c r="V208">
        <f t="shared" si="73"/>
        <v>27.528860941607313</v>
      </c>
      <c r="W208">
        <f t="shared" si="74"/>
        <v>3.6918518223296535</v>
      </c>
      <c r="X208">
        <f t="shared" si="75"/>
        <v>77.538891589635455</v>
      </c>
      <c r="Y208">
        <f t="shared" si="76"/>
        <v>2.6212123420933198</v>
      </c>
      <c r="Z208">
        <f t="shared" si="77"/>
        <v>3.3805130410758859</v>
      </c>
      <c r="AA208">
        <f t="shared" si="78"/>
        <v>1.0706394802363337</v>
      </c>
      <c r="AB208">
        <f t="shared" si="79"/>
        <v>-86.985966103132938</v>
      </c>
      <c r="AC208">
        <f t="shared" si="80"/>
        <v>-171.8727251768041</v>
      </c>
      <c r="AD208">
        <f t="shared" si="81"/>
        <v>-17.385699975642993</v>
      </c>
      <c r="AE208">
        <f t="shared" si="82"/>
        <v>-0.13005875357998775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52469.262577031608</v>
      </c>
      <c r="AK208">
        <f t="shared" si="86"/>
        <v>1800</v>
      </c>
      <c r="AL208">
        <f t="shared" si="87"/>
        <v>1499.1140682</v>
      </c>
      <c r="AM208">
        <f t="shared" si="88"/>
        <v>0.83284114900000006</v>
      </c>
      <c r="AN208">
        <f t="shared" si="89"/>
        <v>0.15339685139000001</v>
      </c>
      <c r="AO208">
        <v>32.4</v>
      </c>
      <c r="AP208">
        <v>0.5</v>
      </c>
      <c r="AQ208" t="s">
        <v>331</v>
      </c>
      <c r="AR208">
        <v>2</v>
      </c>
      <c r="AS208">
        <v>1690220085.0999999</v>
      </c>
      <c r="AT208">
        <v>413.89</v>
      </c>
      <c r="AU208">
        <v>800.029</v>
      </c>
      <c r="AV208">
        <v>26.435099999999998</v>
      </c>
      <c r="AW208">
        <v>5.7042599999999997</v>
      </c>
      <c r="AX208">
        <v>413.89</v>
      </c>
      <c r="AY208">
        <v>26.245000000000001</v>
      </c>
      <c r="AZ208">
        <v>300.12599999999998</v>
      </c>
      <c r="BA208">
        <v>99.056600000000003</v>
      </c>
      <c r="BB208">
        <v>9.9913199999999994E-2</v>
      </c>
      <c r="BC208">
        <v>26.031300000000002</v>
      </c>
      <c r="BD208">
        <v>26.988</v>
      </c>
      <c r="BE208">
        <v>27.208600000000001</v>
      </c>
      <c r="BF208">
        <v>0</v>
      </c>
      <c r="BG208">
        <v>0</v>
      </c>
      <c r="BH208">
        <v>9984.3799999999992</v>
      </c>
      <c r="BI208">
        <v>1067.68</v>
      </c>
      <c r="BJ208">
        <v>1.68198</v>
      </c>
      <c r="BK208">
        <v>-386.13900000000001</v>
      </c>
      <c r="BL208">
        <v>425.12900000000002</v>
      </c>
      <c r="BM208">
        <v>804.61900000000003</v>
      </c>
      <c r="BN208">
        <v>20.730799999999999</v>
      </c>
      <c r="BO208">
        <v>800.029</v>
      </c>
      <c r="BP208">
        <v>5.7042599999999997</v>
      </c>
      <c r="BQ208">
        <v>2.6185700000000001</v>
      </c>
      <c r="BR208">
        <v>0.56504500000000002</v>
      </c>
      <c r="BS208">
        <v>21.782900000000001</v>
      </c>
      <c r="BT208">
        <v>-1.1308100000000001</v>
      </c>
      <c r="BU208">
        <v>1800</v>
      </c>
      <c r="BV208">
        <v>0.91002000000000005</v>
      </c>
      <c r="BW208">
        <v>3.3997600000000003E-2</v>
      </c>
      <c r="BX208">
        <v>2.1994199999999998E-2</v>
      </c>
      <c r="BY208">
        <v>3.39881E-2</v>
      </c>
      <c r="BZ208">
        <v>26</v>
      </c>
      <c r="CA208">
        <v>33528.5</v>
      </c>
      <c r="CB208">
        <v>1690217592</v>
      </c>
      <c r="CC208" t="s">
        <v>332</v>
      </c>
      <c r="CD208">
        <v>1690217586.5</v>
      </c>
      <c r="CE208">
        <v>1690217592</v>
      </c>
      <c r="CF208">
        <v>9</v>
      </c>
      <c r="CG208">
        <v>0.11600000000000001</v>
      </c>
      <c r="CH208">
        <v>-3.0000000000000001E-3</v>
      </c>
      <c r="CI208">
        <v>-0.27300000000000002</v>
      </c>
      <c r="CJ208">
        <v>-6.9000000000000006E-2</v>
      </c>
      <c r="CK208">
        <v>800</v>
      </c>
      <c r="CL208">
        <v>6</v>
      </c>
      <c r="CM208">
        <v>0.01</v>
      </c>
      <c r="CN208">
        <v>0.01</v>
      </c>
      <c r="CO208">
        <v>-385.29658536585367</v>
      </c>
      <c r="CP208">
        <v>-4.2121045296179327</v>
      </c>
      <c r="CQ208">
        <v>0.41863919942838818</v>
      </c>
      <c r="CR208">
        <v>-1</v>
      </c>
      <c r="CS208">
        <v>20.715795121951221</v>
      </c>
      <c r="CT208">
        <v>0.1031916376307014</v>
      </c>
      <c r="CU208">
        <v>1.0448385362937381E-2</v>
      </c>
      <c r="CV208">
        <v>-1</v>
      </c>
      <c r="CW208">
        <v>0</v>
      </c>
      <c r="CX208">
        <v>0</v>
      </c>
      <c r="CY208" t="s">
        <v>333</v>
      </c>
      <c r="CZ208">
        <v>2.3645299999999998</v>
      </c>
      <c r="DA208">
        <v>2.7136900000000002</v>
      </c>
      <c r="DB208">
        <v>9.1857400000000006E-2</v>
      </c>
      <c r="DC208">
        <v>0.14610400000000001</v>
      </c>
      <c r="DD208">
        <v>0.12191100000000001</v>
      </c>
      <c r="DE208">
        <v>3.7859999999999998E-2</v>
      </c>
      <c r="DF208">
        <v>33166.199999999997</v>
      </c>
      <c r="DG208">
        <v>27527.4</v>
      </c>
      <c r="DH208">
        <v>31177.3</v>
      </c>
      <c r="DI208">
        <v>28090.1</v>
      </c>
      <c r="DJ208">
        <v>37158.5</v>
      </c>
      <c r="DK208">
        <v>38433.1</v>
      </c>
      <c r="DL208">
        <v>44369.5</v>
      </c>
      <c r="DM208">
        <v>42573.2</v>
      </c>
      <c r="DN208">
        <v>1.4860199999999999</v>
      </c>
      <c r="DO208">
        <v>2.03667</v>
      </c>
      <c r="DP208">
        <v>0.124544</v>
      </c>
      <c r="DQ208">
        <v>0.14696300000000001</v>
      </c>
      <c r="DR208">
        <v>24.947800000000001</v>
      </c>
      <c r="DS208">
        <v>24.801200000000001</v>
      </c>
      <c r="DT208">
        <v>16.7</v>
      </c>
      <c r="DU208">
        <v>29.8</v>
      </c>
      <c r="DV208">
        <v>7.1002099999999997</v>
      </c>
      <c r="DW208">
        <v>61.554099999999998</v>
      </c>
      <c r="DX208">
        <v>37.379800000000003</v>
      </c>
      <c r="DY208">
        <v>1</v>
      </c>
      <c r="DZ208">
        <v>-0.104784</v>
      </c>
      <c r="EA208">
        <v>0.16170200000000001</v>
      </c>
      <c r="EB208">
        <v>20.189399999999999</v>
      </c>
      <c r="EC208">
        <v>5.2408000000000001</v>
      </c>
      <c r="ED208">
        <v>12.039899999999999</v>
      </c>
      <c r="EE208">
        <v>5.0168999999999997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1.8689100000000001</v>
      </c>
      <c r="EL208">
        <v>1.8646400000000001</v>
      </c>
      <c r="EM208">
        <v>1.8691899999999999</v>
      </c>
      <c r="EN208">
        <v>1.8672599999999999</v>
      </c>
      <c r="EO208">
        <v>1.8633999999999999</v>
      </c>
      <c r="EP208">
        <v>1.8645499999999999</v>
      </c>
      <c r="EQ208">
        <v>1.87015</v>
      </c>
      <c r="ER208">
        <v>1.86944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0</v>
      </c>
      <c r="FG208">
        <v>0.19009999999999999</v>
      </c>
      <c r="FH208">
        <v>0.27827353915413472</v>
      </c>
      <c r="FI208">
        <v>-6.1462078757559423E-4</v>
      </c>
      <c r="FJ208">
        <v>-1.8861989874597051E-7</v>
      </c>
      <c r="FK208">
        <v>1.1980462299894961E-10</v>
      </c>
      <c r="FL208">
        <v>0.19010266435860859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41.6</v>
      </c>
      <c r="FU208">
        <v>41.6</v>
      </c>
      <c r="FV208">
        <v>1.7773399999999999</v>
      </c>
      <c r="FW208">
        <v>2.5817899999999998</v>
      </c>
      <c r="FX208">
        <v>1.5490699999999999</v>
      </c>
      <c r="FY208">
        <v>2.3290999999999999</v>
      </c>
      <c r="FZ208">
        <v>1.50146</v>
      </c>
      <c r="GA208">
        <v>2.3791500000000001</v>
      </c>
      <c r="GB208">
        <v>33.850900000000003</v>
      </c>
      <c r="GC208">
        <v>23.982399999999998</v>
      </c>
      <c r="GD208">
        <v>19</v>
      </c>
      <c r="GE208">
        <v>286.42399999999998</v>
      </c>
      <c r="GF208">
        <v>581.67999999999995</v>
      </c>
      <c r="GG208">
        <v>24.0105</v>
      </c>
      <c r="GH208">
        <v>26.061699999999998</v>
      </c>
      <c r="GI208">
        <v>29.999700000000001</v>
      </c>
      <c r="GJ208">
        <v>26.2026</v>
      </c>
      <c r="GK208">
        <v>26.185500000000001</v>
      </c>
      <c r="GL208">
        <v>35.540300000000002</v>
      </c>
      <c r="GM208">
        <v>-30</v>
      </c>
      <c r="GN208">
        <v>-30</v>
      </c>
      <c r="GO208">
        <v>24.0428</v>
      </c>
      <c r="GP208">
        <v>800</v>
      </c>
      <c r="GQ208">
        <v>12.5298</v>
      </c>
      <c r="GR208">
        <v>99.755600000000001</v>
      </c>
      <c r="GS208">
        <v>99.594999999999999</v>
      </c>
    </row>
    <row r="209" spans="1:201" x14ac:dyDescent="0.25">
      <c r="A209">
        <v>193</v>
      </c>
      <c r="B209">
        <v>1690220095.0999999</v>
      </c>
      <c r="C209">
        <v>2074.599999904633</v>
      </c>
      <c r="D209" t="s">
        <v>715</v>
      </c>
      <c r="E209" t="s">
        <v>716</v>
      </c>
      <c r="F209" t="s">
        <v>330</v>
      </c>
      <c r="H209">
        <v>1690220095.0999999</v>
      </c>
      <c r="I209">
        <f t="shared" ref="I209:I272" si="90">(J209)/1000</f>
        <v>1.9760315025388708E-3</v>
      </c>
      <c r="J209">
        <f t="shared" ref="J209:J229" si="91">1000*AZ209*AH209*(AV209-AW209)/(100*AO209*(1000-AH209*AV209))</f>
        <v>1.9760315025388706</v>
      </c>
      <c r="K209">
        <f t="shared" ref="K209:K229" si="92">AZ209*AH209*(AU209-AT209*(1000-AH209*AW209)/(1000-AH209*AV209))/(100*AO209)</f>
        <v>35.003064681682687</v>
      </c>
      <c r="L209">
        <f t="shared" ref="L209:L272" si="93">AT209 - IF(AH209&gt;1, K209*AO209*100/(AJ209*BH209), 0)</f>
        <v>413.363</v>
      </c>
      <c r="M209">
        <f t="shared" ref="M209:M272" si="94">((S209-I209/2)*L209-K209)/(S209+I209/2)</f>
        <v>96.140688020009662</v>
      </c>
      <c r="N209">
        <f t="shared" ref="N209:N272" si="95">M209*(BA209+BB209)/1000</f>
        <v>9.5332569294898981</v>
      </c>
      <c r="O209">
        <f t="shared" ref="O209:O229" si="96">(AT209 - IF(AH209&gt;1, K209*AO209*100/(AJ209*BH209), 0))*(BA209+BB209)/1000</f>
        <v>40.988844216764498</v>
      </c>
      <c r="P209">
        <f t="shared" ref="P209:P272" si="97">2/((1/R209-1/Q209)+SIGN(R209)*SQRT((1/R209-1/Q209)*(1/R209-1/Q209) + 4*AP209/((AP209+1)*(AP209+1))*(2*1/R209*1/Q209-1/Q209*1/Q209)))</f>
        <v>0.18651859651649011</v>
      </c>
      <c r="Q209">
        <f t="shared" ref="Q209:Q229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2.1311793868971094</v>
      </c>
      <c r="R209">
        <f t="shared" ref="R209:R229" si="99">I209*(1000-(1000*0.61365*EXP(17.502*V209/(240.97+V209))/(BA209+BB209)+AV209)/2)/(1000*0.61365*EXP(17.502*V209/(240.97+V209))/(BA209+BB209)-AV209)</f>
        <v>0.17790113687086201</v>
      </c>
      <c r="S209">
        <f t="shared" ref="S209:S229" si="100">1/((AP209+1)/(P209/1.6)+1/(Q209/1.37)) + AP209/((AP209+1)/(P209/1.6) + AP209/(Q209/1.37))</f>
        <v>0.11192927171218647</v>
      </c>
      <c r="T209">
        <f t="shared" ref="T209:T229" si="101">(AK209*AN209)</f>
        <v>276.114393054</v>
      </c>
      <c r="U209">
        <f t="shared" ref="U209:U272" si="102">(BC209+(T209+2*0.95*0.0000000567*(((BC209+$B$7)+273)^4-(BC209+273)^4)-44100*I209)/(1.84*29.3*Q209+8*0.95*0.0000000567*(BC209+273)^3))</f>
        <v>27.525307586166175</v>
      </c>
      <c r="V209">
        <f t="shared" ref="V209:V272" si="103">($C$7*BD209+$D$7*BE209+$E$7*U209)</f>
        <v>27.525307586166175</v>
      </c>
      <c r="W209">
        <f t="shared" ref="W209:W272" si="104">0.61365*EXP(17.502*V209/(240.97+V209))</f>
        <v>3.6910844444366906</v>
      </c>
      <c r="X209">
        <f t="shared" ref="X209:X272" si="105">(Y209/Z209*100)</f>
        <v>77.647227237161204</v>
      </c>
      <c r="Y209">
        <f t="shared" ref="Y209:Y229" si="106">AV209*(BA209+BB209)/1000</f>
        <v>2.624750416505</v>
      </c>
      <c r="Z209">
        <f t="shared" ref="Z209:Z229" si="107">0.61365*EXP(17.502*BC209/(240.97+BC209))</f>
        <v>3.3803530530306172</v>
      </c>
      <c r="AA209">
        <f t="shared" ref="AA209:AA229" si="108">(W209-AV209*(BA209+BB209)/1000)</f>
        <v>1.0663340279316906</v>
      </c>
      <c r="AB209">
        <f t="shared" ref="AB209:AB229" si="109">(-I209*44100)</f>
        <v>-87.142989261964203</v>
      </c>
      <c r="AC209">
        <f t="shared" ref="AC209:AC229" si="110">2*29.3*Q209*0.92*(BC209-V209)</f>
        <v>-171.74762633667663</v>
      </c>
      <c r="AD209">
        <f t="shared" ref="AD209:AD229" si="111">2*0.95*0.0000000567*(((BC209+$B$7)+273)^4-(V209+273)^4)</f>
        <v>-17.353356920038834</v>
      </c>
      <c r="AE209">
        <f t="shared" ref="AE209:AE272" si="112">T209+AD209+AB209+AC209</f>
        <v>-0.12957946467966508</v>
      </c>
      <c r="AF209">
        <v>0</v>
      </c>
      <c r="AG209">
        <v>0</v>
      </c>
      <c r="AH209">
        <f t="shared" ref="AH209:AH229" si="113">IF(AF209*$H$13&gt;=AJ209,1,(AJ209/(AJ209-AF209*$H$13)))</f>
        <v>1</v>
      </c>
      <c r="AI209">
        <f t="shared" ref="AI209:AI272" si="114">(AH209-1)*100</f>
        <v>0</v>
      </c>
      <c r="AJ209">
        <f t="shared" ref="AJ209:AJ229" si="115">MAX(0,($B$13+$C$13*BH209)/(1+$D$13*BH209)*BA209/(BC209+273)*$E$13)</f>
        <v>52571.860057645383</v>
      </c>
      <c r="AK209">
        <f t="shared" ref="AK209:AK229" si="116">$B$11*BI209+$C$11*BJ209+$D$11*BU209</f>
        <v>1800</v>
      </c>
      <c r="AL209">
        <f t="shared" ref="AL209:AL272" si="117">AK209*AM209</f>
        <v>1499.1136884</v>
      </c>
      <c r="AM209">
        <f t="shared" ref="AM209:AM229" si="118">($B$11*$D$9+$C$11*$D$9+$D$11*(BV209*$E$9+BW209*$F$9+BX209*$G$9+BY209*$H$9))/($B$11+$C$11+$D$11)</f>
        <v>0.83284093800000003</v>
      </c>
      <c r="AN209">
        <f t="shared" ref="AN209:AN229" si="119">($B$11*$K$9+$C$11*$K$9+$D$11*(BV209*$L$9+BW209*$M$9+BX209*$N$9+BY209*$O$9))/($B$11+$C$11+$D$11)</f>
        <v>0.15339688503000001</v>
      </c>
      <c r="AO209">
        <v>32.4</v>
      </c>
      <c r="AP209">
        <v>0.5</v>
      </c>
      <c r="AQ209" t="s">
        <v>331</v>
      </c>
      <c r="AR209">
        <v>2</v>
      </c>
      <c r="AS209">
        <v>1690220095.0999999</v>
      </c>
      <c r="AT209">
        <v>413.363</v>
      </c>
      <c r="AU209">
        <v>800.03599999999994</v>
      </c>
      <c r="AV209">
        <v>26.47</v>
      </c>
      <c r="AW209">
        <v>5.7035200000000001</v>
      </c>
      <c r="AX209">
        <v>413.363</v>
      </c>
      <c r="AY209">
        <v>26.279900000000001</v>
      </c>
      <c r="AZ209">
        <v>300.14100000000002</v>
      </c>
      <c r="BA209">
        <v>99.0595</v>
      </c>
      <c r="BB209">
        <v>9.9941500000000003E-2</v>
      </c>
      <c r="BC209">
        <v>26.0305</v>
      </c>
      <c r="BD209">
        <v>26.990300000000001</v>
      </c>
      <c r="BE209">
        <v>27.191299999999998</v>
      </c>
      <c r="BF209">
        <v>0</v>
      </c>
      <c r="BG209">
        <v>0</v>
      </c>
      <c r="BH209">
        <v>10004.4</v>
      </c>
      <c r="BI209">
        <v>1067.6600000000001</v>
      </c>
      <c r="BJ209">
        <v>1.68198</v>
      </c>
      <c r="BK209">
        <v>-386.673</v>
      </c>
      <c r="BL209">
        <v>424.60199999999998</v>
      </c>
      <c r="BM209">
        <v>804.625</v>
      </c>
      <c r="BN209">
        <v>20.766500000000001</v>
      </c>
      <c r="BO209">
        <v>800.03599999999994</v>
      </c>
      <c r="BP209">
        <v>5.7035200000000001</v>
      </c>
      <c r="BQ209">
        <v>2.6221100000000002</v>
      </c>
      <c r="BR209">
        <v>0.56498800000000005</v>
      </c>
      <c r="BS209">
        <v>21.805</v>
      </c>
      <c r="BT209">
        <v>-1.13218</v>
      </c>
      <c r="BU209">
        <v>1800</v>
      </c>
      <c r="BV209">
        <v>0.91001799999999999</v>
      </c>
      <c r="BW209">
        <v>3.4000500000000003E-2</v>
      </c>
      <c r="BX209">
        <v>2.19939E-2</v>
      </c>
      <c r="BY209">
        <v>3.3987700000000003E-2</v>
      </c>
      <c r="BZ209">
        <v>26</v>
      </c>
      <c r="CA209">
        <v>33528.6</v>
      </c>
      <c r="CB209">
        <v>1690217592</v>
      </c>
      <c r="CC209" t="s">
        <v>332</v>
      </c>
      <c r="CD209">
        <v>1690217586.5</v>
      </c>
      <c r="CE209">
        <v>1690217592</v>
      </c>
      <c r="CF209">
        <v>9</v>
      </c>
      <c r="CG209">
        <v>0.11600000000000001</v>
      </c>
      <c r="CH209">
        <v>-3.0000000000000001E-3</v>
      </c>
      <c r="CI209">
        <v>-0.27300000000000002</v>
      </c>
      <c r="CJ209">
        <v>-6.9000000000000006E-2</v>
      </c>
      <c r="CK209">
        <v>800</v>
      </c>
      <c r="CL209">
        <v>6</v>
      </c>
      <c r="CM209">
        <v>0.01</v>
      </c>
      <c r="CN209">
        <v>0.01</v>
      </c>
      <c r="CO209">
        <v>-385.98160975609761</v>
      </c>
      <c r="CP209">
        <v>-3.719142857143221</v>
      </c>
      <c r="CQ209">
        <v>0.37431706125133701</v>
      </c>
      <c r="CR209">
        <v>-1</v>
      </c>
      <c r="CS209">
        <v>20.736714634146342</v>
      </c>
      <c r="CT209">
        <v>0.1370466898954999</v>
      </c>
      <c r="CU209">
        <v>1.4196831679786821E-2</v>
      </c>
      <c r="CV209">
        <v>-1</v>
      </c>
      <c r="CW209">
        <v>0</v>
      </c>
      <c r="CX209">
        <v>0</v>
      </c>
      <c r="CY209" t="s">
        <v>333</v>
      </c>
      <c r="CZ209">
        <v>2.3645700000000001</v>
      </c>
      <c r="DA209">
        <v>2.71374</v>
      </c>
      <c r="DB209">
        <v>9.1771199999999997E-2</v>
      </c>
      <c r="DC209">
        <v>0.14610899999999999</v>
      </c>
      <c r="DD209">
        <v>0.122027</v>
      </c>
      <c r="DE209">
        <v>3.7857000000000002E-2</v>
      </c>
      <c r="DF209">
        <v>33170.199999999997</v>
      </c>
      <c r="DG209">
        <v>27527.7</v>
      </c>
      <c r="DH209">
        <v>31178.1</v>
      </c>
      <c r="DI209">
        <v>28090.5</v>
      </c>
      <c r="DJ209">
        <v>37154.5</v>
      </c>
      <c r="DK209">
        <v>38433.699999999997</v>
      </c>
      <c r="DL209">
        <v>44370.7</v>
      </c>
      <c r="DM209">
        <v>42573.7</v>
      </c>
      <c r="DN209">
        <v>1.4858499999999999</v>
      </c>
      <c r="DO209">
        <v>2.0367299999999999</v>
      </c>
      <c r="DP209">
        <v>0.12481200000000001</v>
      </c>
      <c r="DQ209">
        <v>0.145786</v>
      </c>
      <c r="DR209">
        <v>24.945699999999999</v>
      </c>
      <c r="DS209">
        <v>24.8033</v>
      </c>
      <c r="DT209">
        <v>16.7</v>
      </c>
      <c r="DU209">
        <v>29.8</v>
      </c>
      <c r="DV209">
        <v>7.1004800000000001</v>
      </c>
      <c r="DW209">
        <v>61.514099999999999</v>
      </c>
      <c r="DX209">
        <v>37.479999999999997</v>
      </c>
      <c r="DY209">
        <v>1</v>
      </c>
      <c r="DZ209">
        <v>-0.105005</v>
      </c>
      <c r="EA209">
        <v>0.166024</v>
      </c>
      <c r="EB209">
        <v>20.189599999999999</v>
      </c>
      <c r="EC209">
        <v>5.2409499999999998</v>
      </c>
      <c r="ED209">
        <v>12.039899999999999</v>
      </c>
      <c r="EE209">
        <v>5.01675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1.8689100000000001</v>
      </c>
      <c r="EL209">
        <v>1.86466</v>
      </c>
      <c r="EM209">
        <v>1.8691899999999999</v>
      </c>
      <c r="EN209">
        <v>1.86724</v>
      </c>
      <c r="EO209">
        <v>1.8633999999999999</v>
      </c>
      <c r="EP209">
        <v>1.86456</v>
      </c>
      <c r="EQ209">
        <v>1.87018</v>
      </c>
      <c r="ER209">
        <v>1.86944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0</v>
      </c>
      <c r="FG209">
        <v>0.19009999999999999</v>
      </c>
      <c r="FH209">
        <v>0.27827353915413472</v>
      </c>
      <c r="FI209">
        <v>-6.1462078757559423E-4</v>
      </c>
      <c r="FJ209">
        <v>-1.8861989874597051E-7</v>
      </c>
      <c r="FK209">
        <v>1.1980462299894961E-10</v>
      </c>
      <c r="FL209">
        <v>0.19010266435860859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41.8</v>
      </c>
      <c r="FU209">
        <v>41.7</v>
      </c>
      <c r="FV209">
        <v>1.7773399999999999</v>
      </c>
      <c r="FW209">
        <v>2.5817899999999998</v>
      </c>
      <c r="FX209">
        <v>1.5490699999999999</v>
      </c>
      <c r="FY209">
        <v>2.3290999999999999</v>
      </c>
      <c r="FZ209">
        <v>1.50146</v>
      </c>
      <c r="GA209">
        <v>2.4047900000000002</v>
      </c>
      <c r="GB209">
        <v>33.828299999999999</v>
      </c>
      <c r="GC209">
        <v>23.982399999999998</v>
      </c>
      <c r="GD209">
        <v>19</v>
      </c>
      <c r="GE209">
        <v>286.34800000000001</v>
      </c>
      <c r="GF209">
        <v>581.721</v>
      </c>
      <c r="GG209">
        <v>24.0534</v>
      </c>
      <c r="GH209">
        <v>26.061199999999999</v>
      </c>
      <c r="GI209">
        <v>29.9998</v>
      </c>
      <c r="GJ209">
        <v>26.2026</v>
      </c>
      <c r="GK209">
        <v>26.185500000000001</v>
      </c>
      <c r="GL209">
        <v>35.5383</v>
      </c>
      <c r="GM209">
        <v>-30</v>
      </c>
      <c r="GN209">
        <v>-30</v>
      </c>
      <c r="GO209">
        <v>24.0608</v>
      </c>
      <c r="GP209">
        <v>800</v>
      </c>
      <c r="GQ209">
        <v>12.5298</v>
      </c>
      <c r="GR209">
        <v>99.758300000000006</v>
      </c>
      <c r="GS209">
        <v>99.596400000000003</v>
      </c>
    </row>
    <row r="210" spans="1:201" x14ac:dyDescent="0.25">
      <c r="A210">
        <v>194</v>
      </c>
      <c r="B210">
        <v>1690220105.0999999</v>
      </c>
      <c r="C210">
        <v>2084.599999904633</v>
      </c>
      <c r="D210" t="s">
        <v>717</v>
      </c>
      <c r="E210" t="s">
        <v>718</v>
      </c>
      <c r="F210" t="s">
        <v>330</v>
      </c>
      <c r="H210">
        <v>1690220105.0999999</v>
      </c>
      <c r="I210">
        <f t="shared" si="90"/>
        <v>1.9802414463356926E-3</v>
      </c>
      <c r="J210">
        <f t="shared" si="91"/>
        <v>1.9802414463356925</v>
      </c>
      <c r="K210">
        <f t="shared" si="92"/>
        <v>35.07175310472001</v>
      </c>
      <c r="L210">
        <f t="shared" si="93"/>
        <v>412.63099999999997</v>
      </c>
      <c r="M210">
        <f t="shared" si="94"/>
        <v>96.71006798911597</v>
      </c>
      <c r="N210">
        <f t="shared" si="95"/>
        <v>9.5896173464731813</v>
      </c>
      <c r="O210">
        <f t="shared" si="96"/>
        <v>40.915837177758</v>
      </c>
      <c r="P210">
        <f t="shared" si="97"/>
        <v>0.18770084446199073</v>
      </c>
      <c r="Q210">
        <f t="shared" si="98"/>
        <v>2.1313062495120301</v>
      </c>
      <c r="R210">
        <f t="shared" si="99"/>
        <v>0.17897703410103735</v>
      </c>
      <c r="S210">
        <f t="shared" si="100"/>
        <v>0.11261065237067236</v>
      </c>
      <c r="T210">
        <f t="shared" si="101"/>
        <v>276.11431981200002</v>
      </c>
      <c r="U210">
        <f t="shared" si="102"/>
        <v>27.523857481058112</v>
      </c>
      <c r="V210">
        <f t="shared" si="103"/>
        <v>27.523857481058112</v>
      </c>
      <c r="W210">
        <f t="shared" si="104"/>
        <v>3.6907713216709723</v>
      </c>
      <c r="X210">
        <f t="shared" si="105"/>
        <v>77.761247368067856</v>
      </c>
      <c r="Y210">
        <f t="shared" si="106"/>
        <v>2.6286202502874003</v>
      </c>
      <c r="Z210">
        <f t="shared" si="107"/>
        <v>3.3803730511746215</v>
      </c>
      <c r="AA210">
        <f t="shared" si="108"/>
        <v>1.062151071383572</v>
      </c>
      <c r="AB210">
        <f t="shared" si="109"/>
        <v>-87.328647783404037</v>
      </c>
      <c r="AC210">
        <f t="shared" si="110"/>
        <v>-171.57973824939347</v>
      </c>
      <c r="AD210">
        <f t="shared" si="111"/>
        <v>-17.335244277050094</v>
      </c>
      <c r="AE210">
        <f t="shared" si="112"/>
        <v>-0.12931049784759807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52577.305964649706</v>
      </c>
      <c r="AK210">
        <f t="shared" si="116"/>
        <v>1800</v>
      </c>
      <c r="AL210">
        <f t="shared" si="117"/>
        <v>1499.1127182</v>
      </c>
      <c r="AM210">
        <f t="shared" si="118"/>
        <v>0.83284039899999995</v>
      </c>
      <c r="AN210">
        <f t="shared" si="119"/>
        <v>0.15339684434</v>
      </c>
      <c r="AO210">
        <v>32.4</v>
      </c>
      <c r="AP210">
        <v>0.5</v>
      </c>
      <c r="AQ210" t="s">
        <v>331</v>
      </c>
      <c r="AR210">
        <v>2</v>
      </c>
      <c r="AS210">
        <v>1690220105.0999999</v>
      </c>
      <c r="AT210">
        <v>412.63099999999997</v>
      </c>
      <c r="AU210">
        <v>799.99699999999996</v>
      </c>
      <c r="AV210">
        <v>26.5093</v>
      </c>
      <c r="AW210">
        <v>5.7021899999999999</v>
      </c>
      <c r="AX210">
        <v>412.63</v>
      </c>
      <c r="AY210">
        <v>26.319199999999999</v>
      </c>
      <c r="AZ210">
        <v>300.18099999999998</v>
      </c>
      <c r="BA210">
        <v>99.058400000000006</v>
      </c>
      <c r="BB210">
        <v>0.100018</v>
      </c>
      <c r="BC210">
        <v>26.0306</v>
      </c>
      <c r="BD210">
        <v>27.014700000000001</v>
      </c>
      <c r="BE210">
        <v>27.187100000000001</v>
      </c>
      <c r="BF210">
        <v>0</v>
      </c>
      <c r="BG210">
        <v>0</v>
      </c>
      <c r="BH210">
        <v>10005.6</v>
      </c>
      <c r="BI210">
        <v>1067.81</v>
      </c>
      <c r="BJ210">
        <v>1.68198</v>
      </c>
      <c r="BK210">
        <v>-387.36500000000001</v>
      </c>
      <c r="BL210">
        <v>423.86799999999999</v>
      </c>
      <c r="BM210">
        <v>804.58399999999995</v>
      </c>
      <c r="BN210">
        <v>20.807099999999998</v>
      </c>
      <c r="BO210">
        <v>799.99699999999996</v>
      </c>
      <c r="BP210">
        <v>5.7021899999999999</v>
      </c>
      <c r="BQ210">
        <v>2.6259700000000001</v>
      </c>
      <c r="BR210">
        <v>0.56484999999999996</v>
      </c>
      <c r="BS210">
        <v>21.8291</v>
      </c>
      <c r="BT210">
        <v>-1.1355</v>
      </c>
      <c r="BU210">
        <v>1800</v>
      </c>
      <c r="BV210">
        <v>0.91001600000000005</v>
      </c>
      <c r="BW210">
        <v>3.4002699999999997E-2</v>
      </c>
      <c r="BX210">
        <v>2.1993700000000001E-2</v>
      </c>
      <c r="BY210">
        <v>3.3987400000000001E-2</v>
      </c>
      <c r="BZ210">
        <v>26</v>
      </c>
      <c r="CA210">
        <v>33528.5</v>
      </c>
      <c r="CB210">
        <v>1690217592</v>
      </c>
      <c r="CC210" t="s">
        <v>332</v>
      </c>
      <c r="CD210">
        <v>1690217586.5</v>
      </c>
      <c r="CE210">
        <v>1690217592</v>
      </c>
      <c r="CF210">
        <v>9</v>
      </c>
      <c r="CG210">
        <v>0.11600000000000001</v>
      </c>
      <c r="CH210">
        <v>-3.0000000000000001E-3</v>
      </c>
      <c r="CI210">
        <v>-0.27300000000000002</v>
      </c>
      <c r="CJ210">
        <v>-6.9000000000000006E-2</v>
      </c>
      <c r="CK210">
        <v>800</v>
      </c>
      <c r="CL210">
        <v>6</v>
      </c>
      <c r="CM210">
        <v>0.01</v>
      </c>
      <c r="CN210">
        <v>0.01</v>
      </c>
      <c r="CO210">
        <v>-386.63024999999999</v>
      </c>
      <c r="CP210">
        <v>-3.6895609756085479</v>
      </c>
      <c r="CQ210">
        <v>0.36273039230260012</v>
      </c>
      <c r="CR210">
        <v>-1</v>
      </c>
      <c r="CS210">
        <v>20.765049999999999</v>
      </c>
      <c r="CT210">
        <v>0.21952795497177219</v>
      </c>
      <c r="CU210">
        <v>2.1132699780198411E-2</v>
      </c>
      <c r="CV210">
        <v>-1</v>
      </c>
      <c r="CW210">
        <v>0</v>
      </c>
      <c r="CX210">
        <v>0</v>
      </c>
      <c r="CY210" t="s">
        <v>333</v>
      </c>
      <c r="CZ210">
        <v>2.3647200000000002</v>
      </c>
      <c r="DA210">
        <v>2.7138100000000001</v>
      </c>
      <c r="DB210">
        <v>9.1646900000000003E-2</v>
      </c>
      <c r="DC210">
        <v>0.14610300000000001</v>
      </c>
      <c r="DD210">
        <v>0.122152</v>
      </c>
      <c r="DE210">
        <v>3.7849399999999998E-2</v>
      </c>
      <c r="DF210">
        <v>33174.300000000003</v>
      </c>
      <c r="DG210">
        <v>27528</v>
      </c>
      <c r="DH210">
        <v>31177.599999999999</v>
      </c>
      <c r="DI210">
        <v>28090.6</v>
      </c>
      <c r="DJ210">
        <v>37148.800000000003</v>
      </c>
      <c r="DK210">
        <v>38434</v>
      </c>
      <c r="DL210">
        <v>44370.2</v>
      </c>
      <c r="DM210">
        <v>42573.7</v>
      </c>
      <c r="DN210">
        <v>1.4861200000000001</v>
      </c>
      <c r="DO210">
        <v>2.0367999999999999</v>
      </c>
      <c r="DP210">
        <v>0.126302</v>
      </c>
      <c r="DQ210">
        <v>0.14552499999999999</v>
      </c>
      <c r="DR210">
        <v>24.945699999999999</v>
      </c>
      <c r="DS210">
        <v>24.8033</v>
      </c>
      <c r="DT210">
        <v>16.7</v>
      </c>
      <c r="DU210">
        <v>29.8</v>
      </c>
      <c r="DV210">
        <v>7.1004899999999997</v>
      </c>
      <c r="DW210">
        <v>61.564100000000003</v>
      </c>
      <c r="DX210">
        <v>37.596200000000003</v>
      </c>
      <c r="DY210">
        <v>1</v>
      </c>
      <c r="DZ210">
        <v>-0.105127</v>
      </c>
      <c r="EA210">
        <v>0.164295</v>
      </c>
      <c r="EB210">
        <v>20.189699999999998</v>
      </c>
      <c r="EC210">
        <v>5.2409499999999998</v>
      </c>
      <c r="ED210">
        <v>12.039899999999999</v>
      </c>
      <c r="EE210">
        <v>5.01675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1.8689199999999999</v>
      </c>
      <c r="EL210">
        <v>1.8646799999999999</v>
      </c>
      <c r="EM210">
        <v>1.8691899999999999</v>
      </c>
      <c r="EN210">
        <v>1.86724</v>
      </c>
      <c r="EO210">
        <v>1.8633999999999999</v>
      </c>
      <c r="EP210">
        <v>1.86456</v>
      </c>
      <c r="EQ210">
        <v>1.87019</v>
      </c>
      <c r="ER210">
        <v>1.8694900000000001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1E-3</v>
      </c>
      <c r="FG210">
        <v>0.19009999999999999</v>
      </c>
      <c r="FH210">
        <v>0.27827353915413472</v>
      </c>
      <c r="FI210">
        <v>-6.1462078757559423E-4</v>
      </c>
      <c r="FJ210">
        <v>-1.8861989874597051E-7</v>
      </c>
      <c r="FK210">
        <v>1.1980462299894961E-10</v>
      </c>
      <c r="FL210">
        <v>0.19010266435860859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42</v>
      </c>
      <c r="FU210">
        <v>41.9</v>
      </c>
      <c r="FV210">
        <v>1.7773399999999999</v>
      </c>
      <c r="FW210">
        <v>2.5830099999999998</v>
      </c>
      <c r="FX210">
        <v>1.5490699999999999</v>
      </c>
      <c r="FY210">
        <v>2.3290999999999999</v>
      </c>
      <c r="FZ210">
        <v>1.50146</v>
      </c>
      <c r="GA210">
        <v>2.34497</v>
      </c>
      <c r="GB210">
        <v>33.850900000000003</v>
      </c>
      <c r="GC210">
        <v>23.982399999999998</v>
      </c>
      <c r="GD210">
        <v>19</v>
      </c>
      <c r="GE210">
        <v>286.46699999999998</v>
      </c>
      <c r="GF210">
        <v>581.78300000000002</v>
      </c>
      <c r="GG210">
        <v>24.074000000000002</v>
      </c>
      <c r="GH210">
        <v>26.061199999999999</v>
      </c>
      <c r="GI210">
        <v>30.0002</v>
      </c>
      <c r="GJ210">
        <v>26.2026</v>
      </c>
      <c r="GK210">
        <v>26.185500000000001</v>
      </c>
      <c r="GL210">
        <v>35.540500000000002</v>
      </c>
      <c r="GM210">
        <v>-30</v>
      </c>
      <c r="GN210">
        <v>-30</v>
      </c>
      <c r="GO210">
        <v>24.0517</v>
      </c>
      <c r="GP210">
        <v>800</v>
      </c>
      <c r="GQ210">
        <v>12.5298</v>
      </c>
      <c r="GR210">
        <v>99.757099999999994</v>
      </c>
      <c r="GS210">
        <v>99.596400000000003</v>
      </c>
    </row>
    <row r="211" spans="1:201" x14ac:dyDescent="0.25">
      <c r="A211">
        <v>195</v>
      </c>
      <c r="B211">
        <v>1690220115.0999999</v>
      </c>
      <c r="C211">
        <v>2094.599999904633</v>
      </c>
      <c r="D211" t="s">
        <v>719</v>
      </c>
      <c r="E211" t="s">
        <v>720</v>
      </c>
      <c r="F211" t="s">
        <v>330</v>
      </c>
      <c r="H211">
        <v>1690220115.0999999</v>
      </c>
      <c r="I211">
        <f t="shared" si="90"/>
        <v>1.9831531525927363E-3</v>
      </c>
      <c r="J211">
        <f t="shared" si="91"/>
        <v>1.9831531525927364</v>
      </c>
      <c r="K211">
        <f t="shared" si="92"/>
        <v>35.125164694305028</v>
      </c>
      <c r="L211">
        <f t="shared" si="93"/>
        <v>412.10599999999999</v>
      </c>
      <c r="M211">
        <f t="shared" si="94"/>
        <v>96.835152252338005</v>
      </c>
      <c r="N211">
        <f t="shared" si="95"/>
        <v>9.6020929174578278</v>
      </c>
      <c r="O211">
        <f t="shared" si="96"/>
        <v>40.86408718117481</v>
      </c>
      <c r="P211">
        <f t="shared" si="97"/>
        <v>0.18839656997457654</v>
      </c>
      <c r="Q211">
        <f t="shared" si="98"/>
        <v>2.1322705948676726</v>
      </c>
      <c r="R211">
        <f t="shared" si="99"/>
        <v>0.17961337064787372</v>
      </c>
      <c r="S211">
        <f t="shared" si="100"/>
        <v>0.113013363189575</v>
      </c>
      <c r="T211">
        <f t="shared" si="101"/>
        <v>276.11296602255555</v>
      </c>
      <c r="U211">
        <f t="shared" si="102"/>
        <v>27.525812800368122</v>
      </c>
      <c r="V211">
        <f t="shared" si="103"/>
        <v>27.525812800368122</v>
      </c>
      <c r="W211">
        <f t="shared" si="104"/>
        <v>3.6911935413314625</v>
      </c>
      <c r="X211">
        <f t="shared" si="105"/>
        <v>77.822699184360673</v>
      </c>
      <c r="Y211">
        <f t="shared" si="106"/>
        <v>2.6312578759190601</v>
      </c>
      <c r="Z211">
        <f t="shared" si="107"/>
        <v>3.3810930531793226</v>
      </c>
      <c r="AA211">
        <f t="shared" si="108"/>
        <v>1.0599356654124024</v>
      </c>
      <c r="AB211">
        <f t="shared" si="109"/>
        <v>-87.457054029339673</v>
      </c>
      <c r="AC211">
        <f t="shared" si="110"/>
        <v>-171.46830816431392</v>
      </c>
      <c r="AD211">
        <f t="shared" si="111"/>
        <v>-17.31663226605647</v>
      </c>
      <c r="AE211">
        <f t="shared" si="112"/>
        <v>-0.12902843715448853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52618.41478008464</v>
      </c>
      <c r="AK211">
        <f t="shared" si="116"/>
        <v>1799.99</v>
      </c>
      <c r="AL211">
        <f t="shared" si="117"/>
        <v>1499.1045157953099</v>
      </c>
      <c r="AM211">
        <f t="shared" si="118"/>
        <v>0.83284046899999997</v>
      </c>
      <c r="AN211">
        <f t="shared" si="119"/>
        <v>0.15339694443999999</v>
      </c>
      <c r="AO211">
        <v>32.4</v>
      </c>
      <c r="AP211">
        <v>0.5</v>
      </c>
      <c r="AQ211" t="s">
        <v>331</v>
      </c>
      <c r="AR211">
        <v>2</v>
      </c>
      <c r="AS211">
        <v>1690220115.0999999</v>
      </c>
      <c r="AT211">
        <v>412.10599999999999</v>
      </c>
      <c r="AU211">
        <v>800.005</v>
      </c>
      <c r="AV211">
        <v>26.535699999999999</v>
      </c>
      <c r="AW211">
        <v>5.70099</v>
      </c>
      <c r="AX211">
        <v>412.10500000000002</v>
      </c>
      <c r="AY211">
        <v>26.345600000000001</v>
      </c>
      <c r="AZ211">
        <v>300.21600000000001</v>
      </c>
      <c r="BA211">
        <v>99.059200000000004</v>
      </c>
      <c r="BB211">
        <v>9.9965799999999994E-2</v>
      </c>
      <c r="BC211">
        <v>26.034199999999998</v>
      </c>
      <c r="BD211">
        <v>26.997900000000001</v>
      </c>
      <c r="BE211">
        <v>27.209900000000001</v>
      </c>
      <c r="BF211">
        <v>0</v>
      </c>
      <c r="BG211">
        <v>0</v>
      </c>
      <c r="BH211">
        <v>10013.799999999999</v>
      </c>
      <c r="BI211">
        <v>1067.8800000000001</v>
      </c>
      <c r="BJ211">
        <v>1.68198</v>
      </c>
      <c r="BK211">
        <v>-387.899</v>
      </c>
      <c r="BL211">
        <v>423.34</v>
      </c>
      <c r="BM211">
        <v>804.59199999999998</v>
      </c>
      <c r="BN211">
        <v>20.834700000000002</v>
      </c>
      <c r="BO211">
        <v>800.005</v>
      </c>
      <c r="BP211">
        <v>5.70099</v>
      </c>
      <c r="BQ211">
        <v>2.6286100000000001</v>
      </c>
      <c r="BR211">
        <v>0.56473600000000002</v>
      </c>
      <c r="BS211">
        <v>21.845500000000001</v>
      </c>
      <c r="BT211">
        <v>-1.13826</v>
      </c>
      <c r="BU211">
        <v>1799.99</v>
      </c>
      <c r="BV211">
        <v>0.91001399999999999</v>
      </c>
      <c r="BW211">
        <v>3.4005199999999999E-2</v>
      </c>
      <c r="BX211">
        <v>2.1993700000000001E-2</v>
      </c>
      <c r="BY211">
        <v>3.3987400000000001E-2</v>
      </c>
      <c r="BZ211">
        <v>26</v>
      </c>
      <c r="CA211">
        <v>33528.300000000003</v>
      </c>
      <c r="CB211">
        <v>1690217592</v>
      </c>
      <c r="CC211" t="s">
        <v>332</v>
      </c>
      <c r="CD211">
        <v>1690217586.5</v>
      </c>
      <c r="CE211">
        <v>1690217592</v>
      </c>
      <c r="CF211">
        <v>9</v>
      </c>
      <c r="CG211">
        <v>0.11600000000000001</v>
      </c>
      <c r="CH211">
        <v>-3.0000000000000001E-3</v>
      </c>
      <c r="CI211">
        <v>-0.27300000000000002</v>
      </c>
      <c r="CJ211">
        <v>-6.9000000000000006E-2</v>
      </c>
      <c r="CK211">
        <v>800</v>
      </c>
      <c r="CL211">
        <v>6</v>
      </c>
      <c r="CM211">
        <v>0.01</v>
      </c>
      <c r="CN211">
        <v>0.01</v>
      </c>
      <c r="CO211">
        <v>-387.33873170731698</v>
      </c>
      <c r="CP211">
        <v>-4.1110243902439283</v>
      </c>
      <c r="CQ211">
        <v>0.41047515740700552</v>
      </c>
      <c r="CR211">
        <v>-1</v>
      </c>
      <c r="CS211">
        <v>20.803248780487809</v>
      </c>
      <c r="CT211">
        <v>0.22406341463414389</v>
      </c>
      <c r="CU211">
        <v>2.2180689491484669E-2</v>
      </c>
      <c r="CV211">
        <v>-1</v>
      </c>
      <c r="CW211">
        <v>0</v>
      </c>
      <c r="CX211">
        <v>0</v>
      </c>
      <c r="CY211" t="s">
        <v>333</v>
      </c>
      <c r="CZ211">
        <v>2.3648099999999999</v>
      </c>
      <c r="DA211">
        <v>2.7137699999999998</v>
      </c>
      <c r="DB211">
        <v>9.1559500000000002E-2</v>
      </c>
      <c r="DC211">
        <v>0.14610600000000001</v>
      </c>
      <c r="DD211">
        <v>0.122239</v>
      </c>
      <c r="DE211">
        <v>3.7843399999999999E-2</v>
      </c>
      <c r="DF211">
        <v>33177.9</v>
      </c>
      <c r="DG211">
        <v>27527.4</v>
      </c>
      <c r="DH211">
        <v>31178.1</v>
      </c>
      <c r="DI211">
        <v>28090.1</v>
      </c>
      <c r="DJ211">
        <v>37145.599999999999</v>
      </c>
      <c r="DK211">
        <v>38433.599999999999</v>
      </c>
      <c r="DL211">
        <v>44370.8</v>
      </c>
      <c r="DM211">
        <v>42573</v>
      </c>
      <c r="DN211">
        <v>1.486</v>
      </c>
      <c r="DO211">
        <v>2.03667</v>
      </c>
      <c r="DP211">
        <v>0.12518499999999999</v>
      </c>
      <c r="DQ211">
        <v>0.14691799999999999</v>
      </c>
      <c r="DR211">
        <v>24.947199999999999</v>
      </c>
      <c r="DS211">
        <v>24.8033</v>
      </c>
      <c r="DT211">
        <v>16.7</v>
      </c>
      <c r="DU211">
        <v>29.8</v>
      </c>
      <c r="DV211">
        <v>7.1014999999999997</v>
      </c>
      <c r="DW211">
        <v>61.344099999999997</v>
      </c>
      <c r="DX211">
        <v>37.295699999999997</v>
      </c>
      <c r="DY211">
        <v>1</v>
      </c>
      <c r="DZ211">
        <v>-0.104685</v>
      </c>
      <c r="EA211">
        <v>0.28961300000000001</v>
      </c>
      <c r="EB211">
        <v>20.1892</v>
      </c>
      <c r="EC211">
        <v>5.2409499999999998</v>
      </c>
      <c r="ED211">
        <v>12.039899999999999</v>
      </c>
      <c r="EE211">
        <v>5.0162500000000003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1.8689100000000001</v>
      </c>
      <c r="EL211">
        <v>1.86466</v>
      </c>
      <c r="EM211">
        <v>1.8692</v>
      </c>
      <c r="EN211">
        <v>1.8672299999999999</v>
      </c>
      <c r="EO211">
        <v>1.8633999999999999</v>
      </c>
      <c r="EP211">
        <v>1.8645700000000001</v>
      </c>
      <c r="EQ211">
        <v>1.8701700000000001</v>
      </c>
      <c r="ER211">
        <v>1.8694999999999999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1E-3</v>
      </c>
      <c r="FG211">
        <v>0.19009999999999999</v>
      </c>
      <c r="FH211">
        <v>0.27827353915413472</v>
      </c>
      <c r="FI211">
        <v>-6.1462078757559423E-4</v>
      </c>
      <c r="FJ211">
        <v>-1.8861989874597051E-7</v>
      </c>
      <c r="FK211">
        <v>1.1980462299894961E-10</v>
      </c>
      <c r="FL211">
        <v>0.19010266435860859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42.1</v>
      </c>
      <c r="FU211">
        <v>42.1</v>
      </c>
      <c r="FV211">
        <v>1.7773399999999999</v>
      </c>
      <c r="FW211">
        <v>2.5878899999999998</v>
      </c>
      <c r="FX211">
        <v>1.5490699999999999</v>
      </c>
      <c r="FY211">
        <v>2.3290999999999999</v>
      </c>
      <c r="FZ211">
        <v>1.50024</v>
      </c>
      <c r="GA211">
        <v>2.32666</v>
      </c>
      <c r="GB211">
        <v>33.850900000000003</v>
      </c>
      <c r="GC211">
        <v>23.982399999999998</v>
      </c>
      <c r="GD211">
        <v>19</v>
      </c>
      <c r="GE211">
        <v>286.40600000000001</v>
      </c>
      <c r="GF211">
        <v>581.65499999999997</v>
      </c>
      <c r="GG211">
        <v>24.047799999999999</v>
      </c>
      <c r="GH211">
        <v>26.061199999999999</v>
      </c>
      <c r="GI211">
        <v>30.0001</v>
      </c>
      <c r="GJ211">
        <v>26.200900000000001</v>
      </c>
      <c r="GK211">
        <v>26.183299999999999</v>
      </c>
      <c r="GL211">
        <v>35.540399999999998</v>
      </c>
      <c r="GM211">
        <v>-30</v>
      </c>
      <c r="GN211">
        <v>-30</v>
      </c>
      <c r="GO211">
        <v>24.0228</v>
      </c>
      <c r="GP211">
        <v>800</v>
      </c>
      <c r="GQ211">
        <v>12.5298</v>
      </c>
      <c r="GR211">
        <v>99.758499999999998</v>
      </c>
      <c r="GS211">
        <v>99.594800000000006</v>
      </c>
    </row>
    <row r="212" spans="1:201" x14ac:dyDescent="0.25">
      <c r="A212">
        <v>196</v>
      </c>
      <c r="B212">
        <v>1690220125.0999999</v>
      </c>
      <c r="C212">
        <v>2104.599999904633</v>
      </c>
      <c r="D212" t="s">
        <v>721</v>
      </c>
      <c r="E212" t="s">
        <v>722</v>
      </c>
      <c r="F212" t="s">
        <v>330</v>
      </c>
      <c r="H212">
        <v>1690220125.0999999</v>
      </c>
      <c r="I212">
        <f t="shared" si="90"/>
        <v>1.9852398400422118E-3</v>
      </c>
      <c r="J212">
        <f t="shared" si="91"/>
        <v>1.9852398400422115</v>
      </c>
      <c r="K212">
        <f t="shared" si="92"/>
        <v>35.181166757555502</v>
      </c>
      <c r="L212">
        <f t="shared" si="93"/>
        <v>411.45699999999999</v>
      </c>
      <c r="M212">
        <f t="shared" si="94"/>
        <v>96.67454700571885</v>
      </c>
      <c r="N212">
        <f t="shared" si="95"/>
        <v>9.5863561632306329</v>
      </c>
      <c r="O212">
        <f t="shared" si="96"/>
        <v>40.800536128926005</v>
      </c>
      <c r="P212">
        <f t="shared" si="97"/>
        <v>0.18901775797160264</v>
      </c>
      <c r="Q212">
        <f t="shared" si="98"/>
        <v>2.1298109636722522</v>
      </c>
      <c r="R212">
        <f t="shared" si="99"/>
        <v>0.18016830777760653</v>
      </c>
      <c r="S212">
        <f t="shared" si="100"/>
        <v>0.11336574803854406</v>
      </c>
      <c r="T212">
        <f t="shared" si="101"/>
        <v>276.11444266199999</v>
      </c>
      <c r="U212">
        <f t="shared" si="102"/>
        <v>27.526362051177514</v>
      </c>
      <c r="V212">
        <f t="shared" si="103"/>
        <v>27.526362051177514</v>
      </c>
      <c r="W212">
        <f t="shared" si="104"/>
        <v>3.6913121507657722</v>
      </c>
      <c r="X212">
        <f t="shared" si="105"/>
        <v>77.891015394897479</v>
      </c>
      <c r="Y212">
        <f t="shared" si="106"/>
        <v>2.6335209718440002</v>
      </c>
      <c r="Z212">
        <f t="shared" si="107"/>
        <v>3.3810330478969699</v>
      </c>
      <c r="AA212">
        <f t="shared" si="108"/>
        <v>1.057791178921772</v>
      </c>
      <c r="AB212">
        <f t="shared" si="109"/>
        <v>-87.549076945861543</v>
      </c>
      <c r="AC212">
        <f t="shared" si="110"/>
        <v>-171.36802787151041</v>
      </c>
      <c r="AD212">
        <f t="shared" si="111"/>
        <v>-17.326513234085137</v>
      </c>
      <c r="AE212">
        <f t="shared" si="112"/>
        <v>-0.12917538945711726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52512.130258305704</v>
      </c>
      <c r="AK212">
        <f t="shared" si="116"/>
        <v>1800</v>
      </c>
      <c r="AL212">
        <f t="shared" si="117"/>
        <v>1499.1125832</v>
      </c>
      <c r="AM212">
        <f t="shared" si="118"/>
        <v>0.83284032399999997</v>
      </c>
      <c r="AN212">
        <f t="shared" si="119"/>
        <v>0.15339691258999999</v>
      </c>
      <c r="AO212">
        <v>32.4</v>
      </c>
      <c r="AP212">
        <v>0.5</v>
      </c>
      <c r="AQ212" t="s">
        <v>331</v>
      </c>
      <c r="AR212">
        <v>2</v>
      </c>
      <c r="AS212">
        <v>1690220125.0999999</v>
      </c>
      <c r="AT212">
        <v>411.45699999999999</v>
      </c>
      <c r="AU212">
        <v>799.99199999999996</v>
      </c>
      <c r="AV212">
        <v>26.558</v>
      </c>
      <c r="AW212">
        <v>5.6999000000000004</v>
      </c>
      <c r="AX212">
        <v>411.45499999999998</v>
      </c>
      <c r="AY212">
        <v>26.367899999999999</v>
      </c>
      <c r="AZ212">
        <v>300.18799999999999</v>
      </c>
      <c r="BA212">
        <v>99.061099999999996</v>
      </c>
      <c r="BB212">
        <v>0.100018</v>
      </c>
      <c r="BC212">
        <v>26.033899999999999</v>
      </c>
      <c r="BD212">
        <v>27.0273</v>
      </c>
      <c r="BE212">
        <v>27.2088</v>
      </c>
      <c r="BF212">
        <v>0</v>
      </c>
      <c r="BG212">
        <v>0</v>
      </c>
      <c r="BH212">
        <v>9992.5</v>
      </c>
      <c r="BI212">
        <v>1067.9100000000001</v>
      </c>
      <c r="BJ212">
        <v>1.68198</v>
      </c>
      <c r="BK212">
        <v>-388.53500000000003</v>
      </c>
      <c r="BL212">
        <v>422.68200000000002</v>
      </c>
      <c r="BM212">
        <v>804.57799999999997</v>
      </c>
      <c r="BN212">
        <v>20.8581</v>
      </c>
      <c r="BO212">
        <v>799.99199999999996</v>
      </c>
      <c r="BP212">
        <v>5.6999000000000004</v>
      </c>
      <c r="BQ212">
        <v>2.6308600000000002</v>
      </c>
      <c r="BR212">
        <v>0.564639</v>
      </c>
      <c r="BS212">
        <v>21.859500000000001</v>
      </c>
      <c r="BT212">
        <v>-1.14062</v>
      </c>
      <c r="BU212">
        <v>1800</v>
      </c>
      <c r="BV212">
        <v>0.91001399999999999</v>
      </c>
      <c r="BW212">
        <v>3.4005100000000003E-2</v>
      </c>
      <c r="BX212">
        <v>2.1993700000000001E-2</v>
      </c>
      <c r="BY212">
        <v>3.3987299999999998E-2</v>
      </c>
      <c r="BZ212">
        <v>26</v>
      </c>
      <c r="CA212">
        <v>33528.5</v>
      </c>
      <c r="CB212">
        <v>1690217592</v>
      </c>
      <c r="CC212" t="s">
        <v>332</v>
      </c>
      <c r="CD212">
        <v>1690217586.5</v>
      </c>
      <c r="CE212">
        <v>1690217592</v>
      </c>
      <c r="CF212">
        <v>9</v>
      </c>
      <c r="CG212">
        <v>0.11600000000000001</v>
      </c>
      <c r="CH212">
        <v>-3.0000000000000001E-3</v>
      </c>
      <c r="CI212">
        <v>-0.27300000000000002</v>
      </c>
      <c r="CJ212">
        <v>-6.9000000000000006E-2</v>
      </c>
      <c r="CK212">
        <v>800</v>
      </c>
      <c r="CL212">
        <v>6</v>
      </c>
      <c r="CM212">
        <v>0.01</v>
      </c>
      <c r="CN212">
        <v>0.01</v>
      </c>
      <c r="CO212">
        <v>-387.89426829268291</v>
      </c>
      <c r="CP212">
        <v>-3.5427386759587058</v>
      </c>
      <c r="CQ212">
        <v>0.35895274669585941</v>
      </c>
      <c r="CR212">
        <v>-1</v>
      </c>
      <c r="CS212">
        <v>20.830756097560979</v>
      </c>
      <c r="CT212">
        <v>0.14684320557491909</v>
      </c>
      <c r="CU212">
        <v>1.469081426590662E-2</v>
      </c>
      <c r="CV212">
        <v>-1</v>
      </c>
      <c r="CW212">
        <v>0</v>
      </c>
      <c r="CX212">
        <v>0</v>
      </c>
      <c r="CY212" t="s">
        <v>333</v>
      </c>
      <c r="CZ212">
        <v>2.3647499999999999</v>
      </c>
      <c r="DA212">
        <v>2.7138</v>
      </c>
      <c r="DB212">
        <v>9.1451599999999994E-2</v>
      </c>
      <c r="DC212">
        <v>0.14610699999999999</v>
      </c>
      <c r="DD212">
        <v>0.12231300000000001</v>
      </c>
      <c r="DE212">
        <v>3.78381E-2</v>
      </c>
      <c r="DF212">
        <v>33181.300000000003</v>
      </c>
      <c r="DG212">
        <v>27527.7</v>
      </c>
      <c r="DH212">
        <v>31177.5</v>
      </c>
      <c r="DI212">
        <v>28090.5</v>
      </c>
      <c r="DJ212">
        <v>37141.599999999999</v>
      </c>
      <c r="DK212">
        <v>38434.400000000001</v>
      </c>
      <c r="DL212">
        <v>44369.9</v>
      </c>
      <c r="DM212">
        <v>42573.599999999999</v>
      </c>
      <c r="DN212">
        <v>1.486</v>
      </c>
      <c r="DO212">
        <v>2.0367000000000002</v>
      </c>
      <c r="DP212">
        <v>0.12681600000000001</v>
      </c>
      <c r="DQ212">
        <v>0.14685100000000001</v>
      </c>
      <c r="DR212">
        <v>24.9499</v>
      </c>
      <c r="DS212">
        <v>24.8033</v>
      </c>
      <c r="DT212">
        <v>16.7</v>
      </c>
      <c r="DU212">
        <v>29.8</v>
      </c>
      <c r="DV212">
        <v>7.1015899999999998</v>
      </c>
      <c r="DW212">
        <v>61.784100000000002</v>
      </c>
      <c r="DX212">
        <v>37.0032</v>
      </c>
      <c r="DY212">
        <v>1</v>
      </c>
      <c r="DZ212">
        <v>-0.104286</v>
      </c>
      <c r="EA212">
        <v>0.34800900000000001</v>
      </c>
      <c r="EB212">
        <v>20.189</v>
      </c>
      <c r="EC212">
        <v>5.2411000000000003</v>
      </c>
      <c r="ED212">
        <v>12.039899999999999</v>
      </c>
      <c r="EE212">
        <v>5.0168999999999997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1.86893</v>
      </c>
      <c r="EL212">
        <v>1.86466</v>
      </c>
      <c r="EM212">
        <v>1.8691899999999999</v>
      </c>
      <c r="EN212">
        <v>1.8672599999999999</v>
      </c>
      <c r="EO212">
        <v>1.8633999999999999</v>
      </c>
      <c r="EP212">
        <v>1.8645499999999999</v>
      </c>
      <c r="EQ212">
        <v>1.87018</v>
      </c>
      <c r="ER212">
        <v>1.86948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2E-3</v>
      </c>
      <c r="FG212">
        <v>0.19009999999999999</v>
      </c>
      <c r="FH212">
        <v>0.27827353915413472</v>
      </c>
      <c r="FI212">
        <v>-6.1462078757559423E-4</v>
      </c>
      <c r="FJ212">
        <v>-1.8861989874597051E-7</v>
      </c>
      <c r="FK212">
        <v>1.1980462299894961E-10</v>
      </c>
      <c r="FL212">
        <v>0.19010266435860859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42.3</v>
      </c>
      <c r="FU212">
        <v>42.2</v>
      </c>
      <c r="FV212">
        <v>1.7773399999999999</v>
      </c>
      <c r="FW212">
        <v>2.5854499999999998</v>
      </c>
      <c r="FX212">
        <v>1.5490699999999999</v>
      </c>
      <c r="FY212">
        <v>2.3290999999999999</v>
      </c>
      <c r="FZ212">
        <v>1.50146</v>
      </c>
      <c r="GA212">
        <v>2.3339799999999999</v>
      </c>
      <c r="GB212">
        <v>33.828299999999999</v>
      </c>
      <c r="GC212">
        <v>23.973700000000001</v>
      </c>
      <c r="GD212">
        <v>19</v>
      </c>
      <c r="GE212">
        <v>286.40300000000002</v>
      </c>
      <c r="GF212">
        <v>581.67600000000004</v>
      </c>
      <c r="GG212">
        <v>24.008199999999999</v>
      </c>
      <c r="GH212">
        <v>26.061199999999999</v>
      </c>
      <c r="GI212">
        <v>30.000399999999999</v>
      </c>
      <c r="GJ212">
        <v>26.200399999999998</v>
      </c>
      <c r="GK212">
        <v>26.183299999999999</v>
      </c>
      <c r="GL212">
        <v>35.541699999999999</v>
      </c>
      <c r="GM212">
        <v>-30</v>
      </c>
      <c r="GN212">
        <v>-30</v>
      </c>
      <c r="GO212">
        <v>23.984500000000001</v>
      </c>
      <c r="GP212">
        <v>800</v>
      </c>
      <c r="GQ212">
        <v>12.5298</v>
      </c>
      <c r="GR212">
        <v>99.756500000000003</v>
      </c>
      <c r="GS212">
        <v>99.596199999999996</v>
      </c>
    </row>
    <row r="213" spans="1:201" x14ac:dyDescent="0.25">
      <c r="A213">
        <v>197</v>
      </c>
      <c r="B213">
        <v>1690220135.0999999</v>
      </c>
      <c r="C213">
        <v>2114.599999904633</v>
      </c>
      <c r="D213" t="s">
        <v>723</v>
      </c>
      <c r="E213" t="s">
        <v>724</v>
      </c>
      <c r="F213" t="s">
        <v>330</v>
      </c>
      <c r="H213">
        <v>1690220135.0999999</v>
      </c>
      <c r="I213">
        <f t="shared" si="90"/>
        <v>1.986461371071294E-3</v>
      </c>
      <c r="J213">
        <f t="shared" si="91"/>
        <v>1.9864613710712939</v>
      </c>
      <c r="K213">
        <f t="shared" si="92"/>
        <v>35.246429933210862</v>
      </c>
      <c r="L213">
        <f t="shared" si="93"/>
        <v>410.88299999999998</v>
      </c>
      <c r="M213">
        <f t="shared" si="94"/>
        <v>96.330055948317778</v>
      </c>
      <c r="N213">
        <f t="shared" si="95"/>
        <v>9.5518844171067485</v>
      </c>
      <c r="O213">
        <f t="shared" si="96"/>
        <v>40.742288440689002</v>
      </c>
      <c r="P213">
        <f t="shared" si="97"/>
        <v>0.18951605276949976</v>
      </c>
      <c r="Q213">
        <f t="shared" si="98"/>
        <v>2.1304997445319778</v>
      </c>
      <c r="R213">
        <f t="shared" si="99"/>
        <v>0.18062379311933718</v>
      </c>
      <c r="S213">
        <f t="shared" si="100"/>
        <v>0.11365402925177885</v>
      </c>
      <c r="T213">
        <f t="shared" si="101"/>
        <v>276.11452479600001</v>
      </c>
      <c r="U213">
        <f t="shared" si="102"/>
        <v>27.51950613033268</v>
      </c>
      <c r="V213">
        <f t="shared" si="103"/>
        <v>27.51950613033268</v>
      </c>
      <c r="W213">
        <f t="shared" si="104"/>
        <v>3.6898318689367655</v>
      </c>
      <c r="X213">
        <f t="shared" si="105"/>
        <v>77.935489461722725</v>
      </c>
      <c r="Y213">
        <f t="shared" si="106"/>
        <v>2.6340894987417998</v>
      </c>
      <c r="Z213">
        <f t="shared" si="107"/>
        <v>3.3798331375534736</v>
      </c>
      <c r="AA213">
        <f t="shared" si="108"/>
        <v>1.0557423701949658</v>
      </c>
      <c r="AB213">
        <f t="shared" si="109"/>
        <v>-87.60294646424407</v>
      </c>
      <c r="AC213">
        <f t="shared" si="110"/>
        <v>-171.32513764906361</v>
      </c>
      <c r="AD213">
        <f t="shared" si="111"/>
        <v>-17.315462536422007</v>
      </c>
      <c r="AE213">
        <f t="shared" si="112"/>
        <v>-0.12902185372965391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52542.886416986672</v>
      </c>
      <c r="AK213">
        <f t="shared" si="116"/>
        <v>1800</v>
      </c>
      <c r="AL213">
        <f t="shared" si="117"/>
        <v>1499.1122915999999</v>
      </c>
      <c r="AM213">
        <f t="shared" si="118"/>
        <v>0.83284016199999999</v>
      </c>
      <c r="AN213">
        <f t="shared" si="119"/>
        <v>0.15339695822000002</v>
      </c>
      <c r="AO213">
        <v>32.4</v>
      </c>
      <c r="AP213">
        <v>0.5</v>
      </c>
      <c r="AQ213" t="s">
        <v>331</v>
      </c>
      <c r="AR213">
        <v>2</v>
      </c>
      <c r="AS213">
        <v>1690220135.0999999</v>
      </c>
      <c r="AT213">
        <v>410.88299999999998</v>
      </c>
      <c r="AU213">
        <v>800.01700000000005</v>
      </c>
      <c r="AV213">
        <v>26.564599999999999</v>
      </c>
      <c r="AW213">
        <v>5.69909</v>
      </c>
      <c r="AX213">
        <v>410.88099999999997</v>
      </c>
      <c r="AY213">
        <v>26.374500000000001</v>
      </c>
      <c r="AZ213">
        <v>300.26400000000001</v>
      </c>
      <c r="BA213">
        <v>99.057699999999997</v>
      </c>
      <c r="BB213">
        <v>0.10018299999999999</v>
      </c>
      <c r="BC213">
        <v>26.027899999999999</v>
      </c>
      <c r="BD213">
        <v>27.0076</v>
      </c>
      <c r="BE213">
        <v>27.159800000000001</v>
      </c>
      <c r="BF213">
        <v>0</v>
      </c>
      <c r="BG213">
        <v>0</v>
      </c>
      <c r="BH213">
        <v>9998.75</v>
      </c>
      <c r="BI213">
        <v>1068.04</v>
      </c>
      <c r="BJ213">
        <v>1.68198</v>
      </c>
      <c r="BK213">
        <v>-389.13299999999998</v>
      </c>
      <c r="BL213">
        <v>422.096</v>
      </c>
      <c r="BM213">
        <v>804.60199999999998</v>
      </c>
      <c r="BN213">
        <v>20.865500000000001</v>
      </c>
      <c r="BO213">
        <v>800.01700000000005</v>
      </c>
      <c r="BP213">
        <v>5.69909</v>
      </c>
      <c r="BQ213">
        <v>2.6314299999999999</v>
      </c>
      <c r="BR213">
        <v>0.56453900000000001</v>
      </c>
      <c r="BS213">
        <v>21.863099999999999</v>
      </c>
      <c r="BT213">
        <v>-1.1430199999999999</v>
      </c>
      <c r="BU213">
        <v>1800</v>
      </c>
      <c r="BV213">
        <v>0.91001200000000004</v>
      </c>
      <c r="BW213">
        <v>3.4007500000000003E-2</v>
      </c>
      <c r="BX213">
        <v>2.1993599999999999E-2</v>
      </c>
      <c r="BY213">
        <v>3.3987200000000002E-2</v>
      </c>
      <c r="BZ213">
        <v>26</v>
      </c>
      <c r="CA213">
        <v>33528.5</v>
      </c>
      <c r="CB213">
        <v>1690217592</v>
      </c>
      <c r="CC213" t="s">
        <v>332</v>
      </c>
      <c r="CD213">
        <v>1690217586.5</v>
      </c>
      <c r="CE213">
        <v>1690217592</v>
      </c>
      <c r="CF213">
        <v>9</v>
      </c>
      <c r="CG213">
        <v>0.11600000000000001</v>
      </c>
      <c r="CH213">
        <v>-3.0000000000000001E-3</v>
      </c>
      <c r="CI213">
        <v>-0.27300000000000002</v>
      </c>
      <c r="CJ213">
        <v>-6.9000000000000006E-2</v>
      </c>
      <c r="CK213">
        <v>800</v>
      </c>
      <c r="CL213">
        <v>6</v>
      </c>
      <c r="CM213">
        <v>0.01</v>
      </c>
      <c r="CN213">
        <v>0.01</v>
      </c>
      <c r="CO213">
        <v>-388.49872499999998</v>
      </c>
      <c r="CP213">
        <v>-3.6722589118192421</v>
      </c>
      <c r="CQ213">
        <v>0.35756439891996938</v>
      </c>
      <c r="CR213">
        <v>-1</v>
      </c>
      <c r="CS213">
        <v>20.852325</v>
      </c>
      <c r="CT213">
        <v>0.100831519699793</v>
      </c>
      <c r="CU213">
        <v>1.01034338222211E-2</v>
      </c>
      <c r="CV213">
        <v>-1</v>
      </c>
      <c r="CW213">
        <v>0</v>
      </c>
      <c r="CX213">
        <v>0</v>
      </c>
      <c r="CY213" t="s">
        <v>333</v>
      </c>
      <c r="CZ213">
        <v>2.3649800000000001</v>
      </c>
      <c r="DA213">
        <v>2.7139700000000002</v>
      </c>
      <c r="DB213">
        <v>9.1351699999999994E-2</v>
      </c>
      <c r="DC213">
        <v>0.14610500000000001</v>
      </c>
      <c r="DD213">
        <v>0.12232999999999999</v>
      </c>
      <c r="DE213">
        <v>3.7832400000000002E-2</v>
      </c>
      <c r="DF213">
        <v>33185.1</v>
      </c>
      <c r="DG213">
        <v>27527.4</v>
      </c>
      <c r="DH213">
        <v>31177.7</v>
      </c>
      <c r="DI213">
        <v>28090.1</v>
      </c>
      <c r="DJ213">
        <v>37141.1</v>
      </c>
      <c r="DK213">
        <v>38434.199999999997</v>
      </c>
      <c r="DL213">
        <v>44370.2</v>
      </c>
      <c r="DM213">
        <v>42573.1</v>
      </c>
      <c r="DN213">
        <v>1.48647</v>
      </c>
      <c r="DO213">
        <v>2.0367000000000002</v>
      </c>
      <c r="DP213">
        <v>0.125393</v>
      </c>
      <c r="DQ213">
        <v>0.143729</v>
      </c>
      <c r="DR213">
        <v>24.953499999999998</v>
      </c>
      <c r="DS213">
        <v>24.805399999999999</v>
      </c>
      <c r="DT213">
        <v>16.7</v>
      </c>
      <c r="DU213">
        <v>29.8</v>
      </c>
      <c r="DV213">
        <v>7.1000699999999997</v>
      </c>
      <c r="DW213">
        <v>61.534100000000002</v>
      </c>
      <c r="DX213">
        <v>36.662700000000001</v>
      </c>
      <c r="DY213">
        <v>1</v>
      </c>
      <c r="DZ213">
        <v>-0.10420699999999999</v>
      </c>
      <c r="EA213">
        <v>0.382407</v>
      </c>
      <c r="EB213">
        <v>20.1891</v>
      </c>
      <c r="EC213">
        <v>5.2409499999999998</v>
      </c>
      <c r="ED213">
        <v>12.039899999999999</v>
      </c>
      <c r="EE213">
        <v>5.0169499999999996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1.86894</v>
      </c>
      <c r="EL213">
        <v>1.8646499999999999</v>
      </c>
      <c r="EM213">
        <v>1.8692</v>
      </c>
      <c r="EN213">
        <v>1.8672299999999999</v>
      </c>
      <c r="EO213">
        <v>1.8633999999999999</v>
      </c>
      <c r="EP213">
        <v>1.86453</v>
      </c>
      <c r="EQ213">
        <v>1.8702099999999999</v>
      </c>
      <c r="ER213">
        <v>1.8694900000000001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2E-3</v>
      </c>
      <c r="FG213">
        <v>0.19009999999999999</v>
      </c>
      <c r="FH213">
        <v>0.27827353915413472</v>
      </c>
      <c r="FI213">
        <v>-6.1462078757559423E-4</v>
      </c>
      <c r="FJ213">
        <v>-1.8861989874597051E-7</v>
      </c>
      <c r="FK213">
        <v>1.1980462299894961E-10</v>
      </c>
      <c r="FL213">
        <v>0.19010266435860859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42.5</v>
      </c>
      <c r="FU213">
        <v>42.4</v>
      </c>
      <c r="FV213">
        <v>1.7773399999999999</v>
      </c>
      <c r="FW213">
        <v>2.5903299999999998</v>
      </c>
      <c r="FX213">
        <v>1.5490699999999999</v>
      </c>
      <c r="FY213">
        <v>2.3290999999999999</v>
      </c>
      <c r="FZ213">
        <v>1.50146</v>
      </c>
      <c r="GA213">
        <v>2.2814899999999998</v>
      </c>
      <c r="GB213">
        <v>33.850900000000003</v>
      </c>
      <c r="GC213">
        <v>23.973700000000001</v>
      </c>
      <c r="GD213">
        <v>19</v>
      </c>
      <c r="GE213">
        <v>286.60500000000002</v>
      </c>
      <c r="GF213">
        <v>581.67600000000004</v>
      </c>
      <c r="GG213">
        <v>23.965199999999999</v>
      </c>
      <c r="GH213">
        <v>26.06</v>
      </c>
      <c r="GI213">
        <v>30</v>
      </c>
      <c r="GJ213">
        <v>26.1998</v>
      </c>
      <c r="GK213">
        <v>26.183299999999999</v>
      </c>
      <c r="GL213">
        <v>35.539499999999997</v>
      </c>
      <c r="GM213">
        <v>-30</v>
      </c>
      <c r="GN213">
        <v>-30</v>
      </c>
      <c r="GO213">
        <v>24.008500000000002</v>
      </c>
      <c r="GP213">
        <v>800</v>
      </c>
      <c r="GQ213">
        <v>12.5298</v>
      </c>
      <c r="GR213">
        <v>99.757199999999997</v>
      </c>
      <c r="GS213">
        <v>99.594999999999999</v>
      </c>
    </row>
    <row r="214" spans="1:201" x14ac:dyDescent="0.25">
      <c r="A214">
        <v>198</v>
      </c>
      <c r="B214">
        <v>1690220145.0999999</v>
      </c>
      <c r="C214">
        <v>2124.599999904633</v>
      </c>
      <c r="D214" t="s">
        <v>725</v>
      </c>
      <c r="E214" t="s">
        <v>726</v>
      </c>
      <c r="F214" t="s">
        <v>330</v>
      </c>
      <c r="H214">
        <v>1690220145.0999999</v>
      </c>
      <c r="I214">
        <f t="shared" si="90"/>
        <v>1.9869573345995539E-3</v>
      </c>
      <c r="J214">
        <f t="shared" si="91"/>
        <v>1.9869573345995539</v>
      </c>
      <c r="K214">
        <f t="shared" si="92"/>
        <v>35.278567685399231</v>
      </c>
      <c r="L214">
        <f t="shared" si="93"/>
        <v>410.42200000000003</v>
      </c>
      <c r="M214">
        <f t="shared" si="94"/>
        <v>96.281076867952038</v>
      </c>
      <c r="N214">
        <f t="shared" si="95"/>
        <v>9.5472702872190265</v>
      </c>
      <c r="O214">
        <f t="shared" si="96"/>
        <v>40.697610509644008</v>
      </c>
      <c r="P214">
        <f t="shared" si="97"/>
        <v>0.18995009429274914</v>
      </c>
      <c r="Q214">
        <f t="shared" si="98"/>
        <v>2.1306772211437925</v>
      </c>
      <c r="R214">
        <f t="shared" si="99"/>
        <v>0.18101879462810552</v>
      </c>
      <c r="S214">
        <f t="shared" si="100"/>
        <v>0.11390418677760708</v>
      </c>
      <c r="T214">
        <f t="shared" si="101"/>
        <v>276.11456833799997</v>
      </c>
      <c r="U214">
        <f t="shared" si="102"/>
        <v>27.514626780691849</v>
      </c>
      <c r="V214">
        <f t="shared" si="103"/>
        <v>27.514626780691849</v>
      </c>
      <c r="W214">
        <f t="shared" si="104"/>
        <v>3.6887786699162688</v>
      </c>
      <c r="X214">
        <f t="shared" si="105"/>
        <v>77.985094652451181</v>
      </c>
      <c r="Y214">
        <f t="shared" si="106"/>
        <v>2.6350488585871998</v>
      </c>
      <c r="Z214">
        <f t="shared" si="107"/>
        <v>3.3789134581814304</v>
      </c>
      <c r="AA214">
        <f t="shared" si="108"/>
        <v>1.053729811329069</v>
      </c>
      <c r="AB214">
        <f t="shared" si="109"/>
        <v>-87.624818455840327</v>
      </c>
      <c r="AC214">
        <f t="shared" si="110"/>
        <v>-171.30732088061941</v>
      </c>
      <c r="AD214">
        <f t="shared" si="111"/>
        <v>-17.311398491406297</v>
      </c>
      <c r="AE214">
        <f t="shared" si="112"/>
        <v>-0.12896948986607981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52551.427434658559</v>
      </c>
      <c r="AK214">
        <f t="shared" si="116"/>
        <v>1800</v>
      </c>
      <c r="AL214">
        <f t="shared" si="117"/>
        <v>1499.1121548000001</v>
      </c>
      <c r="AM214">
        <f t="shared" si="118"/>
        <v>0.83284008600000003</v>
      </c>
      <c r="AN214">
        <f t="shared" si="119"/>
        <v>0.15339698240999999</v>
      </c>
      <c r="AO214">
        <v>32.4</v>
      </c>
      <c r="AP214">
        <v>0.5</v>
      </c>
      <c r="AQ214" t="s">
        <v>331</v>
      </c>
      <c r="AR214">
        <v>2</v>
      </c>
      <c r="AS214">
        <v>1690220145.0999999</v>
      </c>
      <c r="AT214">
        <v>410.42200000000003</v>
      </c>
      <c r="AU214">
        <v>799.995</v>
      </c>
      <c r="AV214">
        <v>26.573599999999999</v>
      </c>
      <c r="AW214">
        <v>5.6977200000000003</v>
      </c>
      <c r="AX214">
        <v>410.41899999999998</v>
      </c>
      <c r="AY214">
        <v>26.383500000000002</v>
      </c>
      <c r="AZ214">
        <v>300.18700000000001</v>
      </c>
      <c r="BA214">
        <v>99.060400000000001</v>
      </c>
      <c r="BB214">
        <v>0.10000199999999999</v>
      </c>
      <c r="BC214">
        <v>26.023299999999999</v>
      </c>
      <c r="BD214">
        <v>27.0108</v>
      </c>
      <c r="BE214">
        <v>27.1816</v>
      </c>
      <c r="BF214">
        <v>0</v>
      </c>
      <c r="BG214">
        <v>0</v>
      </c>
      <c r="BH214">
        <v>10000</v>
      </c>
      <c r="BI214">
        <v>1068.02</v>
      </c>
      <c r="BJ214">
        <v>1.68198</v>
      </c>
      <c r="BK214">
        <v>-389.57299999999998</v>
      </c>
      <c r="BL214">
        <v>421.62599999999998</v>
      </c>
      <c r="BM214">
        <v>804.58</v>
      </c>
      <c r="BN214">
        <v>20.875900000000001</v>
      </c>
      <c r="BO214">
        <v>799.995</v>
      </c>
      <c r="BP214">
        <v>5.6977200000000003</v>
      </c>
      <c r="BQ214">
        <v>2.63239</v>
      </c>
      <c r="BR214">
        <v>0.56441799999999998</v>
      </c>
      <c r="BS214">
        <v>21.8691</v>
      </c>
      <c r="BT214">
        <v>-1.14595</v>
      </c>
      <c r="BU214">
        <v>1800</v>
      </c>
      <c r="BV214">
        <v>0.91001100000000001</v>
      </c>
      <c r="BW214">
        <v>3.4009499999999998E-2</v>
      </c>
      <c r="BX214">
        <v>2.19933E-2</v>
      </c>
      <c r="BY214">
        <v>3.3986700000000002E-2</v>
      </c>
      <c r="BZ214">
        <v>26</v>
      </c>
      <c r="CA214">
        <v>33528.5</v>
      </c>
      <c r="CB214">
        <v>1690217592</v>
      </c>
      <c r="CC214" t="s">
        <v>332</v>
      </c>
      <c r="CD214">
        <v>1690217586.5</v>
      </c>
      <c r="CE214">
        <v>1690217592</v>
      </c>
      <c r="CF214">
        <v>9</v>
      </c>
      <c r="CG214">
        <v>0.11600000000000001</v>
      </c>
      <c r="CH214">
        <v>-3.0000000000000001E-3</v>
      </c>
      <c r="CI214">
        <v>-0.27300000000000002</v>
      </c>
      <c r="CJ214">
        <v>-6.9000000000000006E-2</v>
      </c>
      <c r="CK214">
        <v>800</v>
      </c>
      <c r="CL214">
        <v>6</v>
      </c>
      <c r="CM214">
        <v>0.01</v>
      </c>
      <c r="CN214">
        <v>0.01</v>
      </c>
      <c r="CO214">
        <v>-389.04345000000001</v>
      </c>
      <c r="CP214">
        <v>-3.0589418386476881</v>
      </c>
      <c r="CQ214">
        <v>0.29707868907075757</v>
      </c>
      <c r="CR214">
        <v>-1</v>
      </c>
      <c r="CS214">
        <v>20.863917499999999</v>
      </c>
      <c r="CT214">
        <v>3.8500187617266257E-2</v>
      </c>
      <c r="CU214">
        <v>3.9556217905658986E-3</v>
      </c>
      <c r="CV214">
        <v>-1</v>
      </c>
      <c r="CW214">
        <v>0</v>
      </c>
      <c r="CX214">
        <v>0</v>
      </c>
      <c r="CY214" t="s">
        <v>333</v>
      </c>
      <c r="CZ214">
        <v>2.3647300000000002</v>
      </c>
      <c r="DA214">
        <v>2.7137899999999999</v>
      </c>
      <c r="DB214">
        <v>9.1276300000000005E-2</v>
      </c>
      <c r="DC214">
        <v>0.14610699999999999</v>
      </c>
      <c r="DD214">
        <v>0.122363</v>
      </c>
      <c r="DE214">
        <v>3.7826100000000001E-2</v>
      </c>
      <c r="DF214">
        <v>33187.599999999999</v>
      </c>
      <c r="DG214">
        <v>27527.9</v>
      </c>
      <c r="DH214">
        <v>31177.5</v>
      </c>
      <c r="DI214">
        <v>28090.6</v>
      </c>
      <c r="DJ214">
        <v>37139.5</v>
      </c>
      <c r="DK214">
        <v>38435.1</v>
      </c>
      <c r="DL214">
        <v>44369.9</v>
      </c>
      <c r="DM214">
        <v>42573.8</v>
      </c>
      <c r="DN214">
        <v>1.4861</v>
      </c>
      <c r="DO214">
        <v>2.0367999999999999</v>
      </c>
      <c r="DP214">
        <v>0.125557</v>
      </c>
      <c r="DQ214">
        <v>0.14518900000000001</v>
      </c>
      <c r="DR214">
        <v>24.9541</v>
      </c>
      <c r="DS214">
        <v>24.8033</v>
      </c>
      <c r="DT214">
        <v>16.7</v>
      </c>
      <c r="DU214">
        <v>29.8</v>
      </c>
      <c r="DV214">
        <v>7.1001899999999996</v>
      </c>
      <c r="DW214">
        <v>61.764099999999999</v>
      </c>
      <c r="DX214">
        <v>36.354199999999999</v>
      </c>
      <c r="DY214">
        <v>1</v>
      </c>
      <c r="DZ214">
        <v>-0.104975</v>
      </c>
      <c r="EA214">
        <v>0.25640299999999999</v>
      </c>
      <c r="EB214">
        <v>20.189299999999999</v>
      </c>
      <c r="EC214">
        <v>5.2411000000000003</v>
      </c>
      <c r="ED214">
        <v>12.039899999999999</v>
      </c>
      <c r="EE214">
        <v>5.0171000000000001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1.86894</v>
      </c>
      <c r="EL214">
        <v>1.8647</v>
      </c>
      <c r="EM214">
        <v>1.8692</v>
      </c>
      <c r="EN214">
        <v>1.8672500000000001</v>
      </c>
      <c r="EO214">
        <v>1.8633999999999999</v>
      </c>
      <c r="EP214">
        <v>1.86456</v>
      </c>
      <c r="EQ214">
        <v>1.8702000000000001</v>
      </c>
      <c r="ER214">
        <v>1.8694900000000001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3.0000000000000001E-3</v>
      </c>
      <c r="FG214">
        <v>0.19009999999999999</v>
      </c>
      <c r="FH214">
        <v>0.27827353915413472</v>
      </c>
      <c r="FI214">
        <v>-6.1462078757559423E-4</v>
      </c>
      <c r="FJ214">
        <v>-1.8861989874597051E-7</v>
      </c>
      <c r="FK214">
        <v>1.1980462299894961E-10</v>
      </c>
      <c r="FL214">
        <v>0.19010266435860859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42.6</v>
      </c>
      <c r="FU214">
        <v>42.6</v>
      </c>
      <c r="FV214">
        <v>1.7773399999999999</v>
      </c>
      <c r="FW214">
        <v>2.5915499999999998</v>
      </c>
      <c r="FX214">
        <v>1.5490699999999999</v>
      </c>
      <c r="FY214">
        <v>2.3290999999999999</v>
      </c>
      <c r="FZ214">
        <v>1.50146</v>
      </c>
      <c r="GA214">
        <v>2.2912599999999999</v>
      </c>
      <c r="GB214">
        <v>33.828299999999999</v>
      </c>
      <c r="GC214">
        <v>23.973700000000001</v>
      </c>
      <c r="GD214">
        <v>19</v>
      </c>
      <c r="GE214">
        <v>286.43599999999998</v>
      </c>
      <c r="GF214">
        <v>581.74</v>
      </c>
      <c r="GG214">
        <v>23.998799999999999</v>
      </c>
      <c r="GH214">
        <v>26.059100000000001</v>
      </c>
      <c r="GI214">
        <v>29.9999</v>
      </c>
      <c r="GJ214">
        <v>26.1982</v>
      </c>
      <c r="GK214">
        <v>26.1816</v>
      </c>
      <c r="GL214">
        <v>35.541699999999999</v>
      </c>
      <c r="GM214">
        <v>-30</v>
      </c>
      <c r="GN214">
        <v>-30</v>
      </c>
      <c r="GO214">
        <v>23.984300000000001</v>
      </c>
      <c r="GP214">
        <v>800</v>
      </c>
      <c r="GQ214">
        <v>12.5298</v>
      </c>
      <c r="GR214">
        <v>99.756500000000003</v>
      </c>
      <c r="GS214">
        <v>99.596599999999995</v>
      </c>
    </row>
    <row r="215" spans="1:201" x14ac:dyDescent="0.25">
      <c r="A215">
        <v>199</v>
      </c>
      <c r="B215">
        <v>1690220155.0999999</v>
      </c>
      <c r="C215">
        <v>2134.599999904633</v>
      </c>
      <c r="D215" t="s">
        <v>727</v>
      </c>
      <c r="E215" t="s">
        <v>728</v>
      </c>
      <c r="F215" t="s">
        <v>330</v>
      </c>
      <c r="H215">
        <v>1690220155.0999999</v>
      </c>
      <c r="I215">
        <f t="shared" si="90"/>
        <v>1.9892908620780959E-3</v>
      </c>
      <c r="J215">
        <f t="shared" si="91"/>
        <v>1.9892908620780958</v>
      </c>
      <c r="K215">
        <f t="shared" si="92"/>
        <v>35.351342486112124</v>
      </c>
      <c r="L215">
        <f t="shared" si="93"/>
        <v>409.62900000000002</v>
      </c>
      <c r="M215">
        <f t="shared" si="94"/>
        <v>96.073985570170422</v>
      </c>
      <c r="N215">
        <f t="shared" si="95"/>
        <v>9.5267697135890881</v>
      </c>
      <c r="O215">
        <f t="shared" si="96"/>
        <v>40.619124186927003</v>
      </c>
      <c r="P215">
        <f t="shared" si="97"/>
        <v>0.19072563801563938</v>
      </c>
      <c r="Q215">
        <f t="shared" si="98"/>
        <v>2.129514625738743</v>
      </c>
      <c r="R215">
        <f t="shared" si="99"/>
        <v>0.18171845026797651</v>
      </c>
      <c r="S215">
        <f t="shared" si="100"/>
        <v>0.11434783690310313</v>
      </c>
      <c r="T215">
        <f t="shared" si="101"/>
        <v>276.11442675000001</v>
      </c>
      <c r="U215">
        <f t="shared" si="102"/>
        <v>27.512853289727083</v>
      </c>
      <c r="V215">
        <f t="shared" si="103"/>
        <v>27.512853289727083</v>
      </c>
      <c r="W215">
        <f t="shared" si="104"/>
        <v>3.688395930028098</v>
      </c>
      <c r="X215">
        <f t="shared" si="105"/>
        <v>78.065423273660215</v>
      </c>
      <c r="Y215">
        <f t="shared" si="106"/>
        <v>2.6374978064265999</v>
      </c>
      <c r="Z215">
        <f t="shared" si="107"/>
        <v>3.378573631991705</v>
      </c>
      <c r="AA215">
        <f t="shared" si="108"/>
        <v>1.050898123601498</v>
      </c>
      <c r="AB215">
        <f t="shared" si="109"/>
        <v>-87.727727017644028</v>
      </c>
      <c r="AC215">
        <f t="shared" si="110"/>
        <v>-171.20541050153972</v>
      </c>
      <c r="AD215">
        <f t="shared" si="111"/>
        <v>-17.310244525087185</v>
      </c>
      <c r="AE215">
        <f t="shared" si="112"/>
        <v>-0.12895529427092356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52501.474046244984</v>
      </c>
      <c r="AK215">
        <f t="shared" si="116"/>
        <v>1800</v>
      </c>
      <c r="AL215">
        <f t="shared" si="117"/>
        <v>1499.1118739999999</v>
      </c>
      <c r="AM215">
        <f t="shared" si="118"/>
        <v>0.83283993000000001</v>
      </c>
      <c r="AN215">
        <f t="shared" si="119"/>
        <v>0.15339690375000001</v>
      </c>
      <c r="AO215">
        <v>32.4</v>
      </c>
      <c r="AP215">
        <v>0.5</v>
      </c>
      <c r="AQ215" t="s">
        <v>331</v>
      </c>
      <c r="AR215">
        <v>2</v>
      </c>
      <c r="AS215">
        <v>1690220155.0999999</v>
      </c>
      <c r="AT215">
        <v>409.62900000000002</v>
      </c>
      <c r="AU215">
        <v>800.01199999999994</v>
      </c>
      <c r="AV215">
        <v>26.598199999999999</v>
      </c>
      <c r="AW215">
        <v>5.6966599999999996</v>
      </c>
      <c r="AX215">
        <v>409.62599999999998</v>
      </c>
      <c r="AY215">
        <v>26.408100000000001</v>
      </c>
      <c r="AZ215">
        <v>300.16300000000001</v>
      </c>
      <c r="BA215">
        <v>99.060699999999997</v>
      </c>
      <c r="BB215">
        <v>0.100063</v>
      </c>
      <c r="BC215">
        <v>26.021599999999999</v>
      </c>
      <c r="BD215">
        <v>26.9739</v>
      </c>
      <c r="BE215">
        <v>27.182400000000001</v>
      </c>
      <c r="BF215">
        <v>0</v>
      </c>
      <c r="BG215">
        <v>0</v>
      </c>
      <c r="BH215">
        <v>9990</v>
      </c>
      <c r="BI215">
        <v>1068.02</v>
      </c>
      <c r="BJ215">
        <v>1.68198</v>
      </c>
      <c r="BK215">
        <v>-390.38299999999998</v>
      </c>
      <c r="BL215">
        <v>420.822</v>
      </c>
      <c r="BM215">
        <v>804.596</v>
      </c>
      <c r="BN215">
        <v>20.901499999999999</v>
      </c>
      <c r="BO215">
        <v>800.01199999999994</v>
      </c>
      <c r="BP215">
        <v>5.6966599999999996</v>
      </c>
      <c r="BQ215">
        <v>2.63483</v>
      </c>
      <c r="BR215">
        <v>0.56431500000000001</v>
      </c>
      <c r="BS215">
        <v>21.8843</v>
      </c>
      <c r="BT215">
        <v>-1.1484300000000001</v>
      </c>
      <c r="BU215">
        <v>1800</v>
      </c>
      <c r="BV215">
        <v>0.91001200000000004</v>
      </c>
      <c r="BW215">
        <v>3.40074E-2</v>
      </c>
      <c r="BX215">
        <v>2.1993499999999999E-2</v>
      </c>
      <c r="BY215">
        <v>3.3987099999999999E-2</v>
      </c>
      <c r="BZ215">
        <v>26</v>
      </c>
      <c r="CA215">
        <v>33528.5</v>
      </c>
      <c r="CB215">
        <v>1690217592</v>
      </c>
      <c r="CC215" t="s">
        <v>332</v>
      </c>
      <c r="CD215">
        <v>1690217586.5</v>
      </c>
      <c r="CE215">
        <v>1690217592</v>
      </c>
      <c r="CF215">
        <v>9</v>
      </c>
      <c r="CG215">
        <v>0.11600000000000001</v>
      </c>
      <c r="CH215">
        <v>-3.0000000000000001E-3</v>
      </c>
      <c r="CI215">
        <v>-0.27300000000000002</v>
      </c>
      <c r="CJ215">
        <v>-6.9000000000000006E-2</v>
      </c>
      <c r="CK215">
        <v>800</v>
      </c>
      <c r="CL215">
        <v>6</v>
      </c>
      <c r="CM215">
        <v>0.01</v>
      </c>
      <c r="CN215">
        <v>0.01</v>
      </c>
      <c r="CO215">
        <v>-389.63331707317082</v>
      </c>
      <c r="CP215">
        <v>-4.0073101045304034</v>
      </c>
      <c r="CQ215">
        <v>0.4024739009277753</v>
      </c>
      <c r="CR215">
        <v>-1</v>
      </c>
      <c r="CS215">
        <v>20.877407317073171</v>
      </c>
      <c r="CT215">
        <v>0.1139707317073162</v>
      </c>
      <c r="CU215">
        <v>1.1701039983879381E-2</v>
      </c>
      <c r="CV215">
        <v>-1</v>
      </c>
      <c r="CW215">
        <v>0</v>
      </c>
      <c r="CX215">
        <v>0</v>
      </c>
      <c r="CY215" t="s">
        <v>333</v>
      </c>
      <c r="CZ215">
        <v>2.3646600000000002</v>
      </c>
      <c r="DA215">
        <v>2.7138399999999998</v>
      </c>
      <c r="DB215">
        <v>9.1142399999999998E-2</v>
      </c>
      <c r="DC215">
        <v>0.14610899999999999</v>
      </c>
      <c r="DD215">
        <v>0.122442</v>
      </c>
      <c r="DE215">
        <v>3.78205E-2</v>
      </c>
      <c r="DF215">
        <v>33192.800000000003</v>
      </c>
      <c r="DG215">
        <v>27528</v>
      </c>
      <c r="DH215">
        <v>31177.7</v>
      </c>
      <c r="DI215">
        <v>28090.799999999999</v>
      </c>
      <c r="DJ215">
        <v>37136.199999999997</v>
      </c>
      <c r="DK215">
        <v>38435.599999999999</v>
      </c>
      <c r="DL215">
        <v>44370.1</v>
      </c>
      <c r="DM215">
        <v>42574.1</v>
      </c>
      <c r="DN215">
        <v>1.4860800000000001</v>
      </c>
      <c r="DO215">
        <v>2.0368200000000001</v>
      </c>
      <c r="DP215">
        <v>0.12342599999999999</v>
      </c>
      <c r="DQ215">
        <v>0.14536099999999999</v>
      </c>
      <c r="DR215">
        <v>24.952000000000002</v>
      </c>
      <c r="DS215">
        <v>24.801200000000001</v>
      </c>
      <c r="DT215">
        <v>16.7</v>
      </c>
      <c r="DU215">
        <v>29.8</v>
      </c>
      <c r="DV215">
        <v>7.1000100000000002</v>
      </c>
      <c r="DW215">
        <v>61.9041</v>
      </c>
      <c r="DX215">
        <v>36.302100000000003</v>
      </c>
      <c r="DY215">
        <v>1</v>
      </c>
      <c r="DZ215">
        <v>-0.104652</v>
      </c>
      <c r="EA215">
        <v>0.307004</v>
      </c>
      <c r="EB215">
        <v>20.1891</v>
      </c>
      <c r="EC215">
        <v>5.2408000000000001</v>
      </c>
      <c r="ED215">
        <v>12.039899999999999</v>
      </c>
      <c r="EE215">
        <v>5.0168499999999998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1.8689100000000001</v>
      </c>
      <c r="EL215">
        <v>1.8646400000000001</v>
      </c>
      <c r="EM215">
        <v>1.8692</v>
      </c>
      <c r="EN215">
        <v>1.8672800000000001</v>
      </c>
      <c r="EO215">
        <v>1.8633999999999999</v>
      </c>
      <c r="EP215">
        <v>1.86456</v>
      </c>
      <c r="EQ215">
        <v>1.8702099999999999</v>
      </c>
      <c r="ER215">
        <v>1.86947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3.0000000000000001E-3</v>
      </c>
      <c r="FG215">
        <v>0.19009999999999999</v>
      </c>
      <c r="FH215">
        <v>0.27827353915413472</v>
      </c>
      <c r="FI215">
        <v>-6.1462078757559423E-4</v>
      </c>
      <c r="FJ215">
        <v>-1.8861989874597051E-7</v>
      </c>
      <c r="FK215">
        <v>1.1980462299894961E-10</v>
      </c>
      <c r="FL215">
        <v>0.19010266435860859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42.8</v>
      </c>
      <c r="FU215">
        <v>42.7</v>
      </c>
      <c r="FV215">
        <v>1.7773399999999999</v>
      </c>
      <c r="FW215">
        <v>2.5903299999999998</v>
      </c>
      <c r="FX215">
        <v>1.5490699999999999</v>
      </c>
      <c r="FY215">
        <v>2.3290999999999999</v>
      </c>
      <c r="FZ215">
        <v>1.50146</v>
      </c>
      <c r="GA215">
        <v>2.3059099999999999</v>
      </c>
      <c r="GB215">
        <v>33.850900000000003</v>
      </c>
      <c r="GC215">
        <v>23.973700000000001</v>
      </c>
      <c r="GD215">
        <v>19</v>
      </c>
      <c r="GE215">
        <v>286.42599999999999</v>
      </c>
      <c r="GF215">
        <v>581.75400000000002</v>
      </c>
      <c r="GG215">
        <v>23.980499999999999</v>
      </c>
      <c r="GH215">
        <v>26.059100000000001</v>
      </c>
      <c r="GI215">
        <v>30.0002</v>
      </c>
      <c r="GJ215">
        <v>26.1982</v>
      </c>
      <c r="GK215">
        <v>26.181100000000001</v>
      </c>
      <c r="GL215">
        <v>35.539700000000003</v>
      </c>
      <c r="GM215">
        <v>-30</v>
      </c>
      <c r="GN215">
        <v>-30</v>
      </c>
      <c r="GO215">
        <v>23.988399999999999</v>
      </c>
      <c r="GP215">
        <v>800</v>
      </c>
      <c r="GQ215">
        <v>12.5298</v>
      </c>
      <c r="GR215">
        <v>99.757000000000005</v>
      </c>
      <c r="GS215">
        <v>99.597399999999993</v>
      </c>
    </row>
    <row r="216" spans="1:201" x14ac:dyDescent="0.25">
      <c r="A216">
        <v>200</v>
      </c>
      <c r="B216">
        <v>1690220165.0999999</v>
      </c>
      <c r="C216">
        <v>2144.599999904633</v>
      </c>
      <c r="D216" t="s">
        <v>729</v>
      </c>
      <c r="E216" t="s">
        <v>730</v>
      </c>
      <c r="F216" t="s">
        <v>330</v>
      </c>
      <c r="H216">
        <v>1690220165.0999999</v>
      </c>
      <c r="I216">
        <f t="shared" si="90"/>
        <v>1.9926784742976592E-3</v>
      </c>
      <c r="J216">
        <f t="shared" si="91"/>
        <v>1.9926784742976593</v>
      </c>
      <c r="K216">
        <f t="shared" si="92"/>
        <v>35.400551273362986</v>
      </c>
      <c r="L216">
        <f t="shared" si="93"/>
        <v>409.17</v>
      </c>
      <c r="M216">
        <f t="shared" si="94"/>
        <v>96.823718495343144</v>
      </c>
      <c r="N216">
        <f t="shared" si="95"/>
        <v>9.6013461987845705</v>
      </c>
      <c r="O216">
        <f t="shared" si="96"/>
        <v>40.574591486544001</v>
      </c>
      <c r="P216">
        <f t="shared" si="97"/>
        <v>0.19176892599368267</v>
      </c>
      <c r="Q216">
        <f t="shared" si="98"/>
        <v>2.1312229239654732</v>
      </c>
      <c r="R216">
        <f t="shared" si="99"/>
        <v>0.18267238037301059</v>
      </c>
      <c r="S216">
        <f t="shared" si="100"/>
        <v>0.11495156111956281</v>
      </c>
      <c r="T216">
        <f t="shared" si="101"/>
        <v>276.11433476999997</v>
      </c>
      <c r="U216">
        <f t="shared" si="102"/>
        <v>27.508587169909131</v>
      </c>
      <c r="V216">
        <f t="shared" si="103"/>
        <v>27.508587169909131</v>
      </c>
      <c r="W216">
        <f t="shared" si="104"/>
        <v>3.6874753939137803</v>
      </c>
      <c r="X216">
        <f t="shared" si="105"/>
        <v>78.156687598656717</v>
      </c>
      <c r="Y216">
        <f t="shared" si="106"/>
        <v>2.6402688017816001</v>
      </c>
      <c r="Z216">
        <f t="shared" si="107"/>
        <v>3.3781738746908951</v>
      </c>
      <c r="AA216">
        <f t="shared" si="108"/>
        <v>1.0472065921321803</v>
      </c>
      <c r="AB216">
        <f t="shared" si="109"/>
        <v>-87.877120716526775</v>
      </c>
      <c r="AC216">
        <f t="shared" si="110"/>
        <v>-171.08237786412374</v>
      </c>
      <c r="AD216">
        <f t="shared" si="111"/>
        <v>-17.283397492591288</v>
      </c>
      <c r="AE216">
        <f t="shared" si="112"/>
        <v>-0.12856130324183823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52575.740129580372</v>
      </c>
      <c r="AK216">
        <f t="shared" si="116"/>
        <v>1800</v>
      </c>
      <c r="AL216">
        <f t="shared" si="117"/>
        <v>1499.110488</v>
      </c>
      <c r="AM216">
        <f t="shared" si="118"/>
        <v>0.83283916000000002</v>
      </c>
      <c r="AN216">
        <f t="shared" si="119"/>
        <v>0.15339685264999997</v>
      </c>
      <c r="AO216">
        <v>32.4</v>
      </c>
      <c r="AP216">
        <v>0.5</v>
      </c>
      <c r="AQ216" t="s">
        <v>331</v>
      </c>
      <c r="AR216">
        <v>2</v>
      </c>
      <c r="AS216">
        <v>1690220165.0999999</v>
      </c>
      <c r="AT216">
        <v>409.17</v>
      </c>
      <c r="AU216">
        <v>799.976</v>
      </c>
      <c r="AV216">
        <v>26.625499999999999</v>
      </c>
      <c r="AW216">
        <v>5.6950200000000004</v>
      </c>
      <c r="AX216">
        <v>409.16699999999997</v>
      </c>
      <c r="AY216">
        <v>26.435400000000001</v>
      </c>
      <c r="AZ216">
        <v>300.25</v>
      </c>
      <c r="BA216">
        <v>99.063199999999995</v>
      </c>
      <c r="BB216">
        <v>9.9963200000000002E-2</v>
      </c>
      <c r="BC216">
        <v>26.019600000000001</v>
      </c>
      <c r="BD216">
        <v>27.006</v>
      </c>
      <c r="BE216">
        <v>27.163399999999999</v>
      </c>
      <c r="BF216">
        <v>0</v>
      </c>
      <c r="BG216">
        <v>0</v>
      </c>
      <c r="BH216">
        <v>10004.4</v>
      </c>
      <c r="BI216">
        <v>1067.99</v>
      </c>
      <c r="BJ216">
        <v>1.68198</v>
      </c>
      <c r="BK216">
        <v>-390.80599999999998</v>
      </c>
      <c r="BL216">
        <v>420.36200000000002</v>
      </c>
      <c r="BM216">
        <v>804.55700000000002</v>
      </c>
      <c r="BN216">
        <v>20.930399999999999</v>
      </c>
      <c r="BO216">
        <v>799.976</v>
      </c>
      <c r="BP216">
        <v>5.6950200000000004</v>
      </c>
      <c r="BQ216">
        <v>2.6375999999999999</v>
      </c>
      <c r="BR216">
        <v>0.56416699999999997</v>
      </c>
      <c r="BS216">
        <v>21.901499999999999</v>
      </c>
      <c r="BT216">
        <v>-1.15201</v>
      </c>
      <c r="BU216">
        <v>1800</v>
      </c>
      <c r="BV216">
        <v>0.91000899999999996</v>
      </c>
      <c r="BW216">
        <v>3.4009900000000003E-2</v>
      </c>
      <c r="BX216">
        <v>2.1993499999999999E-2</v>
      </c>
      <c r="BY216">
        <v>3.3987099999999999E-2</v>
      </c>
      <c r="BZ216">
        <v>26</v>
      </c>
      <c r="CA216">
        <v>33528.400000000001</v>
      </c>
      <c r="CB216">
        <v>1690217592</v>
      </c>
      <c r="CC216" t="s">
        <v>332</v>
      </c>
      <c r="CD216">
        <v>1690217586.5</v>
      </c>
      <c r="CE216">
        <v>1690217592</v>
      </c>
      <c r="CF216">
        <v>9</v>
      </c>
      <c r="CG216">
        <v>0.11600000000000001</v>
      </c>
      <c r="CH216">
        <v>-3.0000000000000001E-3</v>
      </c>
      <c r="CI216">
        <v>-0.27300000000000002</v>
      </c>
      <c r="CJ216">
        <v>-6.9000000000000006E-2</v>
      </c>
      <c r="CK216">
        <v>800</v>
      </c>
      <c r="CL216">
        <v>6</v>
      </c>
      <c r="CM216">
        <v>0.01</v>
      </c>
      <c r="CN216">
        <v>0.01</v>
      </c>
      <c r="CO216">
        <v>-390.19319512195119</v>
      </c>
      <c r="CP216">
        <v>-3.6535609756099978</v>
      </c>
      <c r="CQ216">
        <v>0.37263139568395959</v>
      </c>
      <c r="CR216">
        <v>-1</v>
      </c>
      <c r="CS216">
        <v>20.898626829268292</v>
      </c>
      <c r="CT216">
        <v>0.16667038327523251</v>
      </c>
      <c r="CU216">
        <v>1.6460003621346839E-2</v>
      </c>
      <c r="CV216">
        <v>-1</v>
      </c>
      <c r="CW216">
        <v>0</v>
      </c>
      <c r="CX216">
        <v>0</v>
      </c>
      <c r="CY216" t="s">
        <v>333</v>
      </c>
      <c r="CZ216">
        <v>2.3649499999999999</v>
      </c>
      <c r="DA216">
        <v>2.7137600000000002</v>
      </c>
      <c r="DB216">
        <v>9.1066999999999995E-2</v>
      </c>
      <c r="DC216">
        <v>0.14610899999999999</v>
      </c>
      <c r="DD216">
        <v>0.122533</v>
      </c>
      <c r="DE216">
        <v>3.7812499999999999E-2</v>
      </c>
      <c r="DF216">
        <v>33196</v>
      </c>
      <c r="DG216">
        <v>27528.3</v>
      </c>
      <c r="DH216">
        <v>31178.1</v>
      </c>
      <c r="DI216">
        <v>28091.1</v>
      </c>
      <c r="DJ216">
        <v>37132.800000000003</v>
      </c>
      <c r="DK216">
        <v>38436.1</v>
      </c>
      <c r="DL216">
        <v>44370.7</v>
      </c>
      <c r="DM216">
        <v>42574.3</v>
      </c>
      <c r="DN216">
        <v>1.4864299999999999</v>
      </c>
      <c r="DO216">
        <v>2.0367500000000001</v>
      </c>
      <c r="DP216">
        <v>0.12525900000000001</v>
      </c>
      <c r="DQ216">
        <v>0.14433299999999999</v>
      </c>
      <c r="DR216">
        <v>24.9541</v>
      </c>
      <c r="DS216">
        <v>24.799099999999999</v>
      </c>
      <c r="DT216">
        <v>16.7</v>
      </c>
      <c r="DU216">
        <v>29.7</v>
      </c>
      <c r="DV216">
        <v>7.0587499999999999</v>
      </c>
      <c r="DW216">
        <v>61.594099999999997</v>
      </c>
      <c r="DX216">
        <v>36.101799999999997</v>
      </c>
      <c r="DY216">
        <v>1</v>
      </c>
      <c r="DZ216">
        <v>-0.105279</v>
      </c>
      <c r="EA216">
        <v>0.221111</v>
      </c>
      <c r="EB216">
        <v>20.189299999999999</v>
      </c>
      <c r="EC216">
        <v>5.2411000000000003</v>
      </c>
      <c r="ED216">
        <v>12.039899999999999</v>
      </c>
      <c r="EE216">
        <v>5.0170500000000002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1.8646499999999999</v>
      </c>
      <c r="EM216">
        <v>1.8692</v>
      </c>
      <c r="EN216">
        <v>1.8672800000000001</v>
      </c>
      <c r="EO216">
        <v>1.8633999999999999</v>
      </c>
      <c r="EP216">
        <v>1.8645400000000001</v>
      </c>
      <c r="EQ216">
        <v>1.87019</v>
      </c>
      <c r="ER216">
        <v>1.86947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3.0000000000000001E-3</v>
      </c>
      <c r="FG216">
        <v>0.19009999999999999</v>
      </c>
      <c r="FH216">
        <v>0.27827353915413472</v>
      </c>
      <c r="FI216">
        <v>-6.1462078757559423E-4</v>
      </c>
      <c r="FJ216">
        <v>-1.8861989874597051E-7</v>
      </c>
      <c r="FK216">
        <v>1.1980462299894961E-10</v>
      </c>
      <c r="FL216">
        <v>0.19010266435860859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43</v>
      </c>
      <c r="FU216">
        <v>42.9</v>
      </c>
      <c r="FV216">
        <v>1.7773399999999999</v>
      </c>
      <c r="FW216">
        <v>2.5878899999999998</v>
      </c>
      <c r="FX216">
        <v>1.5490699999999999</v>
      </c>
      <c r="FY216">
        <v>2.3290999999999999</v>
      </c>
      <c r="FZ216">
        <v>1.50146</v>
      </c>
      <c r="GA216">
        <v>2.3156699999999999</v>
      </c>
      <c r="GB216">
        <v>33.828299999999999</v>
      </c>
      <c r="GC216">
        <v>23.973700000000001</v>
      </c>
      <c r="GD216">
        <v>19</v>
      </c>
      <c r="GE216">
        <v>286.57600000000002</v>
      </c>
      <c r="GF216">
        <v>581.69200000000001</v>
      </c>
      <c r="GG216">
        <v>23.994900000000001</v>
      </c>
      <c r="GH216">
        <v>26.059100000000001</v>
      </c>
      <c r="GI216">
        <v>29.9998</v>
      </c>
      <c r="GJ216">
        <v>26.1982</v>
      </c>
      <c r="GK216">
        <v>26.181100000000001</v>
      </c>
      <c r="GL216">
        <v>35.538800000000002</v>
      </c>
      <c r="GM216">
        <v>-30</v>
      </c>
      <c r="GN216">
        <v>-30</v>
      </c>
      <c r="GO216">
        <v>24.005099999999999</v>
      </c>
      <c r="GP216">
        <v>800</v>
      </c>
      <c r="GQ216">
        <v>12.5298</v>
      </c>
      <c r="GR216">
        <v>99.758300000000006</v>
      </c>
      <c r="GS216">
        <v>99.598100000000002</v>
      </c>
    </row>
    <row r="217" spans="1:201" x14ac:dyDescent="0.25">
      <c r="A217">
        <v>201</v>
      </c>
      <c r="B217">
        <v>1690220175.0999999</v>
      </c>
      <c r="C217">
        <v>2154.599999904633</v>
      </c>
      <c r="D217" t="s">
        <v>731</v>
      </c>
      <c r="E217" t="s">
        <v>732</v>
      </c>
      <c r="F217" t="s">
        <v>330</v>
      </c>
      <c r="H217">
        <v>1690220175.0999999</v>
      </c>
      <c r="I217">
        <f t="shared" si="90"/>
        <v>1.9946433612826036E-3</v>
      </c>
      <c r="J217">
        <f t="shared" si="91"/>
        <v>1.9946433612826038</v>
      </c>
      <c r="K217">
        <f t="shared" si="92"/>
        <v>35.444786394959991</v>
      </c>
      <c r="L217">
        <f t="shared" si="93"/>
        <v>408.59300000000002</v>
      </c>
      <c r="M217">
        <f t="shared" si="94"/>
        <v>96.664618907898898</v>
      </c>
      <c r="N217">
        <f t="shared" si="95"/>
        <v>9.5853149204869688</v>
      </c>
      <c r="O217">
        <f t="shared" si="96"/>
        <v>40.5162987611644</v>
      </c>
      <c r="P217">
        <f t="shared" si="97"/>
        <v>0.19229575373848257</v>
      </c>
      <c r="Q217">
        <f t="shared" si="98"/>
        <v>2.1276898202240035</v>
      </c>
      <c r="R217">
        <f t="shared" si="99"/>
        <v>0.18313603112674767</v>
      </c>
      <c r="S217">
        <f t="shared" si="100"/>
        <v>0.11524661733807318</v>
      </c>
      <c r="T217">
        <f t="shared" si="101"/>
        <v>276.11427137400005</v>
      </c>
      <c r="U217">
        <f t="shared" si="102"/>
        <v>27.512843365386985</v>
      </c>
      <c r="V217">
        <f t="shared" si="103"/>
        <v>27.512843365386985</v>
      </c>
      <c r="W217">
        <f t="shared" si="104"/>
        <v>3.6883937883380877</v>
      </c>
      <c r="X217">
        <f t="shared" si="105"/>
        <v>78.220783461087436</v>
      </c>
      <c r="Y217">
        <f t="shared" si="106"/>
        <v>2.6428562150408399</v>
      </c>
      <c r="Z217">
        <f t="shared" si="107"/>
        <v>3.378713556807551</v>
      </c>
      <c r="AA217">
        <f t="shared" si="108"/>
        <v>1.0455375732972478</v>
      </c>
      <c r="AB217">
        <f t="shared" si="109"/>
        <v>-87.963772232562818</v>
      </c>
      <c r="AC217">
        <f t="shared" si="110"/>
        <v>-170.97726861018887</v>
      </c>
      <c r="AD217">
        <f t="shared" si="111"/>
        <v>-17.302063472565131</v>
      </c>
      <c r="AE217">
        <f t="shared" si="112"/>
        <v>-0.12883294131674461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52422.526493029742</v>
      </c>
      <c r="AK217">
        <f t="shared" si="116"/>
        <v>1800</v>
      </c>
      <c r="AL217">
        <f t="shared" si="117"/>
        <v>1499.1111954</v>
      </c>
      <c r="AM217">
        <f t="shared" si="118"/>
        <v>0.83283955300000001</v>
      </c>
      <c r="AN217">
        <f t="shared" si="119"/>
        <v>0.15339681743000003</v>
      </c>
      <c r="AO217">
        <v>32.4</v>
      </c>
      <c r="AP217">
        <v>0.5</v>
      </c>
      <c r="AQ217" t="s">
        <v>331</v>
      </c>
      <c r="AR217">
        <v>2</v>
      </c>
      <c r="AS217">
        <v>1690220175.0999999</v>
      </c>
      <c r="AT217">
        <v>408.59300000000002</v>
      </c>
      <c r="AU217">
        <v>800.01599999999996</v>
      </c>
      <c r="AV217">
        <v>26.6523</v>
      </c>
      <c r="AW217">
        <v>5.6940799999999996</v>
      </c>
      <c r="AX217">
        <v>408.589</v>
      </c>
      <c r="AY217">
        <v>26.462199999999999</v>
      </c>
      <c r="AZ217">
        <v>300.14</v>
      </c>
      <c r="BA217">
        <v>99.060599999999994</v>
      </c>
      <c r="BB217">
        <v>9.99308E-2</v>
      </c>
      <c r="BC217">
        <v>26.022300000000001</v>
      </c>
      <c r="BD217">
        <v>27.008700000000001</v>
      </c>
      <c r="BE217">
        <v>27.1755</v>
      </c>
      <c r="BF217">
        <v>0</v>
      </c>
      <c r="BG217">
        <v>0</v>
      </c>
      <c r="BH217">
        <v>9974.3799999999992</v>
      </c>
      <c r="BI217">
        <v>1067.95</v>
      </c>
      <c r="BJ217">
        <v>1.62592</v>
      </c>
      <c r="BK217">
        <v>-391.423</v>
      </c>
      <c r="BL217">
        <v>419.78100000000001</v>
      </c>
      <c r="BM217">
        <v>804.59699999999998</v>
      </c>
      <c r="BN217">
        <v>20.958200000000001</v>
      </c>
      <c r="BO217">
        <v>800.01599999999996</v>
      </c>
      <c r="BP217">
        <v>5.6940799999999996</v>
      </c>
      <c r="BQ217">
        <v>2.64019</v>
      </c>
      <c r="BR217">
        <v>0.56405899999999998</v>
      </c>
      <c r="BS217">
        <v>21.9175</v>
      </c>
      <c r="BT217">
        <v>-1.15462</v>
      </c>
      <c r="BU217">
        <v>1800</v>
      </c>
      <c r="BV217">
        <v>0.91001200000000004</v>
      </c>
      <c r="BW217">
        <v>3.4007200000000001E-2</v>
      </c>
      <c r="BX217">
        <v>2.19934E-2</v>
      </c>
      <c r="BY217">
        <v>3.39869E-2</v>
      </c>
      <c r="BZ217">
        <v>26</v>
      </c>
      <c r="CA217">
        <v>33528.5</v>
      </c>
      <c r="CB217">
        <v>1690217592</v>
      </c>
      <c r="CC217" t="s">
        <v>332</v>
      </c>
      <c r="CD217">
        <v>1690217586.5</v>
      </c>
      <c r="CE217">
        <v>1690217592</v>
      </c>
      <c r="CF217">
        <v>9</v>
      </c>
      <c r="CG217">
        <v>0.11600000000000001</v>
      </c>
      <c r="CH217">
        <v>-3.0000000000000001E-3</v>
      </c>
      <c r="CI217">
        <v>-0.27300000000000002</v>
      </c>
      <c r="CJ217">
        <v>-6.9000000000000006E-2</v>
      </c>
      <c r="CK217">
        <v>800</v>
      </c>
      <c r="CL217">
        <v>6</v>
      </c>
      <c r="CM217">
        <v>0.01</v>
      </c>
      <c r="CN217">
        <v>0.01</v>
      </c>
      <c r="CO217">
        <v>-390.75268292682932</v>
      </c>
      <c r="CP217">
        <v>-3.0283275261318412</v>
      </c>
      <c r="CQ217">
        <v>0.30791354813184019</v>
      </c>
      <c r="CR217">
        <v>-1</v>
      </c>
      <c r="CS217">
        <v>20.925282926829269</v>
      </c>
      <c r="CT217">
        <v>0.15587874564462251</v>
      </c>
      <c r="CU217">
        <v>1.5425982238387261E-2</v>
      </c>
      <c r="CV217">
        <v>-1</v>
      </c>
      <c r="CW217">
        <v>0</v>
      </c>
      <c r="CX217">
        <v>0</v>
      </c>
      <c r="CY217" t="s">
        <v>333</v>
      </c>
      <c r="CZ217">
        <v>2.3645700000000001</v>
      </c>
      <c r="DA217">
        <v>2.7136999999999998</v>
      </c>
      <c r="DB217">
        <v>9.0967400000000004E-2</v>
      </c>
      <c r="DC217">
        <v>0.14610999999999999</v>
      </c>
      <c r="DD217">
        <v>0.122616</v>
      </c>
      <c r="DE217">
        <v>3.7806600000000003E-2</v>
      </c>
      <c r="DF217">
        <v>33199.699999999997</v>
      </c>
      <c r="DG217">
        <v>27528.1</v>
      </c>
      <c r="DH217">
        <v>31178.2</v>
      </c>
      <c r="DI217">
        <v>28091</v>
      </c>
      <c r="DJ217">
        <v>37129.599999999999</v>
      </c>
      <c r="DK217">
        <v>38436.1</v>
      </c>
      <c r="DL217">
        <v>44371.199999999997</v>
      </c>
      <c r="DM217">
        <v>42574.1</v>
      </c>
      <c r="DN217">
        <v>1.4860500000000001</v>
      </c>
      <c r="DO217">
        <v>2.03695</v>
      </c>
      <c r="DP217">
        <v>0.125557</v>
      </c>
      <c r="DQ217">
        <v>0.14519699999999999</v>
      </c>
      <c r="DR217">
        <v>24.952000000000002</v>
      </c>
      <c r="DS217">
        <v>24.797000000000001</v>
      </c>
      <c r="DT217">
        <v>16.7</v>
      </c>
      <c r="DU217">
        <v>29.8</v>
      </c>
      <c r="DV217">
        <v>7.1011899999999999</v>
      </c>
      <c r="DW217">
        <v>61.134099999999997</v>
      </c>
      <c r="DX217">
        <v>36.169899999999998</v>
      </c>
      <c r="DY217">
        <v>1</v>
      </c>
      <c r="DZ217">
        <v>-0.105119</v>
      </c>
      <c r="EA217">
        <v>0.23691200000000001</v>
      </c>
      <c r="EB217">
        <v>20.189399999999999</v>
      </c>
      <c r="EC217">
        <v>5.2411000000000003</v>
      </c>
      <c r="ED217">
        <v>12.039899999999999</v>
      </c>
      <c r="EE217">
        <v>5.0166500000000003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1.8646799999999999</v>
      </c>
      <c r="EM217">
        <v>1.8692</v>
      </c>
      <c r="EN217">
        <v>1.8672599999999999</v>
      </c>
      <c r="EO217">
        <v>1.8633999999999999</v>
      </c>
      <c r="EP217">
        <v>1.8645400000000001</v>
      </c>
      <c r="EQ217">
        <v>1.8701700000000001</v>
      </c>
      <c r="ER217">
        <v>1.8694599999999999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4.0000000000000001E-3</v>
      </c>
      <c r="FG217">
        <v>0.19009999999999999</v>
      </c>
      <c r="FH217">
        <v>0.27827353915413472</v>
      </c>
      <c r="FI217">
        <v>-6.1462078757559423E-4</v>
      </c>
      <c r="FJ217">
        <v>-1.8861989874597051E-7</v>
      </c>
      <c r="FK217">
        <v>1.1980462299894961E-10</v>
      </c>
      <c r="FL217">
        <v>0.19010266435860859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43.1</v>
      </c>
      <c r="FU217">
        <v>43.1</v>
      </c>
      <c r="FV217">
        <v>1.7773399999999999</v>
      </c>
      <c r="FW217">
        <v>2.5891099999999998</v>
      </c>
      <c r="FX217">
        <v>1.5490699999999999</v>
      </c>
      <c r="FY217">
        <v>2.3290999999999999</v>
      </c>
      <c r="FZ217">
        <v>1.50146</v>
      </c>
      <c r="GA217">
        <v>2.32422</v>
      </c>
      <c r="GB217">
        <v>33.828299999999999</v>
      </c>
      <c r="GC217">
        <v>23.973700000000001</v>
      </c>
      <c r="GD217">
        <v>19</v>
      </c>
      <c r="GE217">
        <v>286.40499999999997</v>
      </c>
      <c r="GF217">
        <v>581.83199999999999</v>
      </c>
      <c r="GG217">
        <v>24.009399999999999</v>
      </c>
      <c r="GH217">
        <v>26.056899999999999</v>
      </c>
      <c r="GI217">
        <v>30.0002</v>
      </c>
      <c r="GJ217">
        <v>26.196000000000002</v>
      </c>
      <c r="GK217">
        <v>26.178899999999999</v>
      </c>
      <c r="GL217">
        <v>35.540100000000002</v>
      </c>
      <c r="GM217">
        <v>-30</v>
      </c>
      <c r="GN217">
        <v>-30</v>
      </c>
      <c r="GO217">
        <v>24.017700000000001</v>
      </c>
      <c r="GP217">
        <v>800</v>
      </c>
      <c r="GQ217">
        <v>12.5298</v>
      </c>
      <c r="GR217">
        <v>99.759100000000004</v>
      </c>
      <c r="GS217">
        <v>99.597499999999997</v>
      </c>
    </row>
    <row r="218" spans="1:201" x14ac:dyDescent="0.25">
      <c r="A218">
        <v>202</v>
      </c>
      <c r="B218">
        <v>1690220185.0999999</v>
      </c>
      <c r="C218">
        <v>2164.599999904633</v>
      </c>
      <c r="D218" t="s">
        <v>733</v>
      </c>
      <c r="E218" t="s">
        <v>734</v>
      </c>
      <c r="F218" t="s">
        <v>330</v>
      </c>
      <c r="H218">
        <v>1690220185.0999999</v>
      </c>
      <c r="I218">
        <f t="shared" si="90"/>
        <v>1.9979575673832162E-3</v>
      </c>
      <c r="J218">
        <f t="shared" si="91"/>
        <v>1.9979575673832164</v>
      </c>
      <c r="K218">
        <f t="shared" si="92"/>
        <v>35.499653121328322</v>
      </c>
      <c r="L218">
        <f t="shared" si="93"/>
        <v>408.05599999999998</v>
      </c>
      <c r="M218">
        <f t="shared" si="94"/>
        <v>96.740190954526128</v>
      </c>
      <c r="N218">
        <f t="shared" si="95"/>
        <v>9.5930126324147409</v>
      </c>
      <c r="O218">
        <f t="shared" si="96"/>
        <v>40.463909819784</v>
      </c>
      <c r="P218">
        <f t="shared" si="97"/>
        <v>0.1929922314790066</v>
      </c>
      <c r="Q218">
        <f t="shared" si="98"/>
        <v>2.129464644778865</v>
      </c>
      <c r="R218">
        <f t="shared" si="99"/>
        <v>0.18377504106380091</v>
      </c>
      <c r="S218">
        <f t="shared" si="100"/>
        <v>0.11565083673897569</v>
      </c>
      <c r="T218">
        <f t="shared" si="101"/>
        <v>276.11431491599996</v>
      </c>
      <c r="U218">
        <f t="shared" si="102"/>
        <v>27.518247233144823</v>
      </c>
      <c r="V218">
        <f t="shared" si="103"/>
        <v>27.518247233144823</v>
      </c>
      <c r="W218">
        <f t="shared" si="104"/>
        <v>3.6895601130822531</v>
      </c>
      <c r="X218">
        <f t="shared" si="105"/>
        <v>78.276001756609418</v>
      </c>
      <c r="Y218">
        <f t="shared" si="106"/>
        <v>2.6459269476453002</v>
      </c>
      <c r="Z218">
        <f t="shared" si="107"/>
        <v>3.3802530638605148</v>
      </c>
      <c r="AA218">
        <f t="shared" si="108"/>
        <v>1.0436331654369528</v>
      </c>
      <c r="AB218">
        <f t="shared" si="109"/>
        <v>-88.109928721599829</v>
      </c>
      <c r="AC218">
        <f t="shared" si="110"/>
        <v>-170.85628579810171</v>
      </c>
      <c r="AD218">
        <f t="shared" si="111"/>
        <v>-17.276542664425104</v>
      </c>
      <c r="AE218">
        <f t="shared" si="112"/>
        <v>-0.12844226812669035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52497.880237181285</v>
      </c>
      <c r="AK218">
        <f t="shared" si="116"/>
        <v>1800</v>
      </c>
      <c r="AL218">
        <f t="shared" si="117"/>
        <v>1499.1110586</v>
      </c>
      <c r="AM218">
        <f t="shared" si="118"/>
        <v>0.83283947699999994</v>
      </c>
      <c r="AN218">
        <f t="shared" si="119"/>
        <v>0.15339684161999997</v>
      </c>
      <c r="AO218">
        <v>32.4</v>
      </c>
      <c r="AP218">
        <v>0.5</v>
      </c>
      <c r="AQ218" t="s">
        <v>331</v>
      </c>
      <c r="AR218">
        <v>2</v>
      </c>
      <c r="AS218">
        <v>1690220185.0999999</v>
      </c>
      <c r="AT218">
        <v>408.05599999999998</v>
      </c>
      <c r="AU218">
        <v>800.02599999999995</v>
      </c>
      <c r="AV218">
        <v>26.682700000000001</v>
      </c>
      <c r="AW218">
        <v>5.6928999999999998</v>
      </c>
      <c r="AX218">
        <v>408.05099999999999</v>
      </c>
      <c r="AY218">
        <v>26.492599999999999</v>
      </c>
      <c r="AZ218">
        <v>300.17700000000002</v>
      </c>
      <c r="BA218">
        <v>99.062600000000003</v>
      </c>
      <c r="BB218">
        <v>0.100039</v>
      </c>
      <c r="BC218">
        <v>26.03</v>
      </c>
      <c r="BD218">
        <v>26.978200000000001</v>
      </c>
      <c r="BE218">
        <v>27.1859</v>
      </c>
      <c r="BF218">
        <v>0</v>
      </c>
      <c r="BG218">
        <v>0</v>
      </c>
      <c r="BH218">
        <v>9989.3799999999992</v>
      </c>
      <c r="BI218">
        <v>1067.96</v>
      </c>
      <c r="BJ218">
        <v>1.56985</v>
      </c>
      <c r="BK218">
        <v>-391.97</v>
      </c>
      <c r="BL218">
        <v>419.24200000000002</v>
      </c>
      <c r="BM218">
        <v>804.60699999999997</v>
      </c>
      <c r="BN218">
        <v>20.989799999999999</v>
      </c>
      <c r="BO218">
        <v>800.02599999999995</v>
      </c>
      <c r="BP218">
        <v>5.6928999999999998</v>
      </c>
      <c r="BQ218">
        <v>2.6432600000000002</v>
      </c>
      <c r="BR218">
        <v>0.56395300000000004</v>
      </c>
      <c r="BS218">
        <v>21.936599999999999</v>
      </c>
      <c r="BT218">
        <v>-1.1572</v>
      </c>
      <c r="BU218">
        <v>1800</v>
      </c>
      <c r="BV218">
        <v>0.91001100000000001</v>
      </c>
      <c r="BW218">
        <v>3.4009200000000003E-2</v>
      </c>
      <c r="BX218">
        <v>2.1993100000000002E-2</v>
      </c>
      <c r="BY218">
        <v>3.39864E-2</v>
      </c>
      <c r="BZ218">
        <v>26</v>
      </c>
      <c r="CA218">
        <v>33528.5</v>
      </c>
      <c r="CB218">
        <v>1690217592</v>
      </c>
      <c r="CC218" t="s">
        <v>332</v>
      </c>
      <c r="CD218">
        <v>1690217586.5</v>
      </c>
      <c r="CE218">
        <v>1690217592</v>
      </c>
      <c r="CF218">
        <v>9</v>
      </c>
      <c r="CG218">
        <v>0.11600000000000001</v>
      </c>
      <c r="CH218">
        <v>-3.0000000000000001E-3</v>
      </c>
      <c r="CI218">
        <v>-0.27300000000000002</v>
      </c>
      <c r="CJ218">
        <v>-6.9000000000000006E-2</v>
      </c>
      <c r="CK218">
        <v>800</v>
      </c>
      <c r="CL218">
        <v>6</v>
      </c>
      <c r="CM218">
        <v>0.01</v>
      </c>
      <c r="CN218">
        <v>0.01</v>
      </c>
      <c r="CO218">
        <v>-391.33005000000003</v>
      </c>
      <c r="CP218">
        <v>-3.4066716697940942</v>
      </c>
      <c r="CQ218">
        <v>0.3343835335359705</v>
      </c>
      <c r="CR218">
        <v>-1</v>
      </c>
      <c r="CS218">
        <v>20.9562925</v>
      </c>
      <c r="CT218">
        <v>0.19104202626640091</v>
      </c>
      <c r="CU218">
        <v>1.845751049708479E-2</v>
      </c>
      <c r="CV218">
        <v>-1</v>
      </c>
      <c r="CW218">
        <v>0</v>
      </c>
      <c r="CX218">
        <v>0</v>
      </c>
      <c r="CY218" t="s">
        <v>333</v>
      </c>
      <c r="CZ218">
        <v>2.3647</v>
      </c>
      <c r="DA218">
        <v>2.7138200000000001</v>
      </c>
      <c r="DB218">
        <v>9.0878200000000006E-2</v>
      </c>
      <c r="DC218">
        <v>0.14611399999999999</v>
      </c>
      <c r="DD218">
        <v>0.12271600000000001</v>
      </c>
      <c r="DE218">
        <v>3.7800899999999998E-2</v>
      </c>
      <c r="DF218">
        <v>33203</v>
      </c>
      <c r="DG218">
        <v>27528.3</v>
      </c>
      <c r="DH218">
        <v>31178.2</v>
      </c>
      <c r="DI218">
        <v>28091.3</v>
      </c>
      <c r="DJ218">
        <v>37125.1</v>
      </c>
      <c r="DK218">
        <v>38436.800000000003</v>
      </c>
      <c r="DL218">
        <v>44370.8</v>
      </c>
      <c r="DM218">
        <v>42574.6</v>
      </c>
      <c r="DN218">
        <v>1.48627</v>
      </c>
      <c r="DO218">
        <v>2.03695</v>
      </c>
      <c r="DP218">
        <v>0.12381399999999999</v>
      </c>
      <c r="DQ218">
        <v>0.145897</v>
      </c>
      <c r="DR218">
        <v>24.9499</v>
      </c>
      <c r="DS218">
        <v>24.7959</v>
      </c>
      <c r="DT218">
        <v>16.7</v>
      </c>
      <c r="DU218">
        <v>29.8</v>
      </c>
      <c r="DV218">
        <v>7.0998999999999999</v>
      </c>
      <c r="DW218">
        <v>61.424100000000003</v>
      </c>
      <c r="DX218">
        <v>36.318100000000001</v>
      </c>
      <c r="DY218">
        <v>1</v>
      </c>
      <c r="DZ218">
        <v>-0.105114</v>
      </c>
      <c r="EA218">
        <v>0.208731</v>
      </c>
      <c r="EB218">
        <v>20.189399999999999</v>
      </c>
      <c r="EC218">
        <v>5.2406499999999996</v>
      </c>
      <c r="ED218">
        <v>12.039899999999999</v>
      </c>
      <c r="EE218">
        <v>5.0166500000000003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1.86893</v>
      </c>
      <c r="EL218">
        <v>1.86463</v>
      </c>
      <c r="EM218">
        <v>1.8692</v>
      </c>
      <c r="EN218">
        <v>1.8672599999999999</v>
      </c>
      <c r="EO218">
        <v>1.8633999999999999</v>
      </c>
      <c r="EP218">
        <v>1.8645099999999999</v>
      </c>
      <c r="EQ218">
        <v>1.87018</v>
      </c>
      <c r="ER218">
        <v>1.86948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5.0000000000000001E-3</v>
      </c>
      <c r="FG218">
        <v>0.19009999999999999</v>
      </c>
      <c r="FH218">
        <v>0.27827353915413472</v>
      </c>
      <c r="FI218">
        <v>-6.1462078757559423E-4</v>
      </c>
      <c r="FJ218">
        <v>-1.8861989874597051E-7</v>
      </c>
      <c r="FK218">
        <v>1.1980462299894961E-10</v>
      </c>
      <c r="FL218">
        <v>0.19010266435860859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43.3</v>
      </c>
      <c r="FU218">
        <v>43.2</v>
      </c>
      <c r="FV218">
        <v>1.7773399999999999</v>
      </c>
      <c r="FW218">
        <v>2.5891099999999998</v>
      </c>
      <c r="FX218">
        <v>1.5490699999999999</v>
      </c>
      <c r="FY218">
        <v>2.3290999999999999</v>
      </c>
      <c r="FZ218">
        <v>1.50146</v>
      </c>
      <c r="GA218">
        <v>2.35107</v>
      </c>
      <c r="GB218">
        <v>33.850900000000003</v>
      </c>
      <c r="GC218">
        <v>23.982399999999998</v>
      </c>
      <c r="GD218">
        <v>19</v>
      </c>
      <c r="GE218">
        <v>286.50200000000001</v>
      </c>
      <c r="GF218">
        <v>581.83199999999999</v>
      </c>
      <c r="GG218">
        <v>24.0246</v>
      </c>
      <c r="GH218">
        <v>26.056899999999999</v>
      </c>
      <c r="GI218">
        <v>30.0002</v>
      </c>
      <c r="GJ218">
        <v>26.196000000000002</v>
      </c>
      <c r="GK218">
        <v>26.178899999999999</v>
      </c>
      <c r="GL218">
        <v>35.540199999999999</v>
      </c>
      <c r="GM218">
        <v>-30</v>
      </c>
      <c r="GN218">
        <v>-30</v>
      </c>
      <c r="GO218">
        <v>24.030799999999999</v>
      </c>
      <c r="GP218">
        <v>800</v>
      </c>
      <c r="GQ218">
        <v>12.5298</v>
      </c>
      <c r="GR218">
        <v>99.758700000000005</v>
      </c>
      <c r="GS218">
        <v>99.598699999999994</v>
      </c>
    </row>
    <row r="219" spans="1:201" x14ac:dyDescent="0.25">
      <c r="A219">
        <v>203</v>
      </c>
      <c r="B219">
        <v>1690220195.0999999</v>
      </c>
      <c r="C219">
        <v>2174.599999904633</v>
      </c>
      <c r="D219" t="s">
        <v>735</v>
      </c>
      <c r="E219" t="s">
        <v>736</v>
      </c>
      <c r="F219" t="s">
        <v>330</v>
      </c>
      <c r="H219">
        <v>1690220195.0999999</v>
      </c>
      <c r="I219">
        <f t="shared" si="90"/>
        <v>2.0011995230630919E-3</v>
      </c>
      <c r="J219">
        <f t="shared" si="91"/>
        <v>2.0011995230630921</v>
      </c>
      <c r="K219">
        <f t="shared" si="92"/>
        <v>35.543551864959475</v>
      </c>
      <c r="L219">
        <f t="shared" si="93"/>
        <v>407.54199999999997</v>
      </c>
      <c r="M219">
        <f t="shared" si="94"/>
        <v>97.795494857788086</v>
      </c>
      <c r="N219">
        <f t="shared" si="95"/>
        <v>9.6975695761449163</v>
      </c>
      <c r="O219">
        <f t="shared" si="96"/>
        <v>40.412566099781991</v>
      </c>
      <c r="P219">
        <f t="shared" si="97"/>
        <v>0.19426338883823541</v>
      </c>
      <c r="Q219">
        <f t="shared" si="98"/>
        <v>2.1302553454937057</v>
      </c>
      <c r="R219">
        <f t="shared" si="99"/>
        <v>0.18493082107211545</v>
      </c>
      <c r="S219">
        <f t="shared" si="100"/>
        <v>0.11638288679078429</v>
      </c>
      <c r="T219">
        <f t="shared" si="101"/>
        <v>276.114235608</v>
      </c>
      <c r="U219">
        <f t="shared" si="102"/>
        <v>27.510920948620999</v>
      </c>
      <c r="V219">
        <f t="shared" si="103"/>
        <v>27.510920948620999</v>
      </c>
      <c r="W219">
        <f t="shared" si="104"/>
        <v>3.6879789478916125</v>
      </c>
      <c r="X219">
        <f t="shared" si="105"/>
        <v>78.39939795586767</v>
      </c>
      <c r="Y219">
        <f t="shared" si="106"/>
        <v>2.6492045382360003</v>
      </c>
      <c r="Z219">
        <f t="shared" si="107"/>
        <v>3.3791133698849087</v>
      </c>
      <c r="AA219">
        <f t="shared" si="108"/>
        <v>1.0387744096556122</v>
      </c>
      <c r="AB219">
        <f t="shared" si="109"/>
        <v>-88.252898967082359</v>
      </c>
      <c r="AC219">
        <f t="shared" si="110"/>
        <v>-170.73295438064955</v>
      </c>
      <c r="AD219">
        <f t="shared" si="111"/>
        <v>-17.25653862870703</v>
      </c>
      <c r="AE219">
        <f t="shared" si="112"/>
        <v>-0.12815636843890843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52533.038803008138</v>
      </c>
      <c r="AK219">
        <f t="shared" si="116"/>
        <v>1800</v>
      </c>
      <c r="AL219">
        <f t="shared" si="117"/>
        <v>1499.1110568000001</v>
      </c>
      <c r="AM219">
        <f t="shared" si="118"/>
        <v>0.83283947600000008</v>
      </c>
      <c r="AN219">
        <f t="shared" si="119"/>
        <v>0.15339679755999999</v>
      </c>
      <c r="AO219">
        <v>32.4</v>
      </c>
      <c r="AP219">
        <v>0.5</v>
      </c>
      <c r="AQ219" t="s">
        <v>331</v>
      </c>
      <c r="AR219">
        <v>2</v>
      </c>
      <c r="AS219">
        <v>1690220195.0999999</v>
      </c>
      <c r="AT219">
        <v>407.54199999999997</v>
      </c>
      <c r="AU219">
        <v>800.00599999999997</v>
      </c>
      <c r="AV219">
        <v>26.716000000000001</v>
      </c>
      <c r="AW219">
        <v>5.6919500000000003</v>
      </c>
      <c r="AX219">
        <v>407.53699999999998</v>
      </c>
      <c r="AY219">
        <v>26.5259</v>
      </c>
      <c r="AZ219">
        <v>300.16399999999999</v>
      </c>
      <c r="BA219">
        <v>99.061700000000002</v>
      </c>
      <c r="BB219">
        <v>0.100021</v>
      </c>
      <c r="BC219">
        <v>26.0243</v>
      </c>
      <c r="BD219">
        <v>26.9602</v>
      </c>
      <c r="BE219">
        <v>27.202300000000001</v>
      </c>
      <c r="BF219">
        <v>0</v>
      </c>
      <c r="BG219">
        <v>0</v>
      </c>
      <c r="BH219">
        <v>9996.25</v>
      </c>
      <c r="BI219">
        <v>1067.8800000000001</v>
      </c>
      <c r="BJ219">
        <v>1.65395</v>
      </c>
      <c r="BK219">
        <v>-392.46499999999997</v>
      </c>
      <c r="BL219">
        <v>418.72800000000001</v>
      </c>
      <c r="BM219">
        <v>804.58600000000001</v>
      </c>
      <c r="BN219">
        <v>21.024100000000001</v>
      </c>
      <c r="BO219">
        <v>800.00599999999997</v>
      </c>
      <c r="BP219">
        <v>5.6919500000000003</v>
      </c>
      <c r="BQ219">
        <v>2.6465399999999999</v>
      </c>
      <c r="BR219">
        <v>0.56385399999999997</v>
      </c>
      <c r="BS219">
        <v>21.956900000000001</v>
      </c>
      <c r="BT219">
        <v>-1.1595800000000001</v>
      </c>
      <c r="BU219">
        <v>1800</v>
      </c>
      <c r="BV219">
        <v>0.91001200000000004</v>
      </c>
      <c r="BW219">
        <v>3.4008799999999999E-2</v>
      </c>
      <c r="BX219">
        <v>2.19928E-2</v>
      </c>
      <c r="BY219">
        <v>3.3986000000000002E-2</v>
      </c>
      <c r="BZ219">
        <v>26</v>
      </c>
      <c r="CA219">
        <v>33528.5</v>
      </c>
      <c r="CB219">
        <v>1690217592</v>
      </c>
      <c r="CC219" t="s">
        <v>332</v>
      </c>
      <c r="CD219">
        <v>1690217586.5</v>
      </c>
      <c r="CE219">
        <v>1690217592</v>
      </c>
      <c r="CF219">
        <v>9</v>
      </c>
      <c r="CG219">
        <v>0.11600000000000001</v>
      </c>
      <c r="CH219">
        <v>-3.0000000000000001E-3</v>
      </c>
      <c r="CI219">
        <v>-0.27300000000000002</v>
      </c>
      <c r="CJ219">
        <v>-6.9000000000000006E-2</v>
      </c>
      <c r="CK219">
        <v>800</v>
      </c>
      <c r="CL219">
        <v>6</v>
      </c>
      <c r="CM219">
        <v>0.01</v>
      </c>
      <c r="CN219">
        <v>0.01</v>
      </c>
      <c r="CO219">
        <v>-391.88925</v>
      </c>
      <c r="CP219">
        <v>-3.1618536585370118</v>
      </c>
      <c r="CQ219">
        <v>0.3093406496081586</v>
      </c>
      <c r="CR219">
        <v>-1</v>
      </c>
      <c r="CS219">
        <v>20.988759999999999</v>
      </c>
      <c r="CT219">
        <v>0.19938686679165599</v>
      </c>
      <c r="CU219">
        <v>1.921531680717193E-2</v>
      </c>
      <c r="CV219">
        <v>-1</v>
      </c>
      <c r="CW219">
        <v>0</v>
      </c>
      <c r="CX219">
        <v>0</v>
      </c>
      <c r="CY219" t="s">
        <v>333</v>
      </c>
      <c r="CZ219">
        <v>2.3646500000000001</v>
      </c>
      <c r="DA219">
        <v>2.7138100000000001</v>
      </c>
      <c r="DB219">
        <v>9.0790399999999993E-2</v>
      </c>
      <c r="DC219">
        <v>0.14611099999999999</v>
      </c>
      <c r="DD219">
        <v>0.122822</v>
      </c>
      <c r="DE219">
        <v>3.77954E-2</v>
      </c>
      <c r="DF219">
        <v>33206.1</v>
      </c>
      <c r="DG219">
        <v>27528.5</v>
      </c>
      <c r="DH219">
        <v>31178.2</v>
      </c>
      <c r="DI219">
        <v>28091.4</v>
      </c>
      <c r="DJ219">
        <v>37120.5</v>
      </c>
      <c r="DK219">
        <v>38437.4</v>
      </c>
      <c r="DL219">
        <v>44370.8</v>
      </c>
      <c r="DM219">
        <v>42575</v>
      </c>
      <c r="DN219">
        <v>1.4861</v>
      </c>
      <c r="DO219">
        <v>2.0367500000000001</v>
      </c>
      <c r="DP219">
        <v>0.12271899999999999</v>
      </c>
      <c r="DQ219">
        <v>0.147089</v>
      </c>
      <c r="DR219">
        <v>24.9499</v>
      </c>
      <c r="DS219">
        <v>24.7928</v>
      </c>
      <c r="DT219">
        <v>16.7</v>
      </c>
      <c r="DU219">
        <v>29.8</v>
      </c>
      <c r="DV219">
        <v>7.1007100000000003</v>
      </c>
      <c r="DW219">
        <v>61.6541</v>
      </c>
      <c r="DX219">
        <v>36.105800000000002</v>
      </c>
      <c r="DY219">
        <v>1</v>
      </c>
      <c r="DZ219">
        <v>-0.10562000000000001</v>
      </c>
      <c r="EA219">
        <v>0.18218699999999999</v>
      </c>
      <c r="EB219">
        <v>20.189499999999999</v>
      </c>
      <c r="EC219">
        <v>5.2404999999999999</v>
      </c>
      <c r="ED219">
        <v>12.039899999999999</v>
      </c>
      <c r="EE219">
        <v>5.0164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1.86893</v>
      </c>
      <c r="EL219">
        <v>1.8646499999999999</v>
      </c>
      <c r="EM219">
        <v>1.8692</v>
      </c>
      <c r="EN219">
        <v>1.8673</v>
      </c>
      <c r="EO219">
        <v>1.8633999999999999</v>
      </c>
      <c r="EP219">
        <v>1.8645400000000001</v>
      </c>
      <c r="EQ219">
        <v>1.8702099999999999</v>
      </c>
      <c r="ER219">
        <v>1.86948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5.0000000000000001E-3</v>
      </c>
      <c r="FG219">
        <v>0.19009999999999999</v>
      </c>
      <c r="FH219">
        <v>0.27827353915413472</v>
      </c>
      <c r="FI219">
        <v>-6.1462078757559423E-4</v>
      </c>
      <c r="FJ219">
        <v>-1.8861989874597051E-7</v>
      </c>
      <c r="FK219">
        <v>1.1980462299894961E-10</v>
      </c>
      <c r="FL219">
        <v>0.19010266435860859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43.5</v>
      </c>
      <c r="FU219">
        <v>43.4</v>
      </c>
      <c r="FV219">
        <v>1.7773399999999999</v>
      </c>
      <c r="FW219">
        <v>2.5878899999999998</v>
      </c>
      <c r="FX219">
        <v>1.5490699999999999</v>
      </c>
      <c r="FY219">
        <v>2.3290999999999999</v>
      </c>
      <c r="FZ219">
        <v>1.50146</v>
      </c>
      <c r="GA219">
        <v>2.3571800000000001</v>
      </c>
      <c r="GB219">
        <v>33.828299999999999</v>
      </c>
      <c r="GC219">
        <v>23.982399999999998</v>
      </c>
      <c r="GD219">
        <v>19</v>
      </c>
      <c r="GE219">
        <v>286.42700000000002</v>
      </c>
      <c r="GF219">
        <v>581.66800000000001</v>
      </c>
      <c r="GG219">
        <v>24.042999999999999</v>
      </c>
      <c r="GH219">
        <v>26.056899999999999</v>
      </c>
      <c r="GI219">
        <v>29.9998</v>
      </c>
      <c r="GJ219">
        <v>26.196000000000002</v>
      </c>
      <c r="GK219">
        <v>26.178899999999999</v>
      </c>
      <c r="GL219">
        <v>35.540599999999998</v>
      </c>
      <c r="GM219">
        <v>-30</v>
      </c>
      <c r="GN219">
        <v>-30</v>
      </c>
      <c r="GO219">
        <v>24.0655</v>
      </c>
      <c r="GP219">
        <v>800</v>
      </c>
      <c r="GQ219">
        <v>12.5298</v>
      </c>
      <c r="GR219">
        <v>99.758499999999998</v>
      </c>
      <c r="GS219">
        <v>99.599500000000006</v>
      </c>
    </row>
    <row r="220" spans="1:201" x14ac:dyDescent="0.25">
      <c r="A220">
        <v>204</v>
      </c>
      <c r="B220">
        <v>1690220205.0999999</v>
      </c>
      <c r="C220">
        <v>2184.599999904633</v>
      </c>
      <c r="D220" t="s">
        <v>737</v>
      </c>
      <c r="E220" t="s">
        <v>738</v>
      </c>
      <c r="F220" t="s">
        <v>330</v>
      </c>
      <c r="H220">
        <v>1690220205.0999999</v>
      </c>
      <c r="I220">
        <f t="shared" si="90"/>
        <v>2.0040634714486882E-3</v>
      </c>
      <c r="J220">
        <f t="shared" si="91"/>
        <v>2.004063471448688</v>
      </c>
      <c r="K220">
        <f t="shared" si="92"/>
        <v>35.585216956709765</v>
      </c>
      <c r="L220">
        <f t="shared" si="93"/>
        <v>407.101</v>
      </c>
      <c r="M220">
        <f t="shared" si="94"/>
        <v>97.957328133938645</v>
      </c>
      <c r="N220">
        <f t="shared" si="95"/>
        <v>9.7134098666594149</v>
      </c>
      <c r="O220">
        <f t="shared" si="96"/>
        <v>40.367973948004</v>
      </c>
      <c r="P220">
        <f t="shared" si="97"/>
        <v>0.19488925915881394</v>
      </c>
      <c r="Q220">
        <f t="shared" si="98"/>
        <v>2.1319027312672372</v>
      </c>
      <c r="R220">
        <f t="shared" si="99"/>
        <v>0.18550490311584503</v>
      </c>
      <c r="S220">
        <f t="shared" si="100"/>
        <v>0.1167460463027969</v>
      </c>
      <c r="T220">
        <f t="shared" si="101"/>
        <v>276.114352392</v>
      </c>
      <c r="U220">
        <f t="shared" si="102"/>
        <v>27.515070605674442</v>
      </c>
      <c r="V220">
        <f t="shared" si="103"/>
        <v>27.515070605674442</v>
      </c>
      <c r="W220">
        <f t="shared" si="104"/>
        <v>3.6888744579092743</v>
      </c>
      <c r="X220">
        <f t="shared" si="105"/>
        <v>78.449642033588532</v>
      </c>
      <c r="Y220">
        <f t="shared" si="106"/>
        <v>2.6518748695740002</v>
      </c>
      <c r="Z220">
        <f t="shared" si="107"/>
        <v>3.3803530530306172</v>
      </c>
      <c r="AA220">
        <f t="shared" si="108"/>
        <v>1.0369995883352741</v>
      </c>
      <c r="AB220">
        <f t="shared" si="109"/>
        <v>-88.379199090887155</v>
      </c>
      <c r="AC220">
        <f t="shared" si="110"/>
        <v>-170.62933047445387</v>
      </c>
      <c r="AD220">
        <f t="shared" si="111"/>
        <v>-17.233630640458959</v>
      </c>
      <c r="AE220">
        <f t="shared" si="112"/>
        <v>-0.12780781379996142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52603.155458305002</v>
      </c>
      <c r="AK220">
        <f t="shared" si="116"/>
        <v>1800</v>
      </c>
      <c r="AL220">
        <f t="shared" si="117"/>
        <v>1499.1118902000001</v>
      </c>
      <c r="AM220">
        <f t="shared" si="118"/>
        <v>0.83283993899999997</v>
      </c>
      <c r="AN220">
        <f t="shared" si="119"/>
        <v>0.15339686244</v>
      </c>
      <c r="AO220">
        <v>32.4</v>
      </c>
      <c r="AP220">
        <v>0.5</v>
      </c>
      <c r="AQ220" t="s">
        <v>331</v>
      </c>
      <c r="AR220">
        <v>2</v>
      </c>
      <c r="AS220">
        <v>1690220205.0999999</v>
      </c>
      <c r="AT220">
        <v>407.101</v>
      </c>
      <c r="AU220">
        <v>799.98900000000003</v>
      </c>
      <c r="AV220">
        <v>26.743500000000001</v>
      </c>
      <c r="AW220">
        <v>5.6914999999999996</v>
      </c>
      <c r="AX220">
        <v>407.096</v>
      </c>
      <c r="AY220">
        <v>26.5534</v>
      </c>
      <c r="AZ220">
        <v>300.18599999999998</v>
      </c>
      <c r="BA220">
        <v>99.059600000000003</v>
      </c>
      <c r="BB220">
        <v>0.100004</v>
      </c>
      <c r="BC220">
        <v>26.0305</v>
      </c>
      <c r="BD220">
        <v>26.994199999999999</v>
      </c>
      <c r="BE220">
        <v>27.198</v>
      </c>
      <c r="BF220">
        <v>0</v>
      </c>
      <c r="BG220">
        <v>0</v>
      </c>
      <c r="BH220">
        <v>10010.6</v>
      </c>
      <c r="BI220">
        <v>1067.98</v>
      </c>
      <c r="BJ220">
        <v>1.68198</v>
      </c>
      <c r="BK220">
        <v>-392.88799999999998</v>
      </c>
      <c r="BL220">
        <v>418.28699999999998</v>
      </c>
      <c r="BM220">
        <v>804.56799999999998</v>
      </c>
      <c r="BN220">
        <v>21.052</v>
      </c>
      <c r="BO220">
        <v>799.98900000000003</v>
      </c>
      <c r="BP220">
        <v>5.6914999999999996</v>
      </c>
      <c r="BQ220">
        <v>2.6492</v>
      </c>
      <c r="BR220">
        <v>0.56379699999999999</v>
      </c>
      <c r="BS220">
        <v>21.973400000000002</v>
      </c>
      <c r="BT220">
        <v>-1.1609499999999999</v>
      </c>
      <c r="BU220">
        <v>1800</v>
      </c>
      <c r="BV220">
        <v>0.91001299999999996</v>
      </c>
      <c r="BW220">
        <v>3.40086E-2</v>
      </c>
      <c r="BX220">
        <v>2.19927E-2</v>
      </c>
      <c r="BY220">
        <v>3.3985799999999997E-2</v>
      </c>
      <c r="BZ220">
        <v>26</v>
      </c>
      <c r="CA220">
        <v>33528.400000000001</v>
      </c>
      <c r="CB220">
        <v>1690217592</v>
      </c>
      <c r="CC220" t="s">
        <v>332</v>
      </c>
      <c r="CD220">
        <v>1690217586.5</v>
      </c>
      <c r="CE220">
        <v>1690217592</v>
      </c>
      <c r="CF220">
        <v>9</v>
      </c>
      <c r="CG220">
        <v>0.11600000000000001</v>
      </c>
      <c r="CH220">
        <v>-3.0000000000000001E-3</v>
      </c>
      <c r="CI220">
        <v>-0.27300000000000002</v>
      </c>
      <c r="CJ220">
        <v>-6.9000000000000006E-2</v>
      </c>
      <c r="CK220">
        <v>800</v>
      </c>
      <c r="CL220">
        <v>6</v>
      </c>
      <c r="CM220">
        <v>0.01</v>
      </c>
      <c r="CN220">
        <v>0.01</v>
      </c>
      <c r="CO220">
        <v>-392.41907500000002</v>
      </c>
      <c r="CP220">
        <v>-2.813459662288091</v>
      </c>
      <c r="CQ220">
        <v>0.27605953954717932</v>
      </c>
      <c r="CR220">
        <v>-1</v>
      </c>
      <c r="CS220">
        <v>21.020135</v>
      </c>
      <c r="CT220">
        <v>0.18507016885551089</v>
      </c>
      <c r="CU220">
        <v>1.7881939911541991E-2</v>
      </c>
      <c r="CV220">
        <v>-1</v>
      </c>
      <c r="CW220">
        <v>0</v>
      </c>
      <c r="CX220">
        <v>0</v>
      </c>
      <c r="CY220" t="s">
        <v>333</v>
      </c>
      <c r="CZ220">
        <v>2.3647100000000001</v>
      </c>
      <c r="DA220">
        <v>2.7138</v>
      </c>
      <c r="DB220">
        <v>9.0714199999999995E-2</v>
      </c>
      <c r="DC220">
        <v>0.14610600000000001</v>
      </c>
      <c r="DD220">
        <v>0.122908</v>
      </c>
      <c r="DE220">
        <v>3.7792399999999997E-2</v>
      </c>
      <c r="DF220">
        <v>33209.199999999997</v>
      </c>
      <c r="DG220">
        <v>27528.7</v>
      </c>
      <c r="DH220">
        <v>31178.5</v>
      </c>
      <c r="DI220">
        <v>28091.4</v>
      </c>
      <c r="DJ220">
        <v>37117.1</v>
      </c>
      <c r="DK220">
        <v>38437.5</v>
      </c>
      <c r="DL220">
        <v>44371.199999999997</v>
      </c>
      <c r="DM220">
        <v>42575</v>
      </c>
      <c r="DN220">
        <v>1.4865999999999999</v>
      </c>
      <c r="DO220">
        <v>2.0367299999999999</v>
      </c>
      <c r="DP220">
        <v>0.12492399999999999</v>
      </c>
      <c r="DQ220">
        <v>0.146955</v>
      </c>
      <c r="DR220">
        <v>24.947800000000001</v>
      </c>
      <c r="DS220">
        <v>24.790700000000001</v>
      </c>
      <c r="DT220">
        <v>16.7</v>
      </c>
      <c r="DU220">
        <v>29.8</v>
      </c>
      <c r="DV220">
        <v>7.1002400000000003</v>
      </c>
      <c r="DW220">
        <v>61.734099999999998</v>
      </c>
      <c r="DX220">
        <v>36.277999999999999</v>
      </c>
      <c r="DY220">
        <v>1</v>
      </c>
      <c r="DZ220">
        <v>-0.106126</v>
      </c>
      <c r="EA220">
        <v>6.2363799999999997E-2</v>
      </c>
      <c r="EB220">
        <v>20.189699999999998</v>
      </c>
      <c r="EC220">
        <v>5.2408000000000001</v>
      </c>
      <c r="ED220">
        <v>12.039899999999999</v>
      </c>
      <c r="EE220">
        <v>5.0166000000000004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1.8689100000000001</v>
      </c>
      <c r="EL220">
        <v>1.86463</v>
      </c>
      <c r="EM220">
        <v>1.8691899999999999</v>
      </c>
      <c r="EN220">
        <v>1.8672599999999999</v>
      </c>
      <c r="EO220">
        <v>1.8633999999999999</v>
      </c>
      <c r="EP220">
        <v>1.86453</v>
      </c>
      <c r="EQ220">
        <v>1.87018</v>
      </c>
      <c r="ER220">
        <v>1.8694599999999999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5.0000000000000001E-3</v>
      </c>
      <c r="FG220">
        <v>0.19009999999999999</v>
      </c>
      <c r="FH220">
        <v>0.27827353915413472</v>
      </c>
      <c r="FI220">
        <v>-6.1462078757559423E-4</v>
      </c>
      <c r="FJ220">
        <v>-1.8861989874597051E-7</v>
      </c>
      <c r="FK220">
        <v>1.1980462299894961E-10</v>
      </c>
      <c r="FL220">
        <v>0.19010266435860859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43.6</v>
      </c>
      <c r="FU220">
        <v>43.6</v>
      </c>
      <c r="FV220">
        <v>1.7773399999999999</v>
      </c>
      <c r="FW220">
        <v>2.5793499999999998</v>
      </c>
      <c r="FX220">
        <v>1.5490699999999999</v>
      </c>
      <c r="FY220">
        <v>2.3290999999999999</v>
      </c>
      <c r="FZ220">
        <v>1.50146</v>
      </c>
      <c r="GA220">
        <v>2.36572</v>
      </c>
      <c r="GB220">
        <v>33.850900000000003</v>
      </c>
      <c r="GC220">
        <v>23.982399999999998</v>
      </c>
      <c r="GD220">
        <v>19</v>
      </c>
      <c r="GE220">
        <v>286.63099999999997</v>
      </c>
      <c r="GF220">
        <v>581.62199999999996</v>
      </c>
      <c r="GG220">
        <v>24.0928</v>
      </c>
      <c r="GH220">
        <v>26.055599999999998</v>
      </c>
      <c r="GI220">
        <v>29.9999</v>
      </c>
      <c r="GJ220">
        <v>26.1938</v>
      </c>
      <c r="GK220">
        <v>26.1767</v>
      </c>
      <c r="GL220">
        <v>35.540700000000001</v>
      </c>
      <c r="GM220">
        <v>-30</v>
      </c>
      <c r="GN220">
        <v>-30</v>
      </c>
      <c r="GO220">
        <v>24.115100000000002</v>
      </c>
      <c r="GP220">
        <v>800</v>
      </c>
      <c r="GQ220">
        <v>12.5298</v>
      </c>
      <c r="GR220">
        <v>99.759500000000003</v>
      </c>
      <c r="GS220">
        <v>99.599400000000003</v>
      </c>
    </row>
    <row r="221" spans="1:201" x14ac:dyDescent="0.25">
      <c r="A221">
        <v>205</v>
      </c>
      <c r="B221">
        <v>1690220215.0999999</v>
      </c>
      <c r="C221">
        <v>2194.599999904633</v>
      </c>
      <c r="D221" t="s">
        <v>739</v>
      </c>
      <c r="E221" t="s">
        <v>740</v>
      </c>
      <c r="F221" t="s">
        <v>330</v>
      </c>
      <c r="H221">
        <v>1690220215.0999999</v>
      </c>
      <c r="I221">
        <f t="shared" si="90"/>
        <v>2.0073741963030764E-3</v>
      </c>
      <c r="J221">
        <f t="shared" si="91"/>
        <v>2.0073741963030765</v>
      </c>
      <c r="K221">
        <f t="shared" si="92"/>
        <v>35.640388775526908</v>
      </c>
      <c r="L221">
        <f t="shared" si="93"/>
        <v>406.52499999999998</v>
      </c>
      <c r="M221">
        <f t="shared" si="94"/>
        <v>98.376176093447683</v>
      </c>
      <c r="N221">
        <f t="shared" si="95"/>
        <v>9.7548908202157385</v>
      </c>
      <c r="O221">
        <f t="shared" si="96"/>
        <v>40.310643777424993</v>
      </c>
      <c r="P221">
        <f t="shared" si="97"/>
        <v>0.19586176249706322</v>
      </c>
      <c r="Q221">
        <f t="shared" si="98"/>
        <v>2.1318258015338332</v>
      </c>
      <c r="R221">
        <f t="shared" si="99"/>
        <v>0.18638563851429518</v>
      </c>
      <c r="S221">
        <f t="shared" si="100"/>
        <v>0.11730420098171539</v>
      </c>
      <c r="T221">
        <f t="shared" si="101"/>
        <v>276.11427308399999</v>
      </c>
      <c r="U221">
        <f t="shared" si="102"/>
        <v>27.514663121369477</v>
      </c>
      <c r="V221">
        <f t="shared" si="103"/>
        <v>27.514663121369477</v>
      </c>
      <c r="W221">
        <f t="shared" si="104"/>
        <v>3.6887865130177153</v>
      </c>
      <c r="X221">
        <f t="shared" si="105"/>
        <v>78.538961191170301</v>
      </c>
      <c r="Y221">
        <f t="shared" si="106"/>
        <v>2.6550041184904001</v>
      </c>
      <c r="Z221">
        <f t="shared" si="107"/>
        <v>3.3804930422085691</v>
      </c>
      <c r="AA221">
        <f t="shared" si="108"/>
        <v>1.0337823945273152</v>
      </c>
      <c r="AB221">
        <f t="shared" si="109"/>
        <v>-88.525202056965668</v>
      </c>
      <c r="AC221">
        <f t="shared" si="110"/>
        <v>-170.49588904272318</v>
      </c>
      <c r="AD221">
        <f t="shared" si="111"/>
        <v>-17.220799462560997</v>
      </c>
      <c r="AE221">
        <f t="shared" si="112"/>
        <v>-0.12761747824984582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52599.690526727289</v>
      </c>
      <c r="AK221">
        <f t="shared" si="116"/>
        <v>1800</v>
      </c>
      <c r="AL221">
        <f t="shared" si="117"/>
        <v>1499.1118884</v>
      </c>
      <c r="AM221">
        <f t="shared" si="118"/>
        <v>0.832839938</v>
      </c>
      <c r="AN221">
        <f t="shared" si="119"/>
        <v>0.15339681837999999</v>
      </c>
      <c r="AO221">
        <v>32.4</v>
      </c>
      <c r="AP221">
        <v>0.5</v>
      </c>
      <c r="AQ221" t="s">
        <v>331</v>
      </c>
      <c r="AR221">
        <v>2</v>
      </c>
      <c r="AS221">
        <v>1690220215.0999999</v>
      </c>
      <c r="AT221">
        <v>406.52499999999998</v>
      </c>
      <c r="AU221">
        <v>800.00400000000002</v>
      </c>
      <c r="AV221">
        <v>26.775200000000002</v>
      </c>
      <c r="AW221">
        <v>5.6894600000000004</v>
      </c>
      <c r="AX221">
        <v>406.52</v>
      </c>
      <c r="AY221">
        <v>26.585100000000001</v>
      </c>
      <c r="AZ221">
        <v>300.19099999999997</v>
      </c>
      <c r="BA221">
        <v>99.058999999999997</v>
      </c>
      <c r="BB221">
        <v>0.100077</v>
      </c>
      <c r="BC221">
        <v>26.031199999999998</v>
      </c>
      <c r="BD221">
        <v>27.014299999999999</v>
      </c>
      <c r="BE221">
        <v>27.190799999999999</v>
      </c>
      <c r="BF221">
        <v>0</v>
      </c>
      <c r="BG221">
        <v>0</v>
      </c>
      <c r="BH221">
        <v>10010</v>
      </c>
      <c r="BI221">
        <v>1067.98</v>
      </c>
      <c r="BJ221">
        <v>1.68198</v>
      </c>
      <c r="BK221">
        <v>-393.47899999999998</v>
      </c>
      <c r="BL221">
        <v>417.709</v>
      </c>
      <c r="BM221">
        <v>804.58199999999999</v>
      </c>
      <c r="BN221">
        <v>21.085799999999999</v>
      </c>
      <c r="BO221">
        <v>800.00400000000002</v>
      </c>
      <c r="BP221">
        <v>5.6894600000000004</v>
      </c>
      <c r="BQ221">
        <v>2.6523300000000001</v>
      </c>
      <c r="BR221">
        <v>0.56359199999999998</v>
      </c>
      <c r="BS221">
        <v>21.992699999999999</v>
      </c>
      <c r="BT221">
        <v>-1.1659200000000001</v>
      </c>
      <c r="BU221">
        <v>1800</v>
      </c>
      <c r="BV221">
        <v>0.91001399999999999</v>
      </c>
      <c r="BW221">
        <v>3.4008200000000002E-2</v>
      </c>
      <c r="BX221">
        <v>2.1992399999999999E-2</v>
      </c>
      <c r="BY221">
        <v>3.3985399999999999E-2</v>
      </c>
      <c r="BZ221">
        <v>26</v>
      </c>
      <c r="CA221">
        <v>33528.5</v>
      </c>
      <c r="CB221">
        <v>1690217592</v>
      </c>
      <c r="CC221" t="s">
        <v>332</v>
      </c>
      <c r="CD221">
        <v>1690217586.5</v>
      </c>
      <c r="CE221">
        <v>1690217592</v>
      </c>
      <c r="CF221">
        <v>9</v>
      </c>
      <c r="CG221">
        <v>0.11600000000000001</v>
      </c>
      <c r="CH221">
        <v>-3.0000000000000001E-3</v>
      </c>
      <c r="CI221">
        <v>-0.27300000000000002</v>
      </c>
      <c r="CJ221">
        <v>-6.9000000000000006E-2</v>
      </c>
      <c r="CK221">
        <v>800</v>
      </c>
      <c r="CL221">
        <v>6</v>
      </c>
      <c r="CM221">
        <v>0.01</v>
      </c>
      <c r="CN221">
        <v>0.01</v>
      </c>
      <c r="CO221">
        <v>-392.92624390243901</v>
      </c>
      <c r="CP221">
        <v>-2.8459651567942452</v>
      </c>
      <c r="CQ221">
        <v>0.28647051357119929</v>
      </c>
      <c r="CR221">
        <v>-1</v>
      </c>
      <c r="CS221">
        <v>21.051870731707321</v>
      </c>
      <c r="CT221">
        <v>0.18823693379788781</v>
      </c>
      <c r="CU221">
        <v>1.8594481792271921E-2</v>
      </c>
      <c r="CV221">
        <v>-1</v>
      </c>
      <c r="CW221">
        <v>0</v>
      </c>
      <c r="CX221">
        <v>0</v>
      </c>
      <c r="CY221" t="s">
        <v>333</v>
      </c>
      <c r="CZ221">
        <v>2.3647399999999998</v>
      </c>
      <c r="DA221">
        <v>2.7138800000000001</v>
      </c>
      <c r="DB221">
        <v>9.0616100000000005E-2</v>
      </c>
      <c r="DC221">
        <v>0.14610699999999999</v>
      </c>
      <c r="DD221">
        <v>0.12300899999999999</v>
      </c>
      <c r="DE221">
        <v>3.7781000000000002E-2</v>
      </c>
      <c r="DF221">
        <v>33213.199999999997</v>
      </c>
      <c r="DG221">
        <v>27528.5</v>
      </c>
      <c r="DH221">
        <v>31178.799999999999</v>
      </c>
      <c r="DI221">
        <v>28091.200000000001</v>
      </c>
      <c r="DJ221">
        <v>37113.199999999997</v>
      </c>
      <c r="DK221">
        <v>38438</v>
      </c>
      <c r="DL221">
        <v>44371.6</v>
      </c>
      <c r="DM221">
        <v>42575.1</v>
      </c>
      <c r="DN221">
        <v>1.4866999999999999</v>
      </c>
      <c r="DO221">
        <v>2.0367500000000001</v>
      </c>
      <c r="DP221">
        <v>0.12615299999999999</v>
      </c>
      <c r="DQ221">
        <v>0.14651600000000001</v>
      </c>
      <c r="DR221">
        <v>24.947800000000001</v>
      </c>
      <c r="DS221">
        <v>24.790700000000001</v>
      </c>
      <c r="DT221">
        <v>16.7</v>
      </c>
      <c r="DU221">
        <v>29.8</v>
      </c>
      <c r="DV221">
        <v>7.1008399999999998</v>
      </c>
      <c r="DW221">
        <v>61.694099999999999</v>
      </c>
      <c r="DX221">
        <v>36.5304</v>
      </c>
      <c r="DY221">
        <v>1</v>
      </c>
      <c r="DZ221">
        <v>-0.10630100000000001</v>
      </c>
      <c r="EA221">
        <v>0.116604</v>
      </c>
      <c r="EB221">
        <v>20.189399999999999</v>
      </c>
      <c r="EC221">
        <v>5.2406499999999996</v>
      </c>
      <c r="ED221">
        <v>12.039899999999999</v>
      </c>
      <c r="EE221">
        <v>5.01675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1.86893</v>
      </c>
      <c r="EL221">
        <v>1.8646400000000001</v>
      </c>
      <c r="EM221">
        <v>1.8692</v>
      </c>
      <c r="EN221">
        <v>1.8672500000000001</v>
      </c>
      <c r="EO221">
        <v>1.8633999999999999</v>
      </c>
      <c r="EP221">
        <v>1.86452</v>
      </c>
      <c r="EQ221">
        <v>1.87018</v>
      </c>
      <c r="ER221">
        <v>1.86948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5.0000000000000001E-3</v>
      </c>
      <c r="FG221">
        <v>0.19009999999999999</v>
      </c>
      <c r="FH221">
        <v>0.27827353915413472</v>
      </c>
      <c r="FI221">
        <v>-6.1462078757559423E-4</v>
      </c>
      <c r="FJ221">
        <v>-1.8861989874597051E-7</v>
      </c>
      <c r="FK221">
        <v>1.1980462299894961E-10</v>
      </c>
      <c r="FL221">
        <v>0.19010266435860859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43.8</v>
      </c>
      <c r="FU221">
        <v>43.7</v>
      </c>
      <c r="FV221">
        <v>1.7773399999999999</v>
      </c>
      <c r="FW221">
        <v>2.5805699999999998</v>
      </c>
      <c r="FX221">
        <v>1.5490699999999999</v>
      </c>
      <c r="FY221">
        <v>2.3290999999999999</v>
      </c>
      <c r="FZ221">
        <v>1.50146</v>
      </c>
      <c r="GA221">
        <v>2.3999000000000001</v>
      </c>
      <c r="GB221">
        <v>33.850900000000003</v>
      </c>
      <c r="GC221">
        <v>23.982399999999998</v>
      </c>
      <c r="GD221">
        <v>19</v>
      </c>
      <c r="GE221">
        <v>286.67399999999998</v>
      </c>
      <c r="GF221">
        <v>581.64300000000003</v>
      </c>
      <c r="GG221">
        <v>24.131499999999999</v>
      </c>
      <c r="GH221">
        <v>26.054600000000001</v>
      </c>
      <c r="GI221">
        <v>30.0002</v>
      </c>
      <c r="GJ221">
        <v>26.1938</v>
      </c>
      <c r="GK221">
        <v>26.1767</v>
      </c>
      <c r="GL221">
        <v>35.54</v>
      </c>
      <c r="GM221">
        <v>-30</v>
      </c>
      <c r="GN221">
        <v>-30</v>
      </c>
      <c r="GO221">
        <v>24.06</v>
      </c>
      <c r="GP221">
        <v>800</v>
      </c>
      <c r="GQ221">
        <v>12.5298</v>
      </c>
      <c r="GR221">
        <v>99.760499999999993</v>
      </c>
      <c r="GS221">
        <v>99.599299999999999</v>
      </c>
    </row>
    <row r="222" spans="1:201" x14ac:dyDescent="0.25">
      <c r="A222">
        <v>206</v>
      </c>
      <c r="B222">
        <v>1690220225.0999999</v>
      </c>
      <c r="C222">
        <v>2204.599999904633</v>
      </c>
      <c r="D222" t="s">
        <v>741</v>
      </c>
      <c r="E222" t="s">
        <v>742</v>
      </c>
      <c r="F222" t="s">
        <v>330</v>
      </c>
      <c r="H222">
        <v>1690220225.0999999</v>
      </c>
      <c r="I222">
        <f t="shared" si="90"/>
        <v>2.0095489601874624E-3</v>
      </c>
      <c r="J222">
        <f t="shared" si="91"/>
        <v>2.0095489601874625</v>
      </c>
      <c r="K222">
        <f t="shared" si="92"/>
        <v>35.669798658367277</v>
      </c>
      <c r="L222">
        <f t="shared" si="93"/>
        <v>406.233</v>
      </c>
      <c r="M222">
        <f t="shared" si="94"/>
        <v>98.132345713882827</v>
      </c>
      <c r="N222">
        <f t="shared" si="95"/>
        <v>9.7306715111159807</v>
      </c>
      <c r="O222">
        <f t="shared" si="96"/>
        <v>40.281518302847992</v>
      </c>
      <c r="P222">
        <f t="shared" si="97"/>
        <v>0.19605545138778346</v>
      </c>
      <c r="Q222">
        <f t="shared" si="98"/>
        <v>2.1329850775203276</v>
      </c>
      <c r="R222">
        <f t="shared" si="99"/>
        <v>0.18656595605201728</v>
      </c>
      <c r="S222">
        <f t="shared" si="100"/>
        <v>0.1174180307088505</v>
      </c>
      <c r="T222">
        <f t="shared" si="101"/>
        <v>276.11442388799998</v>
      </c>
      <c r="U222">
        <f t="shared" si="102"/>
        <v>27.524957440915713</v>
      </c>
      <c r="V222">
        <f t="shared" si="103"/>
        <v>27.524957440915713</v>
      </c>
      <c r="W222">
        <f t="shared" si="104"/>
        <v>3.6910088350707553</v>
      </c>
      <c r="X222">
        <f t="shared" si="105"/>
        <v>78.547137122379112</v>
      </c>
      <c r="Y222">
        <f t="shared" si="106"/>
        <v>2.6571346731007996</v>
      </c>
      <c r="Z222">
        <f t="shared" si="107"/>
        <v>3.3828536219733802</v>
      </c>
      <c r="AA222">
        <f t="shared" si="108"/>
        <v>1.0338741619699556</v>
      </c>
      <c r="AB222">
        <f t="shared" si="109"/>
        <v>-88.621109144267095</v>
      </c>
      <c r="AC222">
        <f t="shared" si="110"/>
        <v>-170.41546038422985</v>
      </c>
      <c r="AD222">
        <f t="shared" si="111"/>
        <v>-17.205222519439467</v>
      </c>
      <c r="AE222">
        <f t="shared" si="112"/>
        <v>-0.12736815993645223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52647.779806315375</v>
      </c>
      <c r="AK222">
        <f t="shared" si="116"/>
        <v>1800</v>
      </c>
      <c r="AL222">
        <f t="shared" si="117"/>
        <v>1499.1111558</v>
      </c>
      <c r="AM222">
        <f t="shared" si="118"/>
        <v>0.83283953099999997</v>
      </c>
      <c r="AN222">
        <f t="shared" si="119"/>
        <v>0.15339690215999999</v>
      </c>
      <c r="AO222">
        <v>32.4</v>
      </c>
      <c r="AP222">
        <v>0.5</v>
      </c>
      <c r="AQ222" t="s">
        <v>331</v>
      </c>
      <c r="AR222">
        <v>2</v>
      </c>
      <c r="AS222">
        <v>1690220225.0999999</v>
      </c>
      <c r="AT222">
        <v>406.233</v>
      </c>
      <c r="AU222">
        <v>800.05100000000004</v>
      </c>
      <c r="AV222">
        <v>26.796800000000001</v>
      </c>
      <c r="AW222">
        <v>5.6877000000000004</v>
      </c>
      <c r="AX222">
        <v>406.22699999999998</v>
      </c>
      <c r="AY222">
        <v>26.6067</v>
      </c>
      <c r="AZ222">
        <v>300.17700000000002</v>
      </c>
      <c r="BA222">
        <v>99.058599999999998</v>
      </c>
      <c r="BB222">
        <v>0.10005600000000001</v>
      </c>
      <c r="BC222">
        <v>26.042999999999999</v>
      </c>
      <c r="BD222">
        <v>26.9786</v>
      </c>
      <c r="BE222">
        <v>27.169599999999999</v>
      </c>
      <c r="BF222">
        <v>0</v>
      </c>
      <c r="BG222">
        <v>0</v>
      </c>
      <c r="BH222">
        <v>10020</v>
      </c>
      <c r="BI222">
        <v>1067.98</v>
      </c>
      <c r="BJ222">
        <v>1.68198</v>
      </c>
      <c r="BK222">
        <v>-393.81799999999998</v>
      </c>
      <c r="BL222">
        <v>417.41800000000001</v>
      </c>
      <c r="BM222">
        <v>804.62800000000004</v>
      </c>
      <c r="BN222">
        <v>21.109100000000002</v>
      </c>
      <c r="BO222">
        <v>800.05100000000004</v>
      </c>
      <c r="BP222">
        <v>5.6877000000000004</v>
      </c>
      <c r="BQ222">
        <v>2.6544500000000002</v>
      </c>
      <c r="BR222">
        <v>0.56341600000000003</v>
      </c>
      <c r="BS222">
        <v>22.005800000000001</v>
      </c>
      <c r="BT222">
        <v>-1.17018</v>
      </c>
      <c r="BU222">
        <v>1800</v>
      </c>
      <c r="BV222">
        <v>0.91000700000000001</v>
      </c>
      <c r="BW222">
        <v>3.4007999999999997E-2</v>
      </c>
      <c r="BX222">
        <v>2.1992299999999999E-2</v>
      </c>
      <c r="BY222">
        <v>3.3993000000000002E-2</v>
      </c>
      <c r="BZ222">
        <v>26</v>
      </c>
      <c r="CA222">
        <v>33528.400000000001</v>
      </c>
      <c r="CB222">
        <v>1690217592</v>
      </c>
      <c r="CC222" t="s">
        <v>332</v>
      </c>
      <c r="CD222">
        <v>1690217586.5</v>
      </c>
      <c r="CE222">
        <v>1690217592</v>
      </c>
      <c r="CF222">
        <v>9</v>
      </c>
      <c r="CG222">
        <v>0.11600000000000001</v>
      </c>
      <c r="CH222">
        <v>-3.0000000000000001E-3</v>
      </c>
      <c r="CI222">
        <v>-0.27300000000000002</v>
      </c>
      <c r="CJ222">
        <v>-6.9000000000000006E-2</v>
      </c>
      <c r="CK222">
        <v>800</v>
      </c>
      <c r="CL222">
        <v>6</v>
      </c>
      <c r="CM222">
        <v>0.01</v>
      </c>
      <c r="CN222">
        <v>0.01</v>
      </c>
      <c r="CO222">
        <v>-393.45365853658541</v>
      </c>
      <c r="CP222">
        <v>-3.2567874564457018</v>
      </c>
      <c r="CQ222">
        <v>0.3267911699672883</v>
      </c>
      <c r="CR222">
        <v>-1</v>
      </c>
      <c r="CS222">
        <v>21.08381951219512</v>
      </c>
      <c r="CT222">
        <v>0.19118675958193701</v>
      </c>
      <c r="CU222">
        <v>1.894868834526427E-2</v>
      </c>
      <c r="CV222">
        <v>-1</v>
      </c>
      <c r="CW222">
        <v>0</v>
      </c>
      <c r="CX222">
        <v>0</v>
      </c>
      <c r="CY222" t="s">
        <v>333</v>
      </c>
      <c r="CZ222">
        <v>2.3647200000000002</v>
      </c>
      <c r="DA222">
        <v>2.71387</v>
      </c>
      <c r="DB222">
        <v>9.0566199999999999E-2</v>
      </c>
      <c r="DC222">
        <v>0.14611299999999999</v>
      </c>
      <c r="DD222">
        <v>0.12307800000000001</v>
      </c>
      <c r="DE222">
        <v>3.77715E-2</v>
      </c>
      <c r="DF222">
        <v>33214</v>
      </c>
      <c r="DG222">
        <v>27528.400000000001</v>
      </c>
      <c r="DH222">
        <v>31177.9</v>
      </c>
      <c r="DI222">
        <v>28091.3</v>
      </c>
      <c r="DJ222">
        <v>37109.300000000003</v>
      </c>
      <c r="DK222">
        <v>38438.1</v>
      </c>
      <c r="DL222">
        <v>44370.5</v>
      </c>
      <c r="DM222">
        <v>42574.7</v>
      </c>
      <c r="DN222">
        <v>1.4863299999999999</v>
      </c>
      <c r="DO222">
        <v>2.0366499999999998</v>
      </c>
      <c r="DP222">
        <v>0.123844</v>
      </c>
      <c r="DQ222">
        <v>0.14521899999999999</v>
      </c>
      <c r="DR222">
        <v>24.9499</v>
      </c>
      <c r="DS222">
        <v>24.790700000000001</v>
      </c>
      <c r="DT222">
        <v>16.7</v>
      </c>
      <c r="DU222">
        <v>29.8</v>
      </c>
      <c r="DV222">
        <v>7.1001700000000003</v>
      </c>
      <c r="DW222">
        <v>61.2941</v>
      </c>
      <c r="DX222">
        <v>36.890999999999998</v>
      </c>
      <c r="DY222">
        <v>1</v>
      </c>
      <c r="DZ222">
        <v>-0.105114</v>
      </c>
      <c r="EA222">
        <v>0.32322200000000001</v>
      </c>
      <c r="EB222">
        <v>20.189299999999999</v>
      </c>
      <c r="EC222">
        <v>5.2409499999999998</v>
      </c>
      <c r="ED222">
        <v>12.039899999999999</v>
      </c>
      <c r="EE222">
        <v>5.0167000000000002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1.8689199999999999</v>
      </c>
      <c r="EL222">
        <v>1.8646400000000001</v>
      </c>
      <c r="EM222">
        <v>1.8692</v>
      </c>
      <c r="EN222">
        <v>1.8672599999999999</v>
      </c>
      <c r="EO222">
        <v>1.8633999999999999</v>
      </c>
      <c r="EP222">
        <v>1.86453</v>
      </c>
      <c r="EQ222">
        <v>1.8702000000000001</v>
      </c>
      <c r="ER222">
        <v>1.8694900000000001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6.0000000000000001E-3</v>
      </c>
      <c r="FG222">
        <v>0.19009999999999999</v>
      </c>
      <c r="FH222">
        <v>0.27827353915413472</v>
      </c>
      <c r="FI222">
        <v>-6.1462078757559423E-4</v>
      </c>
      <c r="FJ222">
        <v>-1.8861989874597051E-7</v>
      </c>
      <c r="FK222">
        <v>1.1980462299894961E-10</v>
      </c>
      <c r="FL222">
        <v>0.19010266435860859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44</v>
      </c>
      <c r="FU222">
        <v>43.9</v>
      </c>
      <c r="FV222">
        <v>1.7773399999999999</v>
      </c>
      <c r="FW222">
        <v>2.5793499999999998</v>
      </c>
      <c r="FX222">
        <v>1.5490699999999999</v>
      </c>
      <c r="FY222">
        <v>2.3290999999999999</v>
      </c>
      <c r="FZ222">
        <v>1.50146</v>
      </c>
      <c r="GA222">
        <v>2.4121100000000002</v>
      </c>
      <c r="GB222">
        <v>33.828299999999999</v>
      </c>
      <c r="GC222">
        <v>23.982399999999998</v>
      </c>
      <c r="GD222">
        <v>19</v>
      </c>
      <c r="GE222">
        <v>286.51299999999998</v>
      </c>
      <c r="GF222">
        <v>581.54300000000001</v>
      </c>
      <c r="GG222">
        <v>24.057300000000001</v>
      </c>
      <c r="GH222">
        <v>26.054600000000001</v>
      </c>
      <c r="GI222">
        <v>30.000299999999999</v>
      </c>
      <c r="GJ222">
        <v>26.1937</v>
      </c>
      <c r="GK222">
        <v>26.1751</v>
      </c>
      <c r="GL222">
        <v>35.537700000000001</v>
      </c>
      <c r="GM222">
        <v>-30</v>
      </c>
      <c r="GN222">
        <v>-30</v>
      </c>
      <c r="GO222">
        <v>24.058599999999998</v>
      </c>
      <c r="GP222">
        <v>800</v>
      </c>
      <c r="GQ222">
        <v>12.5298</v>
      </c>
      <c r="GR222">
        <v>99.757800000000003</v>
      </c>
      <c r="GS222">
        <v>99.5989</v>
      </c>
    </row>
    <row r="223" spans="1:201" x14ac:dyDescent="0.25">
      <c r="A223">
        <v>207</v>
      </c>
      <c r="B223">
        <v>1690220235.0999999</v>
      </c>
      <c r="C223">
        <v>2214.599999904633</v>
      </c>
      <c r="D223" t="s">
        <v>743</v>
      </c>
      <c r="E223" t="s">
        <v>744</v>
      </c>
      <c r="F223" t="s">
        <v>330</v>
      </c>
      <c r="H223">
        <v>1690220235.0999999</v>
      </c>
      <c r="I223">
        <f t="shared" si="90"/>
        <v>2.0101308628906536E-3</v>
      </c>
      <c r="J223">
        <f t="shared" si="91"/>
        <v>2.0101308628906538</v>
      </c>
      <c r="K223">
        <f t="shared" si="92"/>
        <v>35.718115789972174</v>
      </c>
      <c r="L223">
        <f t="shared" si="93"/>
        <v>405.69200000000001</v>
      </c>
      <c r="M223">
        <f t="shared" si="94"/>
        <v>97.664289317017733</v>
      </c>
      <c r="N223">
        <f t="shared" si="95"/>
        <v>9.6842047805400409</v>
      </c>
      <c r="O223">
        <f t="shared" si="96"/>
        <v>40.227645471048</v>
      </c>
      <c r="P223">
        <f t="shared" si="97"/>
        <v>0.19639367938030397</v>
      </c>
      <c r="Q223">
        <f t="shared" si="98"/>
        <v>2.1276592337254154</v>
      </c>
      <c r="R223">
        <f t="shared" si="99"/>
        <v>0.18684967904614297</v>
      </c>
      <c r="S223">
        <f t="shared" si="100"/>
        <v>0.11759987994504348</v>
      </c>
      <c r="T223">
        <f t="shared" si="101"/>
        <v>276.11290242890891</v>
      </c>
      <c r="U223">
        <f t="shared" si="102"/>
        <v>27.520822925350998</v>
      </c>
      <c r="V223">
        <f t="shared" si="103"/>
        <v>27.520822925350998</v>
      </c>
      <c r="W223">
        <f t="shared" si="104"/>
        <v>3.6901161417821089</v>
      </c>
      <c r="X223">
        <f t="shared" si="105"/>
        <v>78.592348542675268</v>
      </c>
      <c r="Y223">
        <f t="shared" si="106"/>
        <v>2.6575162456752</v>
      </c>
      <c r="Z223">
        <f t="shared" si="107"/>
        <v>3.3813930935429184</v>
      </c>
      <c r="AA223">
        <f t="shared" si="108"/>
        <v>1.0325998961069089</v>
      </c>
      <c r="AB223">
        <f t="shared" si="109"/>
        <v>-88.646771053477821</v>
      </c>
      <c r="AC223">
        <f t="shared" si="110"/>
        <v>-170.35305176390926</v>
      </c>
      <c r="AD223">
        <f t="shared" si="111"/>
        <v>-17.240987140648564</v>
      </c>
      <c r="AE223">
        <f t="shared" si="112"/>
        <v>-0.12790752912673042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52418.801553412704</v>
      </c>
      <c r="AK223">
        <f t="shared" si="116"/>
        <v>1799.99</v>
      </c>
      <c r="AL223">
        <f t="shared" si="117"/>
        <v>1499.10165741119</v>
      </c>
      <c r="AM223">
        <f t="shared" si="118"/>
        <v>0.83283888100000003</v>
      </c>
      <c r="AN223">
        <f t="shared" si="119"/>
        <v>0.15339690911000001</v>
      </c>
      <c r="AO223">
        <v>32.4</v>
      </c>
      <c r="AP223">
        <v>0.5</v>
      </c>
      <c r="AQ223" t="s">
        <v>331</v>
      </c>
      <c r="AR223">
        <v>2</v>
      </c>
      <c r="AS223">
        <v>1690220235.0999999</v>
      </c>
      <c r="AT223">
        <v>405.69200000000001</v>
      </c>
      <c r="AU223">
        <v>800</v>
      </c>
      <c r="AV223">
        <v>26.800799999999999</v>
      </c>
      <c r="AW223">
        <v>5.6868699999999999</v>
      </c>
      <c r="AX223">
        <v>405.68599999999998</v>
      </c>
      <c r="AY223">
        <v>26.610700000000001</v>
      </c>
      <c r="AZ223">
        <v>300.19400000000002</v>
      </c>
      <c r="BA223">
        <v>99.058000000000007</v>
      </c>
      <c r="BB223">
        <v>0.100094</v>
      </c>
      <c r="BC223">
        <v>26.035699999999999</v>
      </c>
      <c r="BD223">
        <v>26.991299999999999</v>
      </c>
      <c r="BE223">
        <v>27.180700000000002</v>
      </c>
      <c r="BF223">
        <v>0</v>
      </c>
      <c r="BG223">
        <v>0</v>
      </c>
      <c r="BH223">
        <v>9974.3799999999992</v>
      </c>
      <c r="BI223">
        <v>1067.9100000000001</v>
      </c>
      <c r="BJ223">
        <v>1.68198</v>
      </c>
      <c r="BK223">
        <v>-394.30799999999999</v>
      </c>
      <c r="BL223">
        <v>416.86399999999998</v>
      </c>
      <c r="BM223">
        <v>804.57500000000005</v>
      </c>
      <c r="BN223">
        <v>21.113900000000001</v>
      </c>
      <c r="BO223">
        <v>800</v>
      </c>
      <c r="BP223">
        <v>5.6868699999999999</v>
      </c>
      <c r="BQ223">
        <v>2.65483</v>
      </c>
      <c r="BR223">
        <v>0.56333</v>
      </c>
      <c r="BS223">
        <v>22.008199999999999</v>
      </c>
      <c r="BT223">
        <v>-1.17225</v>
      </c>
      <c r="BU223">
        <v>1799.99</v>
      </c>
      <c r="BV223">
        <v>0.91</v>
      </c>
      <c r="BW223">
        <v>3.4007200000000001E-2</v>
      </c>
      <c r="BX223">
        <v>2.1991799999999999E-2</v>
      </c>
      <c r="BY223">
        <v>3.4001299999999998E-2</v>
      </c>
      <c r="BZ223">
        <v>26</v>
      </c>
      <c r="CA223">
        <v>33528.300000000003</v>
      </c>
      <c r="CB223">
        <v>1690217592</v>
      </c>
      <c r="CC223" t="s">
        <v>332</v>
      </c>
      <c r="CD223">
        <v>1690217586.5</v>
      </c>
      <c r="CE223">
        <v>1690217592</v>
      </c>
      <c r="CF223">
        <v>9</v>
      </c>
      <c r="CG223">
        <v>0.11600000000000001</v>
      </c>
      <c r="CH223">
        <v>-3.0000000000000001E-3</v>
      </c>
      <c r="CI223">
        <v>-0.27300000000000002</v>
      </c>
      <c r="CJ223">
        <v>-6.9000000000000006E-2</v>
      </c>
      <c r="CK223">
        <v>800</v>
      </c>
      <c r="CL223">
        <v>6</v>
      </c>
      <c r="CM223">
        <v>0.01</v>
      </c>
      <c r="CN223">
        <v>0.01</v>
      </c>
      <c r="CO223">
        <v>-393.91112195121951</v>
      </c>
      <c r="CP223">
        <v>-2.3830452961659381</v>
      </c>
      <c r="CQ223">
        <v>0.2464250932663187</v>
      </c>
      <c r="CR223">
        <v>-1</v>
      </c>
      <c r="CS223">
        <v>21.105236585365859</v>
      </c>
      <c r="CT223">
        <v>7.2426480836268861E-2</v>
      </c>
      <c r="CU223">
        <v>8.0737078886954829E-3</v>
      </c>
      <c r="CV223">
        <v>-1</v>
      </c>
      <c r="CW223">
        <v>0</v>
      </c>
      <c r="CX223">
        <v>0</v>
      </c>
      <c r="CY223" t="s">
        <v>333</v>
      </c>
      <c r="CZ223">
        <v>2.36477</v>
      </c>
      <c r="DA223">
        <v>2.7138599999999999</v>
      </c>
      <c r="DB223">
        <v>9.0474100000000002E-2</v>
      </c>
      <c r="DC223">
        <v>0.14610600000000001</v>
      </c>
      <c r="DD223">
        <v>0.12309</v>
      </c>
      <c r="DE223">
        <v>3.7766800000000003E-2</v>
      </c>
      <c r="DF223">
        <v>33217.5</v>
      </c>
      <c r="DG223">
        <v>27529</v>
      </c>
      <c r="DH223">
        <v>31178</v>
      </c>
      <c r="DI223">
        <v>28091.7</v>
      </c>
      <c r="DJ223">
        <v>37108.800000000003</v>
      </c>
      <c r="DK223">
        <v>38439</v>
      </c>
      <c r="DL223">
        <v>44370.6</v>
      </c>
      <c r="DM223">
        <v>42575.5</v>
      </c>
      <c r="DN223">
        <v>1.48668</v>
      </c>
      <c r="DO223">
        <v>2.0367500000000001</v>
      </c>
      <c r="DP223">
        <v>0.12461800000000001</v>
      </c>
      <c r="DQ223">
        <v>0.145897</v>
      </c>
      <c r="DR223">
        <v>24.9499</v>
      </c>
      <c r="DS223">
        <v>24.790700000000001</v>
      </c>
      <c r="DT223">
        <v>16.7</v>
      </c>
      <c r="DU223">
        <v>29.8</v>
      </c>
      <c r="DV223">
        <v>7.1005700000000003</v>
      </c>
      <c r="DW223">
        <v>61.9741</v>
      </c>
      <c r="DX223">
        <v>37.119399999999999</v>
      </c>
      <c r="DY223">
        <v>1</v>
      </c>
      <c r="DZ223">
        <v>-0.105422</v>
      </c>
      <c r="EA223">
        <v>0.207731</v>
      </c>
      <c r="EB223">
        <v>20.189399999999999</v>
      </c>
      <c r="EC223">
        <v>5.24125</v>
      </c>
      <c r="ED223">
        <v>12.039899999999999</v>
      </c>
      <c r="EE223">
        <v>5.0165499999999996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1.8689499999999999</v>
      </c>
      <c r="EL223">
        <v>1.86466</v>
      </c>
      <c r="EM223">
        <v>1.8692</v>
      </c>
      <c r="EN223">
        <v>1.8672500000000001</v>
      </c>
      <c r="EO223">
        <v>1.8633999999999999</v>
      </c>
      <c r="EP223">
        <v>1.8645499999999999</v>
      </c>
      <c r="EQ223">
        <v>1.87019</v>
      </c>
      <c r="ER223">
        <v>1.86948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6.0000000000000001E-3</v>
      </c>
      <c r="FG223">
        <v>0.19009999999999999</v>
      </c>
      <c r="FH223">
        <v>0.27827353915413472</v>
      </c>
      <c r="FI223">
        <v>-6.1462078757559423E-4</v>
      </c>
      <c r="FJ223">
        <v>-1.8861989874597051E-7</v>
      </c>
      <c r="FK223">
        <v>1.1980462299894961E-10</v>
      </c>
      <c r="FL223">
        <v>0.19010266435860859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44.1</v>
      </c>
      <c r="FU223">
        <v>44.1</v>
      </c>
      <c r="FV223">
        <v>1.7773399999999999</v>
      </c>
      <c r="FW223">
        <v>2.5805699999999998</v>
      </c>
      <c r="FX223">
        <v>1.5490699999999999</v>
      </c>
      <c r="FY223">
        <v>2.3290999999999999</v>
      </c>
      <c r="FZ223">
        <v>1.50146</v>
      </c>
      <c r="GA223">
        <v>2.3913600000000002</v>
      </c>
      <c r="GB223">
        <v>33.828299999999999</v>
      </c>
      <c r="GC223">
        <v>23.982399999999998</v>
      </c>
      <c r="GD223">
        <v>19</v>
      </c>
      <c r="GE223">
        <v>286.65499999999997</v>
      </c>
      <c r="GF223">
        <v>581.61800000000005</v>
      </c>
      <c r="GG223">
        <v>24.0565</v>
      </c>
      <c r="GH223">
        <v>26.052499999999998</v>
      </c>
      <c r="GI223">
        <v>30</v>
      </c>
      <c r="GJ223">
        <v>26.191700000000001</v>
      </c>
      <c r="GK223">
        <v>26.174499999999998</v>
      </c>
      <c r="GL223">
        <v>35.538400000000003</v>
      </c>
      <c r="GM223">
        <v>-30</v>
      </c>
      <c r="GN223">
        <v>-30</v>
      </c>
      <c r="GO223">
        <v>24.057600000000001</v>
      </c>
      <c r="GP223">
        <v>800</v>
      </c>
      <c r="GQ223">
        <v>12.5298</v>
      </c>
      <c r="GR223">
        <v>99.758099999999999</v>
      </c>
      <c r="GS223">
        <v>99.600499999999997</v>
      </c>
    </row>
    <row r="224" spans="1:201" x14ac:dyDescent="0.25">
      <c r="A224">
        <v>208</v>
      </c>
      <c r="B224">
        <v>1690220245.0999999</v>
      </c>
      <c r="C224">
        <v>2224.599999904633</v>
      </c>
      <c r="D224" t="s">
        <v>745</v>
      </c>
      <c r="E224" t="s">
        <v>746</v>
      </c>
      <c r="F224" t="s">
        <v>330</v>
      </c>
      <c r="H224">
        <v>1690220245.0999999</v>
      </c>
      <c r="I224">
        <f t="shared" si="90"/>
        <v>2.0110003326507956E-3</v>
      </c>
      <c r="J224">
        <f t="shared" si="91"/>
        <v>2.0110003326507955</v>
      </c>
      <c r="K224">
        <f t="shared" si="92"/>
        <v>35.764822526592461</v>
      </c>
      <c r="L224">
        <f t="shared" si="93"/>
        <v>405.05200000000002</v>
      </c>
      <c r="M224">
        <f t="shared" si="94"/>
        <v>97.323790442314589</v>
      </c>
      <c r="N224">
        <f t="shared" si="95"/>
        <v>9.6505290649353199</v>
      </c>
      <c r="O224">
        <f t="shared" si="96"/>
        <v>40.16454847314121</v>
      </c>
      <c r="P224">
        <f t="shared" si="97"/>
        <v>0.19683539301994274</v>
      </c>
      <c r="Q224">
        <f t="shared" si="98"/>
        <v>2.1321180744872352</v>
      </c>
      <c r="R224">
        <f t="shared" si="99"/>
        <v>0.18726853862501147</v>
      </c>
      <c r="S224">
        <f t="shared" si="100"/>
        <v>0.11786362231650087</v>
      </c>
      <c r="T224">
        <f t="shared" si="101"/>
        <v>276.11424196199994</v>
      </c>
      <c r="U224">
        <f t="shared" si="102"/>
        <v>27.518706158700525</v>
      </c>
      <c r="V224">
        <f t="shared" si="103"/>
        <v>27.518706158700525</v>
      </c>
      <c r="W224">
        <f t="shared" si="104"/>
        <v>3.6896591784871351</v>
      </c>
      <c r="X224">
        <f t="shared" si="105"/>
        <v>78.62917114537899</v>
      </c>
      <c r="Y224">
        <f t="shared" si="106"/>
        <v>2.6589186522785697</v>
      </c>
      <c r="Z224">
        <f t="shared" si="107"/>
        <v>3.3815931333708757</v>
      </c>
      <c r="AA224">
        <f t="shared" si="108"/>
        <v>1.0307405262085654</v>
      </c>
      <c r="AB224">
        <f t="shared" si="109"/>
        <v>-88.685114669900088</v>
      </c>
      <c r="AC224">
        <f t="shared" si="110"/>
        <v>-170.35179087686944</v>
      </c>
      <c r="AD224">
        <f t="shared" si="111"/>
        <v>-17.204707605293851</v>
      </c>
      <c r="AE224">
        <f t="shared" si="112"/>
        <v>-0.12737119006342823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52611.372201057507</v>
      </c>
      <c r="AK224">
        <f t="shared" si="116"/>
        <v>1800</v>
      </c>
      <c r="AL224">
        <f t="shared" si="117"/>
        <v>1499.1093252000001</v>
      </c>
      <c r="AM224">
        <f t="shared" si="118"/>
        <v>0.83283851399999997</v>
      </c>
      <c r="AN224">
        <f t="shared" si="119"/>
        <v>0.15339680108999998</v>
      </c>
      <c r="AO224">
        <v>32.4</v>
      </c>
      <c r="AP224">
        <v>0.5</v>
      </c>
      <c r="AQ224" t="s">
        <v>331</v>
      </c>
      <c r="AR224">
        <v>2</v>
      </c>
      <c r="AS224">
        <v>1690220245.0999999</v>
      </c>
      <c r="AT224">
        <v>405.05200000000002</v>
      </c>
      <c r="AU224">
        <v>799.95399999999995</v>
      </c>
      <c r="AV224">
        <v>26.814699999999998</v>
      </c>
      <c r="AW224">
        <v>5.6865899999999998</v>
      </c>
      <c r="AX224">
        <v>405.04599999999999</v>
      </c>
      <c r="AY224">
        <v>26.624600000000001</v>
      </c>
      <c r="AZ224">
        <v>300.11799999999999</v>
      </c>
      <c r="BA224">
        <v>99.059100000000001</v>
      </c>
      <c r="BB224">
        <v>9.9893099999999999E-2</v>
      </c>
      <c r="BC224">
        <v>26.0367</v>
      </c>
      <c r="BD224">
        <v>27.002300000000002</v>
      </c>
      <c r="BE224">
        <v>27.1768</v>
      </c>
      <c r="BF224">
        <v>0</v>
      </c>
      <c r="BG224">
        <v>0</v>
      </c>
      <c r="BH224">
        <v>10012.5</v>
      </c>
      <c r="BI224">
        <v>1068.04</v>
      </c>
      <c r="BJ224">
        <v>1.68198</v>
      </c>
      <c r="BK224">
        <v>-394.90100000000001</v>
      </c>
      <c r="BL224">
        <v>416.21300000000002</v>
      </c>
      <c r="BM224">
        <v>804.529</v>
      </c>
      <c r="BN224">
        <v>21.1281</v>
      </c>
      <c r="BO224">
        <v>799.95399999999995</v>
      </c>
      <c r="BP224">
        <v>5.6865899999999998</v>
      </c>
      <c r="BQ224">
        <v>2.6562399999999999</v>
      </c>
      <c r="BR224">
        <v>0.56330800000000003</v>
      </c>
      <c r="BS224">
        <v>22.0169</v>
      </c>
      <c r="BT224">
        <v>-1.1727799999999999</v>
      </c>
      <c r="BU224">
        <v>1800</v>
      </c>
      <c r="BV224">
        <v>0.91000099999999995</v>
      </c>
      <c r="BW224">
        <v>3.4007099999999998E-2</v>
      </c>
      <c r="BX224">
        <v>2.1991699999999999E-2</v>
      </c>
      <c r="BY224">
        <v>3.39999E-2</v>
      </c>
      <c r="BZ224">
        <v>26</v>
      </c>
      <c r="CA224">
        <v>33528.5</v>
      </c>
      <c r="CB224">
        <v>1690217592</v>
      </c>
      <c r="CC224" t="s">
        <v>332</v>
      </c>
      <c r="CD224">
        <v>1690217586.5</v>
      </c>
      <c r="CE224">
        <v>1690217592</v>
      </c>
      <c r="CF224">
        <v>9</v>
      </c>
      <c r="CG224">
        <v>0.11600000000000001</v>
      </c>
      <c r="CH224">
        <v>-3.0000000000000001E-3</v>
      </c>
      <c r="CI224">
        <v>-0.27300000000000002</v>
      </c>
      <c r="CJ224">
        <v>-6.9000000000000006E-2</v>
      </c>
      <c r="CK224">
        <v>800</v>
      </c>
      <c r="CL224">
        <v>6</v>
      </c>
      <c r="CM224">
        <v>0.01</v>
      </c>
      <c r="CN224">
        <v>0.01</v>
      </c>
      <c r="CO224">
        <v>-394.32943902439018</v>
      </c>
      <c r="CP224">
        <v>-3.0889965156796491</v>
      </c>
      <c r="CQ224">
        <v>0.30821081229989328</v>
      </c>
      <c r="CR224">
        <v>-1</v>
      </c>
      <c r="CS224">
        <v>21.115307317073171</v>
      </c>
      <c r="CT224">
        <v>5.6094773519123793E-2</v>
      </c>
      <c r="CU224">
        <v>5.6714256066406907E-3</v>
      </c>
      <c r="CV224">
        <v>-1</v>
      </c>
      <c r="CW224">
        <v>0</v>
      </c>
      <c r="CX224">
        <v>0</v>
      </c>
      <c r="CY224" t="s">
        <v>333</v>
      </c>
      <c r="CZ224">
        <v>2.3645</v>
      </c>
      <c r="DA224">
        <v>2.7136900000000002</v>
      </c>
      <c r="DB224">
        <v>9.0366199999999994E-2</v>
      </c>
      <c r="DC224">
        <v>0.14610200000000001</v>
      </c>
      <c r="DD224">
        <v>0.123136</v>
      </c>
      <c r="DE224">
        <v>3.7765699999999999E-2</v>
      </c>
      <c r="DF224">
        <v>33221.599999999999</v>
      </c>
      <c r="DG224">
        <v>27529.200000000001</v>
      </c>
      <c r="DH224">
        <v>31178.2</v>
      </c>
      <c r="DI224">
        <v>28091.8</v>
      </c>
      <c r="DJ224">
        <v>37106.9</v>
      </c>
      <c r="DK224">
        <v>38439.1</v>
      </c>
      <c r="DL224">
        <v>44370.7</v>
      </c>
      <c r="DM224">
        <v>42575.6</v>
      </c>
      <c r="DN224">
        <v>1.4862200000000001</v>
      </c>
      <c r="DO224">
        <v>2.0369000000000002</v>
      </c>
      <c r="DP224">
        <v>0.12528900000000001</v>
      </c>
      <c r="DQ224">
        <v>0.14550199999999999</v>
      </c>
      <c r="DR224">
        <v>24.9499</v>
      </c>
      <c r="DS224">
        <v>24.793299999999999</v>
      </c>
      <c r="DT224">
        <v>16.7</v>
      </c>
      <c r="DU224">
        <v>29.8</v>
      </c>
      <c r="DV224">
        <v>7.1001700000000003</v>
      </c>
      <c r="DW224">
        <v>61.694099999999999</v>
      </c>
      <c r="DX224">
        <v>37.5321</v>
      </c>
      <c r="DY224">
        <v>1</v>
      </c>
      <c r="DZ224">
        <v>-0.105818</v>
      </c>
      <c r="EA224">
        <v>0.22741600000000001</v>
      </c>
      <c r="EB224">
        <v>20.189399999999999</v>
      </c>
      <c r="EC224">
        <v>5.2408000000000001</v>
      </c>
      <c r="ED224">
        <v>12.039899999999999</v>
      </c>
      <c r="EE224">
        <v>5.0167000000000002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1.86897</v>
      </c>
      <c r="EL224">
        <v>1.8646400000000001</v>
      </c>
      <c r="EM224">
        <v>1.8692</v>
      </c>
      <c r="EN224">
        <v>1.8672899999999999</v>
      </c>
      <c r="EO224">
        <v>1.86341</v>
      </c>
      <c r="EP224">
        <v>1.8645799999999999</v>
      </c>
      <c r="EQ224">
        <v>1.8702099999999999</v>
      </c>
      <c r="ER224">
        <v>1.8694900000000001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6.0000000000000001E-3</v>
      </c>
      <c r="FG224">
        <v>0.19009999999999999</v>
      </c>
      <c r="FH224">
        <v>0.27827353915413472</v>
      </c>
      <c r="FI224">
        <v>-6.1462078757559423E-4</v>
      </c>
      <c r="FJ224">
        <v>-1.8861989874597051E-7</v>
      </c>
      <c r="FK224">
        <v>1.1980462299894961E-10</v>
      </c>
      <c r="FL224">
        <v>0.19010266435860859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44.3</v>
      </c>
      <c r="FU224">
        <v>44.2</v>
      </c>
      <c r="FV224">
        <v>1.7773399999999999</v>
      </c>
      <c r="FW224">
        <v>2.5805699999999998</v>
      </c>
      <c r="FX224">
        <v>1.5490699999999999</v>
      </c>
      <c r="FY224">
        <v>2.3290999999999999</v>
      </c>
      <c r="FZ224">
        <v>1.50146</v>
      </c>
      <c r="GA224">
        <v>2.3974600000000001</v>
      </c>
      <c r="GB224">
        <v>33.828299999999999</v>
      </c>
      <c r="GC224">
        <v>23.982399999999998</v>
      </c>
      <c r="GD224">
        <v>19</v>
      </c>
      <c r="GE224">
        <v>286.46100000000001</v>
      </c>
      <c r="GF224">
        <v>581.74199999999996</v>
      </c>
      <c r="GG224">
        <v>24.0564</v>
      </c>
      <c r="GH224">
        <v>26.052499999999998</v>
      </c>
      <c r="GI224">
        <v>30.0001</v>
      </c>
      <c r="GJ224">
        <v>26.191700000000001</v>
      </c>
      <c r="GK224">
        <v>26.174499999999998</v>
      </c>
      <c r="GL224">
        <v>35.539099999999998</v>
      </c>
      <c r="GM224">
        <v>-30</v>
      </c>
      <c r="GN224">
        <v>-30</v>
      </c>
      <c r="GO224">
        <v>24.065100000000001</v>
      </c>
      <c r="GP224">
        <v>800</v>
      </c>
      <c r="GQ224">
        <v>12.5298</v>
      </c>
      <c r="GR224">
        <v>99.758399999999995</v>
      </c>
      <c r="GS224">
        <v>99.600899999999996</v>
      </c>
    </row>
    <row r="225" spans="1:201" x14ac:dyDescent="0.25">
      <c r="A225">
        <v>209</v>
      </c>
      <c r="B225">
        <v>1690220255.0999999</v>
      </c>
      <c r="C225">
        <v>2234.599999904633</v>
      </c>
      <c r="D225" t="s">
        <v>747</v>
      </c>
      <c r="E225" t="s">
        <v>748</v>
      </c>
      <c r="F225" t="s">
        <v>330</v>
      </c>
      <c r="H225">
        <v>1690220255.0999999</v>
      </c>
      <c r="I225">
        <f t="shared" si="90"/>
        <v>2.0141240899176766E-3</v>
      </c>
      <c r="J225">
        <f t="shared" si="91"/>
        <v>2.0141240899176767</v>
      </c>
      <c r="K225">
        <f t="shared" si="92"/>
        <v>35.806206953988223</v>
      </c>
      <c r="L225">
        <f t="shared" si="93"/>
        <v>404.69200000000001</v>
      </c>
      <c r="M225">
        <f t="shared" si="94"/>
        <v>98.058895678766092</v>
      </c>
      <c r="N225">
        <f t="shared" si="95"/>
        <v>9.7233026989347255</v>
      </c>
      <c r="O225">
        <f t="shared" si="96"/>
        <v>40.128361517835998</v>
      </c>
      <c r="P225">
        <f t="shared" si="97"/>
        <v>0.19780578536630705</v>
      </c>
      <c r="Q225">
        <f t="shared" si="98"/>
        <v>2.1334165184369756</v>
      </c>
      <c r="R225">
        <f t="shared" si="99"/>
        <v>0.18815242684499922</v>
      </c>
      <c r="S225">
        <f t="shared" si="100"/>
        <v>0.11842331368453221</v>
      </c>
      <c r="T225">
        <f t="shared" si="101"/>
        <v>276.114240306</v>
      </c>
      <c r="U225">
        <f t="shared" si="102"/>
        <v>27.515799003192427</v>
      </c>
      <c r="V225">
        <f t="shared" si="103"/>
        <v>27.515799003192427</v>
      </c>
      <c r="W225">
        <f t="shared" si="104"/>
        <v>3.6890316681319928</v>
      </c>
      <c r="X225">
        <f t="shared" si="105"/>
        <v>78.712039396827322</v>
      </c>
      <c r="Y225">
        <f t="shared" si="106"/>
        <v>2.6615634639510999</v>
      </c>
      <c r="Z225">
        <f t="shared" si="107"/>
        <v>3.3813930935429184</v>
      </c>
      <c r="AA225">
        <f t="shared" si="108"/>
        <v>1.0274682041808929</v>
      </c>
      <c r="AB225">
        <f t="shared" si="109"/>
        <v>-88.822872365369534</v>
      </c>
      <c r="AC225">
        <f t="shared" si="110"/>
        <v>-170.23617901168748</v>
      </c>
      <c r="AD225">
        <f t="shared" si="111"/>
        <v>-17.182231120546327</v>
      </c>
      <c r="AE225">
        <f t="shared" si="112"/>
        <v>-0.12704219160332286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52667.726467639885</v>
      </c>
      <c r="AK225">
        <f t="shared" si="116"/>
        <v>1800</v>
      </c>
      <c r="AL225">
        <f t="shared" si="117"/>
        <v>1499.1091505999998</v>
      </c>
      <c r="AM225">
        <f t="shared" si="118"/>
        <v>0.83283841699999994</v>
      </c>
      <c r="AN225">
        <f t="shared" si="119"/>
        <v>0.15339680017000001</v>
      </c>
      <c r="AO225">
        <v>32.4</v>
      </c>
      <c r="AP225">
        <v>0.5</v>
      </c>
      <c r="AQ225" t="s">
        <v>331</v>
      </c>
      <c r="AR225">
        <v>2</v>
      </c>
      <c r="AS225">
        <v>1690220255.0999999</v>
      </c>
      <c r="AT225">
        <v>404.69200000000001</v>
      </c>
      <c r="AU225">
        <v>799.96100000000001</v>
      </c>
      <c r="AV225">
        <v>26.841699999999999</v>
      </c>
      <c r="AW225">
        <v>5.6859400000000004</v>
      </c>
      <c r="AX225">
        <v>404.68599999999998</v>
      </c>
      <c r="AY225">
        <v>26.651599999999998</v>
      </c>
      <c r="AZ225">
        <v>300.18299999999999</v>
      </c>
      <c r="BA225">
        <v>99.057699999999997</v>
      </c>
      <c r="BB225">
        <v>0.10008300000000001</v>
      </c>
      <c r="BC225">
        <v>26.035699999999999</v>
      </c>
      <c r="BD225">
        <v>27.0092</v>
      </c>
      <c r="BE225">
        <v>27.178899999999999</v>
      </c>
      <c r="BF225">
        <v>0</v>
      </c>
      <c r="BG225">
        <v>0</v>
      </c>
      <c r="BH225">
        <v>10023.799999999999</v>
      </c>
      <c r="BI225">
        <v>1067.98</v>
      </c>
      <c r="BJ225">
        <v>1.68198</v>
      </c>
      <c r="BK225">
        <v>-395.26799999999997</v>
      </c>
      <c r="BL225">
        <v>415.85399999999998</v>
      </c>
      <c r="BM225">
        <v>804.53499999999997</v>
      </c>
      <c r="BN225">
        <v>21.155799999999999</v>
      </c>
      <c r="BO225">
        <v>799.96100000000001</v>
      </c>
      <c r="BP225">
        <v>5.6859400000000004</v>
      </c>
      <c r="BQ225">
        <v>2.6588799999999999</v>
      </c>
      <c r="BR225">
        <v>0.56323699999999999</v>
      </c>
      <c r="BS225">
        <v>22.033200000000001</v>
      </c>
      <c r="BT225">
        <v>-1.17452</v>
      </c>
      <c r="BU225">
        <v>1800</v>
      </c>
      <c r="BV225">
        <v>0.91</v>
      </c>
      <c r="BW225">
        <v>3.4007000000000003E-2</v>
      </c>
      <c r="BX225">
        <v>2.19916E-2</v>
      </c>
      <c r="BY225">
        <v>3.4001099999999999E-2</v>
      </c>
      <c r="BZ225">
        <v>26</v>
      </c>
      <c r="CA225">
        <v>33528.5</v>
      </c>
      <c r="CB225">
        <v>1690217592</v>
      </c>
      <c r="CC225" t="s">
        <v>332</v>
      </c>
      <c r="CD225">
        <v>1690217586.5</v>
      </c>
      <c r="CE225">
        <v>1690217592</v>
      </c>
      <c r="CF225">
        <v>9</v>
      </c>
      <c r="CG225">
        <v>0.11600000000000001</v>
      </c>
      <c r="CH225">
        <v>-3.0000000000000001E-3</v>
      </c>
      <c r="CI225">
        <v>-0.27300000000000002</v>
      </c>
      <c r="CJ225">
        <v>-6.9000000000000006E-2</v>
      </c>
      <c r="CK225">
        <v>800</v>
      </c>
      <c r="CL225">
        <v>6</v>
      </c>
      <c r="CM225">
        <v>0.01</v>
      </c>
      <c r="CN225">
        <v>0.01</v>
      </c>
      <c r="CO225">
        <v>-394.81459999999998</v>
      </c>
      <c r="CP225">
        <v>-3.0089380863026438</v>
      </c>
      <c r="CQ225">
        <v>0.29250673496519419</v>
      </c>
      <c r="CR225">
        <v>-1</v>
      </c>
      <c r="CS225">
        <v>21.129237499999999</v>
      </c>
      <c r="CT225">
        <v>0.116112945590964</v>
      </c>
      <c r="CU225">
        <v>1.13217862437867E-2</v>
      </c>
      <c r="CV225">
        <v>-1</v>
      </c>
      <c r="CW225">
        <v>0</v>
      </c>
      <c r="CX225">
        <v>0</v>
      </c>
      <c r="CY225" t="s">
        <v>333</v>
      </c>
      <c r="CZ225">
        <v>2.3647399999999998</v>
      </c>
      <c r="DA225">
        <v>2.7139000000000002</v>
      </c>
      <c r="DB225">
        <v>9.0304200000000001E-2</v>
      </c>
      <c r="DC225">
        <v>0.14610100000000001</v>
      </c>
      <c r="DD225">
        <v>0.123222</v>
      </c>
      <c r="DE225">
        <v>3.7761599999999999E-2</v>
      </c>
      <c r="DF225">
        <v>33223.599999999999</v>
      </c>
      <c r="DG225">
        <v>27528.7</v>
      </c>
      <c r="DH225">
        <v>31177.9</v>
      </c>
      <c r="DI225">
        <v>28091.200000000001</v>
      </c>
      <c r="DJ225">
        <v>37103</v>
      </c>
      <c r="DK225">
        <v>38438.5</v>
      </c>
      <c r="DL225">
        <v>44370.5</v>
      </c>
      <c r="DM225">
        <v>42574.7</v>
      </c>
      <c r="DN225">
        <v>1.48682</v>
      </c>
      <c r="DO225">
        <v>2.0368200000000001</v>
      </c>
      <c r="DP225">
        <v>0.125587</v>
      </c>
      <c r="DQ225">
        <v>0.14540600000000001</v>
      </c>
      <c r="DR225">
        <v>24.952000000000002</v>
      </c>
      <c r="DS225">
        <v>24.797000000000001</v>
      </c>
      <c r="DT225">
        <v>16.7</v>
      </c>
      <c r="DU225">
        <v>29.8</v>
      </c>
      <c r="DV225">
        <v>7.0995499999999998</v>
      </c>
      <c r="DW225">
        <v>61.744100000000003</v>
      </c>
      <c r="DX225">
        <v>37.375799999999998</v>
      </c>
      <c r="DY225">
        <v>1</v>
      </c>
      <c r="DZ225">
        <v>-0.105902</v>
      </c>
      <c r="EA225">
        <v>0.23286499999999999</v>
      </c>
      <c r="EB225">
        <v>20.189299999999999</v>
      </c>
      <c r="EC225">
        <v>5.24125</v>
      </c>
      <c r="ED225">
        <v>12.039899999999999</v>
      </c>
      <c r="EE225">
        <v>5.0168499999999998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1.86896</v>
      </c>
      <c r="EL225">
        <v>1.86463</v>
      </c>
      <c r="EM225">
        <v>1.8692</v>
      </c>
      <c r="EN225">
        <v>1.8672800000000001</v>
      </c>
      <c r="EO225">
        <v>1.8633999999999999</v>
      </c>
      <c r="EP225">
        <v>1.86459</v>
      </c>
      <c r="EQ225">
        <v>1.87022</v>
      </c>
      <c r="ER225">
        <v>1.86948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6.0000000000000001E-3</v>
      </c>
      <c r="FG225">
        <v>0.19009999999999999</v>
      </c>
      <c r="FH225">
        <v>0.27827353915413472</v>
      </c>
      <c r="FI225">
        <v>-6.1462078757559423E-4</v>
      </c>
      <c r="FJ225">
        <v>-1.8861989874597051E-7</v>
      </c>
      <c r="FK225">
        <v>1.1980462299894961E-10</v>
      </c>
      <c r="FL225">
        <v>0.19010266435860859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44.5</v>
      </c>
      <c r="FU225">
        <v>44.4</v>
      </c>
      <c r="FV225">
        <v>1.7773399999999999</v>
      </c>
      <c r="FW225">
        <v>2.5793499999999998</v>
      </c>
      <c r="FX225">
        <v>1.5490699999999999</v>
      </c>
      <c r="FY225">
        <v>2.3290999999999999</v>
      </c>
      <c r="FZ225">
        <v>1.50146</v>
      </c>
      <c r="GA225">
        <v>2.3974600000000001</v>
      </c>
      <c r="GB225">
        <v>33.828299999999999</v>
      </c>
      <c r="GC225">
        <v>23.982399999999998</v>
      </c>
      <c r="GD225">
        <v>19</v>
      </c>
      <c r="GE225">
        <v>286.70800000000003</v>
      </c>
      <c r="GF225">
        <v>581.67999999999995</v>
      </c>
      <c r="GG225">
        <v>24.0624</v>
      </c>
      <c r="GH225">
        <v>26.052299999999999</v>
      </c>
      <c r="GI225">
        <v>30.0001</v>
      </c>
      <c r="GJ225">
        <v>26.189399999999999</v>
      </c>
      <c r="GK225">
        <v>26.174499999999998</v>
      </c>
      <c r="GL225">
        <v>35.540500000000002</v>
      </c>
      <c r="GM225">
        <v>-30</v>
      </c>
      <c r="GN225">
        <v>-30</v>
      </c>
      <c r="GO225">
        <v>24.048300000000001</v>
      </c>
      <c r="GP225">
        <v>800</v>
      </c>
      <c r="GQ225">
        <v>12.5298</v>
      </c>
      <c r="GR225">
        <v>99.757800000000003</v>
      </c>
      <c r="GS225">
        <v>99.598799999999997</v>
      </c>
    </row>
    <row r="226" spans="1:201" x14ac:dyDescent="0.25">
      <c r="A226">
        <v>210</v>
      </c>
      <c r="B226">
        <v>1690220265.0999999</v>
      </c>
      <c r="C226">
        <v>2244.599999904633</v>
      </c>
      <c r="D226" t="s">
        <v>749</v>
      </c>
      <c r="E226" t="s">
        <v>750</v>
      </c>
      <c r="F226" t="s">
        <v>330</v>
      </c>
      <c r="H226">
        <v>1690220265.0999999</v>
      </c>
      <c r="I226">
        <f t="shared" si="90"/>
        <v>2.01687077756546E-3</v>
      </c>
      <c r="J226">
        <f t="shared" si="91"/>
        <v>2.01687077756546</v>
      </c>
      <c r="K226">
        <f t="shared" si="92"/>
        <v>35.863112119521908</v>
      </c>
      <c r="L226">
        <f t="shared" si="93"/>
        <v>404.17200000000003</v>
      </c>
      <c r="M226">
        <f t="shared" si="94"/>
        <v>97.930338644160102</v>
      </c>
      <c r="N226">
        <f t="shared" si="95"/>
        <v>9.7105605076672603</v>
      </c>
      <c r="O226">
        <f t="shared" si="96"/>
        <v>40.076821093878003</v>
      </c>
      <c r="P226">
        <f t="shared" si="97"/>
        <v>0.1983999370274766</v>
      </c>
      <c r="Q226">
        <f t="shared" si="98"/>
        <v>2.131952591535434</v>
      </c>
      <c r="R226">
        <f t="shared" si="99"/>
        <v>0.18868371219707514</v>
      </c>
      <c r="S226">
        <f t="shared" si="100"/>
        <v>0.11876062102582927</v>
      </c>
      <c r="T226">
        <f t="shared" si="101"/>
        <v>276.11430211800001</v>
      </c>
      <c r="U226">
        <f t="shared" si="102"/>
        <v>27.520459013789935</v>
      </c>
      <c r="V226">
        <f t="shared" si="103"/>
        <v>27.520459013789935</v>
      </c>
      <c r="W226">
        <f t="shared" si="104"/>
        <v>3.6900375777763692</v>
      </c>
      <c r="X226">
        <f t="shared" si="105"/>
        <v>78.764663831810481</v>
      </c>
      <c r="Y226">
        <f t="shared" si="106"/>
        <v>2.6640835090291501</v>
      </c>
      <c r="Z226">
        <f t="shared" si="107"/>
        <v>3.3823333706062408</v>
      </c>
      <c r="AA226">
        <f t="shared" si="108"/>
        <v>1.0259540687472191</v>
      </c>
      <c r="AB226">
        <f t="shared" si="109"/>
        <v>-88.944001290636791</v>
      </c>
      <c r="AC226">
        <f t="shared" si="110"/>
        <v>-170.1147685268341</v>
      </c>
      <c r="AD226">
        <f t="shared" si="111"/>
        <v>-17.182571602766288</v>
      </c>
      <c r="AE226">
        <f t="shared" si="112"/>
        <v>-0.12703930223716497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52603.534269891425</v>
      </c>
      <c r="AK226">
        <f t="shared" si="116"/>
        <v>1800</v>
      </c>
      <c r="AL226">
        <f t="shared" si="117"/>
        <v>1499.1076727999998</v>
      </c>
      <c r="AM226">
        <f t="shared" si="118"/>
        <v>0.83283759599999996</v>
      </c>
      <c r="AN226">
        <f t="shared" si="119"/>
        <v>0.15339683451</v>
      </c>
      <c r="AO226">
        <v>32.4</v>
      </c>
      <c r="AP226">
        <v>0.5</v>
      </c>
      <c r="AQ226" t="s">
        <v>331</v>
      </c>
      <c r="AR226">
        <v>2</v>
      </c>
      <c r="AS226">
        <v>1690220265.0999999</v>
      </c>
      <c r="AT226">
        <v>404.17200000000003</v>
      </c>
      <c r="AU226">
        <v>800.01499999999999</v>
      </c>
      <c r="AV226">
        <v>26.867100000000001</v>
      </c>
      <c r="AW226">
        <v>5.6852299999999998</v>
      </c>
      <c r="AX226">
        <v>404.16500000000002</v>
      </c>
      <c r="AY226">
        <v>26.677</v>
      </c>
      <c r="AZ226">
        <v>300.214</v>
      </c>
      <c r="BA226">
        <v>99.057900000000004</v>
      </c>
      <c r="BB226">
        <v>9.9936499999999998E-2</v>
      </c>
      <c r="BC226">
        <v>26.040400000000002</v>
      </c>
      <c r="BD226">
        <v>26.968699999999998</v>
      </c>
      <c r="BE226">
        <v>27.176200000000001</v>
      </c>
      <c r="BF226">
        <v>0</v>
      </c>
      <c r="BG226">
        <v>0</v>
      </c>
      <c r="BH226">
        <v>10011.200000000001</v>
      </c>
      <c r="BI226">
        <v>1068</v>
      </c>
      <c r="BJ226">
        <v>1.68198</v>
      </c>
      <c r="BK226">
        <v>-395.84300000000002</v>
      </c>
      <c r="BL226">
        <v>415.33100000000002</v>
      </c>
      <c r="BM226">
        <v>804.59</v>
      </c>
      <c r="BN226">
        <v>21.181899999999999</v>
      </c>
      <c r="BO226">
        <v>800.01499999999999</v>
      </c>
      <c r="BP226">
        <v>5.6852299999999998</v>
      </c>
      <c r="BQ226">
        <v>2.6614</v>
      </c>
      <c r="BR226">
        <v>0.56316699999999997</v>
      </c>
      <c r="BS226">
        <v>22.0487</v>
      </c>
      <c r="BT226">
        <v>-1.17621</v>
      </c>
      <c r="BU226">
        <v>1800</v>
      </c>
      <c r="BV226">
        <v>0.90999099999999999</v>
      </c>
      <c r="BW226">
        <v>3.4006500000000002E-2</v>
      </c>
      <c r="BX226">
        <v>2.1991299999999998E-2</v>
      </c>
      <c r="BY226">
        <v>3.4010899999999997E-2</v>
      </c>
      <c r="BZ226">
        <v>26</v>
      </c>
      <c r="CA226">
        <v>33528.400000000001</v>
      </c>
      <c r="CB226">
        <v>1690217592</v>
      </c>
      <c r="CC226" t="s">
        <v>332</v>
      </c>
      <c r="CD226">
        <v>1690217586.5</v>
      </c>
      <c r="CE226">
        <v>1690217592</v>
      </c>
      <c r="CF226">
        <v>9</v>
      </c>
      <c r="CG226">
        <v>0.11600000000000001</v>
      </c>
      <c r="CH226">
        <v>-3.0000000000000001E-3</v>
      </c>
      <c r="CI226">
        <v>-0.27300000000000002</v>
      </c>
      <c r="CJ226">
        <v>-6.9000000000000006E-2</v>
      </c>
      <c r="CK226">
        <v>800</v>
      </c>
      <c r="CL226">
        <v>6</v>
      </c>
      <c r="CM226">
        <v>0.01</v>
      </c>
      <c r="CN226">
        <v>0.01</v>
      </c>
      <c r="CO226">
        <v>-395.32352500000002</v>
      </c>
      <c r="CP226">
        <v>-2.921076923075391</v>
      </c>
      <c r="CQ226">
        <v>0.28608346574906979</v>
      </c>
      <c r="CR226">
        <v>-1</v>
      </c>
      <c r="CS226">
        <v>21.154192500000001</v>
      </c>
      <c r="CT226">
        <v>0.17899024390237589</v>
      </c>
      <c r="CU226">
        <v>1.7268980680688759E-2</v>
      </c>
      <c r="CV226">
        <v>-1</v>
      </c>
      <c r="CW226">
        <v>0</v>
      </c>
      <c r="CX226">
        <v>0</v>
      </c>
      <c r="CY226" t="s">
        <v>333</v>
      </c>
      <c r="CZ226">
        <v>2.3648099999999999</v>
      </c>
      <c r="DA226">
        <v>2.71374</v>
      </c>
      <c r="DB226">
        <v>9.0215900000000002E-2</v>
      </c>
      <c r="DC226">
        <v>0.14610799999999999</v>
      </c>
      <c r="DD226">
        <v>0.123303</v>
      </c>
      <c r="DE226">
        <v>3.7758E-2</v>
      </c>
      <c r="DF226">
        <v>33226.699999999997</v>
      </c>
      <c r="DG226">
        <v>27528.6</v>
      </c>
      <c r="DH226">
        <v>31177.8</v>
      </c>
      <c r="DI226">
        <v>28091.3</v>
      </c>
      <c r="DJ226">
        <v>37099.4</v>
      </c>
      <c r="DK226">
        <v>38438.9</v>
      </c>
      <c r="DL226">
        <v>44370.3</v>
      </c>
      <c r="DM226">
        <v>42575.1</v>
      </c>
      <c r="DN226">
        <v>1.48645</v>
      </c>
      <c r="DO226">
        <v>2.0370499999999998</v>
      </c>
      <c r="DP226">
        <v>0.122979</v>
      </c>
      <c r="DQ226">
        <v>0.14511499999999999</v>
      </c>
      <c r="DR226">
        <v>24.9541</v>
      </c>
      <c r="DS226">
        <v>24.799099999999999</v>
      </c>
      <c r="DT226">
        <v>16.7</v>
      </c>
      <c r="DU226">
        <v>29.8</v>
      </c>
      <c r="DV226">
        <v>7.1009599999999997</v>
      </c>
      <c r="DW226">
        <v>61.704099999999997</v>
      </c>
      <c r="DX226">
        <v>37.363799999999998</v>
      </c>
      <c r="DY226">
        <v>1</v>
      </c>
      <c r="DZ226">
        <v>-0.105833</v>
      </c>
      <c r="EA226">
        <v>0.27060699999999999</v>
      </c>
      <c r="EB226">
        <v>20.189399999999999</v>
      </c>
      <c r="EC226">
        <v>5.2411000000000003</v>
      </c>
      <c r="ED226">
        <v>12.039899999999999</v>
      </c>
      <c r="EE226">
        <v>5.01675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1.8689499999999999</v>
      </c>
      <c r="EL226">
        <v>1.8646499999999999</v>
      </c>
      <c r="EM226">
        <v>1.8692</v>
      </c>
      <c r="EN226">
        <v>1.8672899999999999</v>
      </c>
      <c r="EO226">
        <v>1.8633999999999999</v>
      </c>
      <c r="EP226">
        <v>1.8645799999999999</v>
      </c>
      <c r="EQ226">
        <v>1.8702000000000001</v>
      </c>
      <c r="ER226">
        <v>1.86948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7.0000000000000001E-3</v>
      </c>
      <c r="FG226">
        <v>0.19009999999999999</v>
      </c>
      <c r="FH226">
        <v>0.27827353915413472</v>
      </c>
      <c r="FI226">
        <v>-6.1462078757559423E-4</v>
      </c>
      <c r="FJ226">
        <v>-1.8861989874597051E-7</v>
      </c>
      <c r="FK226">
        <v>1.1980462299894961E-10</v>
      </c>
      <c r="FL226">
        <v>0.19010266435860859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44.6</v>
      </c>
      <c r="FU226">
        <v>44.6</v>
      </c>
      <c r="FV226">
        <v>1.7773399999999999</v>
      </c>
      <c r="FW226">
        <v>2.5805699999999998</v>
      </c>
      <c r="FX226">
        <v>1.5490699999999999</v>
      </c>
      <c r="FY226">
        <v>2.3290999999999999</v>
      </c>
      <c r="FZ226">
        <v>1.50146</v>
      </c>
      <c r="GA226">
        <v>2.34985</v>
      </c>
      <c r="GB226">
        <v>33.828299999999999</v>
      </c>
      <c r="GC226">
        <v>23.982399999999998</v>
      </c>
      <c r="GD226">
        <v>19</v>
      </c>
      <c r="GE226">
        <v>286.54700000000003</v>
      </c>
      <c r="GF226">
        <v>581.84</v>
      </c>
      <c r="GG226">
        <v>24.043299999999999</v>
      </c>
      <c r="GH226">
        <v>26.0503</v>
      </c>
      <c r="GI226">
        <v>30</v>
      </c>
      <c r="GJ226">
        <v>26.189399999999999</v>
      </c>
      <c r="GK226">
        <v>26.1723</v>
      </c>
      <c r="GL226">
        <v>35.540799999999997</v>
      </c>
      <c r="GM226">
        <v>-30</v>
      </c>
      <c r="GN226">
        <v>-30</v>
      </c>
      <c r="GO226">
        <v>24.051300000000001</v>
      </c>
      <c r="GP226">
        <v>800</v>
      </c>
      <c r="GQ226">
        <v>12.5298</v>
      </c>
      <c r="GR226">
        <v>99.757499999999993</v>
      </c>
      <c r="GS226">
        <v>99.599400000000003</v>
      </c>
    </row>
    <row r="227" spans="1:201" x14ac:dyDescent="0.25">
      <c r="A227">
        <v>211</v>
      </c>
      <c r="B227">
        <v>1690220275.0999999</v>
      </c>
      <c r="C227">
        <v>2254.599999904633</v>
      </c>
      <c r="D227" t="s">
        <v>751</v>
      </c>
      <c r="E227" t="s">
        <v>752</v>
      </c>
      <c r="F227" t="s">
        <v>330</v>
      </c>
      <c r="H227">
        <v>1690220275.0999999</v>
      </c>
      <c r="I227">
        <f t="shared" si="90"/>
        <v>2.0189082537123574E-3</v>
      </c>
      <c r="J227">
        <f t="shared" si="91"/>
        <v>2.0189082537123575</v>
      </c>
      <c r="K227">
        <f t="shared" si="92"/>
        <v>35.906789650591868</v>
      </c>
      <c r="L227">
        <f t="shared" si="93"/>
        <v>403.65100000000001</v>
      </c>
      <c r="M227">
        <f t="shared" si="94"/>
        <v>97.819802785322253</v>
      </c>
      <c r="N227">
        <f t="shared" si="95"/>
        <v>9.6994613808247205</v>
      </c>
      <c r="O227">
        <f t="shared" si="96"/>
        <v>40.024587806864297</v>
      </c>
      <c r="P227">
        <f t="shared" si="97"/>
        <v>0.19893207253835235</v>
      </c>
      <c r="Q227">
        <f t="shared" si="98"/>
        <v>2.1305590627301978</v>
      </c>
      <c r="R227">
        <f t="shared" si="99"/>
        <v>0.18915898453497454</v>
      </c>
      <c r="S227">
        <f t="shared" si="100"/>
        <v>0.11906241663240569</v>
      </c>
      <c r="T227">
        <f t="shared" si="101"/>
        <v>276.11446426199996</v>
      </c>
      <c r="U227">
        <f t="shared" si="102"/>
        <v>27.523325496895286</v>
      </c>
      <c r="V227">
        <f t="shared" si="103"/>
        <v>27.523325496895286</v>
      </c>
      <c r="W227">
        <f t="shared" si="104"/>
        <v>3.6906564555668973</v>
      </c>
      <c r="X227">
        <f t="shared" si="105"/>
        <v>78.816909575650257</v>
      </c>
      <c r="Y227">
        <f t="shared" si="106"/>
        <v>2.6662764524092801</v>
      </c>
      <c r="Z227">
        <f t="shared" si="107"/>
        <v>3.3828736330369913</v>
      </c>
      <c r="AA227">
        <f t="shared" si="108"/>
        <v>1.0243800031576171</v>
      </c>
      <c r="AB227">
        <f t="shared" si="109"/>
        <v>-89.033853988714966</v>
      </c>
      <c r="AC227">
        <f t="shared" si="110"/>
        <v>-170.02269746334449</v>
      </c>
      <c r="AD227">
        <f t="shared" si="111"/>
        <v>-17.184983031499915</v>
      </c>
      <c r="AE227">
        <f t="shared" si="112"/>
        <v>-0.12707022155942127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52542.754417710828</v>
      </c>
      <c r="AK227">
        <f t="shared" si="116"/>
        <v>1800</v>
      </c>
      <c r="AL227">
        <f t="shared" si="117"/>
        <v>1499.1078581999998</v>
      </c>
      <c r="AM227">
        <f t="shared" si="118"/>
        <v>0.83283769899999993</v>
      </c>
      <c r="AN227">
        <f t="shared" si="119"/>
        <v>0.15339692458999998</v>
      </c>
      <c r="AO227">
        <v>32.4</v>
      </c>
      <c r="AP227">
        <v>0.5</v>
      </c>
      <c r="AQ227" t="s">
        <v>331</v>
      </c>
      <c r="AR227">
        <v>2</v>
      </c>
      <c r="AS227">
        <v>1690220275.0999999</v>
      </c>
      <c r="AT227">
        <v>403.65100000000001</v>
      </c>
      <c r="AU227">
        <v>799.98800000000006</v>
      </c>
      <c r="AV227">
        <v>26.889600000000002</v>
      </c>
      <c r="AW227">
        <v>5.6854800000000001</v>
      </c>
      <c r="AX227">
        <v>403.64400000000001</v>
      </c>
      <c r="AY227">
        <v>26.6995</v>
      </c>
      <c r="AZ227">
        <v>300.19499999999999</v>
      </c>
      <c r="BA227">
        <v>99.0565</v>
      </c>
      <c r="BB227">
        <v>9.9919300000000003E-2</v>
      </c>
      <c r="BC227">
        <v>26.043099999999999</v>
      </c>
      <c r="BD227">
        <v>26.9862</v>
      </c>
      <c r="BE227">
        <v>27.1904</v>
      </c>
      <c r="BF227">
        <v>0</v>
      </c>
      <c r="BG227">
        <v>0</v>
      </c>
      <c r="BH227">
        <v>9999.3799999999992</v>
      </c>
      <c r="BI227">
        <v>1067.98</v>
      </c>
      <c r="BJ227">
        <v>1.68198</v>
      </c>
      <c r="BK227">
        <v>-396.33600000000001</v>
      </c>
      <c r="BL227">
        <v>414.80500000000001</v>
      </c>
      <c r="BM227">
        <v>804.56200000000001</v>
      </c>
      <c r="BN227">
        <v>21.2042</v>
      </c>
      <c r="BO227">
        <v>799.98800000000006</v>
      </c>
      <c r="BP227">
        <v>5.6854800000000001</v>
      </c>
      <c r="BQ227">
        <v>2.6636000000000002</v>
      </c>
      <c r="BR227">
        <v>0.56318400000000002</v>
      </c>
      <c r="BS227">
        <v>22.062200000000001</v>
      </c>
      <c r="BT227">
        <v>-1.1757899999999999</v>
      </c>
      <c r="BU227">
        <v>1800</v>
      </c>
      <c r="BV227">
        <v>0.90998800000000002</v>
      </c>
      <c r="BW227">
        <v>3.4006300000000003E-2</v>
      </c>
      <c r="BX227">
        <v>2.1991199999999999E-2</v>
      </c>
      <c r="BY227">
        <v>3.4014700000000002E-2</v>
      </c>
      <c r="BZ227">
        <v>26</v>
      </c>
      <c r="CA227">
        <v>33528.5</v>
      </c>
      <c r="CB227">
        <v>1690217592</v>
      </c>
      <c r="CC227" t="s">
        <v>332</v>
      </c>
      <c r="CD227">
        <v>1690217586.5</v>
      </c>
      <c r="CE227">
        <v>1690217592</v>
      </c>
      <c r="CF227">
        <v>9</v>
      </c>
      <c r="CG227">
        <v>0.11600000000000001</v>
      </c>
      <c r="CH227">
        <v>-3.0000000000000001E-3</v>
      </c>
      <c r="CI227">
        <v>-0.27300000000000002</v>
      </c>
      <c r="CJ227">
        <v>-6.9000000000000006E-2</v>
      </c>
      <c r="CK227">
        <v>800</v>
      </c>
      <c r="CL227">
        <v>6</v>
      </c>
      <c r="CM227">
        <v>0.01</v>
      </c>
      <c r="CN227">
        <v>0.01</v>
      </c>
      <c r="CO227">
        <v>-395.846925</v>
      </c>
      <c r="CP227">
        <v>-3.2285966228886021</v>
      </c>
      <c r="CQ227">
        <v>0.31405321105666528</v>
      </c>
      <c r="CR227">
        <v>-1</v>
      </c>
      <c r="CS227">
        <v>21.1785025</v>
      </c>
      <c r="CT227">
        <v>0.11781726078795909</v>
      </c>
      <c r="CU227">
        <v>1.168938594409473E-2</v>
      </c>
      <c r="CV227">
        <v>-1</v>
      </c>
      <c r="CW227">
        <v>0</v>
      </c>
      <c r="CX227">
        <v>0</v>
      </c>
      <c r="CY227" t="s">
        <v>333</v>
      </c>
      <c r="CZ227">
        <v>2.3647399999999998</v>
      </c>
      <c r="DA227">
        <v>2.7137099999999998</v>
      </c>
      <c r="DB227">
        <v>9.0125999999999998E-2</v>
      </c>
      <c r="DC227">
        <v>0.14610300000000001</v>
      </c>
      <c r="DD227">
        <v>0.123374</v>
      </c>
      <c r="DE227">
        <v>3.7758899999999998E-2</v>
      </c>
      <c r="DF227">
        <v>33229.9</v>
      </c>
      <c r="DG227">
        <v>27529.200000000001</v>
      </c>
      <c r="DH227">
        <v>31177.7</v>
      </c>
      <c r="DI227">
        <v>28091.8</v>
      </c>
      <c r="DJ227">
        <v>37096.300000000003</v>
      </c>
      <c r="DK227">
        <v>38439.4</v>
      </c>
      <c r="DL227">
        <v>44370.2</v>
      </c>
      <c r="DM227">
        <v>42575.6</v>
      </c>
      <c r="DN227">
        <v>1.4863500000000001</v>
      </c>
      <c r="DO227">
        <v>2.0369199999999998</v>
      </c>
      <c r="DP227">
        <v>0.124052</v>
      </c>
      <c r="DQ227">
        <v>0.14569599999999999</v>
      </c>
      <c r="DR227">
        <v>24.9541</v>
      </c>
      <c r="DS227">
        <v>24.803799999999999</v>
      </c>
      <c r="DT227">
        <v>16.7</v>
      </c>
      <c r="DU227">
        <v>29.8</v>
      </c>
      <c r="DV227">
        <v>7.1002299999999998</v>
      </c>
      <c r="DW227">
        <v>61.634099999999997</v>
      </c>
      <c r="DX227">
        <v>37.215499999999999</v>
      </c>
      <c r="DY227">
        <v>1</v>
      </c>
      <c r="DZ227">
        <v>-0.106075</v>
      </c>
      <c r="EA227">
        <v>0.200046</v>
      </c>
      <c r="EB227">
        <v>20.189299999999999</v>
      </c>
      <c r="EC227">
        <v>5.2409499999999998</v>
      </c>
      <c r="ED227">
        <v>12.039899999999999</v>
      </c>
      <c r="EE227">
        <v>5.0167000000000002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1.8689199999999999</v>
      </c>
      <c r="EL227">
        <v>1.86463</v>
      </c>
      <c r="EM227">
        <v>1.8692</v>
      </c>
      <c r="EN227">
        <v>1.8672599999999999</v>
      </c>
      <c r="EO227">
        <v>1.8633999999999999</v>
      </c>
      <c r="EP227">
        <v>1.8645400000000001</v>
      </c>
      <c r="EQ227">
        <v>1.8701700000000001</v>
      </c>
      <c r="ER227">
        <v>1.86948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7.0000000000000001E-3</v>
      </c>
      <c r="FG227">
        <v>0.19009999999999999</v>
      </c>
      <c r="FH227">
        <v>0.27827353915413472</v>
      </c>
      <c r="FI227">
        <v>-6.1462078757559423E-4</v>
      </c>
      <c r="FJ227">
        <v>-1.8861989874597051E-7</v>
      </c>
      <c r="FK227">
        <v>1.1980462299894961E-10</v>
      </c>
      <c r="FL227">
        <v>0.19010266435860859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44.8</v>
      </c>
      <c r="FU227">
        <v>44.7</v>
      </c>
      <c r="FV227">
        <v>1.7773399999999999</v>
      </c>
      <c r="FW227">
        <v>2.5830099999999998</v>
      </c>
      <c r="FX227">
        <v>1.5490699999999999</v>
      </c>
      <c r="FY227">
        <v>2.3290999999999999</v>
      </c>
      <c r="FZ227">
        <v>1.50146</v>
      </c>
      <c r="GA227">
        <v>2.32056</v>
      </c>
      <c r="GB227">
        <v>33.828299999999999</v>
      </c>
      <c r="GC227">
        <v>23.982399999999998</v>
      </c>
      <c r="GD227">
        <v>19</v>
      </c>
      <c r="GE227">
        <v>286.50400000000002</v>
      </c>
      <c r="GF227">
        <v>581.73800000000006</v>
      </c>
      <c r="GG227">
        <v>24.0547</v>
      </c>
      <c r="GH227">
        <v>26.0503</v>
      </c>
      <c r="GI227">
        <v>29.9999</v>
      </c>
      <c r="GJ227">
        <v>26.189399999999999</v>
      </c>
      <c r="GK227">
        <v>26.1723</v>
      </c>
      <c r="GL227">
        <v>35.5396</v>
      </c>
      <c r="GM227">
        <v>-30</v>
      </c>
      <c r="GN227">
        <v>-30</v>
      </c>
      <c r="GO227">
        <v>24.063199999999998</v>
      </c>
      <c r="GP227">
        <v>800</v>
      </c>
      <c r="GQ227">
        <v>12.5298</v>
      </c>
      <c r="GR227">
        <v>99.757199999999997</v>
      </c>
      <c r="GS227">
        <v>99.600899999999996</v>
      </c>
    </row>
    <row r="228" spans="1:201" x14ac:dyDescent="0.25">
      <c r="A228">
        <v>212</v>
      </c>
      <c r="B228">
        <v>1690220285.0999999</v>
      </c>
      <c r="C228">
        <v>2264.599999904633</v>
      </c>
      <c r="D228" t="s">
        <v>753</v>
      </c>
      <c r="E228" t="s">
        <v>754</v>
      </c>
      <c r="F228" t="s">
        <v>330</v>
      </c>
      <c r="H228">
        <v>1690220285.0999999</v>
      </c>
      <c r="I228">
        <f t="shared" si="90"/>
        <v>2.0209843350739247E-3</v>
      </c>
      <c r="J228">
        <f t="shared" si="91"/>
        <v>2.0209843350739249</v>
      </c>
      <c r="K228">
        <f t="shared" si="92"/>
        <v>35.932481874756853</v>
      </c>
      <c r="L228">
        <f t="shared" si="93"/>
        <v>403.39100000000002</v>
      </c>
      <c r="M228">
        <f t="shared" si="94"/>
        <v>98.304281018080104</v>
      </c>
      <c r="N228">
        <f t="shared" si="95"/>
        <v>9.7477416185238344</v>
      </c>
      <c r="O228">
        <f t="shared" si="96"/>
        <v>39.999796534952004</v>
      </c>
      <c r="P228">
        <f t="shared" si="97"/>
        <v>0.19959522955981904</v>
      </c>
      <c r="Q228">
        <f t="shared" si="98"/>
        <v>2.1293464305062231</v>
      </c>
      <c r="R228">
        <f t="shared" si="99"/>
        <v>0.18975329975109823</v>
      </c>
      <c r="S228">
        <f t="shared" si="100"/>
        <v>0.11943961752355189</v>
      </c>
      <c r="T228">
        <f t="shared" si="101"/>
        <v>276.1129677685459</v>
      </c>
      <c r="U228">
        <f t="shared" si="102"/>
        <v>27.52225642547825</v>
      </c>
      <c r="V228">
        <f t="shared" si="103"/>
        <v>27.52225642547825</v>
      </c>
      <c r="W228">
        <f t="shared" si="104"/>
        <v>3.6904256309326158</v>
      </c>
      <c r="X228">
        <f t="shared" si="105"/>
        <v>78.878511976548225</v>
      </c>
      <c r="Y228">
        <f t="shared" si="106"/>
        <v>2.6681867595503999</v>
      </c>
      <c r="Z228">
        <f t="shared" si="107"/>
        <v>3.3826535170233587</v>
      </c>
      <c r="AA228">
        <f t="shared" si="108"/>
        <v>1.0222388713822159</v>
      </c>
      <c r="AB228">
        <f t="shared" si="109"/>
        <v>-89.125409176760087</v>
      </c>
      <c r="AC228">
        <f t="shared" si="110"/>
        <v>-169.92947760585187</v>
      </c>
      <c r="AD228">
        <f t="shared" si="111"/>
        <v>-17.185155593116097</v>
      </c>
      <c r="AE228">
        <f t="shared" si="112"/>
        <v>-0.12707460718218044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52490.583693880908</v>
      </c>
      <c r="AK228">
        <f t="shared" si="116"/>
        <v>1799.99</v>
      </c>
      <c r="AL228">
        <f t="shared" si="117"/>
        <v>1499.1003614183899</v>
      </c>
      <c r="AM228">
        <f t="shared" si="118"/>
        <v>0.83283816099999997</v>
      </c>
      <c r="AN228">
        <f t="shared" si="119"/>
        <v>0.15339694540999999</v>
      </c>
      <c r="AO228">
        <v>32.4</v>
      </c>
      <c r="AP228">
        <v>0.5</v>
      </c>
      <c r="AQ228" t="s">
        <v>331</v>
      </c>
      <c r="AR228">
        <v>2</v>
      </c>
      <c r="AS228">
        <v>1690220285.0999999</v>
      </c>
      <c r="AT228">
        <v>403.39100000000002</v>
      </c>
      <c r="AU228">
        <v>799.97299999999996</v>
      </c>
      <c r="AV228">
        <v>26.908200000000001</v>
      </c>
      <c r="AW228">
        <v>5.68459</v>
      </c>
      <c r="AX228">
        <v>403.38299999999998</v>
      </c>
      <c r="AY228">
        <v>26.7181</v>
      </c>
      <c r="AZ228">
        <v>300.22199999999998</v>
      </c>
      <c r="BA228">
        <v>99.058800000000005</v>
      </c>
      <c r="BB228">
        <v>0.10007199999999999</v>
      </c>
      <c r="BC228">
        <v>26.042000000000002</v>
      </c>
      <c r="BD228">
        <v>26.9998</v>
      </c>
      <c r="BE228">
        <v>27.193899999999999</v>
      </c>
      <c r="BF228">
        <v>0</v>
      </c>
      <c r="BG228">
        <v>0</v>
      </c>
      <c r="BH228">
        <v>9988.75</v>
      </c>
      <c r="BI228">
        <v>1067.81</v>
      </c>
      <c r="BJ228">
        <v>1.68198</v>
      </c>
      <c r="BK228">
        <v>-396.58199999999999</v>
      </c>
      <c r="BL228">
        <v>414.54500000000002</v>
      </c>
      <c r="BM228">
        <v>804.54600000000005</v>
      </c>
      <c r="BN228">
        <v>21.223600000000001</v>
      </c>
      <c r="BO228">
        <v>799.97299999999996</v>
      </c>
      <c r="BP228">
        <v>5.68459</v>
      </c>
      <c r="BQ228">
        <v>2.6655000000000002</v>
      </c>
      <c r="BR228">
        <v>0.56310899999999997</v>
      </c>
      <c r="BS228">
        <v>22.073899999999998</v>
      </c>
      <c r="BT228">
        <v>-1.17761</v>
      </c>
      <c r="BU228">
        <v>1799.99</v>
      </c>
      <c r="BV228">
        <v>0.90998999999999997</v>
      </c>
      <c r="BW228">
        <v>3.40057E-2</v>
      </c>
      <c r="BX228">
        <v>2.1990800000000001E-2</v>
      </c>
      <c r="BY228">
        <v>3.4014099999999999E-2</v>
      </c>
      <c r="BZ228">
        <v>26</v>
      </c>
      <c r="CA228">
        <v>33528.300000000003</v>
      </c>
      <c r="CB228">
        <v>1690217592</v>
      </c>
      <c r="CC228" t="s">
        <v>332</v>
      </c>
      <c r="CD228">
        <v>1690217586.5</v>
      </c>
      <c r="CE228">
        <v>1690217592</v>
      </c>
      <c r="CF228">
        <v>9</v>
      </c>
      <c r="CG228">
        <v>0.11600000000000001</v>
      </c>
      <c r="CH228">
        <v>-3.0000000000000001E-3</v>
      </c>
      <c r="CI228">
        <v>-0.27300000000000002</v>
      </c>
      <c r="CJ228">
        <v>-6.9000000000000006E-2</v>
      </c>
      <c r="CK228">
        <v>800</v>
      </c>
      <c r="CL228">
        <v>6</v>
      </c>
      <c r="CM228">
        <v>0.01</v>
      </c>
      <c r="CN228">
        <v>0.01</v>
      </c>
      <c r="CO228">
        <v>-396.32184999999998</v>
      </c>
      <c r="CP228">
        <v>-2.5267317073163511</v>
      </c>
      <c r="CQ228">
        <v>0.25040602528693379</v>
      </c>
      <c r="CR228">
        <v>-1</v>
      </c>
      <c r="CS228">
        <v>21.200902500000002</v>
      </c>
      <c r="CT228">
        <v>0.1513114446528695</v>
      </c>
      <c r="CU228">
        <v>1.4735933759012609E-2</v>
      </c>
      <c r="CV228">
        <v>-1</v>
      </c>
      <c r="CW228">
        <v>0</v>
      </c>
      <c r="CX228">
        <v>0</v>
      </c>
      <c r="CY228" t="s">
        <v>333</v>
      </c>
      <c r="CZ228">
        <v>2.3648600000000002</v>
      </c>
      <c r="DA228">
        <v>2.7138499999999999</v>
      </c>
      <c r="DB228">
        <v>9.0083800000000006E-2</v>
      </c>
      <c r="DC228">
        <v>0.14610400000000001</v>
      </c>
      <c r="DD228">
        <v>0.123436</v>
      </c>
      <c r="DE228">
        <v>3.7754900000000001E-2</v>
      </c>
      <c r="DF228">
        <v>33231.9</v>
      </c>
      <c r="DG228">
        <v>27529.1</v>
      </c>
      <c r="DH228">
        <v>31178.1</v>
      </c>
      <c r="DI228">
        <v>28091.7</v>
      </c>
      <c r="DJ228">
        <v>37094</v>
      </c>
      <c r="DK228">
        <v>38439.599999999999</v>
      </c>
      <c r="DL228">
        <v>44370.7</v>
      </c>
      <c r="DM228">
        <v>42575.7</v>
      </c>
      <c r="DN228">
        <v>1.4867999999999999</v>
      </c>
      <c r="DO228">
        <v>2.03708</v>
      </c>
      <c r="DP228">
        <v>0.124879</v>
      </c>
      <c r="DQ228">
        <v>0.14568900000000001</v>
      </c>
      <c r="DR228">
        <v>24.9541</v>
      </c>
      <c r="DS228">
        <v>24.807400000000001</v>
      </c>
      <c r="DT228">
        <v>16.7</v>
      </c>
      <c r="DU228">
        <v>29.7</v>
      </c>
      <c r="DV228">
        <v>7.0598900000000002</v>
      </c>
      <c r="DW228">
        <v>61.894100000000002</v>
      </c>
      <c r="DX228">
        <v>36.9071</v>
      </c>
      <c r="DY228">
        <v>1</v>
      </c>
      <c r="DZ228">
        <v>-0.106029</v>
      </c>
      <c r="EA228">
        <v>0.17339599999999999</v>
      </c>
      <c r="EB228">
        <v>20.189499999999999</v>
      </c>
      <c r="EC228">
        <v>5.2409499999999998</v>
      </c>
      <c r="ED228">
        <v>12.039899999999999</v>
      </c>
      <c r="EE228">
        <v>5.01675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1.86893</v>
      </c>
      <c r="EL228">
        <v>1.8646499999999999</v>
      </c>
      <c r="EM228">
        <v>1.8692</v>
      </c>
      <c r="EN228">
        <v>1.8672599999999999</v>
      </c>
      <c r="EO228">
        <v>1.8633999999999999</v>
      </c>
      <c r="EP228">
        <v>1.8645400000000001</v>
      </c>
      <c r="EQ228">
        <v>1.8701700000000001</v>
      </c>
      <c r="ER228">
        <v>1.86948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8.0000000000000002E-3</v>
      </c>
      <c r="FG228">
        <v>0.19009999999999999</v>
      </c>
      <c r="FH228">
        <v>0.27827353915413472</v>
      </c>
      <c r="FI228">
        <v>-6.1462078757559423E-4</v>
      </c>
      <c r="FJ228">
        <v>-1.8861989874597051E-7</v>
      </c>
      <c r="FK228">
        <v>1.1980462299894961E-10</v>
      </c>
      <c r="FL228">
        <v>0.19010266435860859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45</v>
      </c>
      <c r="FU228">
        <v>44.9</v>
      </c>
      <c r="FV228">
        <v>1.7773399999999999</v>
      </c>
      <c r="FW228">
        <v>2.5854499999999998</v>
      </c>
      <c r="FX228">
        <v>1.5490699999999999</v>
      </c>
      <c r="FY228">
        <v>2.3290999999999999</v>
      </c>
      <c r="FZ228">
        <v>1.50146</v>
      </c>
      <c r="GA228">
        <v>2.34497</v>
      </c>
      <c r="GB228">
        <v>33.828299999999999</v>
      </c>
      <c r="GC228">
        <v>23.973700000000001</v>
      </c>
      <c r="GD228">
        <v>19</v>
      </c>
      <c r="GE228">
        <v>286.69499999999999</v>
      </c>
      <c r="GF228">
        <v>581.86099999999999</v>
      </c>
      <c r="GG228">
        <v>24.0716</v>
      </c>
      <c r="GH228">
        <v>26.0503</v>
      </c>
      <c r="GI228">
        <v>30</v>
      </c>
      <c r="GJ228">
        <v>26.188800000000001</v>
      </c>
      <c r="GK228">
        <v>26.1723</v>
      </c>
      <c r="GL228">
        <v>35.538899999999998</v>
      </c>
      <c r="GM228">
        <v>-30</v>
      </c>
      <c r="GN228">
        <v>-30</v>
      </c>
      <c r="GO228">
        <v>24.074400000000001</v>
      </c>
      <c r="GP228">
        <v>800</v>
      </c>
      <c r="GQ228">
        <v>12.5298</v>
      </c>
      <c r="GR228">
        <v>99.758399999999995</v>
      </c>
      <c r="GS228">
        <v>99.600899999999996</v>
      </c>
    </row>
    <row r="229" spans="1:201" x14ac:dyDescent="0.25">
      <c r="A229">
        <v>213</v>
      </c>
      <c r="B229">
        <v>1690220295.0999999</v>
      </c>
      <c r="C229">
        <v>2274.599999904633</v>
      </c>
      <c r="D229" t="s">
        <v>755</v>
      </c>
      <c r="E229" t="s">
        <v>756</v>
      </c>
      <c r="F229" t="s">
        <v>330</v>
      </c>
      <c r="H229">
        <v>1690220295.0999999</v>
      </c>
      <c r="I229">
        <f t="shared" si="90"/>
        <v>2.0228462990676626E-3</v>
      </c>
      <c r="J229">
        <f t="shared" si="91"/>
        <v>2.0228462990676626</v>
      </c>
      <c r="K229">
        <f t="shared" si="92"/>
        <v>35.972068999643959</v>
      </c>
      <c r="L229">
        <f t="shared" si="93"/>
        <v>402.88799999999998</v>
      </c>
      <c r="M229">
        <f t="shared" si="94"/>
        <v>98.884660264947414</v>
      </c>
      <c r="N229">
        <f t="shared" si="95"/>
        <v>9.8058442044455489</v>
      </c>
      <c r="O229">
        <f t="shared" si="96"/>
        <v>39.952172048277603</v>
      </c>
      <c r="P229">
        <f t="shared" si="97"/>
        <v>0.20055338053106353</v>
      </c>
      <c r="Q229">
        <f t="shared" si="98"/>
        <v>2.1329847008566012</v>
      </c>
      <c r="R229">
        <f t="shared" si="99"/>
        <v>0.19063530293227071</v>
      </c>
      <c r="S229">
        <f t="shared" si="100"/>
        <v>0.11999727870039872</v>
      </c>
      <c r="T229">
        <f t="shared" si="101"/>
        <v>276.11428579199998</v>
      </c>
      <c r="U229">
        <f t="shared" si="102"/>
        <v>27.516426813481054</v>
      </c>
      <c r="V229">
        <f t="shared" si="103"/>
        <v>27.516426813481054</v>
      </c>
      <c r="W229">
        <f t="shared" si="104"/>
        <v>3.6891671732787046</v>
      </c>
      <c r="X229">
        <f t="shared" si="105"/>
        <v>78.965396252537914</v>
      </c>
      <c r="Y229">
        <f t="shared" si="106"/>
        <v>2.67066756009759</v>
      </c>
      <c r="Z229">
        <f t="shared" si="107"/>
        <v>3.3820732711282457</v>
      </c>
      <c r="AA229">
        <f t="shared" si="108"/>
        <v>1.0184996131811146</v>
      </c>
      <c r="AB229">
        <f t="shared" si="109"/>
        <v>-89.207521788883923</v>
      </c>
      <c r="AC229">
        <f t="shared" si="110"/>
        <v>-169.88293836806108</v>
      </c>
      <c r="AD229">
        <f t="shared" si="111"/>
        <v>-17.150394470198872</v>
      </c>
      <c r="AE229">
        <f t="shared" si="112"/>
        <v>-0.12656883514389961</v>
      </c>
      <c r="AF229">
        <v>0</v>
      </c>
      <c r="AG229">
        <v>0</v>
      </c>
      <c r="AH229">
        <f t="shared" si="113"/>
        <v>1</v>
      </c>
      <c r="AI229">
        <f t="shared" si="114"/>
        <v>0</v>
      </c>
      <c r="AJ229">
        <f t="shared" si="115"/>
        <v>52648.579768962642</v>
      </c>
      <c r="AK229">
        <f t="shared" si="116"/>
        <v>1800</v>
      </c>
      <c r="AL229">
        <f t="shared" si="117"/>
        <v>1499.1084252000001</v>
      </c>
      <c r="AM229">
        <f t="shared" si="118"/>
        <v>0.83283801400000002</v>
      </c>
      <c r="AN229">
        <f t="shared" si="119"/>
        <v>0.15339682544</v>
      </c>
      <c r="AO229">
        <v>32.4</v>
      </c>
      <c r="AP229">
        <v>0.5</v>
      </c>
      <c r="AQ229" t="s">
        <v>331</v>
      </c>
      <c r="AR229">
        <v>2</v>
      </c>
      <c r="AS229">
        <v>1690220295.0999999</v>
      </c>
      <c r="AT229">
        <v>402.88799999999998</v>
      </c>
      <c r="AU229">
        <v>799.97900000000004</v>
      </c>
      <c r="AV229">
        <v>26.931699999999999</v>
      </c>
      <c r="AW229">
        <v>5.68452</v>
      </c>
      <c r="AX229">
        <v>402.88</v>
      </c>
      <c r="AY229">
        <v>26.741599999999998</v>
      </c>
      <c r="AZ229">
        <v>300.15800000000002</v>
      </c>
      <c r="BA229">
        <v>99.064499999999995</v>
      </c>
      <c r="BB229">
        <v>9.9962700000000002E-2</v>
      </c>
      <c r="BC229">
        <v>26.039100000000001</v>
      </c>
      <c r="BD229">
        <v>27.036200000000001</v>
      </c>
      <c r="BE229">
        <v>27.173100000000002</v>
      </c>
      <c r="BF229">
        <v>0</v>
      </c>
      <c r="BG229">
        <v>0</v>
      </c>
      <c r="BH229">
        <v>10019.4</v>
      </c>
      <c r="BI229">
        <v>1067.82</v>
      </c>
      <c r="BJ229">
        <v>1.59788</v>
      </c>
      <c r="BK229">
        <v>-397.09</v>
      </c>
      <c r="BL229">
        <v>414.03899999999999</v>
      </c>
      <c r="BM229">
        <v>804.55200000000002</v>
      </c>
      <c r="BN229">
        <v>21.247199999999999</v>
      </c>
      <c r="BO229">
        <v>799.97900000000004</v>
      </c>
      <c r="BP229">
        <v>5.68452</v>
      </c>
      <c r="BQ229">
        <v>2.66797</v>
      </c>
      <c r="BR229">
        <v>0.56313500000000005</v>
      </c>
      <c r="BS229">
        <v>22.089200000000002</v>
      </c>
      <c r="BT229">
        <v>-1.17699</v>
      </c>
      <c r="BU229">
        <v>1800</v>
      </c>
      <c r="BV229">
        <v>0.90999200000000002</v>
      </c>
      <c r="BW229">
        <v>3.4004800000000002E-2</v>
      </c>
      <c r="BX229">
        <v>2.1990200000000001E-2</v>
      </c>
      <c r="BY229">
        <v>3.40132E-2</v>
      </c>
      <c r="BZ229">
        <v>26</v>
      </c>
      <c r="CA229">
        <v>33528.5</v>
      </c>
      <c r="CB229">
        <v>1690217592</v>
      </c>
      <c r="CC229" t="s">
        <v>332</v>
      </c>
      <c r="CD229">
        <v>1690217586.5</v>
      </c>
      <c r="CE229">
        <v>1690217592</v>
      </c>
      <c r="CF229">
        <v>9</v>
      </c>
      <c r="CG229">
        <v>0.11600000000000001</v>
      </c>
      <c r="CH229">
        <v>-3.0000000000000001E-3</v>
      </c>
      <c r="CI229">
        <v>-0.27300000000000002</v>
      </c>
      <c r="CJ229">
        <v>-6.9000000000000006E-2</v>
      </c>
      <c r="CK229">
        <v>800</v>
      </c>
      <c r="CL229">
        <v>6</v>
      </c>
      <c r="CM229">
        <v>0.01</v>
      </c>
      <c r="CN229">
        <v>0.01</v>
      </c>
      <c r="CO229">
        <v>-396.69504999999998</v>
      </c>
      <c r="CP229">
        <v>-2.1553621013124662</v>
      </c>
      <c r="CQ229">
        <v>0.2186102639401902</v>
      </c>
      <c r="CR229">
        <v>-1</v>
      </c>
      <c r="CS229">
        <v>21.224065</v>
      </c>
      <c r="CT229">
        <v>0.1234626641650384</v>
      </c>
      <c r="CU229">
        <v>1.1941954404535091E-2</v>
      </c>
      <c r="CV229">
        <v>-1</v>
      </c>
      <c r="CW229">
        <v>0</v>
      </c>
      <c r="CX229">
        <v>0</v>
      </c>
      <c r="CY229" t="s">
        <v>333</v>
      </c>
      <c r="CZ229">
        <v>2.3646500000000001</v>
      </c>
      <c r="DA229">
        <v>2.7137699999999998</v>
      </c>
      <c r="DB229">
        <v>9.0003600000000003E-2</v>
      </c>
      <c r="DC229">
        <v>0.14611399999999999</v>
      </c>
      <c r="DD229">
        <v>0.123518</v>
      </c>
      <c r="DE229">
        <v>3.7756699999999997E-2</v>
      </c>
      <c r="DF229">
        <v>33234.5</v>
      </c>
      <c r="DG229">
        <v>27528.7</v>
      </c>
      <c r="DH229">
        <v>31177.8</v>
      </c>
      <c r="DI229">
        <v>28091.599999999999</v>
      </c>
      <c r="DJ229">
        <v>37090.1</v>
      </c>
      <c r="DK229">
        <v>38439.199999999997</v>
      </c>
      <c r="DL229">
        <v>44370.2</v>
      </c>
      <c r="DM229">
        <v>42575.3</v>
      </c>
      <c r="DN229">
        <v>1.48645</v>
      </c>
      <c r="DO229">
        <v>2.03688</v>
      </c>
      <c r="DP229">
        <v>0.12701000000000001</v>
      </c>
      <c r="DQ229">
        <v>0.14438500000000001</v>
      </c>
      <c r="DR229">
        <v>24.9557</v>
      </c>
      <c r="DS229">
        <v>24.808</v>
      </c>
      <c r="DT229">
        <v>16.7</v>
      </c>
      <c r="DU229">
        <v>29.7</v>
      </c>
      <c r="DV229">
        <v>7.0591799999999996</v>
      </c>
      <c r="DW229">
        <v>61.614100000000001</v>
      </c>
      <c r="DX229">
        <v>36.638599999999997</v>
      </c>
      <c r="DY229">
        <v>1</v>
      </c>
      <c r="DZ229">
        <v>-0.105991</v>
      </c>
      <c r="EA229">
        <v>0.252938</v>
      </c>
      <c r="EB229">
        <v>20.189299999999999</v>
      </c>
      <c r="EC229">
        <v>5.2411000000000003</v>
      </c>
      <c r="ED229">
        <v>12.039899999999999</v>
      </c>
      <c r="EE229">
        <v>5.0163500000000001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1.8689199999999999</v>
      </c>
      <c r="EL229">
        <v>1.8646199999999999</v>
      </c>
      <c r="EM229">
        <v>1.8692</v>
      </c>
      <c r="EN229">
        <v>1.8672299999999999</v>
      </c>
      <c r="EO229">
        <v>1.8633999999999999</v>
      </c>
      <c r="EP229">
        <v>1.8645799999999999</v>
      </c>
      <c r="EQ229">
        <v>1.87018</v>
      </c>
      <c r="ER229">
        <v>1.86948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8.0000000000000002E-3</v>
      </c>
      <c r="FG229">
        <v>0.19009999999999999</v>
      </c>
      <c r="FH229">
        <v>0.27827353915413472</v>
      </c>
      <c r="FI229">
        <v>-6.1462078757559423E-4</v>
      </c>
      <c r="FJ229">
        <v>-1.8861989874597051E-7</v>
      </c>
      <c r="FK229">
        <v>1.1980462299894961E-10</v>
      </c>
      <c r="FL229">
        <v>0.19010266435860859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45.1</v>
      </c>
      <c r="FU229">
        <v>45.1</v>
      </c>
      <c r="FV229">
        <v>1.7773399999999999</v>
      </c>
      <c r="FW229">
        <v>2.5878899999999998</v>
      </c>
      <c r="FX229">
        <v>1.5490699999999999</v>
      </c>
      <c r="FY229">
        <v>2.3290999999999999</v>
      </c>
      <c r="FZ229">
        <v>1.50146</v>
      </c>
      <c r="GA229">
        <v>2.3034699999999999</v>
      </c>
      <c r="GB229">
        <v>33.828299999999999</v>
      </c>
      <c r="GC229">
        <v>23.973700000000001</v>
      </c>
      <c r="GD229">
        <v>19</v>
      </c>
      <c r="GE229">
        <v>286.53699999999998</v>
      </c>
      <c r="GF229">
        <v>581.69000000000005</v>
      </c>
      <c r="GG229">
        <v>24.070499999999999</v>
      </c>
      <c r="GH229">
        <v>26.049700000000001</v>
      </c>
      <c r="GI229">
        <v>30.0001</v>
      </c>
      <c r="GJ229">
        <v>26.187200000000001</v>
      </c>
      <c r="GK229">
        <v>26.171800000000001</v>
      </c>
      <c r="GL229">
        <v>35.540700000000001</v>
      </c>
      <c r="GM229">
        <v>-30</v>
      </c>
      <c r="GN229">
        <v>-30</v>
      </c>
      <c r="GO229">
        <v>24.026599999999998</v>
      </c>
      <c r="GP229">
        <v>800</v>
      </c>
      <c r="GQ229">
        <v>12.5298</v>
      </c>
      <c r="GR229">
        <v>99.757300000000001</v>
      </c>
      <c r="GS229">
        <v>99.600200000000001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2023-07-24T17:40:43Z</dcterms:created>
  <dcterms:modified xsi:type="dcterms:W3CDTF">2023-07-24T22:20:08Z</dcterms:modified>
</cp:coreProperties>
</file>